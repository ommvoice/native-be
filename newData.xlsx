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13" documentId="11_EF32427101E29633EBBD1FCD0C5C41ACDA509B16" xr6:coauthVersionLast="47" xr6:coauthVersionMax="47" xr10:uidLastSave="{D2FBA46C-CFFA-4EDC-8FCA-B3DACC0AA32C}"/>
  <bookViews>
    <workbookView xWindow="0" yWindow="0" windowWidth="0" windowHeight="0" activeTab="12" xr2:uid="{00000000-000D-0000-FFFF-FFFF00000000}"/>
  </bookViews>
  <sheets>
    <sheet name="Venues" sheetId="1" r:id="rId1"/>
    <sheet name="Events" sheetId="2" r:id="rId2"/>
    <sheet name="Clubs" sheetId="3" r:id="rId3"/>
    <sheet name="Routes" sheetId="4" r:id="rId4"/>
    <sheet name="CHelper" sheetId="5" state="hidden" r:id="rId5"/>
    <sheet name="RHelper" sheetId="6" state="hidden" r:id="rId6"/>
    <sheet name="VHelper" sheetId="7" r:id="rId7"/>
    <sheet name="EHelper" sheetId="8" r:id="rId8"/>
    <sheet name="CHelper2" sheetId="9" state="hidden" r:id="rId9"/>
    <sheet name="RHelper2" sheetId="10" state="hidden" r:id="rId10"/>
    <sheet name="VHelper2" sheetId="11" r:id="rId11"/>
    <sheet name="EHelper2" sheetId="12" r:id="rId12"/>
    <sheet name="Enums" sheetId="13" r:id="rId13"/>
  </sheets>
  <definedNames>
    <definedName name="animalencounters">Enums!$D$311:$D$319</definedName>
    <definedName name="bigdayout">Enums!$D$356:$D$361</definedName>
    <definedName name="coastaladventure">Enums!$D$206:$D$217</definedName>
    <definedName name="coffeeshop">Enums!$D$363:$D$367</definedName>
    <definedName name="creativeplay">Enums!$D$282:$D$286</definedName>
    <definedName name="curatedoutdoor">Enums!$D$219:$D$225</definedName>
    <definedName name="familydining">Enums!$D$369:$D$372</definedName>
    <definedName name="greenspaces">Enums!$D$189:$D$195</definedName>
    <definedName name="highlightsanimals">Enums!$D$1116:$D$1139</definedName>
    <definedName name="highlightsbigday">Enums!$D$1164:$D$1178</definedName>
    <definedName name="highlightscoastal">Enums!$D$815:$D$845</definedName>
    <definedName name="highlightscoffee">Enums!$D$1180:$D$1189</definedName>
    <definedName name="highlightscreative">Enums!$D$1009:$D$1030</definedName>
    <definedName name="highlightsdiscovery">Enums!$D$1087:$D$1092</definedName>
    <definedName name="highlightsfamilydining">Enums!$D$1191:$D$1199</definedName>
    <definedName name="highlightsgardens">Enums!$D$854:$D$875</definedName>
    <definedName name="highlightsgreenspace">Enums!$D$774:$D$793</definedName>
    <definedName name="highlightshistorical">Enums!$D$1094:$D$1114</definedName>
    <definedName name="highlightsimaginative">Enums!$D$1032:$D$1046</definedName>
    <definedName name="highlightsindoorenergy">Enums!$D$1141:$D$1151</definedName>
    <definedName name="highlightsindoorentertainment">Enums!$D$1050:$D$1070</definedName>
    <definedName name="highlightslearning">Enums!$D$1072:$D$1085</definedName>
    <definedName name="highlightsnature">Enums!$D$795:$D$813</definedName>
    <definedName name="highlightsplaygrounds">Enums!$D$877:$D$922</definedName>
    <definedName name="highlightsseasonal">Enums!$D$1201:$D$1229</definedName>
    <definedName name="highlightssensory">Enums!$D$1048</definedName>
    <definedName name="highlightssports">Enums!$D$924:$D$955</definedName>
    <definedName name="highlightstransport">Enums!$D$1153:$D$1162</definedName>
    <definedName name="highlightswalks">Enums!$D$754:$D$772</definedName>
    <definedName name="highlightswaterfun">Enums!$D$976:$D$1007</definedName>
    <definedName name="highlightswheels">Enums!$D$957:$D$974</definedName>
    <definedName name="historical">Enums!$D$321:$D$328</definedName>
    <definedName name="imaginativeplay">Enums!$D$288:$D$291</definedName>
    <definedName name="indoorenergy">Enums!$D$330:$D$335</definedName>
    <definedName name="indoorentertainment">Enums!$D$337:$D$347</definedName>
    <definedName name="learning">Enums!$D$298:$D$303</definedName>
    <definedName name="museums">Enums!$D$305:$D$309</definedName>
    <definedName name="natureexploration">Enums!$D$197:$D$204</definedName>
    <definedName name="playgrounds">Enums!$D$227:$D$233</definedName>
    <definedName name="scenicwalks">Enums!$D$175:$D$187</definedName>
    <definedName name="seasonal">Enums!$D$259:$D$268</definedName>
    <definedName name="sensory">Enums!$D$293:$D$296</definedName>
    <definedName name="sportyactivity">Enums!$D$235:$D$249</definedName>
    <definedName name="transport">Enums!$D$349:$D$354</definedName>
    <definedName name="waterbasedfun">Enums!$D$275:$D$280</definedName>
    <definedName name="wheelsroutes">Enums!$D$270:$D$273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2" l="1" a="1"/>
  <c r="A22" i="12"/>
  <c r="A23" i="12" a="1"/>
  <c r="A23" i="12"/>
  <c r="A24" i="12" a="1"/>
  <c r="A24" i="12"/>
  <c r="A25" i="12" a="1"/>
  <c r="A25" i="12"/>
  <c r="A26" i="12" a="1"/>
  <c r="A26" i="12"/>
  <c r="A27" i="12" a="1"/>
  <c r="A27" i="12"/>
  <c r="A28" i="12" a="1"/>
  <c r="A28" i="12"/>
  <c r="A29" i="12" a="1"/>
  <c r="A29" i="12"/>
  <c r="A30" i="12" a="1"/>
  <c r="A30" i="12"/>
  <c r="A31" i="12" a="1"/>
  <c r="A31" i="12"/>
  <c r="A32" i="12" a="1"/>
  <c r="A32" i="12"/>
  <c r="A33" i="12" a="1"/>
  <c r="A33" i="12"/>
  <c r="A34" i="12" a="1"/>
  <c r="A34" i="12"/>
  <c r="A35" i="12" a="1"/>
  <c r="A35" i="12"/>
  <c r="A36" i="12" a="1"/>
  <c r="A36" i="12"/>
  <c r="A40" i="12" a="1"/>
  <c r="A40" i="12"/>
  <c r="A41" i="12" a="1"/>
  <c r="A41" i="12"/>
  <c r="A42" i="12" a="1"/>
  <c r="A42" i="12"/>
  <c r="A43" i="12" a="1"/>
  <c r="A43" i="12"/>
  <c r="A44" i="12" a="1"/>
  <c r="A44" i="12"/>
  <c r="A45" i="12" a="1"/>
  <c r="A45" i="12"/>
  <c r="A46" i="12" a="1"/>
  <c r="A46" i="12"/>
  <c r="A47" i="12" a="1"/>
  <c r="A47" i="12"/>
  <c r="A48" i="12" a="1"/>
  <c r="A48" i="12"/>
  <c r="A49" i="12" a="1"/>
  <c r="A49" i="12"/>
  <c r="A50" i="12" a="1"/>
  <c r="A50" i="12"/>
  <c r="A51" i="12" a="1"/>
  <c r="A51" i="12"/>
  <c r="A52" i="12" a="1"/>
  <c r="A52" i="12"/>
  <c r="A53" i="12" a="1"/>
  <c r="A53" i="12"/>
  <c r="A54" i="12" a="1"/>
  <c r="A54" i="12"/>
  <c r="A55" i="12" a="1"/>
  <c r="A55" i="12"/>
  <c r="A56" i="12" a="1"/>
  <c r="A56" i="12"/>
  <c r="A57" i="12" a="1"/>
  <c r="A57" i="12"/>
  <c r="A58" i="12" a="1"/>
  <c r="A58" i="12"/>
  <c r="A59" i="12" a="1"/>
  <c r="A59" i="12"/>
  <c r="A60" i="12" a="1"/>
  <c r="A60" i="12"/>
  <c r="A61" i="12" a="1"/>
  <c r="A61" i="12"/>
  <c r="A62" i="12" a="1"/>
  <c r="A62" i="12"/>
  <c r="A63" i="12" a="1"/>
  <c r="A63" i="12"/>
  <c r="A64" i="12" a="1"/>
  <c r="A64" i="12"/>
  <c r="A65" i="12" a="1"/>
  <c r="A65" i="12"/>
  <c r="A66" i="12" a="1"/>
  <c r="A66" i="12"/>
  <c r="A67" i="12" a="1"/>
  <c r="A67" i="12"/>
  <c r="A68" i="12" a="1"/>
  <c r="A68" i="12"/>
  <c r="A69" i="12" a="1"/>
  <c r="A69" i="12"/>
  <c r="A70" i="12" a="1"/>
  <c r="A70" i="12"/>
  <c r="A71" i="12" a="1"/>
  <c r="A71" i="12"/>
  <c r="A72" i="12" a="1"/>
  <c r="A72" i="12"/>
  <c r="A73" i="12" a="1"/>
  <c r="A73" i="12"/>
  <c r="A74" i="12" a="1"/>
  <c r="A74" i="12"/>
  <c r="A75" i="12" a="1"/>
  <c r="A75" i="12"/>
  <c r="A76" i="12" a="1"/>
  <c r="A76" i="12"/>
  <c r="A77" i="12" a="1"/>
  <c r="A77" i="12"/>
  <c r="A78" i="12" a="1"/>
  <c r="A78" i="12"/>
  <c r="A79" i="12" a="1"/>
  <c r="A79" i="12"/>
  <c r="A80" i="12" a="1"/>
  <c r="A80" i="12"/>
  <c r="A81" i="12" a="1"/>
  <c r="A81" i="12"/>
  <c r="A82" i="12" a="1"/>
  <c r="A82" i="12"/>
  <c r="A83" i="12" a="1"/>
  <c r="A83" i="12"/>
  <c r="A84" i="12" a="1"/>
  <c r="A84" i="12"/>
  <c r="A85" i="12" a="1"/>
  <c r="A85" i="12"/>
  <c r="A86" i="12" a="1"/>
  <c r="A86" i="12"/>
  <c r="A87" i="12" a="1"/>
  <c r="A87" i="12"/>
  <c r="A88" i="12" a="1"/>
  <c r="A88" i="12"/>
  <c r="A89" i="12" a="1"/>
  <c r="A89" i="12"/>
  <c r="A90" i="12" a="1"/>
  <c r="A90" i="12"/>
  <c r="A15" i="12" a="1"/>
  <c r="A15" i="12"/>
  <c r="A16" i="12" a="1"/>
  <c r="A16" i="12"/>
  <c r="A17" i="12" a="1"/>
  <c r="A17" i="12"/>
  <c r="A5" i="12" a="1"/>
  <c r="A5" i="12"/>
  <c r="A6" i="12" a="1"/>
  <c r="A6" i="12"/>
  <c r="A7" i="12" a="1"/>
  <c r="A7" i="12"/>
  <c r="A8" i="12" a="1"/>
  <c r="A8" i="12"/>
  <c r="A9" i="12" a="1"/>
  <c r="A9" i="12"/>
  <c r="A10" i="12" a="1"/>
  <c r="A10" i="12"/>
  <c r="A11" i="12" a="1"/>
  <c r="A11" i="12"/>
  <c r="A12" i="12" a="1"/>
  <c r="A12" i="12"/>
  <c r="A13" i="12" a="1"/>
  <c r="A13" i="12"/>
  <c r="A14" i="12" a="1"/>
  <c r="A14" i="12"/>
  <c r="A18" i="12"/>
  <c r="A19" i="12"/>
  <c r="A20" i="12"/>
  <c r="A21" i="12"/>
  <c r="A37" i="12"/>
  <c r="A38" i="12"/>
  <c r="A39" i="12"/>
  <c r="A5" i="11" a="1"/>
  <c r="A5" i="11"/>
  <c r="A6" i="11" a="1"/>
  <c r="A6" i="11"/>
  <c r="A7" i="11" a="1"/>
  <c r="A7" i="11"/>
  <c r="A8" i="11" a="1"/>
  <c r="A8" i="11"/>
  <c r="A9" i="11" a="1"/>
  <c r="A9" i="11"/>
  <c r="A10" i="11" a="1"/>
  <c r="A10" i="11"/>
  <c r="A11" i="11" a="1"/>
  <c r="A11" i="11"/>
  <c r="A12" i="11" a="1"/>
  <c r="A12" i="11"/>
  <c r="A13" i="11" a="1"/>
  <c r="A13" i="11"/>
  <c r="A14" i="11" a="1"/>
  <c r="A14" i="11"/>
  <c r="A15" i="11" a="1"/>
  <c r="A15" i="11"/>
  <c r="A16" i="11" a="1"/>
  <c r="A16" i="11"/>
  <c r="A17" i="11" a="1"/>
  <c r="A17" i="11"/>
  <c r="A18" i="11" a="1"/>
  <c r="A18" i="11"/>
  <c r="A19" i="11" a="1"/>
  <c r="A19" i="11"/>
  <c r="A20" i="11" a="1"/>
  <c r="A20" i="11"/>
  <c r="A21" i="11" a="1"/>
  <c r="A21" i="11"/>
  <c r="A22" i="11" a="1"/>
  <c r="A22" i="11"/>
  <c r="A23" i="11" a="1"/>
  <c r="A23" i="11"/>
  <c r="A24" i="11" a="1"/>
  <c r="A24" i="11"/>
  <c r="A25" i="11" a="1"/>
  <c r="A25" i="11"/>
  <c r="A26" i="11" a="1"/>
  <c r="A26" i="11"/>
  <c r="A27" i="11" a="1"/>
  <c r="A27" i="11"/>
  <c r="A28" i="11" a="1"/>
  <c r="A28" i="11"/>
  <c r="A29" i="11" a="1"/>
  <c r="A29" i="11"/>
  <c r="A30" i="11" a="1"/>
  <c r="A30" i="11"/>
  <c r="A31" i="11" a="1"/>
  <c r="A31" i="11"/>
  <c r="A32" i="11" a="1"/>
  <c r="A32" i="11"/>
  <c r="A33" i="11" a="1"/>
  <c r="A33" i="11"/>
  <c r="A34" i="11" a="1"/>
  <c r="A34" i="11"/>
  <c r="A35" i="11" a="1"/>
  <c r="A35" i="11"/>
  <c r="A36" i="11" a="1"/>
  <c r="A36" i="11"/>
  <c r="A37" i="11" a="1"/>
  <c r="A37" i="11"/>
  <c r="A38" i="11" a="1"/>
  <c r="A38" i="11"/>
  <c r="A39" i="11" a="1"/>
  <c r="A39" i="11"/>
  <c r="A40" i="11" a="1"/>
  <c r="A40" i="11"/>
  <c r="A41" i="11" a="1"/>
  <c r="A41" i="11"/>
  <c r="A42" i="11" a="1"/>
  <c r="A42" i="11"/>
  <c r="A43" i="11" a="1"/>
  <c r="A43" i="11"/>
  <c r="A44" i="11" a="1"/>
  <c r="A44" i="11"/>
  <c r="A45" i="11" a="1"/>
  <c r="A45" i="11"/>
  <c r="A46" i="11" a="1"/>
  <c r="A46" i="11"/>
  <c r="A47" i="11" a="1"/>
  <c r="A47" i="11"/>
  <c r="A48" i="11" a="1"/>
  <c r="A48" i="11"/>
  <c r="A49" i="11" a="1"/>
  <c r="A49" i="11"/>
  <c r="A50" i="11" a="1"/>
  <c r="A50" i="11"/>
  <c r="A51" i="11" a="1"/>
  <c r="A51" i="11"/>
  <c r="A52" i="11" a="1"/>
  <c r="A52" i="11"/>
  <c r="A53" i="11" a="1"/>
  <c r="A53" i="11"/>
  <c r="A54" i="11" a="1"/>
  <c r="A54" i="11"/>
  <c r="A55" i="11" a="1"/>
  <c r="A55" i="11"/>
  <c r="A56" i="11" a="1"/>
  <c r="A56" i="11"/>
  <c r="A57" i="11" a="1"/>
  <c r="A57" i="11"/>
  <c r="A58" i="11" a="1"/>
  <c r="A58" i="11"/>
  <c r="A59" i="11" a="1"/>
  <c r="A59" i="11"/>
  <c r="A60" i="11" a="1"/>
  <c r="A60" i="11"/>
  <c r="A61" i="11" a="1"/>
  <c r="A61" i="11"/>
  <c r="A62" i="11" a="1"/>
  <c r="A62" i="11"/>
  <c r="A63" i="11" a="1"/>
  <c r="A63" i="11"/>
  <c r="A64" i="11" a="1"/>
  <c r="A64" i="11"/>
  <c r="A65" i="11" a="1"/>
  <c r="A65" i="11"/>
  <c r="A66" i="11" a="1"/>
  <c r="A66" i="11"/>
  <c r="A67" i="11" a="1"/>
  <c r="A67" i="11"/>
  <c r="A68" i="11" a="1"/>
  <c r="A68" i="11"/>
  <c r="A69" i="11" a="1"/>
  <c r="A69" i="11"/>
  <c r="A70" i="11" a="1"/>
  <c r="A70" i="11"/>
  <c r="A71" i="11" a="1"/>
  <c r="A71" i="11"/>
  <c r="A72" i="11" a="1"/>
  <c r="A72" i="11"/>
  <c r="A73" i="11" a="1"/>
  <c r="A73" i="11"/>
  <c r="A74" i="11" a="1"/>
  <c r="A74" i="11"/>
  <c r="A75" i="11" a="1"/>
  <c r="A75" i="11"/>
  <c r="A76" i="11" a="1"/>
  <c r="A76" i="11"/>
  <c r="A77" i="11" a="1"/>
  <c r="A77" i="11"/>
  <c r="A78" i="11" a="1"/>
  <c r="A78" i="11"/>
  <c r="A79" i="11" a="1"/>
  <c r="A79" i="11"/>
  <c r="A80" i="11" a="1"/>
  <c r="A80" i="11"/>
  <c r="A81" i="11" a="1"/>
  <c r="A81" i="11"/>
  <c r="A82" i="11" a="1"/>
  <c r="A82" i="11"/>
  <c r="A83" i="11" a="1"/>
  <c r="A83" i="11"/>
  <c r="A84" i="11" a="1"/>
  <c r="A84" i="11"/>
  <c r="A85" i="11" a="1"/>
  <c r="A85" i="11"/>
  <c r="A86" i="11" a="1"/>
  <c r="A86" i="11"/>
  <c r="A87" i="11" a="1"/>
  <c r="A87" i="11"/>
  <c r="A88" i="11" a="1"/>
  <c r="A88" i="11"/>
  <c r="A89" i="11" a="1"/>
  <c r="A89" i="11"/>
  <c r="A90" i="11" a="1"/>
  <c r="A90" i="11"/>
  <c r="A91" i="11" a="1"/>
  <c r="A91" i="11"/>
  <c r="A92" i="11" a="1"/>
  <c r="A92" i="11"/>
  <c r="A93" i="11" a="1"/>
  <c r="A93" i="11"/>
  <c r="A94" i="11" a="1"/>
  <c r="A94" i="11"/>
  <c r="A95" i="11" a="1"/>
  <c r="A95" i="11"/>
  <c r="A96" i="11" a="1"/>
  <c r="A96" i="11"/>
  <c r="A97" i="11" a="1"/>
  <c r="A97" i="11"/>
  <c r="A98" i="11" a="1"/>
  <c r="A98" i="11"/>
  <c r="A99" i="11" a="1"/>
  <c r="A99" i="11"/>
  <c r="A100" i="11" a="1"/>
  <c r="A100" i="11"/>
  <c r="A101" i="11" a="1"/>
  <c r="A101" i="11"/>
  <c r="A102" i="11" a="1"/>
  <c r="A102" i="11"/>
  <c r="A103" i="11" a="1"/>
  <c r="A103" i="11"/>
  <c r="A104" i="11" a="1"/>
  <c r="A104" i="11"/>
  <c r="A105" i="11" a="1"/>
  <c r="A105" i="11"/>
  <c r="A106" i="11" a="1"/>
  <c r="A106" i="11"/>
  <c r="A107" i="11" a="1"/>
  <c r="A107" i="11"/>
  <c r="A108" i="11" a="1"/>
  <c r="A108" i="11"/>
  <c r="A109" i="11" a="1"/>
  <c r="A109" i="11"/>
  <c r="A110" i="11" a="1"/>
  <c r="A110" i="11"/>
  <c r="A111" i="11" a="1"/>
  <c r="A111" i="11"/>
  <c r="A112" i="11" a="1"/>
  <c r="A112" i="11"/>
  <c r="A113" i="11" a="1"/>
  <c r="A113" i="11"/>
  <c r="A114" i="11" a="1"/>
  <c r="A114" i="11"/>
  <c r="A115" i="11" a="1"/>
  <c r="A115" i="11"/>
  <c r="A116" i="11" a="1"/>
  <c r="A116" i="11"/>
  <c r="A117" i="11" a="1"/>
  <c r="A117" i="11"/>
  <c r="A118" i="11" a="1"/>
  <c r="A118" i="11"/>
  <c r="A119" i="11" a="1"/>
  <c r="A119" i="11"/>
  <c r="A120" i="11" a="1"/>
  <c r="A120" i="11"/>
  <c r="A121" i="11" a="1"/>
  <c r="A121" i="11"/>
  <c r="A122" i="11" a="1"/>
  <c r="A122" i="11"/>
  <c r="A123" i="11" a="1"/>
  <c r="A123" i="11"/>
  <c r="A124" i="11" a="1"/>
  <c r="A124" i="11"/>
  <c r="A125" i="11" a="1"/>
  <c r="A125" i="11"/>
  <c r="A126" i="11" a="1"/>
  <c r="A126" i="11"/>
  <c r="A127" i="11" a="1"/>
  <c r="A127" i="11"/>
  <c r="A128" i="11" a="1"/>
  <c r="A128" i="11"/>
  <c r="A129" i="11" a="1"/>
  <c r="A129" i="11"/>
  <c r="A130" i="11" a="1"/>
  <c r="A130" i="11"/>
  <c r="A91" i="10" a="1"/>
  <c r="A91" i="10"/>
  <c r="A92" i="10" a="1"/>
  <c r="A92" i="10"/>
  <c r="A93" i="10" a="1"/>
  <c r="A93" i="10"/>
  <c r="A94" i="10" a="1"/>
  <c r="A94" i="10"/>
  <c r="A95" i="10" a="1"/>
  <c r="A95" i="10"/>
  <c r="A96" i="10" a="1"/>
  <c r="A96" i="10"/>
  <c r="A97" i="10" a="1"/>
  <c r="A97" i="10"/>
  <c r="A98" i="10" a="1"/>
  <c r="A98" i="10"/>
  <c r="A99" i="10" a="1"/>
  <c r="A99" i="10"/>
  <c r="A100" i="10" a="1"/>
  <c r="A100" i="10"/>
  <c r="A101" i="10" a="1"/>
  <c r="A101" i="10"/>
  <c r="A102" i="10" a="1"/>
  <c r="A102" i="10"/>
  <c r="A103" i="10" a="1"/>
  <c r="A103" i="10"/>
  <c r="A104" i="10" a="1"/>
  <c r="A104" i="10"/>
  <c r="A5" i="10" a="1"/>
  <c r="A5" i="10"/>
  <c r="A6" i="10" a="1"/>
  <c r="A6" i="10"/>
  <c r="A7" i="10" a="1"/>
  <c r="A7" i="10"/>
  <c r="A8" i="10" a="1"/>
  <c r="A8" i="10"/>
  <c r="A9" i="10" a="1"/>
  <c r="A9" i="10"/>
  <c r="A10" i="10" a="1"/>
  <c r="A10" i="10"/>
  <c r="A11" i="10" a="1"/>
  <c r="A11" i="10"/>
  <c r="A12" i="10" a="1"/>
  <c r="A12" i="10"/>
  <c r="A13" i="10" a="1"/>
  <c r="A13" i="10"/>
  <c r="A14" i="10" a="1"/>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88" i="9" a="1"/>
  <c r="A88" i="9"/>
  <c r="A89" i="9" a="1"/>
  <c r="A89" i="9"/>
  <c r="A90" i="9" a="1"/>
  <c r="A90" i="9"/>
  <c r="A5" i="9" a="1"/>
  <c r="A5" i="9"/>
  <c r="A6" i="9" a="1"/>
  <c r="A6" i="9"/>
  <c r="A7" i="9" a="1"/>
  <c r="A7" i="9"/>
  <c r="A8" i="9" a="1"/>
  <c r="A8" i="9"/>
  <c r="A9" i="9" a="1"/>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28" i="8" a="1"/>
  <c r="A28" i="8"/>
  <c r="A29" i="8" a="1"/>
  <c r="A29" i="8"/>
  <c r="A30" i="8" a="1"/>
  <c r="A30" i="8"/>
  <c r="A31" i="8" a="1"/>
  <c r="A31" i="8"/>
  <c r="A32" i="8" a="1"/>
  <c r="A32" i="8"/>
  <c r="A33" i="8" a="1"/>
  <c r="A33" i="8"/>
  <c r="A34" i="8" a="1"/>
  <c r="A34" i="8"/>
  <c r="A35" i="8" a="1"/>
  <c r="A35" i="8"/>
  <c r="A36" i="8" a="1"/>
  <c r="A36" i="8"/>
  <c r="A37" i="8" a="1"/>
  <c r="A37" i="8"/>
  <c r="A38" i="8" a="1"/>
  <c r="A38" i="8"/>
  <c r="A39" i="8" a="1"/>
  <c r="A39" i="8"/>
  <c r="A40" i="8" a="1"/>
  <c r="A40" i="8"/>
  <c r="A41" i="8" a="1"/>
  <c r="A41" i="8"/>
  <c r="A42" i="8" a="1"/>
  <c r="A42" i="8"/>
  <c r="A43" i="8" a="1"/>
  <c r="A43" i="8"/>
  <c r="A44" i="8" a="1"/>
  <c r="A44" i="8"/>
  <c r="A45" i="8" a="1"/>
  <c r="A45" i="8"/>
  <c r="A46" i="8" a="1"/>
  <c r="A46" i="8"/>
  <c r="A47" i="8" a="1"/>
  <c r="A47" i="8"/>
  <c r="A48" i="8" a="1"/>
  <c r="A48" i="8"/>
  <c r="A49" i="8" a="1"/>
  <c r="A49" i="8"/>
  <c r="A50" i="8" a="1"/>
  <c r="A50" i="8"/>
  <c r="A51" i="8" a="1"/>
  <c r="A51" i="8"/>
  <c r="A52" i="8" a="1"/>
  <c r="A52" i="8"/>
  <c r="A53" i="8" a="1"/>
  <c r="A53" i="8"/>
  <c r="A54" i="8" a="1"/>
  <c r="A54" i="8"/>
  <c r="A55" i="8" a="1"/>
  <c r="A55" i="8"/>
  <c r="A56" i="8" a="1"/>
  <c r="A56" i="8"/>
  <c r="A57" i="8" a="1"/>
  <c r="A57" i="8"/>
  <c r="A58" i="8" a="1"/>
  <c r="A58" i="8"/>
  <c r="A59" i="8" a="1"/>
  <c r="A59" i="8"/>
  <c r="A60" i="8" a="1"/>
  <c r="A60" i="8"/>
  <c r="A61" i="8" a="1"/>
  <c r="A61" i="8"/>
  <c r="A5" i="8" a="1"/>
  <c r="A5" i="8"/>
  <c r="A6" i="8" a="1"/>
  <c r="A6" i="8"/>
  <c r="A7" i="8" a="1"/>
  <c r="A7" i="8"/>
  <c r="A8" i="8" a="1"/>
  <c r="A8" i="8"/>
  <c r="A9" i="8" a="1"/>
  <c r="A9" i="8"/>
  <c r="A10" i="8" a="1"/>
  <c r="A10" i="8"/>
  <c r="A11" i="8" a="1"/>
  <c r="A11" i="8"/>
  <c r="A12" i="8" a="1"/>
  <c r="A12" i="8"/>
  <c r="A13" i="8" a="1"/>
  <c r="A13" i="8"/>
  <c r="A14" i="8" a="1"/>
  <c r="A14" i="8"/>
  <c r="A15" i="8" a="1"/>
  <c r="A15" i="8"/>
  <c r="A16" i="8" a="1"/>
  <c r="A16" i="8"/>
  <c r="A17" i="8" a="1"/>
  <c r="A17" i="8"/>
  <c r="A18" i="8" a="1"/>
  <c r="A18" i="8"/>
  <c r="A19" i="8" a="1"/>
  <c r="A19" i="8"/>
  <c r="A20" i="8" a="1"/>
  <c r="A20" i="8"/>
  <c r="A21" i="8" a="1"/>
  <c r="A21" i="8"/>
  <c r="A22" i="8" a="1"/>
  <c r="A22" i="8"/>
  <c r="A23" i="8" a="1"/>
  <c r="A23" i="8"/>
  <c r="A24" i="8" a="1"/>
  <c r="A24" i="8"/>
  <c r="A25" i="8" a="1"/>
  <c r="A25" i="8"/>
  <c r="A26" i="8" a="1"/>
  <c r="A26" i="8"/>
  <c r="A27" i="8" a="1"/>
  <c r="A27" i="8"/>
  <c r="A5" i="7" a="1"/>
  <c r="A5" i="7"/>
  <c r="A6" i="7" a="1"/>
  <c r="A6" i="7"/>
  <c r="A7" i="7" a="1"/>
  <c r="A7" i="7"/>
  <c r="A8" i="7" a="1"/>
  <c r="A8" i="7"/>
  <c r="A9" i="7" a="1"/>
  <c r="A9" i="7"/>
  <c r="A10" i="7" a="1"/>
  <c r="A10" i="7"/>
  <c r="A11" i="7" a="1"/>
  <c r="A11" i="7"/>
  <c r="A12" i="7" a="1"/>
  <c r="A12" i="7"/>
  <c r="A13" i="7" a="1"/>
  <c r="A13" i="7"/>
  <c r="A14" i="7" a="1"/>
  <c r="A14" i="7"/>
  <c r="A15" i="7" a="1"/>
  <c r="A15" i="7"/>
  <c r="A16" i="7" a="1"/>
  <c r="A16" i="7"/>
  <c r="A17" i="7" a="1"/>
  <c r="A17" i="7"/>
  <c r="A18" i="7" a="1"/>
  <c r="A18" i="7"/>
  <c r="A19" i="7" a="1"/>
  <c r="A19" i="7"/>
  <c r="A20" i="7" a="1"/>
  <c r="A20" i="7"/>
  <c r="A21" i="7" a="1"/>
  <c r="A21" i="7"/>
  <c r="A22" i="7" a="1"/>
  <c r="A22" i="7"/>
  <c r="A23" i="7" a="1"/>
  <c r="A23" i="7"/>
  <c r="A24" i="7" a="1"/>
  <c r="A24" i="7"/>
  <c r="A25" i="7" a="1"/>
  <c r="A25" i="7"/>
  <c r="A26" i="7" a="1"/>
  <c r="A26" i="7"/>
  <c r="A27" i="7" a="1"/>
  <c r="A27" i="7"/>
  <c r="A28" i="7" a="1"/>
  <c r="A28" i="7"/>
  <c r="A29" i="7" a="1"/>
  <c r="A29" i="7"/>
  <c r="A30" i="7" a="1"/>
  <c r="A30" i="7"/>
  <c r="A31" i="7" a="1"/>
  <c r="A31" i="7"/>
  <c r="A32" i="7" a="1"/>
  <c r="A32" i="7"/>
  <c r="A33" i="7" a="1"/>
  <c r="A33" i="7"/>
  <c r="A34" i="7" a="1"/>
  <c r="A34" i="7"/>
  <c r="A35" i="7" a="1"/>
  <c r="A35" i="7"/>
  <c r="A36" i="7" a="1"/>
  <c r="A36" i="7"/>
  <c r="A37" i="7" a="1"/>
  <c r="A37" i="7"/>
  <c r="A38" i="7" a="1"/>
  <c r="A38" i="7"/>
  <c r="A39" i="7" a="1"/>
  <c r="A39" i="7"/>
  <c r="A40" i="7" a="1"/>
  <c r="A40" i="7"/>
  <c r="A41" i="7" a="1"/>
  <c r="A41" i="7"/>
  <c r="A42" i="7" a="1"/>
  <c r="A42" i="7"/>
  <c r="A43" i="7" a="1"/>
  <c r="A43" i="7"/>
  <c r="A44" i="7" a="1"/>
  <c r="A44" i="7"/>
  <c r="A45" i="7" a="1"/>
  <c r="A45" i="7"/>
  <c r="A46" i="7" a="1"/>
  <c r="A46" i="7"/>
  <c r="A47" i="7" a="1"/>
  <c r="A47" i="7"/>
  <c r="A48" i="7" a="1"/>
  <c r="A48" i="7"/>
  <c r="A49" i="7" a="1"/>
  <c r="A49" i="7"/>
  <c r="A50" i="7" a="1"/>
  <c r="A50" i="7"/>
  <c r="A51" i="7" a="1"/>
  <c r="A51" i="7"/>
  <c r="A52" i="7" a="1"/>
  <c r="A52" i="7"/>
  <c r="A53" i="7" a="1"/>
  <c r="A53" i="7"/>
  <c r="A54" i="7" a="1"/>
  <c r="A54" i="7"/>
  <c r="A55" i="7" a="1"/>
  <c r="A55" i="7"/>
  <c r="A56" i="7" a="1"/>
  <c r="A56" i="7"/>
  <c r="A57" i="7" a="1"/>
  <c r="A57" i="7"/>
  <c r="A58" i="7" a="1"/>
  <c r="A58" i="7"/>
  <c r="A59" i="7" a="1"/>
  <c r="A59" i="7"/>
  <c r="A60" i="7" a="1"/>
  <c r="A60" i="7"/>
  <c r="A61" i="7" a="1"/>
  <c r="A61" i="7"/>
  <c r="A62" i="7" a="1"/>
  <c r="A62" i="7"/>
  <c r="A63" i="7" a="1"/>
  <c r="A63" i="7"/>
  <c r="A64" i="7" a="1"/>
  <c r="A64" i="7"/>
  <c r="A65" i="7" a="1"/>
  <c r="A65" i="7"/>
  <c r="A66" i="7" a="1"/>
  <c r="A66" i="7"/>
  <c r="A67" i="7" a="1"/>
  <c r="A67" i="7"/>
  <c r="A68" i="7" a="1"/>
  <c r="A68" i="7"/>
  <c r="A69" i="7" a="1"/>
  <c r="A69" i="7"/>
  <c r="A70" i="7" a="1"/>
  <c r="A70" i="7"/>
  <c r="A71" i="7" a="1"/>
  <c r="A71" i="7"/>
  <c r="A72" i="7" a="1"/>
  <c r="A72" i="7"/>
  <c r="A73" i="7" a="1"/>
  <c r="A73" i="7"/>
  <c r="A74" i="7" a="1"/>
  <c r="A74" i="7"/>
  <c r="A75" i="7" a="1"/>
  <c r="A75" i="7"/>
  <c r="A76" i="7" a="1"/>
  <c r="A76" i="7"/>
  <c r="A77" i="7" a="1"/>
  <c r="A77" i="7"/>
  <c r="A78" i="7" a="1"/>
  <c r="A78" i="7"/>
  <c r="A79" i="7" a="1"/>
  <c r="A79" i="7"/>
  <c r="A80" i="7" a="1"/>
  <c r="A80" i="7"/>
  <c r="A81" i="7" a="1"/>
  <c r="A81" i="7"/>
  <c r="A82" i="7" a="1"/>
  <c r="A82" i="7"/>
  <c r="A83" i="7" a="1"/>
  <c r="A83" i="7"/>
  <c r="A84" i="7" a="1"/>
  <c r="A84" i="7"/>
  <c r="A85" i="7" a="1"/>
  <c r="A85" i="7"/>
  <c r="A86" i="7" a="1"/>
  <c r="A86" i="7"/>
  <c r="A87" i="7" a="1"/>
  <c r="A87" i="7"/>
  <c r="A88" i="7" a="1"/>
  <c r="A88" i="7"/>
  <c r="A89" i="7" a="1"/>
  <c r="A89" i="7"/>
  <c r="A90" i="7" a="1"/>
  <c r="A90" i="7"/>
  <c r="A91" i="7" a="1"/>
  <c r="A91" i="7"/>
  <c r="A92" i="7" a="1"/>
  <c r="A92" i="7"/>
  <c r="A93" i="7" a="1"/>
  <c r="A93" i="7"/>
  <c r="A94" i="7" a="1"/>
  <c r="A94" i="7"/>
  <c r="A95" i="7" a="1"/>
  <c r="A95" i="7"/>
  <c r="A96" i="7" a="1"/>
  <c r="A96" i="7"/>
  <c r="A97" i="7" a="1"/>
  <c r="A97" i="7"/>
  <c r="A98" i="7" a="1"/>
  <c r="A98" i="7"/>
  <c r="A99" i="7" a="1"/>
  <c r="A99" i="7"/>
  <c r="A100" i="7" a="1"/>
  <c r="A100" i="7"/>
  <c r="A101" i="7" a="1"/>
  <c r="A101" i="7"/>
  <c r="A102" i="7" a="1"/>
  <c r="A102" i="7"/>
  <c r="A103" i="7" a="1"/>
  <c r="A103" i="7"/>
  <c r="A104" i="7" a="1"/>
  <c r="A104" i="7"/>
  <c r="A105" i="7" a="1"/>
  <c r="A105" i="7"/>
  <c r="A106" i="7" a="1"/>
  <c r="A106" i="7"/>
  <c r="A107" i="7" a="1"/>
  <c r="A107" i="7"/>
  <c r="A108" i="7" a="1"/>
  <c r="A108" i="7"/>
  <c r="A109" i="7" a="1"/>
  <c r="A109" i="7"/>
  <c r="A110" i="7" a="1"/>
  <c r="A110" i="7"/>
  <c r="A111" i="7" a="1"/>
  <c r="A111" i="7"/>
  <c r="A112" i="7" a="1"/>
  <c r="A112" i="7"/>
  <c r="A113" i="7" a="1"/>
  <c r="A113" i="7"/>
  <c r="A114" i="7" a="1"/>
  <c r="A114" i="7"/>
  <c r="A115" i="7" a="1"/>
  <c r="A115" i="7"/>
  <c r="A116" i="7" a="1"/>
  <c r="A116" i="7"/>
  <c r="A117" i="7" a="1"/>
  <c r="A117" i="7"/>
  <c r="A118" i="7" a="1"/>
  <c r="A118" i="7"/>
  <c r="A119" i="7" a="1"/>
  <c r="A119" i="7"/>
  <c r="A120" i="7" a="1"/>
  <c r="A120" i="7"/>
  <c r="A121" i="7" a="1"/>
  <c r="A121" i="7"/>
  <c r="A122" i="7" a="1"/>
  <c r="A122" i="7"/>
  <c r="A123" i="7" a="1"/>
  <c r="A123" i="7"/>
  <c r="A124" i="7" a="1"/>
  <c r="A124" i="7"/>
  <c r="A125" i="7" a="1"/>
  <c r="A125" i="7"/>
  <c r="A5" i="6" a="1"/>
  <c r="A5" i="6"/>
  <c r="A6" i="6" a="1"/>
  <c r="A6" i="6"/>
  <c r="A7" i="6" a="1"/>
  <c r="A7" i="6"/>
  <c r="A8" i="6" a="1"/>
  <c r="A8" i="6"/>
  <c r="A9" i="6" a="1"/>
  <c r="A9" i="6"/>
  <c r="A10" i="6" a="1"/>
  <c r="A10" i="6"/>
  <c r="A11" i="6" a="1"/>
  <c r="A11" i="6"/>
  <c r="A12" i="6" a="1"/>
  <c r="A12" i="6"/>
  <c r="A13" i="6" a="1"/>
  <c r="A13" i="6"/>
  <c r="A14" i="6" a="1"/>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88" i="5" a="1"/>
  <c r="A88" i="5"/>
  <c r="A89" i="5" a="1"/>
  <c r="A89" i="5"/>
  <c r="A90" i="5" a="1"/>
  <c r="A90" i="5"/>
  <c r="A5" i="5" a="1"/>
  <c r="A5" i="5"/>
  <c r="A6" i="5" a="1"/>
  <c r="A6" i="5"/>
  <c r="A7" i="5" a="1"/>
  <c r="A7" i="5"/>
  <c r="A8" i="5" a="1"/>
  <c r="A8" i="5"/>
  <c r="A9" i="5" a="1"/>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<sst xmlns="http://schemas.openxmlformats.org/spreadsheetml/2006/main" count="12361" uniqueCount="4029">
  <si>
    <t>super</t>
  </si>
  <si>
    <t>Venue Descriptors</t>
  </si>
  <si>
    <t>Venue Address</t>
  </si>
  <si>
    <t>Venue Opening Days / Times</t>
  </si>
  <si>
    <t>Venue Ticketing Types &amp; Costs</t>
  </si>
  <si>
    <t>Facilities</t>
  </si>
  <si>
    <t>Age Suitability</t>
  </si>
  <si>
    <t>Useful Info</t>
  </si>
  <si>
    <t>Additional Details</t>
  </si>
  <si>
    <t>Contributor Details</t>
  </si>
  <si>
    <t>Contributor Review Scores</t>
  </si>
  <si>
    <t>ADMIN FIELDS</t>
  </si>
  <si>
    <t>Same Opening Daily</t>
  </si>
  <si>
    <t>Daily Opening / Closing Times</t>
  </si>
  <si>
    <t>Exceptions</t>
  </si>
  <si>
    <t>Cost?</t>
  </si>
  <si>
    <t>Ticket Needed?</t>
  </si>
  <si>
    <t>How to Book</t>
  </si>
  <si>
    <t>Ticket Types</t>
  </si>
  <si>
    <t>Baby Tickets</t>
  </si>
  <si>
    <t>Child Tickets</t>
  </si>
  <si>
    <t>Young Child Tickets</t>
  </si>
  <si>
    <t>Older Child Tickets</t>
  </si>
  <si>
    <t>Adult Tickets</t>
  </si>
  <si>
    <t>Concession Tickets</t>
  </si>
  <si>
    <t>Group Tickets</t>
  </si>
  <si>
    <t>Opportunity Type</t>
  </si>
  <si>
    <t>Venue Setting</t>
  </si>
  <si>
    <t>Venue Setting (More specifically)</t>
  </si>
  <si>
    <t>Venue Name</t>
  </si>
  <si>
    <t>Opportunity ID</t>
  </si>
  <si>
    <t>How would you group it?</t>
  </si>
  <si>
    <t>Description</t>
  </si>
  <si>
    <t>Address</t>
  </si>
  <si>
    <t>Address line 2</t>
  </si>
  <si>
    <t>City/Town</t>
  </si>
  <si>
    <t>State/Region/Province</t>
  </si>
  <si>
    <t>Postcode</t>
  </si>
  <si>
    <t>Latitude</t>
  </si>
  <si>
    <t>Longitude</t>
  </si>
  <si>
    <t>Country</t>
  </si>
  <si>
    <t>Which days of the week are they open?</t>
  </si>
  <si>
    <t>Same start &amp; end times across all days?</t>
  </si>
  <si>
    <t>Daily Opening Time</t>
  </si>
  <si>
    <t>Daily Closing Time</t>
  </si>
  <si>
    <t>Monday Opening Time</t>
  </si>
  <si>
    <t>Monday Closing Time</t>
  </si>
  <si>
    <t>Tuesday Opening Time</t>
  </si>
  <si>
    <t>Tuesday Closing Time</t>
  </si>
  <si>
    <t>Wednesday Opening Time</t>
  </si>
  <si>
    <t>Wednesday Closing Time</t>
  </si>
  <si>
    <t>Thursday Opening Time</t>
  </si>
  <si>
    <t>Thursday Closing Time</t>
  </si>
  <si>
    <t>Friday Opening Time</t>
  </si>
  <si>
    <t>Friday Closing Time</t>
  </si>
  <si>
    <t>Saturday Opening Time</t>
  </si>
  <si>
    <t>Saturday Closing Time</t>
  </si>
  <si>
    <t>Sunday Opening Time</t>
  </si>
  <si>
    <t>Sunday Closing Time</t>
  </si>
  <si>
    <t>Opening exclusions (not open on)</t>
  </si>
  <si>
    <t>Bank Holidays</t>
  </si>
  <si>
    <t>Is there an Entry Cost?</t>
  </si>
  <si>
    <t>Ticketing Requirements</t>
  </si>
  <si>
    <t>Booking Types</t>
  </si>
  <si>
    <t>Ticketing Types</t>
  </si>
  <si>
    <t>Baby Ticket Definition</t>
  </si>
  <si>
    <t>Baby Ticket Price</t>
  </si>
  <si>
    <t>Fixed Child Ticket Definition</t>
  </si>
  <si>
    <t>Fixed Child Ticket Price</t>
  </si>
  <si>
    <t>Young Child Ticket Definition</t>
  </si>
  <si>
    <t>Young Child Ticket Price</t>
  </si>
  <si>
    <t>Older Child Ticket Definition</t>
  </si>
  <si>
    <t>Older Child Ticket Price</t>
  </si>
  <si>
    <t>Adult Ticket Definition</t>
  </si>
  <si>
    <t>Adult Ticket Price</t>
  </si>
  <si>
    <t>Concession Ticket Definition</t>
  </si>
  <si>
    <t>Concession Ticket Price</t>
  </si>
  <si>
    <t>Group Ticket Definition</t>
  </si>
  <si>
    <t>Group Ticket Price</t>
  </si>
  <si>
    <t>Parking Provision</t>
  </si>
  <si>
    <t>General Facilities</t>
  </si>
  <si>
    <t>Kids Facilities</t>
  </si>
  <si>
    <t>Parent Facilities</t>
  </si>
  <si>
    <t>Dog Facilities</t>
  </si>
  <si>
    <t>&lt;1s</t>
  </si>
  <si>
    <t>1-2yrs</t>
  </si>
  <si>
    <t>3-4yrs</t>
  </si>
  <si>
    <t>5-7yrs</t>
  </si>
  <si>
    <t>8-12yrs</t>
  </si>
  <si>
    <t>13+yrs</t>
  </si>
  <si>
    <t>Adults</t>
  </si>
  <si>
    <t>Inside or Outside</t>
  </si>
  <si>
    <t>Best Suited To Weather Suitability)</t>
  </si>
  <si>
    <t>Estimated Time to Spend</t>
  </si>
  <si>
    <t xml:space="preserve">Interest Tags </t>
  </si>
  <si>
    <t>Seasonal Tag</t>
  </si>
  <si>
    <t>Seasonal Highlights</t>
  </si>
  <si>
    <t>Attractions
(Highlights)</t>
  </si>
  <si>
    <t>Extra Kit</t>
  </si>
  <si>
    <t>Image</t>
  </si>
  <si>
    <t>Contributor</t>
  </si>
  <si>
    <t>Contributor Email</t>
  </si>
  <si>
    <t>Contributor ID</t>
  </si>
  <si>
    <t>Quick Reset</t>
  </si>
  <si>
    <t>Energy Burner</t>
  </si>
  <si>
    <t>Simple Reset</t>
  </si>
  <si>
    <t>Special Day Out</t>
  </si>
  <si>
    <t>Effort vs Reward</t>
  </si>
  <si>
    <t>Habit worthy</t>
  </si>
  <si>
    <t>Stands Out</t>
  </si>
  <si>
    <t>Tricker Day</t>
  </si>
  <si>
    <t>Approved to Upload?</t>
  </si>
  <si>
    <t>Approved on</t>
  </si>
  <si>
    <r>
      <rPr>
        <b/>
        <sz val="9"/>
        <color theme="1"/>
        <rFont val="Arial"/>
      </rPr>
      <t xml:space="preserve">*UMER ONLY*
</t>
    </r>
    <r>
      <rPr>
        <sz val="9"/>
        <color theme="1"/>
        <rFont val="Arial"/>
      </rPr>
      <t>Confirm Entry Added?</t>
    </r>
  </si>
  <si>
    <t>Move to LIVE</t>
  </si>
  <si>
    <t>opportunity_type</t>
  </si>
  <si>
    <t>venue_opportunity_theme</t>
  </si>
  <si>
    <t>venue_opportunity_theme_variant</t>
  </si>
  <si>
    <t>venue_name</t>
  </si>
  <si>
    <t>opportunity_id</t>
  </si>
  <si>
    <t>venue_activity_group</t>
  </si>
  <si>
    <t>venue_description</t>
  </si>
  <si>
    <t>venue_address_line_1</t>
  </si>
  <si>
    <t>venue_address_line_2</t>
  </si>
  <si>
    <t>venue_city</t>
  </si>
  <si>
    <t>venue_region</t>
  </si>
  <si>
    <t>venue_postcode</t>
  </si>
  <si>
    <t>latitude</t>
  </si>
  <si>
    <t>longitude</t>
  </si>
  <si>
    <t>venue_country</t>
  </si>
  <si>
    <t>venue_schedule_pattern</t>
  </si>
  <si>
    <t>venue_fixed_daily_timings</t>
  </si>
  <si>
    <t>venue_fixed_timings_start_time</t>
  </si>
  <si>
    <t>venue_fixed_timings_end_time</t>
  </si>
  <si>
    <t>venue_mixed_timings_monday_start_time</t>
  </si>
  <si>
    <t>venue_mixed_timings_monday_end_time</t>
  </si>
  <si>
    <t>venue_mixed_timings_tuesday_start_time</t>
  </si>
  <si>
    <t>venue_mixed_timings_tuesday_end_time</t>
  </si>
  <si>
    <t>venue_mixed_timings_wednesday_start_time</t>
  </si>
  <si>
    <t>venue_mixed_timings_wednesday_end_time</t>
  </si>
  <si>
    <t>venue_mixed_timings_thursday_start_time</t>
  </si>
  <si>
    <t>venue_mixed_timings_thursday_end_time</t>
  </si>
  <si>
    <t>venue_mixed_timings_friday_start_time</t>
  </si>
  <si>
    <t>venue_mixed_timings_friday_end_time</t>
  </si>
  <si>
    <t>venue_mixed_timings_saturday_start_time</t>
  </si>
  <si>
    <t>venue_mixed_timings_saturday_end_time</t>
  </si>
  <si>
    <t>venue_mixed_timings_sunday_start_time</t>
  </si>
  <si>
    <t>venue_mixed_timings_sunday_end_time</t>
  </si>
  <si>
    <t>venue_opening_exclusions</t>
  </si>
  <si>
    <t>venue_entry_cost</t>
  </si>
  <si>
    <t>ticketing_requirement</t>
  </si>
  <si>
    <t>venue_booking_type</t>
  </si>
  <si>
    <t>ticketing_variants</t>
  </si>
  <si>
    <t>ticket_variant_definition_baby</t>
  </si>
  <si>
    <t>ticket_variant_baby_price</t>
  </si>
  <si>
    <t>ticket_variant_definition__fixed_child</t>
  </si>
  <si>
    <t>ticket_variant_fixed_child_price</t>
  </si>
  <si>
    <t>ticket_variant_definition_young_child</t>
  </si>
  <si>
    <t>ticket_variant_young_child_price</t>
  </si>
  <si>
    <t>ticket_variant_definition_older_child</t>
  </si>
  <si>
    <t>ticket_variant_older_child_price</t>
  </si>
  <si>
    <t>ticket_variant_definition_adult</t>
  </si>
  <si>
    <t>ticket_variant_adult_price</t>
  </si>
  <si>
    <t>ticket_variant_definition_concession</t>
  </si>
  <si>
    <t>ticket_variant_concession_price</t>
  </si>
  <si>
    <t>ticket_variant_definition_group</t>
  </si>
  <si>
    <t>ticket_variant_group_price</t>
  </si>
  <si>
    <t>venue_parking_provision</t>
  </si>
  <si>
    <t>venue_general_facilities</t>
  </si>
  <si>
    <t>venue_child_facilities</t>
  </si>
  <si>
    <t>venue_adult_facilities</t>
  </si>
  <si>
    <t>venue_dog_facilities</t>
  </si>
  <si>
    <t>venue_age_suitability_under_1_s</t>
  </si>
  <si>
    <t>venue_age_suitability_1_to_2_years</t>
  </si>
  <si>
    <t>venue_age_suitability_3_to_4_years</t>
  </si>
  <si>
    <t>venue_age_suitability_5_to_7_years</t>
  </si>
  <si>
    <t>venue_age_suitability_8_to_12_years</t>
  </si>
  <si>
    <t>venue_age_suitability_over_13_years</t>
  </si>
  <si>
    <t>venue_age_suitability_adults</t>
  </si>
  <si>
    <t>venue_physical_setting</t>
  </si>
  <si>
    <t>venue_detailed_weather_suitability</t>
  </si>
  <si>
    <t>venue_estimated_duration</t>
  </si>
  <si>
    <t>venue_interest_tags</t>
  </si>
  <si>
    <t>venue_seasonal_tag</t>
  </si>
  <si>
    <t>venue_seasonal_highlights</t>
  </si>
  <si>
    <t>venue_attractions</t>
  </si>
  <si>
    <t>venue_extra_kit</t>
  </si>
  <si>
    <t>image</t>
  </si>
  <si>
    <t>contributor_first_name</t>
  </si>
  <si>
    <t>contributor_contact_email</t>
  </si>
  <si>
    <t>contributor_id</t>
  </si>
  <si>
    <t>venue_quick_reset</t>
  </si>
  <si>
    <t>venue_energy_burner</t>
  </si>
  <si>
    <t>venue_simple_reset</t>
  </si>
  <si>
    <t>venue_special_day_out</t>
  </si>
  <si>
    <t>venue_effort_reward</t>
  </si>
  <si>
    <t>venue_regular_habit</t>
  </si>
  <si>
    <t>venue_different_score</t>
  </si>
  <si>
    <t>venue_support_score</t>
  </si>
  <si>
    <t>entry_complete</t>
  </si>
  <si>
    <t>entry_photo_confirmed</t>
  </si>
  <si>
    <t>entry_approved</t>
  </si>
  <si>
    <t>opportunity_website</t>
  </si>
  <si>
    <t>opportunity_contact_email</t>
  </si>
  <si>
    <t>venue</t>
  </si>
  <si>
    <t>Green Open Spaces</t>
  </si>
  <si>
    <t>Country Park</t>
  </si>
  <si>
    <t>Haldon Forest Park</t>
  </si>
  <si>
    <t>Energy Burner, Simple Reset</t>
  </si>
  <si>
    <t xml:space="preserve">A large forest park with easy woodland trails, play stops, bike routes and space to stretch a small outing into more if you choose. Haldon works for different ages without needing one fixed plan: follow specific woodland trails, pause at wooden play features, bring or hire bikes, try the pump track, or book Go Ape for older children. </t>
  </si>
  <si>
    <t>Bullers Hill</t>
  </si>
  <si>
    <t>Kennford</t>
  </si>
  <si>
    <t>Exeter</t>
  </si>
  <si>
    <t>EX6 7XR</t>
  </si>
  <si>
    <t>Monday, Tuesday, Wednesday, Thursday, Friday, Saturday, Sunday</t>
  </si>
  <si>
    <t>-</t>
  </si>
  <si>
    <t>Closed Christmas Day</t>
  </si>
  <si>
    <t>Open (Free) Access</t>
  </si>
  <si>
    <t>Paid Car Park</t>
  </si>
  <si>
    <t>Toilets, Baby changing, Disabled toilets, Picnic Benches, Bench Seating, Indoor Seating, Outdoor Seating</t>
  </si>
  <si>
    <t>Activity sheets, Activity trail, Children’s trail, Sandpit, "Swings, Slides, Climbing Frames"</t>
  </si>
  <si>
    <t>Hot Drinks, Comfy Seating / Sofas, Hot &amp; Cold food, Snacks, Sweet treats, Log burner, Outdoor terrace</t>
  </si>
  <si>
    <t>Dogs On Leads, Poo Bins</t>
  </si>
  <si>
    <t>Outside</t>
  </si>
  <si>
    <t>Raining / wet, Sunshine, Overcast / cloudy, Dry &amp; mild, Dry &amp; cold, Dry &amp; warm, Dry &amp; hot</t>
  </si>
  <si>
    <t>30-60mins, 1-2hrs, 2-3hrs</t>
  </si>
  <si>
    <t>Forestry England, birdsong, viewpoints, orienteering courses, Wildlife Hyde, woodland trails, cycling, mountain biking, bike hire, Go Ape, treetop adventure, zip lines, orienteering, children's activity trail, wildlife spotting, wildlife hide, outdoor play equipment, running trails</t>
  </si>
  <si>
    <t>Birdsong</t>
  </si>
  <si>
    <t>Room to run freely, Countryside views, Scenic backdrops, Play equipment, Marked Trails, Children’s Activity Trails</t>
  </si>
  <si>
    <t>XC Buggy, Sand toys, Infant / toddler carrier, Sling / baby carrier, Wellies, Binoculars</t>
  </si>
  <si>
    <t>Haldon Forest.JPG</t>
  </si>
  <si>
    <t>Rochelle</t>
  </si>
  <si>
    <t>Nature &amp; Wildlife Exploration</t>
  </si>
  <si>
    <t>Hydes or Cabins</t>
  </si>
  <si>
    <t>RSPB Bowling Green Marsh Bird Hyde</t>
  </si>
  <si>
    <t>Moment of Peace</t>
  </si>
  <si>
    <t>A quiet bird hide overlooking the marsh, with close views of waders, ducks and geese across the estuary. Bowling Green Marsh works well as a short, focused wildlife stop where children can watch birds feeding and resting from the hide, with seasonal highlights including winter flocks, spring and autumn migrants, and high-tide gatherings on the marsh. There’s estuary walks close by if you want to stretch it into a longer outing.</t>
  </si>
  <si>
    <t>Bowling Green Rd</t>
  </si>
  <si>
    <t>Topsham</t>
  </si>
  <si>
    <t>EX3 0BG</t>
  </si>
  <si>
    <t>Wednesday, Thursday, Friday, Saturday, Sunday</t>
  </si>
  <si>
    <t>Subject to volunteer availability</t>
  </si>
  <si>
    <t>Bike racks / bays</t>
  </si>
  <si>
    <t>Bench Seating</t>
  </si>
  <si>
    <t>Inside</t>
  </si>
  <si>
    <t>Overcast / cloudy, Dry &amp; mild, Dry &amp; cold, Dry &amp; warm, Dry &amp; hot, Raining / wet, Sunshine</t>
  </si>
  <si>
    <t>Under 30mins</t>
  </si>
  <si>
    <t>bird migrations, natural habitats, birdwatching, bird hide, wading birds, wildfowl, herons, egrets, avocets, godwits, wetland wildlife, nature garden, bug hotels, pond dipping, estuary views</t>
  </si>
  <si>
    <t>Birdsong, "Returning swallows, swifts (birds)", Seabird Colonies, Kingfisher Spotting, Dragonflies &amp; Damselflies, Starling Murmurations, Migrating Birds</t>
  </si>
  <si>
    <t>Immersive natural surroundings, Quiet or low-intervention spaces</t>
  </si>
  <si>
    <t>Binoculars</t>
  </si>
  <si>
    <t>Bowling Green Bird Hyde.JPG</t>
  </si>
  <si>
    <t>Lois</t>
  </si>
  <si>
    <t>Coastal Adventures</t>
  </si>
  <si>
    <t>Sandy Beach, RNLI Beach, Dog-Friendly Beach</t>
  </si>
  <si>
    <t>Exmouth Beach</t>
  </si>
  <si>
    <t>Simple Reset, Low Effort, Energy Burner</t>
  </si>
  <si>
    <t xml:space="preserve">A broad sandy beach with a long, level promenade, watersports, rock pooling and easy food stops close by. Exmouth Beach offers plenty of variety to shape a visit: sandcastles and paddling on the beach, a seafront walk with scooters or buggies, rock pooling at the right tide, and watersports or adventure golf for older children.
</t>
  </si>
  <si>
    <t>Queen's Drive</t>
  </si>
  <si>
    <t>Exmouth</t>
  </si>
  <si>
    <t>EX8 2AY</t>
  </si>
  <si>
    <t>24:00</t>
  </si>
  <si>
    <t>Open</t>
  </si>
  <si>
    <t>Paid Car Park, Bike racks / bays</t>
  </si>
  <si>
    <t>Toilets, Bench Seating, Dogs Allowed</t>
  </si>
  <si>
    <t>Ice creams</t>
  </si>
  <si>
    <t>Hot Drinks, Clear Sightlines, Hot &amp; Cold food, Drinks stand, Sweet treats</t>
  </si>
  <si>
    <t>Windy (&gt; X mph), Sunshine, Snow / sleet / ice, Overcast / cloudy, Dry &amp; mild, Dry &amp; cold, Dry &amp; warm, Dry &amp; hot</t>
  </si>
  <si>
    <t>30-60mins, 1-2hrs, 2-3hrs, 4+ hours, Whole Day</t>
  </si>
  <si>
    <t>rockpools, sandy beach, rock pooling, swimming, sandcastles, watersports, bodyboarding, seafront promenade, beach huts, fairground rides, adventure golf, crabbing</t>
  </si>
  <si>
    <t>Summer</t>
  </si>
  <si>
    <t>Rockpools, Shell or seaglass collecting, Diggable sand (Sandcastles), Shallow paddling, Swimming, Slipway, Kayaking / SUP, Seasonally Lifeguarded, Toilets nearby, Boat trips nearby, Beach Cafe, Promenade, Dog Friendly - seasonal leads, Equipment Hire, Watersports Lessons</t>
  </si>
  <si>
    <t>Exmouth Beach.jpg</t>
  </si>
  <si>
    <t>Livi</t>
  </si>
  <si>
    <t>Pebble or Shingle Beach, Mixed Sand &amp; Shingle Beach</t>
  </si>
  <si>
    <t>Jacobs Ladder Beach</t>
  </si>
  <si>
    <t>Simple Reset, Low Effort</t>
  </si>
  <si>
    <t>Jacobs Ladder Beach sits infront of Sidmouth's imposing red cliffs, with steep but buggy-friendly access from the clifftop footpath, or via 'Jacob's Ladder' ladder-like steps from Connaught Gardens, offering an alternative scenic approach. Sand and rockpools are revealed at low tide; steep terraced pebble beach at high tide.</t>
  </si>
  <si>
    <t>Manor Road Long Stay Car Park</t>
  </si>
  <si>
    <t>Peak Hill Road</t>
  </si>
  <si>
    <t>Sidmouth</t>
  </si>
  <si>
    <t>EX10 8RZ</t>
  </si>
  <si>
    <t>Paid Car Park, On-street / nearby parking</t>
  </si>
  <si>
    <t>Drinks stand</t>
  </si>
  <si>
    <t>Dogs On Leads</t>
  </si>
  <si>
    <t>Sunshine, Overcast / cloudy, Dry &amp; mild, Dry &amp; cold, Dry &amp; warm, Dry &amp; hot</t>
  </si>
  <si>
    <t>Under 30mins, 30-60mins, 1-2hrs</t>
  </si>
  <si>
    <t>sandy beach, rock pooling, swimming, red cliffs, pebble beach, beach huts, Jurassic Coast, wooden steps, sheltered beach</t>
  </si>
  <si>
    <t>Shell or seaglass collecting, Smooth pebbles, Estuary edges, Toilets nearby, Beach Cafe, Rockpools, Seaweed beds, Cliffs Or Headlands, Dog Friendly - seasonal leads</t>
  </si>
  <si>
    <t>Sling / baby carrier, Infant / toddler carrier, XC Buggy, Fishing nets</t>
  </si>
  <si>
    <t>Jacobs Ladder Beach.JPG</t>
  </si>
  <si>
    <t>Dog-Friendly Beach</t>
  </si>
  <si>
    <t>Lympstone Village Beach</t>
  </si>
  <si>
    <t>A small estuary foreshore with harbour views, low-tide exploring, crabbing and wide open views across the water. Lympstone is more estuary edge than bucket-and-spade beach, with the visit shaped by the tide: walking and cockle-picking at low water, boats and fishing at high water, and birds moving across the mudflats and shoreline. It suits a gentle wander, especially if you’re pairing it with the village or Exe Estuary Trail.</t>
  </si>
  <si>
    <t>The Strand</t>
  </si>
  <si>
    <t>Lympstone</t>
  </si>
  <si>
    <t>EX8 5EY</t>
  </si>
  <si>
    <t>On-street / nearby parking, Bike racks / bays</t>
  </si>
  <si>
    <t>Bench Seating, Dogs Allowed</t>
  </si>
  <si>
    <t>Snacks</t>
  </si>
  <si>
    <t xml:space="preserve">cockle hunting, fishing boats, estuary beach, beachcombing, wading birds, herons, egrets, fishing boats, harbour, estuary views
</t>
  </si>
  <si>
    <t>Slipway, Harbour, Crabbing, Dog Friendly - off lead all year</t>
  </si>
  <si>
    <t>Fishing nets</t>
  </si>
  <si>
    <t>Lympstone Village Beach.JPG</t>
  </si>
  <si>
    <t>Gardens &amp; Curated Outdoor Spaces</t>
  </si>
  <si>
    <t>Landscaped Garden</t>
  </si>
  <si>
    <t>Lukesland Gardens</t>
  </si>
  <si>
    <t>Simple Reset, Energy Burner</t>
  </si>
  <si>
    <t>A family-run garden with streams, bridges, winding paths and seasonal colour in spring and autumn. Lukesland is made for slower exploring rather than a fixed route, with children’s trails, tunnels through shrubs, bridges over the brook and plenty of changes in level and texture. Spring flowers and autumn colour are the main draws, with a simple tea room available during open seasons.</t>
  </si>
  <si>
    <t>Ivybridge</t>
  </si>
  <si>
    <t>PL21 OJF</t>
  </si>
  <si>
    <t>Wednesday, Sunday</t>
  </si>
  <si>
    <t>Closed 07/06/2026-04/10/2026, Closed 15/11/20206-01/03/2027</t>
  </si>
  <si>
    <t>Pay On Arrival</t>
  </si>
  <si>
    <t>Adult, (Fixed) Child</t>
  </si>
  <si>
    <t>0-16</t>
  </si>
  <si>
    <t>16+</t>
  </si>
  <si>
    <t>Visitors arriving by foot, bicyle or horseback</t>
  </si>
  <si>
    <t>Groups of 25+</t>
  </si>
  <si>
    <t>Free Car Park, Disabled parking bays</t>
  </si>
  <si>
    <t>Toilets, Bench Seating, Guided Tour, Dogs Allowed</t>
  </si>
  <si>
    <t>Hot Drinks, Snacks</t>
  </si>
  <si>
    <t>1-2hrs, 2-3hrs</t>
  </si>
  <si>
    <t xml:space="preserve">woodland garden, streams, waterfalls, bridges, islands, bluebells, rhododendrons, pond spotting, children's trails, treasure hunts, sound and story garden, champion trees
</t>
  </si>
  <si>
    <t>Autumn colours, Spring flowers</t>
  </si>
  <si>
    <t>Fungi, Snowdrops, Autumn Leaves</t>
  </si>
  <si>
    <t>Designed or sculpted landscapes, Seasonal foliage, Water Features or Fountains, Room to run freely, Meandering paths</t>
  </si>
  <si>
    <t>Lukesland Gardens.JPG</t>
  </si>
  <si>
    <t>Historic Estate Garden</t>
  </si>
  <si>
    <t>Dartington Trust Gardens</t>
  </si>
  <si>
    <t xml:space="preserve">Historic gardens with lawns, old trees, a children’s nature trail and estate paths for a slower wander. Dartington’s Grade II* gardens include a trail map for children, with nature prompts such as bug hotels and den building, plus woodland walks, open lawns, sculptures and places to pause nearby. It works well when you want a garden visit with room to drift, rather than a packed attraction day. </t>
  </si>
  <si>
    <t>Dartington Hall</t>
  </si>
  <si>
    <t>Totnes</t>
  </si>
  <si>
    <t>TQ9 6EE</t>
  </si>
  <si>
    <t>Monday, Tuesday, Wednesday, Thursday, Sunday, Saturday, Friday</t>
  </si>
  <si>
    <t>Pay On Arrival, Members Only, Advance Book</t>
  </si>
  <si>
    <t>Adult, Young Child, Older Child, Group</t>
  </si>
  <si>
    <t>0-4</t>
  </si>
  <si>
    <t>5-17</t>
  </si>
  <si>
    <t>18+</t>
  </si>
  <si>
    <t>Family (2 adults, up to 6 children)</t>
  </si>
  <si>
    <t>Guided Tour, Service Dogs Only, Bench Seating, Picnic Benches, Toilets</t>
  </si>
  <si>
    <t>Children’s trail</t>
  </si>
  <si>
    <t xml:space="preserve">conkers, children's nature trail, bug hotels, den building, woodland walks, ancient trees, sculptures, hidden paths, deer park trails, medieval architecture, outdoor play area, lawn games
</t>
  </si>
  <si>
    <t>Spring flowers, Autumn colours</t>
  </si>
  <si>
    <t>Bluebells, Birdsong, Daffodills, Autumn Leaves</t>
  </si>
  <si>
    <t>Seasonal foliage, Room to run freely, Meandering paths, Statues &amp; sculptures, Seasonal or curated displays, Children’s Activity Trails, Designed or sculpted landscapes, "Hidden corners, passageways, gates &amp; gardens"</t>
  </si>
  <si>
    <t>XC Buggy, Sling / baby carrier, Infant / toddler carrier</t>
  </si>
  <si>
    <t>Dartington Hall Gardens.JPG</t>
  </si>
  <si>
    <t>Playgrounds &amp; Adventure Parks</t>
  </si>
  <si>
    <t>Skate Park</t>
  </si>
  <si>
    <t>Chudleigh Skate Park</t>
  </si>
  <si>
    <t>Energy Burner, Low Effort, Moment of Peace</t>
  </si>
  <si>
    <t xml:space="preserve">A free concrete skate park with a large bowl, plaza section and quarter pipes beside Millstream Meadow. Chudleigh Skate Park is an open, unsupervised spot for scooters, skateboards, skates and BMX, with the pump track and play park close by. </t>
  </si>
  <si>
    <t>29 Millstream Meadow</t>
  </si>
  <si>
    <t>Chudleigh</t>
  </si>
  <si>
    <t>Newton Abbot</t>
  </si>
  <si>
    <t>TQ13 0PG</t>
  </si>
  <si>
    <t>On-street / nearby parking</t>
  </si>
  <si>
    <t>Clear Sightlines</t>
  </si>
  <si>
    <t>Poo Bins, Dogs On Leads</t>
  </si>
  <si>
    <t>skateboarding, BMX, scootering, bowl, street skating, quarter pipes, pump track</t>
  </si>
  <si>
    <t>Balance elements, Towers and platforms, Mixed-difficulty zones, Clear sightlines for adults</t>
  </si>
  <si>
    <t>Chudleigh Skate Park.jpg</t>
  </si>
  <si>
    <t>Local park</t>
  </si>
  <si>
    <t>Long Park Play Area</t>
  </si>
  <si>
    <t>Simple Reset, Energy Burner, Low Effort</t>
  </si>
  <si>
    <t>A neighbourhood play area beside Manstone Recreation Ground, with open space and a skate park close by so it suits a practical, simple outdoor stop when different ages need different ways to move in close proximity. It’s more local park than destination day out, with space for a short play, scoot or skate.</t>
  </si>
  <si>
    <t>Manstone Lane</t>
  </si>
  <si>
    <t>EX10 9TS</t>
  </si>
  <si>
    <t>"Swings, Slides, Climbing Frames"</t>
  </si>
  <si>
    <t>swings, zip wire, trampoline, roundabout, outdoor play equipment, slide</t>
  </si>
  <si>
    <t>Slides (particularly tall or long), Towers and platforms, Climbing frames, Fireman’s poles, Climbing Wall, Clear sightlines for adults, Enclosed adventure zones</t>
  </si>
  <si>
    <t>Manstone Play Area.JPG</t>
  </si>
  <si>
    <t>Sporty Activities</t>
  </si>
  <si>
    <t>Outdoor Court</t>
  </si>
  <si>
    <t>Manstone Basketball Courts</t>
  </si>
  <si>
    <t>An outdoor court beside the recreation ground, useful for shooting practice, a quick game or a wider park stop. Manstone works best as a simple active stop for older children and teens, especially if they want space for basketball alongside nearby skate, football and open recreation areas. It’s unsupervised and practical rather than polished, so bring a ball and fold it into a short outdoor session.</t>
  </si>
  <si>
    <t>Dry &amp; mild, Overcast / cloudy, Dry &amp; cold, Dry &amp; warm, Dry &amp; hot, Sunshine</t>
  </si>
  <si>
    <t>Under 30mins, 30-60mins</t>
  </si>
  <si>
    <t>basketball, multi-use games area</t>
  </si>
  <si>
    <t>Non-competitive options, Purpose-built facilities</t>
  </si>
  <si>
    <t>Manstone Basketball Courts.JPG</t>
  </si>
  <si>
    <t>Animal Encounters</t>
  </si>
  <si>
    <t>Conservation Project</t>
  </si>
  <si>
    <t>Donkey Sanctuary</t>
  </si>
  <si>
    <t>Simple Reset, Low Effort, Special Day Out</t>
  </si>
  <si>
    <t>Nestled along the scenic Jurassic Coast, The Donkey Sanctuary offers a heartwarming experience for families and animal enthusiasts. Home to hundreds of rescued donkeys and mules, visitors will find tranquil walks through expansive grounds, meet friendly residents, and learn about the charity's global welfare efforts. The sanctuary features exhibits, a maze, and a children's play area, and with free admission and parking, it's an great destination for a relaxed and educational day out.</t>
  </si>
  <si>
    <t>Slade House Farm</t>
  </si>
  <si>
    <t>Weston</t>
  </si>
  <si>
    <t>EX10 0NU</t>
  </si>
  <si>
    <t>Christmas Day, Boxing Day</t>
  </si>
  <si>
    <t>Free Car Park, Disabled parking bays, Bike racks / bays</t>
  </si>
  <si>
    <t>Toilets, Disabled toilets, Baby changing, Picnic Benches, Indoor Seating, Outdoor Seating, Dogs Allowed</t>
  </si>
  <si>
    <t>Outdoor play equipment, "Swings, Slides, Climbing Frames", Ice creams, Activity trail</t>
  </si>
  <si>
    <t>Hot Drinks, Hot &amp; Cold food, Snacks, Sweet treats, Drinks stand, Giftshop</t>
  </si>
  <si>
    <t>Overcast / cloudy, Dry &amp; mild, Dry &amp; cold, Dry &amp; warm, Dry &amp; hot</t>
  </si>
  <si>
    <t>2-3hrs, 1-2hrs, 30-60mins</t>
  </si>
  <si>
    <t xml:space="preserve">donkeys, maze, conservation, animal rescue, animal welfare, coastal walks, tranquil gardens, sensory trail, farm animals, animal education talks, petting animals, rescue animals, hedge maze, nature trails, outdoor play area, woodland walks, animal talks, exhibits
</t>
  </si>
  <si>
    <t>Easter</t>
  </si>
  <si>
    <t>Close-up viewing, Animal Sanctuary, Conservation, Keeper talks, Children’s Activity Trails, Animal feeding, Hands-on Petting</t>
  </si>
  <si>
    <t>Pram / buggy (road surfaces), XC Buggy, Sling / baby carrier, Infant / toddler carrier, Sturdy footwear</t>
  </si>
  <si>
    <t>Donkey Sanctuary.JPG</t>
  </si>
  <si>
    <t>Animal Parks &amp; Zoos</t>
  </si>
  <si>
    <t>Wildwood Escot Wildlife Park</t>
  </si>
  <si>
    <t>Special Day Out, Energy Burner</t>
  </si>
  <si>
    <t xml:space="preserve">Wildwood offers an immersive experience into British wildlife, with their notorious resident brown bears providing a fascinating up-close experience not to be missed. Set within 45 acres of ancient woodland and gardens, visitors will spot wolves, lynx, wild boar, arctic foxes, red squirrels, and otters in enclosures throughout the park. An authentic Saxon village awaits, complete with a fire to toast a marshmallow, beech hedge maze, adventure playgrounds, drop slide, zip line, and indoor soft play area. </t>
  </si>
  <si>
    <t>Wildwood Escot</t>
  </si>
  <si>
    <t>Ottery Saint Mary</t>
  </si>
  <si>
    <t>EX11 1LU</t>
  </si>
  <si>
    <t>Pay On Arrival, Advance Book</t>
  </si>
  <si>
    <t>(Fixed) Child, Concession, Group</t>
  </si>
  <si>
    <t>0-1</t>
  </si>
  <si>
    <t>2-17</t>
  </si>
  <si>
    <t>Senior (60+), Student (With ID)</t>
  </si>
  <si>
    <t>Family (2 adults and up to 2 children)</t>
  </si>
  <si>
    <t>Free Car Park</t>
  </si>
  <si>
    <t>Toilets, Picnic Benches, Indoor Seating</t>
  </si>
  <si>
    <t>Zip Line, Indoor Play Space, Outdoor play equipment, Rope Swings, "Swings, Slides, Climbing Frames"</t>
  </si>
  <si>
    <t>Mixed</t>
  </si>
  <si>
    <t>2-3hrs</t>
  </si>
  <si>
    <t>rope swing, maze, saxon village, animals, endangered animals, bears, wolves, red squirrel, brown bears, wolves, lynx, wild boar, arctic foxes, red squirrels, otters, birds of prey, Saxon village, beech hedge maze, adventure playground, drop slide, zip line, indoor soft play, nature trails, conservation education, conservation,</t>
  </si>
  <si>
    <t>Autumn colours</t>
  </si>
  <si>
    <t>Close-up viewing, Keeper talks, Rare or exotic animals, Multiple species, Conservation, Outdoor animal areas, Walk-through enclosures</t>
  </si>
  <si>
    <t>XC Buggy, Sling / baby carrier, Infant / toddler carrier, Sturdy footwear</t>
  </si>
  <si>
    <t>Wildwood.jpg</t>
  </si>
  <si>
    <t>Climbing Centre</t>
  </si>
  <si>
    <t>Clip'n'Climb Exeter Quay</t>
  </si>
  <si>
    <t>Bright and bustling indoor climbing with themed challenges, auto-belays and plenty for mixed ages and confidence levels to try together. Built for accessible climbing rather than technical instruction, with 25–26 different challenges, no previous experience needed and sessions suitable from four.</t>
  </si>
  <si>
    <t>Haven Road</t>
  </si>
  <si>
    <t>EX2 8AX</t>
  </si>
  <si>
    <t>Closed Chrismas Day, Closed Boxing Day</t>
  </si>
  <si>
    <t>Pay On Arrival, Advance Book, Pre-Register</t>
  </si>
  <si>
    <t>(Fixed) Child</t>
  </si>
  <si>
    <t>4-18</t>
  </si>
  <si>
    <t>Toilets, Showers / changing facilities, Indoor Seating</t>
  </si>
  <si>
    <t>Hot Drinks, Comfy Seating / Sofas, Clear Sightlines, Snacks, Sweet treats</t>
  </si>
  <si>
    <t>Raining / wet, Windy (&gt; X mph), Sunshine, Snow / sleet / ice, Overcast / cloudy, Stormy / heavy rain / thunderstorms, Dry &amp; mild, Dry &amp; cold, Dry &amp; warm, Dry &amp; hot</t>
  </si>
  <si>
    <t>indoor climbing, climbing walls, speed climbing, Leap of Faith, zip lines, balance challenges, heights challenges, harness climbing</t>
  </si>
  <si>
    <t>Early access introduction, Skill progression, Confidence building, Coordination &amp; balance, Strength &amp; agility, Structured coaching, Mixed-ability sessions, Non-competitive options, Purpose-built facilities, Safe enclosed spaces, All-weather options, Climbing</t>
  </si>
  <si>
    <t>Clip'n'climb Exeter Quay.JPG</t>
  </si>
  <si>
    <t>Cafés &amp; Coffee Stops</t>
  </si>
  <si>
    <t>Family-Friendly Cafés, Cafés with Outdoor Space</t>
  </si>
  <si>
    <t>Cold Harbour Field Kitchen</t>
  </si>
  <si>
    <t>Field kitchen with local produce, freshly cooked food in a relaxed countryside setting. Coldharbour is a great food stop ideal for when you want a simpler setting off the well-trodden path, set against a beautiful backdrop. Cosy in the winter with the log burner, with a well stocked selection of baked treats, and lively on open mic evenings on the deck. It's relaxed, family-friendly feel makes it a unrushed, ideal place to enjoy a meal or coffee.</t>
  </si>
  <si>
    <t>East Hill</t>
  </si>
  <si>
    <t>Slade Rd</t>
  </si>
  <si>
    <t>EX11 1QL</t>
  </si>
  <si>
    <t>Baby changing, Disabled toilets, Toilets, Outdoor Seating</t>
  </si>
  <si>
    <t>Hot Drinks, Comfy Seating / Sofas, Hot &amp; Cold food, Clear Sightlines, Sweet treats, Log burner, Outdoor terrace</t>
  </si>
  <si>
    <t>Sunshine, Overcast / cloudy, Windy (&gt; X mph), Dry &amp; mild, Stormy / heavy rain / thunderstorms, Raining / wet, Dry &amp; cold, Dry &amp; warm, Dry &amp; hot, Snow / sleet / ice</t>
  </si>
  <si>
    <t>1-2hrs</t>
  </si>
  <si>
    <t>panoramic countryside views, outdoor decking, wood-fired pizza, farm shop, children's menu, spacious seating, open-air dining, live music nights</t>
  </si>
  <si>
    <t>Baby Lambs</t>
  </si>
  <si>
    <t>"Shop or browsing area (e.g. farm shop, garden centre)", Colouring</t>
  </si>
  <si>
    <t>XC Buggy</t>
  </si>
  <si>
    <t>Coldharbour Field Kitchen.JPG</t>
  </si>
  <si>
    <t>Ullacombe Farm &amp; Cafe</t>
  </si>
  <si>
    <t>Moment of Peace, Low Effort</t>
  </si>
  <si>
    <t>Farm café with indoor and outdoor play spaces, animals to spot and Dartmoor views around the edges. Ullacombe is useful when food needs to come with movement: children can use the play areas, climb on the vintage tractor, watch the farm animals or head outside between bites. No direct sightlines unless sat outside, but with a cosy, practical feel, there's enough to stretch a café stop into a longer visit everyone can enjoy.</t>
  </si>
  <si>
    <t>Haytor Road</t>
  </si>
  <si>
    <t>Bovey Tracey</t>
  </si>
  <si>
    <t>TQ13 9LL</t>
  </si>
  <si>
    <t>Toilets, Disabled toilets, Picnic Benches, Outdoor Seating, Indoor Seating, Dogs Allowed</t>
  </si>
  <si>
    <t>Ice creams, Ride on Vehicles, Outdoor play equipment, Children's Menu</t>
  </si>
  <si>
    <t>Hot Drinks, Hot &amp; Cold food, Snacks, Sweet treats</t>
  </si>
  <si>
    <t>2-3hrs, 1-2hrs</t>
  </si>
  <si>
    <t>ride on vehicles, animal pens, tractors, play equipment, farm animals, chickens, ducks, outdoor play equipment, swings, slide, climbing frame, vintage tractor, indoor play area</t>
  </si>
  <si>
    <t>Dedicated play area, Space to run around, Outdoor play area nearby, Farm animals nearby, "Shop or browsing area (e.g. farm shop, garden centre)", Combined with a walk or attraction</t>
  </si>
  <si>
    <t>Ullacombe Farm Cafe.JPG</t>
  </si>
  <si>
    <t>Otter Valley Field Kitchen</t>
  </si>
  <si>
    <t>Award-winning field kitchen and gelato-style ice-cream with an enormous selection of flavours, outdoor seating and picturesque valley views. Otter Valley keeps things simple: freshly cooked food, small-batch ice cream made with milk from the farm, and space outside when the weather suits. It’s a perfect fit for a quick pitstop along the A30 or a slower food stop when children need room to move between courses or cones.</t>
  </si>
  <si>
    <t>Monkton</t>
  </si>
  <si>
    <t>Honiton</t>
  </si>
  <si>
    <t>EX14 9QN</t>
  </si>
  <si>
    <t>24/12/2026 - 9AM-3PM
25/12/2026-01/01/2027 - CLOSED
JANUARY 2ND OPEN 9AM-4PM
JANUARY 3RD 9AM -4PM</t>
  </si>
  <si>
    <t>Toilets, Outdoor Seating, Indoor Seating</t>
  </si>
  <si>
    <t>Colouring, Ice creams</t>
  </si>
  <si>
    <t>Outdoor terrace, Snacks, Clear Sightlines, Hot &amp; Cold food, Hot Drinks</t>
  </si>
  <si>
    <t>scenic views, ice cream, open countryside, farm setting</t>
  </si>
  <si>
    <t>Colouring, Space to run around, Farm animals nearby</t>
  </si>
  <si>
    <t>Otter Valley Field Kitchen.JPG</t>
  </si>
  <si>
    <t>Family-Friendly Cafés</t>
  </si>
  <si>
    <t>Amelia's Flower Farm Cafe</t>
  </si>
  <si>
    <t>A thoughtfully designed flower farm-come-cafe with stunning pick-your-own blooms, baked refreshments, plant sales and a calm, seasonal feel. Amelia’s Flower Farm is a gentle outdoor stop where children can help choose stems, notice colour and scent, and move through the flower rows at an unhurried pace. There's also the resident piglets to greet and a small outdoor play area that can be seen from the upstairs cafe terrace. Perfect for a pretty potter that can be extended with a longer walk towards the River Teign.</t>
  </si>
  <si>
    <t>Amelias Flower Farm</t>
  </si>
  <si>
    <t>Combeinteignhead</t>
  </si>
  <si>
    <t>TQ12 4RG</t>
  </si>
  <si>
    <t>Saturday, Sunday, Monday, Tuesday, Wednesday, Thursday, Friday</t>
  </si>
  <si>
    <t xml:space="preserve">Open Weekends only November - June </t>
  </si>
  <si>
    <t>Toilets, Indoor Seating, Outdoor Seating</t>
  </si>
  <si>
    <t>Ice creams, "Swings, Slides, Climbing Frames"</t>
  </si>
  <si>
    <t>Sweet treats, Snacks, Hot Drinks, Comfy Seating / Sofas</t>
  </si>
  <si>
    <t>flower fields, PYO flowers, pigs, pick your own flowers, flower fields, farm animals, swings, outdoor play area, crafting area, children's bookshelf, flower arranging workshops, scenic views, café</t>
  </si>
  <si>
    <t>Wildflower Meadows, Butterflies, PYO Flowers</t>
  </si>
  <si>
    <t>Farm animals nearby, Combined with a walk or attraction, Colouring</t>
  </si>
  <si>
    <t>Amelias Flower Farm Cafe.JPG</t>
  </si>
  <si>
    <t>Cafés with Outdoor Space, Quiet Cafés, Easy Pit-Stops</t>
  </si>
  <si>
    <t>Lower Halsdon Farm Cafe</t>
  </si>
  <si>
    <t>A farm tea garden with cream teas, estuary views and access to farmland, orchards and wider walking routes. Lower Halsdon is a quieter countryside stop, shaped around simple food, open views and the working farm setting. Seasonal opening is limited, but it can work well alongside a gentle walk or time on the nearby multi-use River Exe trail.</t>
  </si>
  <si>
    <t>Lower Halsdon Farm</t>
  </si>
  <si>
    <t>Mudbank Lane</t>
  </si>
  <si>
    <t>EX83EG</t>
  </si>
  <si>
    <t>Saturday, Sunday</t>
  </si>
  <si>
    <t>Open Spring/ Summer only</t>
  </si>
  <si>
    <t>Bike racks / bays, On-street / nearby parking</t>
  </si>
  <si>
    <t>Picnic Benches, Dogs Allowed</t>
  </si>
  <si>
    <t>Hot Drinks, Sweet treats, Snacks</t>
  </si>
  <si>
    <t>Sunshine, Overcast / cloudy, Dry &amp; mild, Dry &amp; warm, Dry &amp; hot</t>
  </si>
  <si>
    <t>30-60mins, Under 30mins</t>
  </si>
  <si>
    <t>estuary views, outdoor tea garden, Exe Estuary Trail, walking, cycling, open countryside, cream teas, wading birds, National Trust farm setting</t>
  </si>
  <si>
    <t>Space to run around, Combined with a walk or attraction</t>
  </si>
  <si>
    <t>Lower Halsdon Farm Cafe.JPG</t>
  </si>
  <si>
    <t>Rideable Routes</t>
  </si>
  <si>
    <t>Skills &amp; Stunts Space</t>
  </si>
  <si>
    <t>Chudleigh Pump Track</t>
  </si>
  <si>
    <t>This brilliant pump track for bikes, scooters, skateboards and balance bikes, is set beside a play park and skate park. Designed for a mix of abilities, it gives confident riders a place to build rhythm and speed, while newer riders can use it more steadily with adult help. Its found in a quiet village with ample grassy space and benches around and clear sightlines, making it a fun, low effort visit.</t>
  </si>
  <si>
    <t>Sunshine, Windy (&gt; X mph), Overcast / cloudy, Dry &amp; mild, Dry &amp; cold, Dry &amp; warm, Dry &amp; hot</t>
  </si>
  <si>
    <t>Bike track, pump track, practice space, BMX, cycling, balance biking, beginner cycling</t>
  </si>
  <si>
    <t>Traffic-free sections, Clear sightlines, "Natural jumps, ramps or fun features", Scooter-friendly, Play areas en route, Short loops, Easy parking nearby, Parkland surroundings</t>
  </si>
  <si>
    <t>Chudleigh Pump Track.jpg</t>
  </si>
  <si>
    <t>Budleigh Skate Park</t>
  </si>
  <si>
    <t>Simple Reset, Energy Burner, Low Effort, Moment of Peace</t>
  </si>
  <si>
    <t xml:space="preserve">Budleigh Skate Park provides a focused space for scooters, skateboards, BMX and inline skating in a beautiful natural setting. Flanked by a Nature Reserve and Budleigh Beach it makes it easy to pair with a beach walk, or low-key stop in Budleigh, the library or an Estuary Walk. Great for wide range of ages and abilities.
</t>
  </si>
  <si>
    <t>Lime Kiln</t>
  </si>
  <si>
    <t>1 Granary Lane</t>
  </si>
  <si>
    <t xml:space="preserve">Budleigh Salterton </t>
  </si>
  <si>
    <t>EX9 6JD</t>
  </si>
  <si>
    <t>Skate ramps, pump track, scooter riding, rollerblades, estuary views, skateboarding, BMX, scootering, quarter pipes, street skating, flatbanks, rails, seafront location</t>
  </si>
  <si>
    <t>Clear sightlines for adults, Mixed-difficulty zones</t>
  </si>
  <si>
    <t>Lime Kiln Skate Park.JPG</t>
  </si>
  <si>
    <t>Lime Kiln Play Area</t>
  </si>
  <si>
    <t>Simple Reset, Energy Burner, Moment of Peace, Low Effort</t>
  </si>
  <si>
    <t>Lime Kiln Play Area gives families a newly refurbished outdoor play stop right on the seafront, with toddler and junior areas designed for younger children as well as more confident climbers. With swings, slides and climbing frames, it works well for a short burst of play before or after the beach. The location is especially useful for a simple coastal outing, with a skatepark, seafront toilets and refreshment kiosks nearby.</t>
  </si>
  <si>
    <t>Outdoor play equipment</t>
  </si>
  <si>
    <t>30-60mins, 1-2hrs, Under 30mins</t>
  </si>
  <si>
    <t>slides, climbing frame, fireman's pole, roundabout, swings</t>
  </si>
  <si>
    <t>Climbing frames, Fireman’s poles, Mixed-difficulty zones, Enclosed adventure zones, Clear sightlines for adults</t>
  </si>
  <si>
    <t>Lime Kiln Play Area.JPG</t>
  </si>
  <si>
    <t>Pebble or Shingle Beach</t>
  </si>
  <si>
    <t>The River Otter Estuary Nature Reserve</t>
  </si>
  <si>
    <t>A calm, wildlife-rich stretch beside Budleigh Salterton where families can follow easy riverside paths, pause at viewpoints and look out for birds across the saltmarsh and mudflats. With more than 120 bird species recorded, plus the chance of spotting signs of the River Otter’s beavers, it works well for a gentle nature walk, a low-key buggy-friendly outing in dry weather, or a slower add-on to a beach visit.</t>
  </si>
  <si>
    <t>Activity Sheets or Signs</t>
  </si>
  <si>
    <t>intertidal habitat, tidal habitat, visiting birds, bird watching, birdwatching, wading birds, wildfowl, beavers, kingfishers, dragonflies, saltmarsh, estuary walks, bird hide, viewing platforms, nature trails, wildlife spotting</t>
  </si>
  <si>
    <t>Winter</t>
  </si>
  <si>
    <t>Seabird Colonies, Kingfisher Spotting, Migrating Birds</t>
  </si>
  <si>
    <t>Smooth pebbles, Coastal Wildlife, Estuary edges, Dog Friendly - seasonal leads, Streams or channels</t>
  </si>
  <si>
    <t>Budleigh Nature Reserve.JPG</t>
  </si>
  <si>
    <t>Farm or Smallholding</t>
  </si>
  <si>
    <t>Greendale Farm Animal Trail</t>
  </si>
  <si>
    <t>Moment of Peace, Simple Reset, Low Effort</t>
  </si>
  <si>
    <t>Greendale Farm’s Animal Trail is a free, pushchair-friendly farm walk starting from the farm shop. Children can spot animals including alpacas, donkeys, pigs, Highland cattle, ducks and Oscar the ostrich, making it an easy add-on to food, shopping or a low-key pitstop rather than a full-scale farm park day out.</t>
  </si>
  <si>
    <t>Greendale Farm Shop</t>
  </si>
  <si>
    <t>Sidmouth Road</t>
  </si>
  <si>
    <t>Farringdon</t>
  </si>
  <si>
    <t>EX5 2JU</t>
  </si>
  <si>
    <t>Toilets, Indoor Seating, Outdoor Seating, Picnic Benches</t>
  </si>
  <si>
    <t>Ice creams, Outdoor play equipment</t>
  </si>
  <si>
    <t>Hot Drinks, WiFi, Hot &amp; Cold food, Drinks stand, Snacks</t>
  </si>
  <si>
    <t>farm animals, ostrich, ponies, black swans, emus, wallabies, deer, goats, donkeys, highland cattle, chickens, ducks, vintage tractors, pushchair-friendly trail, children's menu, outdoor play area</t>
  </si>
  <si>
    <t>Halloween</t>
  </si>
  <si>
    <t>Pumpkin Patch</t>
  </si>
  <si>
    <t>Close-up viewing, Outdoor animal areas</t>
  </si>
  <si>
    <t>Greendale Farm.JPG</t>
  </si>
  <si>
    <t>Family Garden Exeter CIC</t>
  </si>
  <si>
    <t>Moment of Peace, Low Effort, Simple Reset</t>
  </si>
  <si>
    <t>Family Garden is a well-kept local secret; a magical, creative setting in the most unexpected location, this relaxed playspace is warm and welcoming and includes a great selection of wooden toys, room for children to settle into their own pace, sensory and creative space, all within an enclosed peaceful environment that gives parents a rare chance to relax, enjoy a great coffee and tasty treat, in easy reach/sight of their child.</t>
  </si>
  <si>
    <t>80 Merrivale Rd</t>
  </si>
  <si>
    <t xml:space="preserve">Exeter </t>
  </si>
  <si>
    <t>EX4 1PT</t>
  </si>
  <si>
    <t>Monday, Tuesday, Wednesday, Thursday, Friday</t>
  </si>
  <si>
    <t>Closed for Easter holidays</t>
  </si>
  <si>
    <t>Group, Concession</t>
  </si>
  <si>
    <t>Friday Ticketing Discount</t>
  </si>
  <si>
    <t>£2.00-3.00</t>
  </si>
  <si>
    <t>Family Group</t>
  </si>
  <si>
    <t>£2.50-4.00</t>
  </si>
  <si>
    <t>Toilets, Indoor Seating</t>
  </si>
  <si>
    <t>Indoor Play Space, Outdoor play equipment</t>
  </si>
  <si>
    <t>1-2hrs, 2-3hrs, 30-60mins</t>
  </si>
  <si>
    <t>Sensory, soft play, art room, roleplay</t>
  </si>
  <si>
    <t>Dedicated play area, Toy corner or play table, Puzzles or games, Colouring, Book swap or exchange library</t>
  </si>
  <si>
    <t>Family Garden Exeter.jpg</t>
  </si>
  <si>
    <t>Budleigh Salterton beach</t>
  </si>
  <si>
    <t>A long pebble beach with red cliffs, estuary wildlife nearby and space for a quieter, slower seaside stop. The beach runs close to the town and meets the Otter Estuary at one end, so a visit can be shaped around stone-skimming, sea views, birdwatching or a short riverside walk. The pebble shore is better for exploring than digging, with cafés, play areas and picnic space closeby.</t>
  </si>
  <si>
    <t>Toilets, Dogs Allowed</t>
  </si>
  <si>
    <t>Clear Sightlines, Drinks stand</t>
  </si>
  <si>
    <t>wildlife reserve, bird spotting, estuary views, pebble beach, swimming, fossil hunting, rock pooling, beach huts, Jurassic Coast, red cliffs, seafront walking, fishing, kayaking, paddleboarding</t>
  </si>
  <si>
    <t>Smooth pebbles, Estuary edges, Coastal Wildlife, Dog Friendly - seasonal leads, Beach Cafe, Toilets nearby</t>
  </si>
  <si>
    <t>Wetsuit Boots, Binoculars, Water shoes</t>
  </si>
  <si>
    <t>Budleigh Beach 2.JPG</t>
  </si>
  <si>
    <t>Chudleigh Play Park</t>
  </si>
  <si>
    <t>A brilliant local village park with a wide mix of equipment that caters for slightly older children as well as the usual play equipment aimed at younger ones; set right next to a brilliant pump track and skate park with easy sightlines across all three, making it an ideal option when you have a spread of ages.</t>
  </si>
  <si>
    <t>Slide, firemans pole, swings, monkey bars</t>
  </si>
  <si>
    <t>Climbing frames, Scramble nets, Towers and platforms, Fireman’s poles</t>
  </si>
  <si>
    <t>Chudleigh Park.jpg</t>
  </si>
  <si>
    <t>Knightshayes Court</t>
  </si>
  <si>
    <t>A National Trust estate with woodland play, garden trails, open parkland and a Gothic house full of carved details. Knightshayes gives families several ways to use the day: balance and climbing in the Douglas Fir Walk, seasonal trails, picnics on the lawns, buggy-friendly garden routes and a house spotter trail for damper-weather.</t>
  </si>
  <si>
    <t>Knighthayes Court</t>
  </si>
  <si>
    <t>Bolham</t>
  </si>
  <si>
    <t>Tiverton</t>
  </si>
  <si>
    <t>EX16 7RQ</t>
  </si>
  <si>
    <t>From 02/11/26 closes at 16:00</t>
  </si>
  <si>
    <t>Memberships, Pay On Arrival</t>
  </si>
  <si>
    <t>Family (2 Adults and up to 3 children)</t>
  </si>
  <si>
    <t>Paid Car Park, Members Car Park</t>
  </si>
  <si>
    <t>Toilets, Disabled toilets, Baby changing, Indoor Seating, Dogs Allowed</t>
  </si>
  <si>
    <t>Giftshop, Bookshop, Hot &amp; Cold food, Snacks, Sweet treats, Hot Drinks</t>
  </si>
  <si>
    <t>Gothic Revival architecture, woodland trails, parkland, children's activity trails, natural play area, treehouse, log tunnels, seasonal trails, wildlife spotting, red deer, walled kitchen garden, Victorian house, secondhand bookshop, seasonal events, National Trust</t>
  </si>
  <si>
    <t>Bluebells, Fungi, Snowdrops, Autumn Leaves, "Berries, Nuts, Conkers"</t>
  </si>
  <si>
    <t>Designed or sculpted landscapes, Seasonal foliage, Room to run freely, Historic features</t>
  </si>
  <si>
    <t>Knightshayes.JPG</t>
  </si>
  <si>
    <t>RHS Rosemoor</t>
  </si>
  <si>
    <t>Simple Reset, Special Day Out, Energy Burner</t>
  </si>
  <si>
    <t>A large RHS garden with colourful planting, play areas, hidden garden features and seasonal family trails. Rosemoor mixes formal gardens, woodland, lawns and water with enough for children to notice along the way, from play areas to smaller details tucked into the gardens. There’s a restaurant, café and tea room on site, while seasonal events and trails can make the visit feel different across the year.</t>
  </si>
  <si>
    <t>Great Torrington</t>
  </si>
  <si>
    <t>EX38 8PH</t>
  </si>
  <si>
    <t>Christmas Day</t>
  </si>
  <si>
    <t>Memberships, Advance Book, Pay On Arrival</t>
  </si>
  <si>
    <t>Adult, (Fixed) Child, Baby</t>
  </si>
  <si>
    <t>Toilets, Disabled toilets, Baby changing, Bench Seating, Picnic Benches, Indoor Seating, Outdoor Seating</t>
  </si>
  <si>
    <t>Outdoor play equipment, "Swings, Slides, Climbing Frames", Activity trail, Children’s trail, Activity Sheets or Signs, Colouring, Clues / games, Ice creams</t>
  </si>
  <si>
    <t>Hot Drinks, Hot &amp; Cold food, Snacks, Sweet treats, Giftshop</t>
  </si>
  <si>
    <t>Sunshine, Overcast / cloudy, Dry &amp; mild, Dry &amp; cold, Dry &amp; warm, Dry &amp; hot, Windy (&gt; X mph)</t>
  </si>
  <si>
    <t>formal gardens, flower displays, garden trails, children's trail, natural play area, log stepping stones, sandpit, giant bug spotting, den building, woodland walks, forest school workshops, bird feeding stations, seasonal events, rose gardens, wildflower meadows, RHS</t>
  </si>
  <si>
    <t>Winter, Christmas, Spring flowers, Easter, Autumn colours, Summer</t>
  </si>
  <si>
    <t>Birdsong, Bluebells, Daffodills, Wildflower Meadows, Butterflies, Fungi, "Berries, Nuts, Conkers", Autumn Leaves</t>
  </si>
  <si>
    <t>Designed or sculpted landscapes, Seasonal foliage, Seasonal or curated displays, Water Features or Fountains, Meadows &amp; wild grass, Lakes or wildlife ponds, Room to run freely, Open sightlines, Vegetable gardens &amp; growing spaces, Historic features, Meandering paths, "Hidden corners, passageways, gates &amp; gardens", Garden “rooms”, Greenhouses &amp; tropical plants</t>
  </si>
  <si>
    <t>RHS Rosemoor.JPG</t>
  </si>
  <si>
    <t>Adventure Playground</t>
  </si>
  <si>
    <t>River Dart Country Park</t>
  </si>
  <si>
    <t>Energy Burner, Special Day Out</t>
  </si>
  <si>
    <t>A full outdoor day with woodland trails, water play, climbing zones, slides, forts and space to picnic by the river. River Dart Country Park has a lot to move between, from the adventure playground, agility trail and wooden fort to low ropes, bike trails, tyre swings, a pirate ship and riverside paths. It works especially well for mixed ages, with bigger challenges, quieter walks and younger play areas all within the park.</t>
  </si>
  <si>
    <t>Ashburton</t>
  </si>
  <si>
    <t>TQ13 7NP</t>
  </si>
  <si>
    <t>Advance Book, Memberships</t>
  </si>
  <si>
    <t>Baby, Adult, Concession, Young Child, Older Child</t>
  </si>
  <si>
    <t>0-2</t>
  </si>
  <si>
    <t>£3.50-£8.45</t>
  </si>
  <si>
    <t>£3.50-£14.95</t>
  </si>
  <si>
    <t>Essential companion</t>
  </si>
  <si>
    <t>£5.50-£7.70</t>
  </si>
  <si>
    <t>Toilets, Disabled toilets, Baby changing, Bench Seating, Picnic Benches, Indoor Seating, Dogs Allowed, Outdoor Seating, Showers / changing facilities</t>
  </si>
  <si>
    <t>Ice creams, Activity trail, Children’s trail, Sandpit, Zip Line, Rope Swings, "Swings, Slides, Climbing Frames", Outdoor play equipment</t>
  </si>
  <si>
    <t>Hot Drinks, WiFi, Hot &amp; Cold food, Snacks, Drinks stand, Sweet treats, Giftshop, Outdoor terrace</t>
  </si>
  <si>
    <t>Dry &amp; mild, Dry &amp; warm, Dry &amp; hot, Sunshine</t>
  </si>
  <si>
    <t>2-3hrs, 4+ hours, Whole Day</t>
  </si>
  <si>
    <t>pirate ships, pump track, obstacle courses, camping, rivers, kayaking, paddleboarding, SUP, picnics, bike trails, aventure play, river paddling, forest adventures, adventure play, rope swings, bike route</t>
  </si>
  <si>
    <t>Summer, Halloween</t>
  </si>
  <si>
    <t>Butterflies, Dragonflies &amp; Damselflies</t>
  </si>
  <si>
    <t>Climbing frames, Rope bridges, Balance elements, Scramble nets, Stepping obstacles, Towers and platforms, Slides (particularly tall or long), Zip wires, Ropes &amp; Aerial adventures, Rope Swings, Obstacle courses, Water play features, Mixed-difficulty zones</t>
  </si>
  <si>
    <t>Water shoes, Towels, Swimming kit, Fishing nets, Sturdy footwear</t>
  </si>
  <si>
    <t>River Dart Country Park.JPG</t>
  </si>
  <si>
    <t>Cafés with Outdoor Space, Easy Pit-Stops</t>
  </si>
  <si>
    <t>Darts Farm Play Area</t>
  </si>
  <si>
    <t>Moment of Peace, Simple Reset</t>
  </si>
  <si>
    <t xml:space="preserve">Spot many a local parent on a Friday evening, with take-away fish and chips watching their children spend the last of the week's energy on the wooden play area or short farm walk circuit. Darts Farm works well for mixed plans: eat, visit the animal corner, follow the farm walk or look for birds from the wetlands hide, with a well-stocked farm shop loaded with luxury treats and multiple cafés to choose from. </t>
  </si>
  <si>
    <t>Darts Farm</t>
  </si>
  <si>
    <t>Clyst St George</t>
  </si>
  <si>
    <t>EX3 0QH</t>
  </si>
  <si>
    <t>Picnic Benches, Outdoor Seating, Bench Seating, Dogs Allowed</t>
  </si>
  <si>
    <t>Ice creams, Outdoor play equipment, "Swings, Slides, Climbing Frames"</t>
  </si>
  <si>
    <t>Hot Drinks, WiFi, Snacks, Drinks stand, Sweet treats, Clear Sightlines, Hot &amp; Cold food</t>
  </si>
  <si>
    <t>animal pens, seasonal maize maze, play equipment, outdoor play equipment, fort, assault course, farm animals, alpacas, sheep, pigs, Ruby Red Devon cattle, nature trail, farm walk, bird hide, wetland wildlife spotting</t>
  </si>
  <si>
    <t>Toy corner or play table, Outdoor play area nearby, Farm animals nearby, "Shop or browsing area (e.g. farm shop, garden centre)"</t>
  </si>
  <si>
    <t>Darts Farm Park.JPG</t>
  </si>
  <si>
    <t>Cranbrook Pump Track</t>
  </si>
  <si>
    <t>Energy Burner, Low Effort, Simple Reset</t>
  </si>
  <si>
    <t>Cranbrook Pump Track is a surfaced outdoor circuit in the Stone Meadow area of Cranbrook Country Park, built for bikes, scooters and skates. With rollers, berms and jumps, it gives children and teens a focused place to build confidence, practise control and burn energy, with beginner-friendly use as well as room for more experienced riders.</t>
  </si>
  <si>
    <t xml:space="preserve">Cranbrook Country Park </t>
  </si>
  <si>
    <t>Cranbrook</t>
  </si>
  <si>
    <t>EX5 7ER</t>
  </si>
  <si>
    <t>Dogs Allowed</t>
  </si>
  <si>
    <t>Windy (&gt; X mph), Overcast / cloudy, Dry &amp; mild, Dry &amp; cold, Dry &amp; warm, Dry &amp; hot</t>
  </si>
  <si>
    <t>scooter track, country park, park trails, pump track, BMX, cycling, scootering, skateboarding, balance biking, country park setting</t>
  </si>
  <si>
    <t>Traffic-free sections, Clear sightlines, Parkland surroundings, "High-adrenaline routes, jumps or terrain", "Natural jumps, ramps or fun features", Stops for snacks or picnics, Short loops, Multiple access points, Easy parking nearby</t>
  </si>
  <si>
    <t>Cranbrook Pump Track.JPG</t>
  </si>
  <si>
    <t>Sidmouth Town Beach</t>
  </si>
  <si>
    <t>A sand-and-shingle beach with rock pools, a seafront promenade and easy town stops close by. Sidmouth Town Beach works well when you want a classic seaside rhythm: beach time, a walk along the front, a play stop, then food or an ice cream without moving far.</t>
  </si>
  <si>
    <t>Bedford Lawn Car Park</t>
  </si>
  <si>
    <t>EX10 8NP</t>
  </si>
  <si>
    <t>Toilets, Bench Seating</t>
  </si>
  <si>
    <t>Clear Sightlines, Snacks, Drinks stand, Sweet treats</t>
  </si>
  <si>
    <t>sandy beach, swimming, rock pooling, pebble beach, sandcastles, paddling, red cliffs, Jurassic Coast, seafront promenade</t>
  </si>
  <si>
    <t>Shell or seaglass collecting, Rockpools, Smooth pebbles, Diggable sand (Sandcastles), Shallow paddling, Streams or channels, Slipway, Toilets nearby, Beach Cafe, Promenade</t>
  </si>
  <si>
    <t>Sidmouth Town Beach.JPG</t>
  </si>
  <si>
    <t>Climbing Centre Exeter Quay</t>
  </si>
  <si>
    <t>Energy Burner, Low Effort</t>
  </si>
  <si>
    <r>
      <rPr>
        <sz val="9"/>
        <color theme="1"/>
        <rFont val="Arial"/>
      </rPr>
      <t>An indoor roped climbing centre with tall walls, auto-belays, coaching and routes for building real confidence. Quay Climbing Centre is the more technical side of Exeter Quay’s climbing offer, with top rope, lead climbing, bouldering and family taster sessions for beginners aged seven and over. It suits older children, teens and adults who want a proper climbing session, with clubs and coaching available for those ready to progress.</t>
    </r>
  </si>
  <si>
    <t>Open, Weekend Hours</t>
  </si>
  <si>
    <t>Pay On Arrival, Pre-Register, Memberships</t>
  </si>
  <si>
    <t>(Fixed) Child, Adult, Concession</t>
  </si>
  <si>
    <t>£12.00-£14.00</t>
  </si>
  <si>
    <t>£12.00-14.00</t>
  </si>
  <si>
    <t>£10.00-£12.00</t>
  </si>
  <si>
    <t>Toilets, Indoor Seating, Showers / changing facilities</t>
  </si>
  <si>
    <t>climbing, climbing centre, indoor climbing, top rope climbing, lead climbing, auto belay, bouldering, harness climbing, graded routes, heights challenges</t>
  </si>
  <si>
    <t>Early access introduction, Skill progression, Confidence building, Strength &amp; agility, Structured coaching, Mixed-ability sessions, Non-competitive options, Purpose-built facilities, Safe enclosed spaces, All-weather options, Climbing</t>
  </si>
  <si>
    <t>Activity-specific clothing, Chalk Bag</t>
  </si>
  <si>
    <t>Climbing Centre Exeter Quay.JPG</t>
  </si>
  <si>
    <t>Boulder Exe</t>
  </si>
  <si>
    <t>Specialist bouldering centre with low-wall climbing, training space and routes that change as confidence builds. Boulder Exe is more focused than Clip ’n Climb, with unroped climbing, padded mats and problems set for different levels. It suits older children, teens and adults who want a proper climbing session, whether they’re trying it for the first time or ready to work on technique. A space where climbers of all levels and abilities can discover and test their boundaries in a welcoming, supportive environment.</t>
  </si>
  <si>
    <t>Tudor Street</t>
  </si>
  <si>
    <t>EX4 3BR</t>
  </si>
  <si>
    <t>Open, Bank Holiday Hours 10:00-18:00</t>
  </si>
  <si>
    <t>Memberships, Pay On Arrival, Advance Book</t>
  </si>
  <si>
    <t>7-17</t>
  </si>
  <si>
    <t>Students, People with Disabilities, Over 65’s</t>
  </si>
  <si>
    <t>Toilets, Indoor Seating, Disabled toilets, Showers / changing facilities</t>
  </si>
  <si>
    <t>Snacks, Hot Drinks, Hot &amp; Cold food, WiFi, Comfy Seating / Sofas, Clear Sightlines, Sweet treats</t>
  </si>
  <si>
    <t>mixed ability, competition wall, early access climbing, board training, bouldering, indoor climbing, colour-coded routes, no ropes, no harness, graded climbing problems, two-floor climbing wall</t>
  </si>
  <si>
    <t>Boulder Exe.JPG</t>
  </si>
  <si>
    <t>Creative Activities</t>
  </si>
  <si>
    <t>Creative Artwork</t>
  </si>
  <si>
    <t>High Tide Cafe Pottery</t>
  </si>
  <si>
    <t>Simple Reset, Low Effort, Moment of Peace</t>
  </si>
  <si>
    <t xml:space="preserve">High Tide is a cosy, relaxed, very friendly local cafe just shy of the train station and Exe Estuary trail in Lympstone Village. A simple pottery painting set up, with small clay animals available to paint at anytime, it's an informal take on the usual pottery cafes and perfect for a low-key, simple moment or to keep hands and minds occupied for an hour. A flat rate of £9.50 per animal, you can paint them and collect them fully glazed and fired after approx. 3 weeks.  </t>
  </si>
  <si>
    <t>Hide Tide Cafe</t>
  </si>
  <si>
    <t>Tuesday, Wednesday, Thursday, Friday, Saturday, Sunday</t>
  </si>
  <si>
    <t>Mondays</t>
  </si>
  <si>
    <t>Paid Car Park, On-street / nearby parking, Bike racks / bays</t>
  </si>
  <si>
    <t>Toilets, Dogs Allowed, Indoor Seating</t>
  </si>
  <si>
    <t>Ice creams, Colouring, Children's Menu, "Indoor games (puzzles, boards)"</t>
  </si>
  <si>
    <t>Hot Drinks, WiFi, Hot &amp; Cold food, Snacks, Sweet treats</t>
  </si>
  <si>
    <t>Raining / wet, Windy (&gt; X mph), Sunshine, Snow / sleet / ice, Overcast / cloudy, Stormy / heavy rain / thunderstorms, Dry &amp; mild, Dry &amp; hot, Dry &amp; warm, Dry &amp; cold</t>
  </si>
  <si>
    <t>pottery painting, pottery animals</t>
  </si>
  <si>
    <t>Open-ended creativity, "Pottery, ceramics or clay", Painting or brushwork, Imaginative freedom, "Informal, welcoming environments"</t>
  </si>
  <si>
    <t>High Tide Pottery.JPG</t>
  </si>
  <si>
    <t>Sidmouth Skate Park</t>
  </si>
  <si>
    <t xml:space="preserve">Sidmouth Skate Park sits within Sidmouth’s Manstone Recreation Ground and gives scooter, skateboard and BMX-mad children and teens a proper sprayed-concrete space to practise. The layout links a free-flow bowl with a street section, including a stair-set, transfers and ledges, so it suits confident riders who want more challenge than a basic ramp, children who are confident and want a space to practice, or, on quieter days, a smooth surface for those learning to enjoy a simple scoot around after the park.
</t>
  </si>
  <si>
    <t>00:00</t>
  </si>
  <si>
    <t>Poo Bins</t>
  </si>
  <si>
    <t>Windy (&gt; X mph), Overcast / cloudy, Dry &amp; mild, Dry &amp; warm, Dry &amp; cold, Dry &amp; hot, Sunshine</t>
  </si>
  <si>
    <t>skateboarding, BMX, scootering, bowl, street skating, quarter pipes, stair set, sprayed concrete park</t>
  </si>
  <si>
    <t>Mixed-difficulty zones, Clear sightlines for adults</t>
  </si>
  <si>
    <t>Manstone Skate Park.JPG</t>
  </si>
  <si>
    <t>Woodbury Village Play Area</t>
  </si>
  <si>
    <t>Woodbury Village Green Play Area is a small, central village play space opposite St Swithun’s Church, useful for a simple fresh-air stop rather than a destination day out. Designed for younger children, it gives families a contained burst of play with climbing, swinging and spinning equipment, plus the village green setting for a slower pause nearby.</t>
  </si>
  <si>
    <t xml:space="preserve">Church Stile Lane </t>
  </si>
  <si>
    <t>Woodbury</t>
  </si>
  <si>
    <t>EX5 1HW</t>
  </si>
  <si>
    <t>Monday, Wednesday, Tuesday, Thursday, Friday, Saturday, Sunday</t>
  </si>
  <si>
    <t>"Swings, Slides, Climbing Frames", Outdoor play equipment</t>
  </si>
  <si>
    <t>climbing frame, swings, slide</t>
  </si>
  <si>
    <t>Clear sightlines for adults, Climbing frames</t>
  </si>
  <si>
    <t>Woodbury Village Green Play Area.jpg</t>
  </si>
  <si>
    <t>Changed from Woodbury Village Green &amp; Memorial??</t>
  </si>
  <si>
    <t>Woodbury Salterton Play Area</t>
  </si>
  <si>
    <t>Energy Burner, Simple Reset, Low Effort</t>
  </si>
  <si>
    <t>Woodbury Salterton Play Area is a village play space tucked between New Way and Sage Lea, with enough variety for a proper burst of outdoor play rather than just a quick swing stop. Children can move between the zip wire, swings, slides and climbing equipment, making it a good low-effort option for mixed ages who need fresh air, climbing and a bit of independence.</t>
  </si>
  <si>
    <t>New Way</t>
  </si>
  <si>
    <t>Woodbury Salterton</t>
  </si>
  <si>
    <t>EX5 1RA</t>
  </si>
  <si>
    <t>Zip Line, "Swings, Slides, Climbing Frames", Outdoor play equipment</t>
  </si>
  <si>
    <t>30-60mins</t>
  </si>
  <si>
    <t>zip line</t>
  </si>
  <si>
    <t>Clear sightlines for adults, Climbing frames, Zip wires, Fort-style structures, Balance elements</t>
  </si>
  <si>
    <t>Woodbury Salterton Play Area.JPG</t>
  </si>
  <si>
    <t>Soft Play &amp; Indoor Active Play</t>
  </si>
  <si>
    <t>Soft Play Centre</t>
  </si>
  <si>
    <t>Ocean Softplay</t>
  </si>
  <si>
    <t>Ocean is a large lesiure facility on the Exmouth Seafront, home to a large softplay venue which caters for children aged 0-11. A large, airy, open space, the softplay is zoned into areas suited to the littlest to older children up to the age of 11, with multiple levels of play, ballpits, slides, dropslides and nets. It gets busy at the obvious moments, particaurly during party season, but it's well set-up for parents to take a seat in the cafe space directly alongside and keep an easy-eye on things. Enclosed, with one entry/exit, easy access to toilets and refreshments, with the bonus of seafront views, it's an easy reset and rainy day energy burner.</t>
  </si>
  <si>
    <t>Ocean</t>
  </si>
  <si>
    <t>Advance Book</t>
  </si>
  <si>
    <t>Baby, Young Child, Older Child, Adult</t>
  </si>
  <si>
    <t>0-12months</t>
  </si>
  <si>
    <t>Toilets, Disabled toilets, Baby changing, Indoor Seating</t>
  </si>
  <si>
    <t>Ice creams, Children's Menu, Indoor Play Space</t>
  </si>
  <si>
    <t>WiFi, Hot Drinks, Hot &amp; Cold food, Snacks, Sweet treats</t>
  </si>
  <si>
    <t>drop-slides, sensory zone, softplay</t>
  </si>
  <si>
    <t>Soft climbing structures, Slides, Tunnels and crawl spaces, Ball pools, Enclosed space, Clear sightlines, Seating for adults, Café or refreshment area, Separate toddler area, Age-zoned play areas</t>
  </si>
  <si>
    <t>Ocean softplay.jpg</t>
  </si>
  <si>
    <t>Harbour or Village Beach</t>
  </si>
  <si>
    <t>Lympstone Harbour Crabbing</t>
  </si>
  <si>
    <t>Low Effort, Simple Reset</t>
  </si>
  <si>
    <t>Lympstone Harbour is a popular local spot for traditional crabbing along the Exe Estuary. The best areas are around the main harbour wall, the boat shelter, and the slipway as the tide is coming in or going out; aim for 1-2 hours before high tide when the crabs tend to be most active. Bring your bait along (ham, oily fish heads, raw bacon) or pick some up from the local village shop enroute. With High Tide Cafe or The Swan Pub just around the corner, that station a 2minute walk away, and the Exe Estuary trail passing behind the harbour, it makes for an enjoyable pitstop activity, or as a simple outing in itself.</t>
  </si>
  <si>
    <t>EX8 5EX</t>
  </si>
  <si>
    <t>Dogs Allowed, Bench Seating</t>
  </si>
  <si>
    <t>Windy (&gt; X mph), Overcast / cloudy, Dry &amp; mild, Dry &amp; cold, Dry &amp; warm, Dry &amp; hot, Sunshine</t>
  </si>
  <si>
    <t>local village walk, crabbing, harbour wall, fishing boats, estuary views, wading birds, beachcombing, cockle picking, low tide exploring</t>
  </si>
  <si>
    <t>Crabbing, Streams or channels, Estuary edges, Coastal Wildlife, Slipway, Harbour, Dog Friendly - off lead all year, Kayaking / SUP</t>
  </si>
  <si>
    <t>Water shoes, Fishing nets, Fishing rods &amp; bait</t>
  </si>
  <si>
    <t>Lympstone Harbour.jpg</t>
  </si>
  <si>
    <t>Bex</t>
  </si>
  <si>
    <t>Cafés with Outdoor Space, Family-Friendly Cafés</t>
  </si>
  <si>
    <t>Heron Farm Cafe</t>
  </si>
  <si>
    <t xml:space="preserve">Heron Farm is actually a vineyard set in beautiful countryside, with a kitchen garden, orchards and offers a small menu of seasonal food and drink but is a perfect spot on a sunny or dry day when you'd like a moment to enjoy delicious food whilst being able to keep a close eye on smaller children. Their play area sits opposite outside seating picnic-style benches designed to enable parents to enjoy the peaceful surroundings, in clear sight of their kids. With an additional orchard area behind this, in a fenced area, Heron farm offers a lovely option for families wishing to combine a cafe stop, with a moment of peace.
</t>
  </si>
  <si>
    <t>Heron Farm</t>
  </si>
  <si>
    <t>EX14 3NZ</t>
  </si>
  <si>
    <t>Friday, Saturday, Sunday, Monday</t>
  </si>
  <si>
    <t>Toilets, Indoor Seating, Dogs Allowed, Outdoor Seating</t>
  </si>
  <si>
    <t>Children's Menu, Outdoor play equipment, "Swings, Slides, Climbing Frames", Children’s trail</t>
  </si>
  <si>
    <t>Hot Drinks, Hot &amp; Cold food, Snacks, Sweet treats, Giftshop, Outdoor terrace</t>
  </si>
  <si>
    <t>Sunshine, Overcast / cloudy, Dry &amp; mild, Dry &amp; cold, Dry &amp; warm, Dry &amp; hot, Raining / wet, Windy (&gt; X mph)</t>
  </si>
  <si>
    <t>30-60mins, 1-2hrs</t>
  </si>
  <si>
    <t>fairy garden, orchard garden, slides, swings, grassy areas, outdoor play area, fairy garden, fairy houses, children's menu, walled garden, vineyard setting, orchard, beaver and otter spotting</t>
  </si>
  <si>
    <t>Space to run around, Outdoor play area nearby, Dedicated play area</t>
  </si>
  <si>
    <t>Heron Farm.JPG</t>
  </si>
  <si>
    <t>Cranbrook Country Park</t>
  </si>
  <si>
    <t>Cranbrook Country Park is made up of three meadows: long, stone and great which make up the Country Park. Throughout the Park are winding gravel tracks, perfect for an easy stroll, simple loops on a bike or balance bike, and a number of easy stop-offs dotted throughout; a pump track, outdoor exercise zone, open grassland, woods to explore and numerous cut-throughs into Cranbrook itself. The meadows are home to a large range of biodiverse habitats providing a home to kingfishers, bats, ducks, insects and plants, and the area feels peaceful - with fairly long sightlines for kids that wander a bit further when exploring. The footpath surfaces make it less suited to scooters, and the track type, while flat, can be slippery for new riders so take care. Access to the park can be achieved via a number of entry points, but most park at the Train Station and head in from there.</t>
  </si>
  <si>
    <t>20 Oakbeer Orchard</t>
  </si>
  <si>
    <t>EX5 7BL</t>
  </si>
  <si>
    <t>On-street / nearby parking, Free Car Park, Bike racks / bays</t>
  </si>
  <si>
    <t>Dog Wash</t>
  </si>
  <si>
    <t>Windy (&gt; X mph), Sunshine, Dry &amp; mild, Dry &amp; cold, Dry &amp; warm, Dry &amp; hot</t>
  </si>
  <si>
    <t>otters, kingfishers, birdwatching, wildlife, pond dipping, dragonflies, damselflies, pump track, nature trails, walking, wildlife spotting, kingfishers, otters, dragonflies, stream paddling, pond dipping, community orchards, open meadows, picnic spots</t>
  </si>
  <si>
    <t>Spring flowers</t>
  </si>
  <si>
    <t>Kingfisher Spotting, Dragonflies &amp; Damselflies</t>
  </si>
  <si>
    <t>Meadows or wild grass, Room to run freely, "Natural play features (logs, slopes, rocks)", Climbable trees, Marked Trails, Streams or ditches, Grassy banks</t>
  </si>
  <si>
    <t>XC Buggy, Binoculars</t>
  </si>
  <si>
    <t>Cranbrook Country Park.JPG</t>
  </si>
  <si>
    <t>Indoor Entertainment</t>
  </si>
  <si>
    <t>Bowling</t>
  </si>
  <si>
    <t>Ocean Bowling</t>
  </si>
  <si>
    <t>Low Effort, Special Day Out</t>
  </si>
  <si>
    <t>Offering 12 lanes of interactive tenpin bowling, Ocean's facilities offer a fun outing whatever the weather. Situated along Exmouth seafront it can be combined with a number of other activities that are nearby or contained within the same building - arcades, softplay, restaurant, and pool tables. The food and drink options in the building are broad and easy, but also the standard you'd expect from a leisure centre; there's also local, independent cafes nearby if you prefer or want more choice.</t>
  </si>
  <si>
    <t>Adult, (Fixed) Child, Concession</t>
  </si>
  <si>
    <t>3-15</t>
  </si>
  <si>
    <t>£7.25-£16.95</t>
  </si>
  <si>
    <t>£8.25-£19.50</t>
  </si>
  <si>
    <t>Over 65s, disabled &amp; carers, students</t>
  </si>
  <si>
    <t>£6.00-£13.00</t>
  </si>
  <si>
    <t>Children's Menu</t>
  </si>
  <si>
    <t>bowling, parties, ten-pin bowling, bowling ramps and bumpers, arcade games, seafront views, children's menu</t>
  </si>
  <si>
    <t>Ocean Bowling.JPG</t>
  </si>
  <si>
    <t>Pennywell Farm</t>
  </si>
  <si>
    <t>A busy farm day out with animal cuddles, pig racing, bottle feeding, rides and play areas across the site. Pennywell runs to a timetable, with something running regularly throughout the day: miniature pig cuddles, goat milking, ferret racing, pony meeting, tractor rides and more. It suits families who like a full, structured day with plenty to break up the visit.</t>
  </si>
  <si>
    <t>Lower Dean</t>
  </si>
  <si>
    <t xml:space="preserve">Buckfastleigh </t>
  </si>
  <si>
    <t>TQ11 0LT</t>
  </si>
  <si>
    <t>Monday, Tuesday, Wednesday, Thursday, Friday, Sunday, Saturday</t>
  </si>
  <si>
    <t>Adult, Young Child, Older Child, Concession</t>
  </si>
  <si>
    <t>Below 90cm</t>
  </si>
  <si>
    <t>Over 90cm</t>
  </si>
  <si>
    <t>Students, Over 65s, registered carers</t>
  </si>
  <si>
    <t>Toilets, Baby changing, Disabled toilets, Picnic Benches, Service Dogs Only, Outdoor Seating</t>
  </si>
  <si>
    <t>Ice creams, Activity Sheets or Signs, Activity trail, Tractor Rides, Indoor Play Space, Outdoor play equipment, "Swings, Slides, Climbing Frames"</t>
  </si>
  <si>
    <t>Hot Drinks, Snacks, Sweet treats, Hot &amp; Cold food, Giftshop</t>
  </si>
  <si>
    <t>(Free) Dog Kennels</t>
  </si>
  <si>
    <t>Sunshine, Overcast / cloudy, Dry &amp; mild, Dry &amp; warm, Dry &amp; hot, Dry &amp; cold</t>
  </si>
  <si>
    <t>4+ hours, Whole Day, 2-3hrs</t>
  </si>
  <si>
    <t>Petting zoo, animals, tractors, bottle feeding animals, miniature ponies, pigs, piglets, miniature pigs, piglet cuddles, goats, rabbits, ponies, alpacas, donkeys, deer, guinea pigs, hedgehogs, tractor rides, pig racing, ferret racing, goat walking, goat milking, outdoor play area, indoor soft play, children's rides</t>
  </si>
  <si>
    <t>Easter, Halloween, Lent, Christmas, Advent</t>
  </si>
  <si>
    <t>Animal feeding, Hands-on Petting, Tractor rides, Animal races, Animal displays or shows, Baby animals (seasonal), Outdoor animal areas, Close-up viewing</t>
  </si>
  <si>
    <t>Pennywell Farm.JPG</t>
  </si>
  <si>
    <t>Dave Ox</t>
  </si>
  <si>
    <t>Also free dog kennels to leave in for day</t>
  </si>
  <si>
    <t>A Big Day Out</t>
  </si>
  <si>
    <t>Large-Scale Outdoor Attractions</t>
  </si>
  <si>
    <t>World of Country Life</t>
  </si>
  <si>
    <t xml:space="preserve">An animal-focused family attraction with petting encounters, play areas, museums, rides and daily activities. There's lots of animal variety; from deer feeding, small animal handling, goat walking and bird of prey displays, combined with indoor play spaces, outdoor adventure areas, vintage vehicles, crazy golf and a country-town style museum. </t>
  </si>
  <si>
    <t>West Down Lane</t>
  </si>
  <si>
    <t>Sandy Bay</t>
  </si>
  <si>
    <t xml:space="preserve">Exmouth </t>
  </si>
  <si>
    <t>EX8 5BY</t>
  </si>
  <si>
    <t>Closed over winter from 1st November until 13th March</t>
  </si>
  <si>
    <t>Young Child, Older Child, Adult, Concession, Group</t>
  </si>
  <si>
    <t>0-3</t>
  </si>
  <si>
    <t>3-17</t>
  </si>
  <si>
    <t>Over 60s</t>
  </si>
  <si>
    <t>2 adults, 2 children</t>
  </si>
  <si>
    <t>Toilets, Disabled toilets, Baby changing, Picnic Benches, Indoor Seating</t>
  </si>
  <si>
    <t>Ice creams, Tractor Rides, "Swings, Slides, Climbing Frames", Outdoor play equipment, Indoor Play Space</t>
  </si>
  <si>
    <t>Hot Drinks, Hot &amp; Cold food, Snacks, Drinks stand</t>
  </si>
  <si>
    <t>4+ hours, Whole Day</t>
  </si>
  <si>
    <t>deer train safari, deer and llama hand feeding, pygmy goats, alpacas, wallabies, donkeys, cockatoos, rabbits, guinea pigs, birds of prey display, ferret racing, goat walking, soft play, outdoor play area, pirate ship, electric cars, trampolines, air bouncer, Victorian street, farming museum, vintage vehicles</t>
  </si>
  <si>
    <t>Rides &amp; attractions, Animals or animal experiences, Play or activity zones, Live shows or performances, Large interactive exhibits</t>
  </si>
  <si>
    <t>World of Countrylife.JPG</t>
  </si>
  <si>
    <t>Beer Beach</t>
  </si>
  <si>
    <t>A small shingle cove with fishing boats, beach cafés and a proper working-beach feel. Beer Beach is compact, sheltered and full of things to notice: boats pulled up on the shingle, winches, crab pots, deck chairs in season and cliff-backed views from the shore. It suits pottering, paddling and watching the beach at work, with mackerel fishing trips available in season.</t>
  </si>
  <si>
    <t>Fore Street</t>
  </si>
  <si>
    <t>Beer</t>
  </si>
  <si>
    <t>Seaton</t>
  </si>
  <si>
    <t>EX12 3EQ</t>
  </si>
  <si>
    <t>Dogs Allowed, Toilets</t>
  </si>
  <si>
    <t>swimming beach, fishing boats, fishing village, pebble beach, rock pooling, swimming, crabbing, fishing boats, limestone cliffs, sheltered cove</t>
  </si>
  <si>
    <t>Seaweed beds, Boat trips nearby, Dog Friendly - seasonal leads, Toilets nearby, Coves &amp; inlets</t>
  </si>
  <si>
    <t>Water shoes, Wetsuit Boots, Wetsuits, Swimming kit, Towels</t>
  </si>
  <si>
    <t>Beer Beach.JPG</t>
  </si>
  <si>
    <t>Mixed Sand &amp; Shingle Beach, Estuary Beach</t>
  </si>
  <si>
    <t>Shaldon Beach</t>
  </si>
  <si>
    <t>A sheltered sand-and-shingle beach on the estuary, with boats to watch and cafés close behind the shore. Shaldon Beach is better for gentle beach time than full seaside sprawl: watching the ferry and boats, playing by the water’s edge, or pairing the stop with the village, Shaldon Wildlife Trust or the Smugglers Tunnel to Ness Cove. Swimming not recommended due to strong tidal currents.</t>
  </si>
  <si>
    <t>Shaldon</t>
  </si>
  <si>
    <t xml:space="preserve">Teignmouth </t>
  </si>
  <si>
    <t>TQ14 0DL</t>
  </si>
  <si>
    <t>Tuesday, Monday, Wednesday, Thursday, Friday, Saturday, Sunday</t>
  </si>
  <si>
    <t>Under 30mins, 30-60mins, 1-2hrs, 2-3hrs</t>
  </si>
  <si>
    <t>estuary wildlife, fishing boats, sandy and shingle beach, swimming, rock pooling, shrimping, estuary views, smugglers tunnel, Ness Cove hidden beach, passenger ferry, shell collecting</t>
  </si>
  <si>
    <t>Diggable sand (Sandcastles), Shallow paddling, Streams or channels, Estuary edges, Dog Friendly - off lead all year, Toilets nearby, Coastal Wildlife</t>
  </si>
  <si>
    <t>Beach toys, Sand toys, Towels, Water shoes, Wetsuits, Swimming kit, Wetsuit Boots</t>
  </si>
  <si>
    <t>Shaldon Beach.JPG</t>
  </si>
  <si>
    <t>Phear Park Skate Park</t>
  </si>
  <si>
    <t>Energy Burner, Moment of Peace, Low Effort</t>
  </si>
  <si>
    <t>Phear Park Skate Park is a brilliant, proper concrete skatepark for children and teens who already love scooters, skateboards or BMX and want more than a basic ramp. The layout mixes ramps, banks, fun boxes, ledges and rails, giving riders different lines to try as their confidence grows. Because it sits inside Phear Park, it can work well for families with mixed ages: older children can ride while younger siblings use the wider park and open green space nearby.</t>
  </si>
  <si>
    <t>Withycombe Rd</t>
  </si>
  <si>
    <t>EX8 1TJ</t>
  </si>
  <si>
    <t>Dogs Allowed, Picnic Benches</t>
  </si>
  <si>
    <t>Dry &amp; hot, Sunshine, Overcast / cloudy, Dry &amp; mild, Dry &amp; cold, Dry &amp; warm</t>
  </si>
  <si>
    <t>skateboarding, BMX, scootering, bowl, ramps, street skating, ledges, floodlit evening sessions</t>
  </si>
  <si>
    <t>Phear Park Skate.JPG</t>
  </si>
  <si>
    <t>Cafés with Outdoor Space, Coffee Cabin / Truck</t>
  </si>
  <si>
    <t>Otterton Mill</t>
  </si>
  <si>
    <t xml:space="preserve">A working watermill with a café, bakery, farm shop and riverside setting that gives a perfect pitstop at the start or end of the riverside walk to Budleigh Beach, or a peaceful setting to read or reset with the smell of baking and the sound of the River Otter for company. </t>
  </si>
  <si>
    <t>Fore St</t>
  </si>
  <si>
    <t>Otterton</t>
  </si>
  <si>
    <t>Budleigh Salterton</t>
  </si>
  <si>
    <t>EX9 7HG</t>
  </si>
  <si>
    <t>Toilets, Disabled toilets, Outdoor Seating, Dogs Allowed</t>
  </si>
  <si>
    <t>Hot Drinks, Hot &amp; Cold food, Drinks stand, Sweet treats, Outdoor terrace</t>
  </si>
  <si>
    <t>1-2hrs, 30-60mins</t>
  </si>
  <si>
    <t>heritage, working watermill, waterwheel, milling demonstration, play area, chickens and ducks, riverside setting, art gallery, farm shop, bakery, café</t>
  </si>
  <si>
    <t>Combined with a walk or attraction, "Shop or browsing area (e.g. farm shop, garden centre)", Farm animals nearby</t>
  </si>
  <si>
    <t>Otterton Mill.JPG</t>
  </si>
  <si>
    <t>Sandy Beach, Dog-Friendly Beach, Rockpooling Hotspot</t>
  </si>
  <si>
    <t>Orccombe Point</t>
  </si>
  <si>
    <t>Orcombe Point is the quieter, more exploring-led end of Exmouth Beach, where families can combine sand, sea air and a bit of Jurassic Coast discovery. The Geoneedle gives children a clear “thing to find,” while the coast path, clifftop views and wildflower meadows make it feel more adventurous than a standard beach stop. Best for dry days when you want a beach walk, fossil/geology chat, picnic pause or space to wander — but keep younger children close on cliff paths and check tide/weather if planning beach time below. Tide times are also helpful to plan your trip if rockpooling is the aim, as they're well worth timing a visit for, but they're only accessible at low tide.</t>
  </si>
  <si>
    <t>EX8 2DH</t>
  </si>
  <si>
    <t>On-street / nearby parking, Paid Car Park</t>
  </si>
  <si>
    <t>Under 30mins, 30-60mins, 1-2hrs, 2-3hrs, 4+ hours, Whole Day</t>
  </si>
  <si>
    <t>rockpooling, sandcastles, beach days</t>
  </si>
  <si>
    <t>Rockpools, Diggable sand (Sandcastles), Cliffs Or Headlands, Coastal Wildlife, Swimming, Dog Friendly - off lead all year, Shallow paddling</t>
  </si>
  <si>
    <t>Swimming kit, Towels, Water shoes, Beach toys, Sand toys, Fishing nets, Wetsuit Boots, Wetsuits</t>
  </si>
  <si>
    <t>Orccombe Point Beach Exmouth.JPG</t>
  </si>
  <si>
    <t>Canonteign Falls</t>
  </si>
  <si>
    <t>Canonteign Falls is a proper outdoor adventure day: woodland paths, streams, bridges, lakes, fairy trails and the big waterfall climb, with two dedicated children’s play areas to break up the walking. It’s beautiful but not effortless — the main waterfall route is not pushchair-accessible, so a carrier is worth planning for younger children. Best for families who want fresh air, views, picnic space and a bit of exploring rather than a flat, easy stroll. Baby carriers can be hired, and baby changing is available.</t>
  </si>
  <si>
    <t>Lower Ashton</t>
  </si>
  <si>
    <t>EX6 7RH</t>
  </si>
  <si>
    <t>10am–5pm during school holidays.</t>
  </si>
  <si>
    <t>Baby, (Fixed) Child, Adult, Concession, Group</t>
  </si>
  <si>
    <t>4-15</t>
  </si>
  <si>
    <t>Student, Carer, Senior (65+)</t>
  </si>
  <si>
    <t>2 adults - 2 children (age 4 - 15)</t>
  </si>
  <si>
    <t>Dogs Allowed, Toilets, Disabled toilets, Outdoor Seating, Baby changing, Bench Seating, Indoor Seating</t>
  </si>
  <si>
    <t>Ice creams, Children’s trail, Zip Line, "Swings, Slides, Climbing Frames", Outdoor play equipment, Activity trail, Activity Sheets or Signs, Colouring, Indoor Play Space, Ride on Vehicles, "Indoor games (puzzles, boards)", Children's Menu</t>
  </si>
  <si>
    <t>Hot Drinks, Hot &amp; Cold food, Snacks, Log burner, Sweet treats, Giftshop, Outdoor terrace, Comfy Seating / Sofas</t>
  </si>
  <si>
    <t>Raining / wet, Sunshine, Overcast / cloudy, Dry &amp; mild, Dry &amp; cold, Dry &amp; warm, Dry &amp; hot, Windy (&gt; X mph)</t>
  </si>
  <si>
    <t>waterfalls, dartmoor, alpacas, playgrounds, ferns, fern garden, lakes, meadows, wildlife, panoramic views, zip line, adventure playground, trampolines, wooden galleon, mini assault course, meadows, woodland, fairy doors, wildlife spotting, streams</t>
  </si>
  <si>
    <t>Wildflower Meadows, Butterflies, Autumn Leaves, "Berries, Nuts, Conkers"</t>
  </si>
  <si>
    <t>Water features, Scenic or dramatic settings, Discovery trails, Play or activity zones, Challenges or missions, Landmark features</t>
  </si>
  <si>
    <t>Infant / toddler carrier, Sling / baby carrier, Water shoes, Activity-specific clothing</t>
  </si>
  <si>
    <t>Canonteign Falls.JPG</t>
  </si>
  <si>
    <t>Easy Pit-Stops, Family-Friendly Cafés</t>
  </si>
  <si>
    <t>High Tide Cafe</t>
  </si>
  <si>
    <t>High Tide is a small village café in the heart of Lympstone, useful for a slower stop around a walk, estuary wander or visit to the village. It looks best for coffee, sandwiches, homemade cakes and a calmer sit-down rather than formal children’s entertainment, although its social updates mention pottery activity links. This is one for families who want a friendly, simple refuel in a pretty village setting, not a destination café with play equipment. Check opening days before making a special journey, as it is closed Monday and Tuesday.</t>
  </si>
  <si>
    <t>Ice creams, Colouring, "Indoor games (puzzles, boards)"</t>
  </si>
  <si>
    <t>Hot Drinks, Comfy Seating / Sofas, WiFi, Hot &amp; Cold food, Sweet treats, Snacks</t>
  </si>
  <si>
    <t>local cafe, pottery painting</t>
  </si>
  <si>
    <t>Colouring, Combined with a walk or attraction</t>
  </si>
  <si>
    <t>High Tide Cafe.jpg</t>
  </si>
  <si>
    <t>Library or Reading Nook</t>
  </si>
  <si>
    <t>Exmouth Library</t>
  </si>
  <si>
    <t>Exmouth Library is a lovely indoor fallback with more family value than just borrowing books; the children's area is particularly well-stocked and with puzzles, board games, colouring and fancy dress all within the space, it can also make for an free, low-key trip out on a wet weather day. A sofa, wifi, free computers and simple donation-based refreshments (tea, coffee, squash) also make for a quick reprieve for accompanying adults. It's a calm, incredibly friendly space, with the children's area off to a flank making it feel less conspicuous than most libraries for when the kids get a little louder! A regular rotation of events also run, including the annual Summer Reading Challenge which often has a great prize for completion.</t>
  </si>
  <si>
    <t>40 Exeter Road</t>
  </si>
  <si>
    <t>Devon</t>
  </si>
  <si>
    <t>EX8 1PS</t>
  </si>
  <si>
    <t>Monday, Tuesday, Thursday, Friday, Saturday</t>
  </si>
  <si>
    <t>Bank holidays</t>
  </si>
  <si>
    <t>Shut</t>
  </si>
  <si>
    <t>On-street / nearby parking, Disabled parking bays</t>
  </si>
  <si>
    <t>Toilets</t>
  </si>
  <si>
    <t>Activity Sheets or Signs, "Indoor games (puzzles, boards)", Indoor Play Space, Colouring</t>
  </si>
  <si>
    <t>Hot Drinks, WiFi, Clear Sightlines, Comfy Seating / Sofas</t>
  </si>
  <si>
    <t>Sunshine, Overcast / cloudy, Dry &amp; mild, Dry &amp; cold, Dry &amp; warm, Dry &amp; hot, Windy (&gt; X mph), Raining / wet, Snow / sleet / ice, Stormy / heavy rain / thunderstorms</t>
  </si>
  <si>
    <t>children's books, storytime sessions, Bounce and Rhyme, Lego Club, Coderdojo Club, craft events, free computer access, free WiFi</t>
  </si>
  <si>
    <t>Toy corner or play table, Puzzles or games, Colouring, Book swap or exchange library</t>
  </si>
  <si>
    <t>Exmouth Library.JPG</t>
  </si>
  <si>
    <t>Parkland or Meadow</t>
  </si>
  <si>
    <t>Phear Park</t>
  </si>
  <si>
    <t xml:space="preserve">Phear Park is one of Exmouth’s most useful “everyone needs something different” spaces: open grass, mature trees, play, skatepark, tennis, pitch and putt, toilets and a café nearby. It’s good when you don’t want the full effort of the beach but still need fresh air and room to move. Families can make it short and simple, or stretch it into a longer park morning with food, wheels and games. It is a good everyday option for a low-cost outdoor stretch, especially with mixed ages, and with the paths around the park having been recently re-laid, it's perfect for a smooth, gently undulating scoot, balance bike or easy bike ride around the path loops. </t>
  </si>
  <si>
    <t>Withycombe Road</t>
  </si>
  <si>
    <t>Free Car Park, Bike racks / bays, On-street / nearby parking</t>
  </si>
  <si>
    <t>open green space, woodland walks, pond, duck spotting, pitch and putt golf, tennis courts, café, picnic areas, cycling space</t>
  </si>
  <si>
    <t>Meadows or wild grass, Duck Ponds, Water Features or Fountains, Room to run freely, Open sightlines, Grassy banks, Play equipment</t>
  </si>
  <si>
    <t>Phear Park.JPG</t>
  </si>
  <si>
    <t>Phear Park Playpark</t>
  </si>
  <si>
    <t>Simple Reset, Moment of Peace, Low Effort, Energy Burner</t>
  </si>
  <si>
    <t>Phear Park Play Park sits within a much bigger green park, making it more flexible than a standalone playground as it gives you lots of options in close proximity. Children can use the play area, then spill into open space, trees, paths and nearby park facilities if they still have energy. The park itself caters mainly to children ages 8 and under, but with basketball courts alongside it, and in eyeshot of the main park, it can easily work for mixed ages.</t>
  </si>
  <si>
    <t>swings, slides, climbing frame</t>
  </si>
  <si>
    <t>Climbing frames, Zip wires, Mixed-difficulty zones, Clear sightlines for adults, Towers and platforms</t>
  </si>
  <si>
    <t>Phear Park Play Park.JPG</t>
  </si>
  <si>
    <t>Phear Park Basketball Court</t>
  </si>
  <si>
    <t>The basketball area at Phear Park gives older children and teens another active reason to use the park, especially if they want something more independent than the play area. Because it sits alongside the skatepark, tennis courts, open grass and seasonal café, it can work well for families with different ages or interests. It's a casual outdoor sports stop rather than a bookable facility with enough around that it can be extended into a longer outing if preferred.</t>
  </si>
  <si>
    <t>Outdoor pitches</t>
  </si>
  <si>
    <t>Phear Park Basketball Court.JPG</t>
  </si>
  <si>
    <t>Information Hut or Learning Centre</t>
  </si>
  <si>
    <t>Exmouth Beach Toy Library</t>
  </si>
  <si>
    <t>A small but genuinely useful beach-day detail: the Exmouth Beach Toy Library lets families borrow buckets, spades, beach balls, frisbees and kites, then return them for someone else to use. It sits next to the Sideshore beach promenade, so it is ideal if you have arrived light, forgotten toys, or want to avoid buying more plastic for one afternoon. A helpful add-on to an Exmouth beach visit when you've rushed out the door in a hurry.</t>
  </si>
  <si>
    <t>Sideshore</t>
  </si>
  <si>
    <t>Queen’s Drive</t>
  </si>
  <si>
    <t>EX8 2GD</t>
  </si>
  <si>
    <t>Sandpit, Outdoor play equipment</t>
  </si>
  <si>
    <t>Hot Drinks, Hot &amp; Cold food, Clear Sightlines, Snacks, Drinks stand, Sweet treats, Outdoor terrace</t>
  </si>
  <si>
    <t>Sunshine, Overcast / cloudy, Dry &amp; mild, Dry &amp; cold, Dry &amp; warm, Dry &amp; hot, Windy (&gt; X mph), Raining / wet</t>
  </si>
  <si>
    <t>free beach toy borrowing, buckets and spades, beach balls, kites, frisbees, rockpool nets, community scheme, beachfront location</t>
  </si>
  <si>
    <t>Guided outdoor learning prompts, Immersive natural surroundings, Quiet or low-intervention spaces</t>
  </si>
  <si>
    <t>Beach Toy Library.JPG</t>
  </si>
  <si>
    <t>Carter Avenue Play Park</t>
  </si>
  <si>
    <t>Carter Avenue Play Park is a maritime-themed neighbourhood playground with enough variety for a proper burst of active play. Children can climb through the ship-style unit, use slides and swings, bounce on the trampoline and test themselves on the ninja trail, so it is especially good for children who like climbing and balancing. It is a perfectly situated playpark at the start or end of the Lympstone to Exmouth cycle trail so can be a great incentive for a walk, or paired with a shorter walk to Lower Haldson Farm for a drink and an ice-cream (when it's open seasonally at the weekend!).</t>
  </si>
  <si>
    <t>King George's Field</t>
  </si>
  <si>
    <t>43 Carter Avenue</t>
  </si>
  <si>
    <t>EX8 3EF</t>
  </si>
  <si>
    <t>Picnic Benches, Bench Seating</t>
  </si>
  <si>
    <t>outdoor play equipment, climbing frames, ground trampoline, roundabout</t>
  </si>
  <si>
    <t>Climbing frames, Towers and platforms, Slides (particularly tall or long), Fireman’s poles, Climbing Wall, Fort-style structures, Lookout points, Mixed-difficulty zones, Enclosed adventure zones, Clear sightlines for adults</t>
  </si>
  <si>
    <t>Carter Avenue Play Area.JPG</t>
  </si>
  <si>
    <t>Geoplay Seafront Park</t>
  </si>
  <si>
    <t>Paignton’s Geoplay Park is a big, free seafront play park that feels more like a proper destination than a quick swing stop. It has more than 30 pieces of equipment, with different zones for different ages and play styles, including toddler play, climbing, spinning and geology-themed features that give older children something to notice too. Its location on Paignton Sands is the real parent win: you can combine play with the beach, pier, promenade, cafés, crazy golf or a picnic, making it easy to scale the visit up or down depending on weather and energy. Perfect for when children need a proper burst of active play.</t>
  </si>
  <si>
    <t>Esplanade Road</t>
  </si>
  <si>
    <t>Paignton</t>
  </si>
  <si>
    <t>TQ4 6BE</t>
  </si>
  <si>
    <t>Paid Car Park, Disabled parking bays</t>
  </si>
  <si>
    <t>outdoor play equipment, zip wire, giant climbing net, sandpit, water play channel, sand and water digging, toddler play area, trilobite ride, swings, trampoline, spinner bowls, geology-themed play, seafront location</t>
  </si>
  <si>
    <t>Climbing frames, Scramble nets, Towers and platforms, Slides (particularly tall or long), Tunnels and crawl spaces, Clear sightlines for adults</t>
  </si>
  <si>
    <t>Paignton Seafront Park.JPG</t>
  </si>
  <si>
    <t>Museums &amp; Discovery</t>
  </si>
  <si>
    <t>History &amp; Pastimes</t>
  </si>
  <si>
    <t>House of Marbles</t>
  </si>
  <si>
    <t>House of Marbles is a brilliant low-pressure option when you want something interesting, free and easy to dip into. Children can watch huge marble runs, explore toy, games and glass museums, see live glassmaking and browse the shop, while adults get a proper restaurant rather than just a basic café stop. It’s not a running-around attraction, so it suits curious children who enjoy watching, choosing, tinkering and looking closely. Free entry and parking make it especially useful as a rainy-day stop or a gentler add-on near Bovey Tracey.</t>
  </si>
  <si>
    <t>The Old Pottery</t>
  </si>
  <si>
    <t>Pottery Road</t>
  </si>
  <si>
    <t>TQ13 9DS</t>
  </si>
  <si>
    <t>New Years Day, Easter Sunday, Christmas Day, Boxing Day</t>
  </si>
  <si>
    <t>Varies</t>
  </si>
  <si>
    <t>Toilets, Disabled toilets, Indoor Seating, Guided Tour</t>
  </si>
  <si>
    <t>Ice creams, "Swings, Slides, Climbing Frames", Outdoor play equipment, Activity trail</t>
  </si>
  <si>
    <t>1-2hrs, 30-60mins, Under 30mins</t>
  </si>
  <si>
    <t>marble runs, giant marble run, interactive marble displays, glassblowing demonstration, games museum, vintage board games, pottery museum, marble museum, outdoor play area, climbing frame, giant chess, giant dominoes, giant floating marble, brass rubbing trail</t>
  </si>
  <si>
    <t>Science and engineering themes</t>
  </si>
  <si>
    <t>House of Marbles.JPG</t>
  </si>
  <si>
    <t>Stover Park</t>
  </si>
  <si>
    <t>Stover Country Park is a calm, easy trip with woodland, lake, marsh, picnic areas, walking routes, a bird hide and an aerial walkway that is suitable for wheelchairs and pushchairs. It is best timed for when you want fresh air without committing to a hard walk: children can look for wildlife, follow the children’s trail, spot poetry posts and pause often.</t>
  </si>
  <si>
    <t>Stover Country Park</t>
  </si>
  <si>
    <t>TQ12 6QG</t>
  </si>
  <si>
    <t>Toilets, Disabled toilets, Bench Seating, Picnic Benches, Dogs Allowed</t>
  </si>
  <si>
    <t>30-60mins, Under 30mins, 1-2hrs</t>
  </si>
  <si>
    <t>woodland walks, lake, ducks and swans, birdwatching, bird hide, bird feeders, aerial walkway, dragonflies, children's trail, poetry trail, wildlife spotting, squirrels, roe deer, carved wooden animals, nature interpretation centre</t>
  </si>
  <si>
    <t>Ponds or lakes, Duck Ponds, Room to run freely, Open sightlines, Countryside views, "Natural play features (logs, slopes, rocks)", Climbable trees, Marked Trails</t>
  </si>
  <si>
    <t>XC Buggy, Sling / baby carrier, Infant / toddler carrier, Binoculars</t>
  </si>
  <si>
    <t>Stover Park.JPG</t>
  </si>
  <si>
    <t>Amusement Park</t>
  </si>
  <si>
    <t>Funder Park</t>
  </si>
  <si>
    <t>Funder Park at Dawlish Warren is a classic seaside funfair-style stop; colour, noise and rides everywhere, for a quick or extneded trip full of quick bursts of excitement. It has a pirate theme, free entry and token-based rides, which helps families manage budget and only pay for what children actually want to do. Attractions include a younger-child rollercoaster, pirate ship, bumper boats, mini go-karts, adventure golf, bigger go-karts, arcade games and prize stalls. It's by no means a calm day out but could pair well with a trip to Dawlish Warren beach, with a fun, higher energy follow-on alongside. Seasonal timings may vary depending on weather.</t>
  </si>
  <si>
    <t>Beach Road</t>
  </si>
  <si>
    <t>Dawlish</t>
  </si>
  <si>
    <t>EX7 0NE</t>
  </si>
  <si>
    <t>fairground rides, pirate ship, caterpillar roller coaster, go karts, trampolines, slides, crazy golf, token rides, seafront location</t>
  </si>
  <si>
    <t>Rides &amp; attractions</t>
  </si>
  <si>
    <t>Dawlish Fairground.JPG</t>
  </si>
  <si>
    <t>Nature Reserve</t>
  </si>
  <si>
    <t>Bystock Pools</t>
  </si>
  <si>
    <t>Bystock Pools is a quiet nature reserve for families who enjoy slow exploring: lily-pad pools, heathland, boardwalks, wildlife and a wilder feel than a manicured country park. It’s best for children who like spotting things, pausing and wandering, rather than needing play equipment. Pack snacks and sensible footwear, and treat it as a nature walk with limited facilities rather than a serviced day out.</t>
  </si>
  <si>
    <t>EX8 5EE</t>
  </si>
  <si>
    <t>nature trails, lake, dragonfly spotting, damselflies, birdwatching, boardwalk, heathland, wildflower meadow, butterfly spotting, pond dipping, wildlife watching, glow worms, nightjar, yellowhammer, Devon Wildlife Trust</t>
  </si>
  <si>
    <t>Mud and puddles, Immersive natural surroundings, Quiet or low-intervention spaces</t>
  </si>
  <si>
    <t>Bystock Pools.jpg</t>
  </si>
  <si>
    <t>Water Activities</t>
  </si>
  <si>
    <t>River Beach</t>
  </si>
  <si>
    <t>River Otter River Beach</t>
  </si>
  <si>
    <t>Low Effort</t>
  </si>
  <si>
    <t xml:space="preserve">A gentle riverside spot with a mix of shallow and deeper paddling places, wildlife-rich paths and estuary views in a quiet, peaceful spot tucked behind the playing fields of Tipton St John. Accessed from the public footpath through the playing fields behind the village car par, head straight across the playing fields to the far corner, then follow a path around the corner and over the bridge and pick a spot to enjoy the view, paddling and scenery. </t>
  </si>
  <si>
    <t>Tipton St John</t>
  </si>
  <si>
    <t>EX10 0AF</t>
  </si>
  <si>
    <t>On-street / nearby parking, Free Car Park</t>
  </si>
  <si>
    <t>Sunshine, Dry &amp; warm, Dry &amp; hot</t>
  </si>
  <si>
    <t>river paddling, wild swimming, rope swings, stone skimming, riverside walks, picnicking, beaver spotting, kingfishers, stepping stones, Pooh sticks</t>
  </si>
  <si>
    <t>Deep water or plunge pools, Paddling spots, Natural Swimming Spots, Wildlife spotting, Rivers or estuaries, River Beach, Woodland or countryside setting</t>
  </si>
  <si>
    <t>Water shoes, Towels, Swimming kit, Warm change of clothes, XC Buggy, Sling / baby carrier, Infant / toddler carrier</t>
  </si>
  <si>
    <t>River Otter River Beach.JPG</t>
  </si>
  <si>
    <t>Parke Estate River Beach</t>
  </si>
  <si>
    <t>A woodland river spot with shallow paddling places, stony banks and shaded paths. The River Bovey runs through Parke, with small river beaches reached from the estate paths and old railway line. It suits a slower outdoor stop: paddle when levels are low, skim stones, follow the woodland trails or bring bikes for the flatter traffic-free sections. Water levels can rise quickly after rain, so conditions matter.</t>
  </si>
  <si>
    <t>Parke Estate</t>
  </si>
  <si>
    <t>TQ13 9JQ</t>
  </si>
  <si>
    <t>Activity trail, Activity Sheets or Signs</t>
  </si>
  <si>
    <t>Snacks, Drinks stand, Outdoor terrace</t>
  </si>
  <si>
    <t>river paddling, stone skimming, woodland walks, wildlife spotting, walled garden, orchard, Dartmoor ponies, riverside trails, picnicking, National Trust estate</t>
  </si>
  <si>
    <t>Shallow water, Paddling spots, Natural Swimming Spots, Sheltered or shaded options, Splash-friendly areas, Wildlife spotting, River Beach, Rivers or estuaries, Woodland or countryside setting</t>
  </si>
  <si>
    <t>Water shoes, Fishing nets, Fishing rods &amp; bait, Towels, XC Buggy, Sling / baby carrier, Infant / toddler carrier</t>
  </si>
  <si>
    <t>Parke River Beach.JPG</t>
  </si>
  <si>
    <t>World &amp; Cultures, History &amp; Pastimes</t>
  </si>
  <si>
    <t>RAMM Exeter</t>
  </si>
  <si>
    <t>Royal Albert Memorial Museum &amp; Art Gallery is a free, city-centre museum with galleries covering natural history, world cultures, local history and art. Families can follow museum trails, use the family area and join regular children’s activities, making it a strong all-weather option for curious children who like objects, animals, stories and hands-on discovery. For younger children there are a number of mini suitcases that can be borrowed from the Information Desk containing dressing up things and magnifying glasses to help parents turn a trip around the different exhibits into more of an adventure. With a particularly wide range of taxidermy including an enormous giraffe, a menagerie of different birds, and an enormous tiger, in addition to a considerable collection of preserved bugs and butterflies, there are lots of different ways to capture the imagination, as well as their intellect!</t>
  </si>
  <si>
    <t>Royal Albert memorial Museum Art &amp; Gallery</t>
  </si>
  <si>
    <t>Queen St</t>
  </si>
  <si>
    <t>EX4 3RX</t>
  </si>
  <si>
    <t>Toilets, Disabled toilets, Indoor Seating, Highchairs</t>
  </si>
  <si>
    <t>Hot Drinks, Giftshop, Bookshop</t>
  </si>
  <si>
    <t>Raining / wet, Windy (&gt; X mph), Snow / sleet / ice, Overcast / cloudy, Stormy / heavy rain / thunderstorms, Dry &amp; mild, Dry &amp; cold</t>
  </si>
  <si>
    <t>natural history collection, world cultures galleries, interactive exhibits, Mini Explorer Zone, dressing up, handling sessions, geology discovery, art gallery, free entry, reading corner, beastie bags</t>
  </si>
  <si>
    <t>History brought to life, Rotating or seasonal exhibits</t>
  </si>
  <si>
    <t>RAMM.JPG</t>
  </si>
  <si>
    <t>https://rammuseum.org.uk/</t>
  </si>
  <si>
    <t>Thorne's Farm Cafe</t>
  </si>
  <si>
    <t xml:space="preserve">Thornes Farm Shop &amp; Kitchen offers families more than a basic café stop, with food, a small farm shop and deli, and a dedicated indoor play corner and seasonal pick-your-own fields in one place. The menu is limited, but It’s useful for lunch, cake, browsing local produce or breaking up a day near Crediton, with younger children able to play and older children more likely to enjoy the PYO or choosing treats from the shop. Best suited to PYO season or a chilly winter day with younger children when you want an easy coffee stop, with a play space, decent coffee/cake and a cosy log burner. </t>
  </si>
  <si>
    <t>Hawthorn Gardens</t>
  </si>
  <si>
    <t>Stockleigh Pomeroy</t>
  </si>
  <si>
    <t xml:space="preserve">Crediton </t>
  </si>
  <si>
    <t>EX17 4BH</t>
  </si>
  <si>
    <t>Toilets, Disabled toilets, Indoor Seating, Dogs Allowed, Outdoor Seating, Highchairs</t>
  </si>
  <si>
    <t>Activity Sheets or Signs, Colouring, Ride on Vehicles, Children's Menu, Indoor Play Space</t>
  </si>
  <si>
    <t>Hot Drinks, Giftshop, Bookshop, Hot &amp; Cold food, Sweet treats, Log burner, Outdoor terrace</t>
  </si>
  <si>
    <t>PYO fruit, PYO vegetables, strawberry picking, indoor play area, children's menu, farm shop, pick your own soft fruit, pick your own pumpkins</t>
  </si>
  <si>
    <t>Fruit Picking, PYO Fruit, PYO Vegetables, PYO Flowers</t>
  </si>
  <si>
    <t>Dedicated play area, Toy corner or play table, Puzzles or games, Colouring, "Shop or browsing area (e.g. farm shop, garden centre)"</t>
  </si>
  <si>
    <t>Thorne's Cafe.JPG</t>
  </si>
  <si>
    <t>https://www.thornesfarmshop.co.uk/</t>
  </si>
  <si>
    <t>Paignton Zoo</t>
  </si>
  <si>
    <t>Paignton Zoo is a full-day animal adventure, better suited to a day when you want a bigger outing and have the energy for plenty of walking. Across 80 acres, children can see major animals like giraffes, tigers, red pandas, rhinos, orangutans and gorillas, with gardens, indoor habitats and play areas helping to keep the day varied. Jungle Fun soft play is included for visitors and split into baby, toddler and older-child zones, which makes it especially helpful if you need a dry-weather fallback or a mid-visit reset.</t>
  </si>
  <si>
    <t>Totnes Road</t>
  </si>
  <si>
    <t>TQ4 7EU</t>
  </si>
  <si>
    <t>Advance Book, Memberships, Pay On Arrival</t>
  </si>
  <si>
    <t>&lt;1</t>
  </si>
  <si>
    <t>Carer</t>
  </si>
  <si>
    <t>Disabled toilets, Toilets, Baby changing, Bench Seating, Picnic Benches, Outdoor Seating, Service Dogs Only</t>
  </si>
  <si>
    <t>Ice creams, Activity Sheets or Signs, Indoor Play Space, Outdoor play equipment, "Swings, Slides, Climbing Frames"</t>
  </si>
  <si>
    <t>Hot Drinks, Hot &amp; Cold food, Snacks, Sweet treats, Drinks stand</t>
  </si>
  <si>
    <t>giraffes, tigers, gorillas, orangutans, lions, rhinos, red pandas, meerkats, lemurs, flamingos, giant tortoises, wolves, crocodiles, reptiles, bugs, farm animals, walk-through lemur enclosure, wobbly bridge, outdoor play areas, indoor soft play, nature trail, daily keeper talks, animal feeding sessions, botanical gardens</t>
  </si>
  <si>
    <t>Close-up viewing, Keeper talks, Animal feeding, Rare or exotic animals, Animal Sanctuary, Conservation, Walk-through enclosures</t>
  </si>
  <si>
    <t>Paignton Zoo.JPG</t>
  </si>
  <si>
    <t>Imaginative &amp; Role Play</t>
  </si>
  <si>
    <t>Immersive Worlds</t>
  </si>
  <si>
    <t>Babacombe Model Village</t>
  </si>
  <si>
    <t>Low Effort, Special Day Out, Simple Reset</t>
  </si>
  <si>
    <t xml:space="preserve">Babbacombe Model Village is much more than a quick look at tiny houses — it’s a detailed miniature world set across four acres of gardens, with humour, little moving scenes, vehicles, railways and recognisable places that children can spot as they wander. It works well for curious children who like noticing details, storytelling and searching for funny little scenes, but it is also engaging for adults. </t>
  </si>
  <si>
    <t>Hampton Avenue</t>
  </si>
  <si>
    <t>Babbacombe</t>
  </si>
  <si>
    <t>Torquay</t>
  </si>
  <si>
    <t>TQ1 3LA</t>
  </si>
  <si>
    <t>Marked seasonal variations in opening times</t>
  </si>
  <si>
    <t>Local resident discount: TQ, PL or EX postcode.</t>
  </si>
  <si>
    <t>25% off</t>
  </si>
  <si>
    <t>Toilets, Dogs Allowed, Bench Seating, Outdoor Seating</t>
  </si>
  <si>
    <t>Hot Drinks, Snacks, Sweet treats, Outdoor terrace, Hot &amp; Cold food</t>
  </si>
  <si>
    <t>Sunshine, Dry &amp; mild, Dry &amp; cold, Dry &amp; warm, Dry &amp; hot</t>
  </si>
  <si>
    <t>miniature village, animated scenes, spotting trail, find Wally, hidden characters, crazy golf, gardens, streams, waterfalls, Mythical Kingdom indoor walk-through, animated mythical creatures, quirky humour, British landmarks in miniature, crazy golf</t>
  </si>
  <si>
    <t>Themed environments, Immersive settings, Shared imaginative spaces</t>
  </si>
  <si>
    <t>Babacombe Model Village.JPG</t>
  </si>
  <si>
    <t>Dartmoor Zoo</t>
  </si>
  <si>
    <t>Dartmoor Zoo is a more relaxed, spacious zoo day than some larger attractions, with big personalities, conservation stories and a setting that feels very Dartmoor. It suits animal-focused children who like wandering between enclosures, stopping often and taking things at their own pace. There are play areas, a restaurant and indoor space for under-fives, which helps if younger children need a reset. It is open daily for most of the year, but extreme weather can affect opening, so it’s worth checking before travelling.</t>
  </si>
  <si>
    <t>Sparkwell</t>
  </si>
  <si>
    <t>Plymouth</t>
  </si>
  <si>
    <t>PL7 5DG</t>
  </si>
  <si>
    <t>over 65s, students with ID</t>
  </si>
  <si>
    <t xml:space="preserve">4 people, max 2 adults </t>
  </si>
  <si>
    <t>Toilets, Disabled toilets, Service Dogs Only</t>
  </si>
  <si>
    <t>2-3hrs, 4+ hours</t>
  </si>
  <si>
    <t>tigers, lions, wolves, lynx, cheetah, bears, meerkats, otters, monkeys, tapir, capybara, raccoons, reptiles, bugs, falconry displays, animal talks, outdoor play areas, den building, climbing frame, woodland setting</t>
  </si>
  <si>
    <t>Close-up viewing, Keeper talks, Multiple species, Rare or exotic animals, Walk-through enclosures, Outdoor animal areas</t>
  </si>
  <si>
    <t>Dartmoor Zoo.JPG</t>
  </si>
  <si>
    <t>Marine Aquarium</t>
  </si>
  <si>
    <t>Plymouth Aquarium</t>
  </si>
  <si>
    <t>Special Day Out, Low Effort</t>
  </si>
  <si>
    <t>The National Marine Aquarium is a strong all-weather choice for children who are fascinated by sea life, big tanks and slower, immersive exploring. It works well when you want something inside and memorable, with plenty of visual interest for everyone and additional conservation detail for older ones. Standard tickets include a free 12-month pass, which makes the cost feel more useful if you might return. There is also seasonal soft play for younger children, with timed sessions, a small extra charge and height/age limits.</t>
  </si>
  <si>
    <t>Rope Walk</t>
  </si>
  <si>
    <t>Coxside</t>
  </si>
  <si>
    <t>PL4 0LF</t>
  </si>
  <si>
    <t>Advance Book, Pay On Arrival, Memberships</t>
  </si>
  <si>
    <t>Over 60s, students</t>
  </si>
  <si>
    <t>Toilets, Disabled toilets, Indoor Seating</t>
  </si>
  <si>
    <t>Indoor Play Space</t>
  </si>
  <si>
    <t>Hot Drinks, Hot &amp; Cold food, Giftshop, Drinks stand</t>
  </si>
  <si>
    <t>sharks, stingrays, sea turtle, jellyfish, seahorses, octopus, rays, eels, tropical fish, coral reefs, rock pool touch tank, UK's deepest aquarium tank, interactive displays, digital drawing activity, activity trail, dive shows, keeper talks</t>
  </si>
  <si>
    <t>Guided walks, Animal Sanctuary, Rare or exotic animals, Keeper talks, Close-up viewing</t>
  </si>
  <si>
    <t>Plymouth Aquarium.JPG</t>
  </si>
  <si>
    <t>History &amp; Culture</t>
  </si>
  <si>
    <t>Ancient Site, Living History</t>
  </si>
  <si>
    <t>Exeter Underground Passages</t>
  </si>
  <si>
    <t>Exeter Underground Passages is a memorable city-centre adventure for children who like history, tunnels and slightly unusual experiences. It is guided, structured and atmospheric rather than free-flowing, so it works particuarly well for children who can listen, stay with a group and manage being underground. Children must be 5–17 and accompanied underground, and it's worth nothing pushchairs and wheelchairs are restricted to the exhibition only. It's good for a short, distinctive wet-weather activity, especially paired with RAMM or another follow-on activity in the city.</t>
  </si>
  <si>
    <t>2 Paris Street</t>
  </si>
  <si>
    <t>EX1 1GA</t>
  </si>
  <si>
    <t>Thursday, Friday, Saturday, Sunday</t>
  </si>
  <si>
    <t>not allowed</t>
  </si>
  <si>
    <t>Family (up to 2 adults and up to 3 children</t>
  </si>
  <si>
    <t>Guided Tour</t>
  </si>
  <si>
    <t>medieval tunnels, guided tour, torchlit passages, hard hats, interactive heritage centre, green-screen fly-through, history, archaeology, dark tunnels</t>
  </si>
  <si>
    <t>Ruins to explore, Hidden rooms or passages, Audio guides or trails</t>
  </si>
  <si>
    <t>Exeter Underground Passages.JPG</t>
  </si>
  <si>
    <t>Archaeological, Cultural Heritage Site</t>
  </si>
  <si>
    <t>Okehampton Castle</t>
  </si>
  <si>
    <t>Okehampton Castle is a low-key, imaginative ruin in a wooded valley, ideal for children who like clambering gently, exploring old walls and making up stories or games in wide open spaces, rather than needing formal activities or structured options. It’s a good picnic-and-potter stop, with grass, benches and the feel of a small adventure without the scale of a full heritage day out, but the ground is uneven and varied as you might expect from castle ruins, so it's not well suited for smooth, easy-access or particularly buggy friendly.</t>
  </si>
  <si>
    <t>Castle Lodge</t>
  </si>
  <si>
    <t>Okehampton</t>
  </si>
  <si>
    <t>EX20 1JA</t>
  </si>
  <si>
    <t>Thursday, Friday, Saturday, Sunday, Wednesday</t>
  </si>
  <si>
    <t>Closed 1st November to 31st March</t>
  </si>
  <si>
    <t>Guided Tour, Bench Seating, Dogs Allowed</t>
  </si>
  <si>
    <t>Sunshine, Dry &amp; mild, Dry &amp; cold, Dry &amp; warm, Dry &amp; hot, Overcast / cloudy</t>
  </si>
  <si>
    <t>castle ruins, medieval keep, gatehouse, motte and bailey, riverside picnic area, woodland walks, wildlife spotting, history, audio tour, birds of prey, ghost legend</t>
  </si>
  <si>
    <t>Ruins to explore, Castles or Fortresses</t>
  </si>
  <si>
    <t>Okehampton Castle.JPG</t>
  </si>
  <si>
    <t>Range</t>
  </si>
  <si>
    <t>Exminster Driving Range</t>
  </si>
  <si>
    <t xml:space="preserve">Exminster Driving Range is a useful active stop for children who want to try golf without committing to a full course or formal lesson. The centre has a 16-bay floodlit covered driving range, with clubs for hire, a pro shop, changing rooms, and a bar and restaurant open to the public. It suits teens or sporty younger children with adult help — especially on damp days when you still want something outside but sheltered. It could work as a first-taster activity, and a simple, contained outing to expel some energy on a day where you'd really rather be outside but the weather isn't cooperating. </t>
  </si>
  <si>
    <t>Exminster Hill</t>
  </si>
  <si>
    <t>EX6 8GA</t>
  </si>
  <si>
    <t>9 holes £24, 18holes £48</t>
  </si>
  <si>
    <t>Hot Drinks, Hot &amp; Cold food, Snacks</t>
  </si>
  <si>
    <t>Dry &amp; mild, Dry &amp; cold, Dry &amp; warm, Dry &amp; hot, Overcast / cloudy, Sunshine, Raining / wet, Snow / sleet / ice</t>
  </si>
  <si>
    <t>driving range, golf lessons, 9-hole golf course, pay and play golf, beginner golf, Exe Estuary views</t>
  </si>
  <si>
    <t>Skill progression, Early access introduction, Confidence building, Non-competitive options, All-weather options, Safe enclosed spaces</t>
  </si>
  <si>
    <t>Exminster Driving Range.JPG</t>
  </si>
  <si>
    <t>Escape Room</t>
  </si>
  <si>
    <t>Tenpin Escape Rooms</t>
  </si>
  <si>
    <t>Tenpin’s Houdini’s Escape Rooms are perfect for when you want an indoor activity that can sit alongside bowling, arcades, laser tag, karaoke or food, making it easier to please mixed ages in one venue. The Exeter location is at Tenpin on Havenbanks, with 60-minute rooms built around teamwork, clues and puzzles. Like most escape rooms, it's best for older children, teens and family groups who enjoy shared problem-solving; younger children may need a confident adult to keep them involved. It's worth nothing that parking here is notoriously strict, with the Pay and Display monitored by entry cameras, so make sure you add parking to cover the entire trip from arrival time so there's no unwelcome surprises following a visit.</t>
  </si>
  <si>
    <t>3–4 Haven Banks Retail Park</t>
  </si>
  <si>
    <t>Water Lane</t>
  </si>
  <si>
    <t>EX2 8BY</t>
  </si>
  <si>
    <t>0-5</t>
  </si>
  <si>
    <t>16-17</t>
  </si>
  <si>
    <t>Groups of 4+</t>
  </si>
  <si>
    <t>£27pp</t>
  </si>
  <si>
    <t>Toilets, Service Dogs Only</t>
  </si>
  <si>
    <t>Hot &amp; Cold food, Snacks, Hot Drinks</t>
  </si>
  <si>
    <t>Murder mystery, apocalypse</t>
  </si>
  <si>
    <t>Tenpin Escape Rooms.JPG</t>
  </si>
  <si>
    <t>Ottery St Mary Park (Land of Canaan)</t>
  </si>
  <si>
    <t xml:space="preserve">Land of Canaan sits beside the River Otter and is anchored by a bespoke basking otter multi-play unit, custom-created as a celebration of the local environment, where children can climb, traverse, balance and explore tactile elements. Younger children have a wooden junior climber and a compact wood multi-play structure, there's a double flat-seat swing bay alongside an inclusive swing seat and cradle-seat swing, a wheelchair-accessible roundabout, a seesaw, two horizontal bars for strength and agility, and a balance and traversal element, plus a large multi-goal unit for ball games. It’s a useful town-centre energy burn, especially before or after errands, food or a riverside wander. </t>
  </si>
  <si>
    <t>Land of Canaan</t>
  </si>
  <si>
    <t>Canaan Way</t>
  </si>
  <si>
    <t>Ottery St Mary</t>
  </si>
  <si>
    <t>EX11 1XT</t>
  </si>
  <si>
    <t>multi-play climbing unit, wooden junior climber, balance and traversal trail, double swings, inclusive swing seat, wheelchair-accessible roundabout, seesaw, horizontal bars, ball games area, multi-goal unit, riverside setting, inclusive play design</t>
  </si>
  <si>
    <t>Climbing frames, Towers and platforms, Fort-style structures, Mixed-difficulty zones, Clear sightlines for adults</t>
  </si>
  <si>
    <t>Ottery St Mary Park.jpg</t>
  </si>
  <si>
    <t>Sheltered Cove or Bay, Mixed Sand &amp; Shingle Beach, Harbour or Village Beach</t>
  </si>
  <si>
    <t>Shelly Beach</t>
  </si>
  <si>
    <t>Pirate Cove, also known as Shelly Beach, is a small tucked-away beach near Exmouth Marina, better for a quiet wander, picnic or sheltered sit than a full beach day. It has a more hidden, local feel than the main seafront, with views across the estuary and space for children to potter, look for shells and watch boats. Check tide and access before relying on it for play.</t>
  </si>
  <si>
    <t>EX8 1XN</t>
  </si>
  <si>
    <t>estuary beach, boat watching, birdwatching, estuary views, wading birds, dog walking, beachcombing</t>
  </si>
  <si>
    <t>Diggable sand (Sandcastles), Harbour, Crabbing</t>
  </si>
  <si>
    <t>Pirate Cove.jpg</t>
  </si>
  <si>
    <t>Sandy Beach</t>
  </si>
  <si>
    <t>Putsborough Beach</t>
  </si>
  <si>
    <t>Special Day Out, Simple Reset</t>
  </si>
  <si>
    <t>Putsborough is a beautiful, big-sky beach day with wide sand, surf and views across towards Woolacombe, but it feels a little more tucked-away than the busiest resort beaches. It’s a good choice when you want proper beach space, bodyboarding or a long sandy wander, with facilities close enough to make the day manageable. The headland gives some shelter from south and south-westerly winds, which can be a real parent win.</t>
  </si>
  <si>
    <t>Putsborough</t>
  </si>
  <si>
    <t>Georgeham</t>
  </si>
  <si>
    <t>near Braunton</t>
  </si>
  <si>
    <t>EX33 1LB</t>
  </si>
  <si>
    <t>Toilets, Disabled toilets, Baby changing, Dogs Allowed, Showers / changing facilities</t>
  </si>
  <si>
    <t>Clear Sightlines, Hot &amp; Cold food, Snacks, Drinks stand, Sweet treats, Hot Drinks, Giftshop</t>
  </si>
  <si>
    <t>1-2hrs, 2-3hrs, 4+ hours, Whole Day</t>
  </si>
  <si>
    <t>andy beach, rock pooling, surfing, bodyboarding, stream paddling, sand dunes, swimming, café, sheltered bay</t>
  </si>
  <si>
    <t>Diggable sand (Sandcastles), Shallow paddling</t>
  </si>
  <si>
    <t>Sand toys, Beach toys, Fishing nets, Wetsuits, Swimming kit, Towels</t>
  </si>
  <si>
    <t>Putsborough Beach.jpg</t>
  </si>
  <si>
    <t>Mixed Sand &amp; Shingle Beach, Rockpooling Hotspot</t>
  </si>
  <si>
    <t>Jacobs Ladder Beach Sidmouth</t>
  </si>
  <si>
    <t>Jacob’s Ladder Beach is the quieter, more scenic side of Sidmouth’s seafront, with shingle beach, cliffs, a refreshment kiosk and the historic link up towards Connaught Gardens. It can be a lovely picnic-and-paddle spot for families who want views rather than amusements. Important current note: Jacob’s Ladder steps and the Millennium Walkway have had safety-related closures, so check access before building a visit around the steps.</t>
  </si>
  <si>
    <t>Hot Drinks, Snacks, Hot &amp; Cold food, Sweet treats</t>
  </si>
  <si>
    <t>pebble and sand beach, rock pooling, swimming, red cliffs, wooden staircase, Jurassic Coast, café nearby, coastal walks</t>
  </si>
  <si>
    <t>Rockpools, Shell or seaglass collecting, Diggable sand (Sandcastles), Shallow paddling</t>
  </si>
  <si>
    <t>Sidmouth Beach Jacobs Ladder.JPG</t>
  </si>
  <si>
    <t>The Maer</t>
  </si>
  <si>
    <t>The Maer is a quieter pocket of Exmouth, useful when the beach feels too busy or you want a sandy-soil wander with wildlife rather than buckets and waves. It’s a gentle add-on to a seafront day, with dunes, open space and a more natural feel close to town. Worth knowing: East Devon’s public toilet information has listed The Maer toilets as closed/temporarily seasonal, so don’t rely on loos being available.</t>
  </si>
  <si>
    <t>EX8 2BX</t>
  </si>
  <si>
    <t>sand dune exploring, insect spotting, solitary bee watching, wildflower spotting, skylark spotting, coastal wildlife, nature reserve walks</t>
  </si>
  <si>
    <t>Meadows or wild grass, Room to run freely, Open sightlines, Scenic backdrops, Play equipment, "Natural play features (logs, slopes, rocks)", Grassy banks</t>
  </si>
  <si>
    <t>The Maer.jpg</t>
  </si>
  <si>
    <t>Sandy Beach, Surf Beach</t>
  </si>
  <si>
    <t>Woolacombe Beach</t>
  </si>
  <si>
    <t>Woolacombe is a big, classic North Devon beach day: three miles of sand, surf, dunes and plenty of room to spread out when the tide allows. It’s brilliant for children who want buckets, boards, running space and a proper seaside atmosphere, but it can be busy and wind-exposed, so treat it as a planned day rather than a quick stop. Parking choices matter, and surf conditions should guide where and how children go in the water.</t>
  </si>
  <si>
    <t>Marine Drive</t>
  </si>
  <si>
    <t>Woolacombe</t>
  </si>
  <si>
    <t>EX34 7ZZ</t>
  </si>
  <si>
    <t>Paid Car Park, Members Car Park, Bike racks / bays</t>
  </si>
  <si>
    <t>Toilets, Disabled toilets, Baby changing, Showers / changing facilities, Dogs Allowed</t>
  </si>
  <si>
    <t>Sunloungers, Clear Sightlines, Snacks, Drinks stand, Sweet treats</t>
  </si>
  <si>
    <t>sandy beach, surfing, surf lessons, bodyboarding, paddleboarding, kayaking, swimming, sandcastles, rock pooling, sand dunes, stream paddling, seal spotting, coastal walks</t>
  </si>
  <si>
    <t>Diggable sand (Sandcastles), Equipment Hire, Seasonally Lifeguarded, Surfing, Swimming, Bodyboarding, Watersports Lessons</t>
  </si>
  <si>
    <t>Wetsuits, Sand toys, Beach toys, Towels, Swimming kit</t>
  </si>
  <si>
    <t>Woolacombe Beach.jpg</t>
  </si>
  <si>
    <t>Easy Pit-Stops</t>
  </si>
  <si>
    <t xml:space="preserve">Rise Bakery </t>
  </si>
  <si>
    <t>Rise is lovely seafront stop for parents when you want a good coffee and a tasty snack: coffee, fresh pastries, sandwiches and something that feels a bit nicer than a standard kiosk, right by the beach and Sideshore. It’s a strong refuel point before or after sand, scooting, beach play or watersports-watching, but not a play venue, so it suits families who can manage a café pause on the go and are happy to sit outside on the bench seating. Beware of the seagulls for young children, as they're particularly eagle-eyed around this area for unguarded snacks.</t>
  </si>
  <si>
    <t>Rise Bakery</t>
  </si>
  <si>
    <t>1 Queen’s Drive</t>
  </si>
  <si>
    <t>Sweet treats</t>
  </si>
  <si>
    <t xml:space="preserve">sourdough, pastries, coffee, beachfront views, outdoor seating, local produce
</t>
  </si>
  <si>
    <t>Combined with a walk or attraction</t>
  </si>
  <si>
    <t>Rise Bakery.JPG</t>
  </si>
  <si>
    <t>Family Dining</t>
  </si>
  <si>
    <t>Family Eateries, Outdoor Family Dining</t>
  </si>
  <si>
    <t>Heydays</t>
  </si>
  <si>
    <t xml:space="preserve">Heydays is a seafront restaurant at Sideshore that can make an Exmouth beach day feel much easier to manage: proper food, kids’ menu, drinks, sea views and somewhere to reset without leaving the sand-and-prom rhythm behind. It’s a lovely spot for breakfast before the beach, lunch after watersports, or an early dinner when everyone is hungry; the outside terrace has a relaxed 'just off the beach' feel, but inside is nice, so not suited to coming straight off the beach with kids. Walk-ins are welcome, dogs are allowed, but booking can get busy in peak summer so it's worth booking ahead. </t>
  </si>
  <si>
    <t xml:space="preserve"> Queen's Drive</t>
  </si>
  <si>
    <t>Colouring, Ice creams, Children's Menu</t>
  </si>
  <si>
    <t>Hot &amp; Cold food, Snacks, Sweet treats</t>
  </si>
  <si>
    <t>Sunshine, Overcast / cloudy, Dry &amp; mild, Dry &amp; cold, Dry &amp; warm, Dry &amp; hot, Windy (&gt; X mph), Raining / wet, Stormy / heavy rain / thunderstorms</t>
  </si>
  <si>
    <t>seafront dining, all-day menu, children's menu, gluten-free options, coastal views, relaxed atmosphere</t>
  </si>
  <si>
    <t>Children’s menu, Flexible seating for families, Rural or scenic setting</t>
  </si>
  <si>
    <t>Heydays.JPG</t>
  </si>
  <si>
    <t>Low Effort, Energy Burner</t>
  </si>
  <si>
    <t>Outdoor pitches, Ball Sports, Purpose-built facilities</t>
  </si>
  <si>
    <t>Trampoline Park</t>
  </si>
  <si>
    <t>ibounce exeter</t>
  </si>
  <si>
    <t>iBounce is a high-energy indoor option for days when children need to jump, crash, climb and burn off steam without depending on the weather. Trampolines, dodgeball, football target zone, giant airbag, foam pit and parent-and-toddler sessions, with iPlay soft play at the same address if you've not tired them out sufficiently afterwards. It is best for families who are happy with lots of happy shouting usually accompanied by dance music, and organise yourself ahead of time for timed sessions and grip-sock logistics (not incl. in the price).</t>
  </si>
  <si>
    <t>33 Marsh Green Road West</t>
  </si>
  <si>
    <t xml:space="preserve"> Marsh Barton</t>
  </si>
  <si>
    <t>EX2 8PN</t>
  </si>
  <si>
    <t>Monday, Tuesday, Thursday, Wednesday, Friday, Saturday, Sunday</t>
  </si>
  <si>
    <t>Overcast / cloudy, Dry &amp; mild, Dry &amp; cold, Windy (&gt; X mph), Raining / wet, Snow / sleet / ice, Stormy / heavy rain / thunderstorms</t>
  </si>
  <si>
    <t>indoor trampolining, wall-to-wall trampolines, giant airbag, foam pit, dodgeball, light chaser games, football target game, stunt zone</t>
  </si>
  <si>
    <t>Clear sightlines, Seating for adults, Café or refreshment area</t>
  </si>
  <si>
    <t>Grip socks</t>
  </si>
  <si>
    <t>iBounce Exeter.JPG</t>
  </si>
  <si>
    <t>Lizzie</t>
  </si>
  <si>
    <t>Bumble and Bee Manor Gardens</t>
  </si>
  <si>
    <t>Bumble and Bee is a proper parent-friendly café stop tucked into Manor Gardens, close enough to the seafront to pair with a beach wander but calmer than the promenade. It is best for breakfast, cake, cream tea or a reset between activities, with the gardens giving children a little space to decompress before or after sitting down. Good for a slower Exmouth day rather than a play-led outing.</t>
  </si>
  <si>
    <t>Manor Gardens</t>
  </si>
  <si>
    <t>Alexandra Terrace</t>
  </si>
  <si>
    <t>EX8 1BB</t>
  </si>
  <si>
    <t>Seasonal opening extends in the summer until 17:00</t>
  </si>
  <si>
    <t>Toilets, Outdoor Seating, Indoor Seating, Dogs Allowed</t>
  </si>
  <si>
    <t>Hot Drinks, Snacks, Sweet treats</t>
  </si>
  <si>
    <t>Sunshine, Overcast / cloudy, Dry &amp; mild, Dry &amp; cold, Dry &amp; warm, Windy (&gt; X mph), Raining / wet, Stormy / heavy rain / thunderstorms</t>
  </si>
  <si>
    <t>tearoom, cream teas, homemade cakes, children's menu, kids pancakes, milkshakes, breakfast, lunch, outdoor seating, garden setting, locally sourced produce, gluten-free options</t>
  </si>
  <si>
    <t>Outdoor play area nearby, Combined with a walk or attraction</t>
  </si>
  <si>
    <t>Bumble and Bee Manor Gardens.JPG</t>
  </si>
  <si>
    <t>Urban Green Space</t>
  </si>
  <si>
    <t>Manor Gardens Exmouth</t>
  </si>
  <si>
    <t>Manor Gardens is a small but useful pause point between Exmouth town and the seafront to grab a quick sit down and tasty snack. With small Victorian-style gardens, it gives families a softer place to break up a town or beach visit with plenty of shade and a short hop from the town's shops. It is particularly useful with younger children when the seafront is too busy, windy or overstimulating.</t>
  </si>
  <si>
    <t>Snacks, Sweet treats, Drinks stand, Hot Drinks, Clear Sightlines</t>
  </si>
  <si>
    <t>ornamental gardens, colourful flower borders, bandstand, children's playground, picnic areas, seasonal events, summer concerts, toilets, café nearby, Victorian walled garden, near seafront</t>
  </si>
  <si>
    <t>Room to run freely</t>
  </si>
  <si>
    <t>Manor Gardens Exmouth.JPG</t>
  </si>
  <si>
    <t>Coffee Cabin / Truck</t>
  </si>
  <si>
    <t xml:space="preserve">Bumble &amp; Sea </t>
  </si>
  <si>
    <t>Bumble &amp; Sea is the quieter, edge-of-the-beach version of a café stop: a shipping-container kiosk at Orcombe Point serving takeaway coffee, cakes, ice cream, cold drinks and hot snacks. It is handy when you fancy a drink and something simple without leaving the beach walk behind. Best paired with Orcombe Point, the Geoneedle, a scooter along the front or a calmer end-of-beach refuel.</t>
  </si>
  <si>
    <t>Orcombe Point</t>
  </si>
  <si>
    <t>Hot Drinks, Snacks, Drinks stand, Sweet treats</t>
  </si>
  <si>
    <t>coffee, hot chocolate, cakes, pastries, ice cream, takeaway, panoramic beach views, Orcombe Point, coastal walk pit stop, compostable packaging, plant-based options</t>
  </si>
  <si>
    <t>Bumble and Sea.JPG</t>
  </si>
  <si>
    <t>Sea Shore Ice Creamery</t>
  </si>
  <si>
    <t>Sea Shore Ice Creamery is the classic seafront ice-cream stop: useful when you need a small treat, a pause on the promenade, or something to stretch out a beach visit without committing to another paid activity. The parent value is in the options — including dairy-free and gluten-free — and the location, which makes it easy to fold into beach, scooters, Sideshore or a walk towards Orcombe Point.</t>
  </si>
  <si>
    <t>Hot Drinks, Snacks, Sweet treats, Drinks stand</t>
  </si>
  <si>
    <t>ice cream, dairy-free options, gluten-free options, milkshakes, beachfront location, takeaway</t>
  </si>
  <si>
    <t>Exmouth Creamery.JPG</t>
  </si>
  <si>
    <t>Brixham Marina</t>
  </si>
  <si>
    <t>Brixham Marina is more of a potter-and-watch stop than a children’s attraction, but it can add a lovely bit of interest to a harbour day. Children can look at the boats, follow the waterfront towards the town and pair it with fish and chips, the Golden Hind or a gentle wander around Brixham. It’s best for families who enjoy coastal atmosphere rather than formal play.</t>
  </si>
  <si>
    <t>Berry Head Road</t>
  </si>
  <si>
    <t>Brixham</t>
  </si>
  <si>
    <t>TQ5 9BW</t>
  </si>
  <si>
    <t>Toilets, Disabled toilets, Baby changing</t>
  </si>
  <si>
    <t>Drinks stand, Sweet treats, Snacks, Hot &amp; Cold food, Hot Drinks</t>
  </si>
  <si>
    <t>crabbing, harbour wall, fishing boats, Golden Hind replica ship, fish market viewing platform, seal spotting, working fishing port, boat trips, seafront walking, colourful harbour views</t>
  </si>
  <si>
    <t>Harbour, Dog Friendly - seasonal leads, Crabbing</t>
  </si>
  <si>
    <t>Fishing nets, Fishing rods &amp; bait</t>
  </si>
  <si>
    <t>Brixham Marina.jpg</t>
  </si>
  <si>
    <t>Mixed Sand &amp; Shingle Beach, Surf Beach, Wild or Remote Beach</t>
  </si>
  <si>
    <t>Summerleaze Beach, Bude</t>
  </si>
  <si>
    <t>Summerleaze is Bude’s main family beach, with sand, surf, beach huts, toilets, a café, RNLI lifeguarding in season and Bude Sea Pool tucked into the rocks. It’s a proper beach-day option rather than a quick paddle stop, especially if you want swimming, sand play and town facilities close by. The nearby car park makes logistics easier, but tide, wind and surf conditions still matter.</t>
  </si>
  <si>
    <t>Summerleaze Beach</t>
  </si>
  <si>
    <t>Bude</t>
  </si>
  <si>
    <t>EX23 8HJ</t>
  </si>
  <si>
    <t>Toilets, Showers / changing facilities, Dogs Allowed</t>
  </si>
  <si>
    <t>Clear Sightlines, Drinks stand, Sweet treats, Hot Drinks</t>
  </si>
  <si>
    <t>Sunshine, Dry &amp; mild, Dry &amp; warm, Dry &amp; hot</t>
  </si>
  <si>
    <t>rockpools, surf hire, sandy beach, swimming, surfing, bodyboarding, rock pooling, tidal sea pool, beach huts, breakwater walk, paddleboarding, kayaking, surf lessons</t>
  </si>
  <si>
    <t>Swimming, Bodyboarding, Surfing, Seasonally Lifeguarded</t>
  </si>
  <si>
    <t>Bude Beach.jpg</t>
  </si>
  <si>
    <t>Lido</t>
  </si>
  <si>
    <t>Bude Sea Pool</t>
  </si>
  <si>
    <t>Bude Sea Pool gives families a calmer way to enjoy seawater swimming without being fully exposed to the open surf. It’s free, open year-round and topped up by the tide, so it feels adventurous without quite the same sea-management stress as the beach. Bring towels, layers and water confidence: it is still outdoors, tidal and unheated, so conditions can change the whole feel of the visit.</t>
  </si>
  <si>
    <t>Closed for 2weeks in April or May for cleaning</t>
  </si>
  <si>
    <t>Toilets, Showers / changing facilities</t>
  </si>
  <si>
    <t>1-2hrs, 2-3hrs, 30-60mins, Under 30mins</t>
  </si>
  <si>
    <t>utdoor tidal swimming pool, wild swimming, seawater pool, cliffside setting</t>
  </si>
  <si>
    <t>Deep water or plunge pools, Natural Swimming Spots</t>
  </si>
  <si>
    <t>Swimming kit, Towels, Water shoes</t>
  </si>
  <si>
    <t>Bude Lido.jpg</t>
  </si>
  <si>
    <t>Water play</t>
  </si>
  <si>
    <t>Decoy Park Splashpad</t>
  </si>
  <si>
    <t>Decoy Country Park is one of those useful all-rounders: a large play area, water play feature, lake, woodland and space to stretch the visit beyond a normal playground stop. The splashpad makes it especially good on warm days when children need cooling off without committing to a beach. Bring spare clothes, towels and a picnic mindset; the water feature is the make-or-break detail, so check seasonal operation before promising it.</t>
  </si>
  <si>
    <t>Decoy Country Park</t>
  </si>
  <si>
    <t>Decoy Road</t>
  </si>
  <si>
    <t>TQ12 1EB</t>
  </si>
  <si>
    <t>Toilets, Disabled toilets, Picnic Benches, Bench Seating</t>
  </si>
  <si>
    <t>Dry &amp; hot, Dry &amp; warm, Sunshine</t>
  </si>
  <si>
    <t>30-60mins, Under 30mins, 1-2hrs, 2-3hrs</t>
  </si>
  <si>
    <t>splashpad, water jets, tipping buckets, outdoor play equipment, zip wire, swings, climbing frame, slides, lake walk, duck feeding, wildlife spotting, kingfishers, BMX track, kayak hire</t>
  </si>
  <si>
    <t>Paddling spots, Splash-friendly areas, Opportunities to explore</t>
  </si>
  <si>
    <t>Towels, Swimming kit, Water shoes, Warm change of clothes</t>
  </si>
  <si>
    <t>Decoy Park Splashpad.jpg</t>
  </si>
  <si>
    <t>Ladram Bay</t>
  </si>
  <si>
    <t>Ladram Bay is a dramatic coastal setting with red cliffs, sea stacks and direct access to a private beach from the holiday park. For staying families, it can become the centre of the whole day: beach time, views, water-based activity and park facilities close together. For non-residents, access and parking need checking carefully - in peak summer non-guests can pay for parking (around £10 on peak summer weekends, free in winter), which then gives access down to the beach via the slipway, or access is possible on foot via the South West Coast Path — fully public, no charge, but a proper walk: about 3 miles from Budleigh Salterton or a steep walk from Sidmouth.</t>
  </si>
  <si>
    <t>Ladram Bay Holiday Park</t>
  </si>
  <si>
    <t>EX9 7BX</t>
  </si>
  <si>
    <t>Toilets, Disabled toilets, Baby changing, Showers / changing facilities, Bench Seating</t>
  </si>
  <si>
    <t>pebble and sand beach, rock pooling, red sandstone sea stacks, Jurassic Coast, swimming, kayak hire, paddleboard hire, coastal walking, South West Coast Path</t>
  </si>
  <si>
    <t>Shell or seaglass collecting, Smooth pebbles</t>
  </si>
  <si>
    <t>Towels, Swimming kit, Fishing rods &amp; bait, Wetsuit Boots, Wetsuits, Snorkel &amp; Mask</t>
  </si>
  <si>
    <t>Ladram Bay.jpg</t>
  </si>
  <si>
    <t>Sandy Bay Park</t>
  </si>
  <si>
    <t>Sandy Bay at Devon Cliffs is a full holiday-park setting rather than a casual public play stop, so it’s most useful for families staying on site or using bookable facilities. The appeal is having beach access, accommodation, food and entertainment wrapped into one place, which can take a lot of planning pressure off. For day visitors, check access carefully before adding it as a general directory option.</t>
  </si>
  <si>
    <t>EX8 5BT</t>
  </si>
  <si>
    <t>sandy beach, rock pooling, swimming, red cliffs, Jurassic Coast, paddling, café, South West Coast Path</t>
  </si>
  <si>
    <t>Towers and platforms, Climbing frames, Fireman’s poles, Stepping obstacles, Fort-style structures, Clear sightlines for adults</t>
  </si>
  <si>
    <t>Sand toys</t>
  </si>
  <si>
    <t>Sandy Bay Park.jpg</t>
  </si>
  <si>
    <t>Wildlife Hotspot</t>
  </si>
  <si>
    <t>Stover Park Information Hut</t>
  </si>
  <si>
    <t>The Stover Centre is the practical anchor point for a Stover visit: toilets, ranger presence and information close to the entrance before you head into the woods and lake paths. It isn’t a standalone attraction, but it matters for parents because it gives you a “sort everyone out first” point — toilet stop, orientation, then walking. The public toilets are listed as open 9am–5pm.</t>
  </si>
  <si>
    <t>TQ12 6PW</t>
  </si>
  <si>
    <t>Dogs Allowed, Outdoor Seating, Disabled toilets, Baby changing, Toilets, Picnic Benches</t>
  </si>
  <si>
    <t>nature interpretation centre, wildlife displays, live nest box CCTV, wildlife identification boards, children's trail leaflets, Ted Hughes children's poetry trail, carved wooden sculptures, storytelling chair, aerial walkway, bird feeding station</t>
  </si>
  <si>
    <t>Guided outdoor learning prompts, Quiet or low-intervention spaces, Immersive natural surroundings</t>
  </si>
  <si>
    <t>Stover Country Park Hut.jpg</t>
  </si>
  <si>
    <t>Gallery</t>
  </si>
  <si>
    <t>Make Southwest Gallery</t>
  </si>
  <si>
    <t>MAKE Southwest is a calm, creative stop rather than a run-around attraction: three gallery spaces, a large craft shop, café and family-friendly activities inside the historic Riverside Mill. It's a simple trip and would work best for children who enjoy making, looking closely, choosing materials or pottering, especially on wet days or as a gentler add-on to a trip to Bovey Tracey.</t>
  </si>
  <si>
    <t>Riverside Mill</t>
  </si>
  <si>
    <t>TQ13 9AF</t>
  </si>
  <si>
    <t>Tuesday, Wednesday, Thursday, Friday, Saturday</t>
  </si>
  <si>
    <t>Closed</t>
  </si>
  <si>
    <t>Dogs Allowed, Indoor Seating</t>
  </si>
  <si>
    <t>Colouring, Activity Sheets or Signs</t>
  </si>
  <si>
    <t>craft gallery, ceramics, glass, textiles, prints, free drop-in craft activity, rotating exhibitions, café</t>
  </si>
  <si>
    <t>Christmas, Easter, Summer</t>
  </si>
  <si>
    <t>Visual displays, Interactive elements, Craft or heritage activities</t>
  </si>
  <si>
    <t>Makers South West Art Gallery.JPG</t>
  </si>
  <si>
    <t>Value is strongest when there’s a children’s activity, exhibition trail or drop-in making session running.</t>
  </si>
  <si>
    <t>The Coffee Bank</t>
  </si>
  <si>
    <t>Low Effort, Moment of Peace, Simple Reset</t>
  </si>
  <si>
    <t>A small local café with an enchanting children’s play space designed to keep little people happily occupied when you need coffee, food and a moment of peace. Geared for smaller numbers, it's easy to keep an eye on your child while enjoying something from their extensive menu, and with a variety of food options for children too, it makes for a simple, low effort, enjoyable spot.</t>
  </si>
  <si>
    <t>6 Silver St</t>
  </si>
  <si>
    <t>EX11 1DD</t>
  </si>
  <si>
    <t>Monday, Tuesday, Wednesday, Thursday, Friday, Saturday</t>
  </si>
  <si>
    <t>Will close at 14:00 if no customers in by 13:30</t>
  </si>
  <si>
    <t>Toilets, Indoor Seating, Highchairs</t>
  </si>
  <si>
    <t>Indoor Play Space, Children's Menu, Colouring, Ice creams, Clues / games, "Indoor games (puzzles, boards)"</t>
  </si>
  <si>
    <t>Hot Drinks, Comfy Seating / Sofas, Snacks, Sweet treats</t>
  </si>
  <si>
    <t>Roleplay toys, toys, wooden toys, playmats, books, imaginary play</t>
  </si>
  <si>
    <t>Dedicated play area, Toy corner or play table, Colouring</t>
  </si>
  <si>
    <t>The Coffee Bank.JPG</t>
  </si>
  <si>
    <t>thecoffeebank6@gmail.com</t>
  </si>
  <si>
    <t>Google opening hours are different but Facebook post from 22nd April &amp; 1 May 2026 confirms opening hours</t>
  </si>
  <si>
    <t>Soft Play Centre, Toddler Play Space</t>
  </si>
  <si>
    <t>Tenpin Soft Play</t>
  </si>
  <si>
    <t>Tenpin Soft Play is useful when younger children need to climb, slide and burn energy but you don’t want the whole family outing to revolve around soft play. The Exeter site has toddler space for ages 1–2 and junior play for ages 3–12, with timed sessions, so it’s a contained option rather than an open-ended stay-all-day setup. The real advantage is being inside Tenpin: older siblings can bowl, play arcade games or do laser tag, which makes it easier when everyone needs something different under one roof.</t>
  </si>
  <si>
    <t>3 - 4 Havenbanks Retail Park</t>
  </si>
  <si>
    <t>Ice creams, Clues / games, Children's Menu, "Swings, Slides, Climbing Frames"</t>
  </si>
  <si>
    <t>Hot Drinks, Clear Sightlines, Hot &amp; Cold food, Snacks, Sweet treats, WiFi</t>
  </si>
  <si>
    <t>Raining / wet, Windy (&gt; X mph), Snow / sleet / ice, Overcast / cloudy, Stormy / heavy rain / thunderstorms, Dry &amp; cold</t>
  </si>
  <si>
    <t>softplay, slides</t>
  </si>
  <si>
    <t>Tenpin Softplay.JPG</t>
  </si>
  <si>
    <t>iPlay Softplay</t>
  </si>
  <si>
    <t xml:space="preserve">iPlay is a dedicated soft play centre at Marsh Barton, useful when younger children need a proper indoor run-around and you want something more focused than a café corner or small play area (or if the car is being fixed at one of the many nearby garages, and you need a place to wait it out). It shares the same site as iBounce (indoor trampoline park), which is handy if you’re juggling different ages, but iPlay itself is very much the younger-child option: climbing, sliding, exploring and a fairly standard café experience for adults. Dinosaur themed with easy sight-lines, it's a small-medium sized venue, </t>
  </si>
  <si>
    <t>Marsh Barton</t>
  </si>
  <si>
    <t>Advance Book, Pay On Arrival</t>
  </si>
  <si>
    <t>Baby, (Fixed) Child, Adult</t>
  </si>
  <si>
    <t>Under 1 year</t>
  </si>
  <si>
    <t>Toilets, Disabled toilets, Baby changing, Showers / changing facilities, Highchairs, Indoor Seating, Picnic Benches</t>
  </si>
  <si>
    <t>Children's Menu, Indoor Play Space, "Swings, Slides, Climbing Frames", Ice creams</t>
  </si>
  <si>
    <t>Hot Drinks, Hot &amp; Cold food, Clear Sightlines, Snacks, Sweet treats</t>
  </si>
  <si>
    <t xml:space="preserve">dinosaur theme, ball pit, slides, softplay cafe, soft play, Jurassic-themed play zone, dinosaur climbing frames, volcano slide, Ice Age-themed play zone, woolly mammoth, sensory room, toddler area, ball pit
</t>
  </si>
  <si>
    <t>Soft climbing structures, Slides, Tunnels and crawl spaces, Ball pools, Enclosed space, Clear sightlines, Seating for adults, Café or refreshment area, Separate toddler area</t>
  </si>
  <si>
    <t>iPlay Softplay.JPG</t>
  </si>
  <si>
    <t>Topsham Recreation Ground</t>
  </si>
  <si>
    <t>Topsham Recreation Ground is a useful local green-space stop when you want room to run without leaving the village. It sits behind the bustle of the high street, so it can pair well with a wander, the ferry, the Goat Walk/estuary side, or a cycle-path outing but provides a quieter spot to reset after a trip to the shops or nearby cafes. It's a practical run-around, picnic or ball-games stop in a pictueresque spot that pairs well with a trip to the library, pool or nearby local shops or cafes.</t>
  </si>
  <si>
    <t>1 Ferry Road</t>
  </si>
  <si>
    <t xml:space="preserve"> Topsham</t>
  </si>
  <si>
    <t>EX3 0JW</t>
  </si>
  <si>
    <t>Bench Seating, Dogs Allowed, Highchairs</t>
  </si>
  <si>
    <t xml:space="preserve">estuary views, riverside walk, local park, swings, slides, outdoor play equipment, riverside setting, open green space
</t>
  </si>
  <si>
    <t>Slides, Zip wires, Clear sightlines for adults, Swings, Open grass / running space</t>
  </si>
  <si>
    <t>Topsham Recreation Ground.JPG</t>
  </si>
  <si>
    <t>Killerton Estate (NT)</t>
  </si>
  <si>
    <t xml:space="preserve">A National Trust estate with garden paths, woodland, play areas, orienteering and plenty of room and routes for a proper leg stretch. Killerton works well for mixed-energy days: there's a buggy-friendly garden loop and younger children’s play areas, dens building space in the woods and an Explorer Challenge for older children. A great option when you want space, fresh air and a bit of structure without it feeling too formal. The mix of house, gardens, woodland and wider estate walks means you can make it a walk-and-café visit or a proper stomp making use of the numerous local trails that surround the estate to increase the length of the walk. </t>
  </si>
  <si>
    <t>Broadclyst</t>
  </si>
  <si>
    <t>EX5 3LE</t>
  </si>
  <si>
    <t>Pay On Arrival, Memberships</t>
  </si>
  <si>
    <t>Young Child, Older Child, Adult, Group</t>
  </si>
  <si>
    <t>2 adults, up to 3 children</t>
  </si>
  <si>
    <t>Paid Car Park, Members Car Park, Disabled parking bays, Bike racks / bays</t>
  </si>
  <si>
    <t>Toilets, Disabled toilets, Dogs Allowed, Service Dogs Only, Outdoor Seating, Indoor Seating, Baby changing, Bench Seating, Picnic Benches, Highchairs, Guided Tour</t>
  </si>
  <si>
    <t>Outdoor play equipment, Activity trail, Children’s trail, Clues / games, Treasure hunt</t>
  </si>
  <si>
    <t>Hot Drinks, Snacks, Hot &amp; Cold food, Sweet treats, Bookshop, Giftshop, Outdoor terrace</t>
  </si>
  <si>
    <t xml:space="preserve">Historic fashion, National Trust, country estate grounds, woodland trails, parkland walking, den building, orienteering, Volcano Challenge trail, ancient trees, bear's hut, wildlife spotting, highland cattle, dormice, bats, butterflies, cycling, outdoor play equipment, ranger activity trail, Georgian country house, historic fashion collection, house mouse trail, secondhand bookshop
</t>
  </si>
  <si>
    <t>Autumn colours, Springtime, Summer, Christmas</t>
  </si>
  <si>
    <t>Bluebells, Autumn Leaves, "Berries, Nuts, Conkers", Crocus Lawn, Garden games, Apple Picking, Pumpkin Patch, Festive Displays, Seasonal Flowers, Snowdrops, Butterflies, Migrating Birds</t>
  </si>
  <si>
    <t>Room to run freely, Open sightlines, Meandering paths, Historic features, "Hidden corners, passageways, gates &amp; gardens", Seasonal foliage, Seasonal or curated displays</t>
  </si>
  <si>
    <t>Killerton.JPG</t>
  </si>
  <si>
    <t>Exeter Arena Skate Park</t>
  </si>
  <si>
    <t xml:space="preserve">Exeter Arena Skate Park is a proper concrete skate spot sitting alongside the enormous carpark for the main athletics arena. With features that make it suitable from absolute beginners through to semi-professional riders, it's particularly useful if you’ve got children building confidence as well as older ones who want more challenge. It’s best for scooters, skateboards and BMX on dry days, and because it’s near the Arena rather than a playground, I’d treat it as a focused wheels session rather than a wider family. Not a scenic spot, its unsuited to picnics but with playing fields and a park nearby, it can work for these occasions if you're willing to walk a little further afield.  </t>
  </si>
  <si>
    <t>Exeter Arena</t>
  </si>
  <si>
    <t>Summer Lane</t>
  </si>
  <si>
    <t>EX4 8DD</t>
  </si>
  <si>
    <t>09:0</t>
  </si>
  <si>
    <t>Bench Seating, Indoor Seating, Dogs Allowed</t>
  </si>
  <si>
    <t>Sunshine, Windy (&gt; X mph), Overcast / cloudy, Dry &amp; mild, Dry &amp; warm, Dry &amp; cold, Dry &amp; hot</t>
  </si>
  <si>
    <t>skateboarding, BMX, scootering, large bowl, quarter pipes, hips, rails, ledges, funbox, jersey barrier, flat bank, street skating, transition skating</t>
  </si>
  <si>
    <t>Exeter Arena Skate Park.JPG</t>
  </si>
  <si>
    <t>Whimple Pump Track</t>
  </si>
  <si>
    <t>Whimple Pump Track is a great spot for children who like bikes, scooters or balance bikes and want repeated loops rather than a long ride. The main track is almost 200 metres, with a smaller track for younger children on balance bikes, so it can work for mixed confidence levels if everyone has helmets and a bit of space. Situated in a broad open space with plenty of grass and an additional play space, it can work for a blended outing with children of varying ages. There's also a younger-child playpark just a stone's throw across a little stream, making it a nice multi-stop, low-key trip.</t>
  </si>
  <si>
    <t>15 Slewton Cresent</t>
  </si>
  <si>
    <t>Whimple</t>
  </si>
  <si>
    <t>EX5 2QA</t>
  </si>
  <si>
    <t>Sunshine, Windy (&gt; X mph), Overcast / cloudy, Dry &amp; mild, Dry &amp; warm, Dry &amp; cold</t>
  </si>
  <si>
    <t>pump track, BMX, cycling, scootering, skateboarding, balance biking, beginner track for younger children</t>
  </si>
  <si>
    <t>Climbing frames, Rope bridges, Balance elements, Scramble nets, Stepping obstacles, Towers and platforms, Slides, Swings, Basket / nest swings, Roundabouts, Seesaws, Ground trampolines, Wheelchair accessible equipment, Inclusive swings</t>
  </si>
  <si>
    <t>Whimple Pump Track.JPG</t>
  </si>
  <si>
    <t>Whimple Play Park</t>
  </si>
  <si>
    <t>Whimple Play Park has been newly refurbished and offers a good range of play options for smaller children looking for a simple park stop with easy follow-on activities nearby. Paired with a trip to the pump track or adventure play area within the playing fields, it can work as a quick reset, a longer energy blow-out, or a useful mixed-age stop where younger children can play while older ones bring bikes or scooters. Pack helmets if you’re using the pump track, and snacks if you want to stretch the visit.</t>
  </si>
  <si>
    <t>20 Slewton Cresent</t>
  </si>
  <si>
    <t>outdoor play equipment, climbing frames, ground trampoline, roundabout, rope climbing unit, rotating seesaw, standing seesaw</t>
  </si>
  <si>
    <t>Pump track, BMX track</t>
  </si>
  <si>
    <t>Whimple Play Park.JPG</t>
  </si>
  <si>
    <t>Swimming Pool</t>
  </si>
  <si>
    <t>Waves Swimming, Riveria Centre</t>
  </si>
  <si>
    <t>Waves is a proper swimming trip rather than a basic pool session, with a wave machine, flume, sloping beach-style entry, children’s play area and water feature. It’s good for mixed ages because younger children can ease in at the shallow end while older ones still have slides and waves to keep them interested. Sessions are bookable, so it's worth checking the timetable before heading there.</t>
  </si>
  <si>
    <t>Riviera International Centre</t>
  </si>
  <si>
    <t>Chestnut Avenue</t>
  </si>
  <si>
    <t xml:space="preserve">Torquay </t>
  </si>
  <si>
    <t>TQ2 5LZ</t>
  </si>
  <si>
    <t>Young Child, Older Child, Adult, Concession</t>
  </si>
  <si>
    <t>Seniors</t>
  </si>
  <si>
    <t>Toilets, Disabled toilets, Baby changing, Showers / changing facilities, Indoor Seating</t>
  </si>
  <si>
    <t>Raining / wet, Windy (&gt; X mph), Snow / sleet / ice, Stormy / heavy rain / thunderstorms, Overcast / cloudy, Dry &amp; cold, Dry &amp; mild</t>
  </si>
  <si>
    <t xml:space="preserve">indoor swimming, wave machine, water flume, beach-style pool entry, toddler splash area, water jets, fill and spill buckets, water wheels, hand wheels, toddler slide, water play
</t>
  </si>
  <si>
    <t>Instructor support, Water slides, Wave machines, Lifeguarded areas (where applicable)</t>
  </si>
  <si>
    <t>Waves Swim.JPG</t>
  </si>
  <si>
    <t>Belmont Park</t>
  </si>
  <si>
    <t>Belmont Park is a useful city park when children need space to run without leaving central Exeter. There’s open grass, a children’s play area, basketball half-court and room for a picnic or kickabout, so it can work as a quick reset, a post-town run-around or a simple outdoor stop between errands. It’s not a polished destination park, but it gives families breathing room close to the city, shady spots and within reasonable proximity to local shops and amenities.</t>
  </si>
  <si>
    <t>Belmont Road</t>
  </si>
  <si>
    <t>EX4 6SS</t>
  </si>
  <si>
    <t>Sunshine, Overcast / cloudy, Dry &amp; warm, Dry &amp; cold, Dry &amp; mild</t>
  </si>
  <si>
    <t>outdoor play equipment, climbing frames, swings, slides, sensory garden, basketball, open green space</t>
  </si>
  <si>
    <t>Climbing frames, Slides, Swings, Springers / rockers, Tunnels and crawl spaces, Open grass / running space, Sensory play features</t>
  </si>
  <si>
    <t>Belmont Park.JPG</t>
  </si>
  <si>
    <t>Heavitree Pleasure Grounds</t>
  </si>
  <si>
    <t>Heavitree Pleasure Grounds is one of those Exeter parks that can keep different ages busy without needing much planning. There’s play, open space, tennis, basketball, BMX/skate facilities, bowling and picnic space, so it can be a quick playground stop or a longer after-school energy burn. It’s especially useful when siblings want different things and you need somewhere active but easy to reach. Parking can be tricky with a fair amount of on-street parking restricted to residents bays, but if you time it right there's enough local streets that you're likely to find a spot.</t>
  </si>
  <si>
    <t>Whipton Lane</t>
  </si>
  <si>
    <t>Heavitree</t>
  </si>
  <si>
    <t>EX1 3DN</t>
  </si>
  <si>
    <t>Toilets, Highchairs, Indoor Seating, Dogs Allowed, Outdoor Seating, Showers / changing facilities</t>
  </si>
  <si>
    <t>Hot Drinks, Hot &amp; Cold food, Snacks, Sweet treats, Outdoor terrace</t>
  </si>
  <si>
    <t>Sunshine, Overcast / cloudy, Dry &amp; warm, Dry &amp; cold, Dry &amp; mild, Dry &amp; hot</t>
  </si>
  <si>
    <t>outdoor play equipment, paddling pools, skateboarding, BMX, scootering, basketball, tennis, open green space, running</t>
  </si>
  <si>
    <t>Seasonal water fun, Autumn Leaves</t>
  </si>
  <si>
    <t>Climbing frames, Slides, Swings, Open grass / running space, Water play features, Bowl, Quarter pipes, Street skating features</t>
  </si>
  <si>
    <t>Heavitree Pleasure Grounds.JPG</t>
  </si>
  <si>
    <t>Mincing Lake Valley Park - DWT</t>
  </si>
  <si>
    <t>Mincinglake Valley Park is more of a wild-feeling nature wander than a manicured park, with valley paths, meadows, hedgerows and woodland close to residential Exeter. It’s a good choice when children need fresh air, sticks, mud and space rather than play equipment. Best with sensible shoes and snacks, and better for families happy to explore at a slower pace than those looking for toilets, café stops or a fixed activity. The space is managed but left fairly natural, so it's a great place to explore the different trails and loops throughout the park.</t>
  </si>
  <si>
    <t>48 Stoke Hill</t>
  </si>
  <si>
    <t>EX4 7DW</t>
  </si>
  <si>
    <t>Sunshine, Overcast / cloudy, Dry &amp; mild, Dry &amp; cold, Dry &amp; warm</t>
  </si>
  <si>
    <t xml:space="preserve">woodland walking, meadow exploring, stream paddling, den building, wildlife spotting, foxes, bullfinches, harvest mice, bug hunting, fairy village, outdoor play equipment, giant slide, climbing frame, nature trails
</t>
  </si>
  <si>
    <t>Wildflower Meadows</t>
  </si>
  <si>
    <t>Grassy banks, Rolling landscapes, Scenic backdrops, Countryside views, Streams or ditches, Meadows or wild grass</t>
  </si>
  <si>
    <t>Binoculars, Sling / baby carrier, Infant / toddler carrier, XC Buggy</t>
  </si>
  <si>
    <t>Mincing Lake Valley Park.JPG</t>
  </si>
  <si>
    <t>Decoy Park</t>
  </si>
  <si>
    <t xml:space="preserve">Decoy Country Park gives families lots of options for a lively outdoor trip: lake, woodland, wildlife, play area, picnic space, a splashpad in warmer months and boats that can be hired and taken out on the lake. It’s useful when you want more than a playground but less effort than a big day out, because children can move between climbing, walking, water play and snack stops, and the site isn't vast so nothing is a long walk from the car park. Bikes can be ridden around the trails which are sheltered and shaded, and have the usual large logs and fallen trees to clamber over. The splashpad is the summer make-or-break and runs on a timed daily system, so check it’s running before building the visit around it or prepare to be flexible and move between other options. </t>
  </si>
  <si>
    <t>38 Decoy Road</t>
  </si>
  <si>
    <t>TQ12 1DP</t>
  </si>
  <si>
    <t>Toilets, Bench Seating, Dogs Allowed, Picnic Benches, Disabled toilets, Outdoor Seating</t>
  </si>
  <si>
    <t>Ice creams, Activity trail</t>
  </si>
  <si>
    <t>Dry &amp; hot, Dry &amp; warm, Dry &amp; cold, Dry &amp; mild, Overcast / cloudy, Sunshine</t>
  </si>
  <si>
    <t>Watersports Hire, Seasonal water fun, Fungi, "Berries, Nuts, Conkers", Autumn Leaves, Migrating Birds, Butterflies, Dragonflies &amp; Damselflies</t>
  </si>
  <si>
    <t>Climbable trees, Play equipment, Marked Trails, "Natural play features (logs, slopes, rocks)", "Bridges (wooden, stone, suspension)", Scenic backdrops, Countryside views, Room to run freely, Ponds or lakes</t>
  </si>
  <si>
    <t>Towels, Swimming kit, Water shoes, XC Buggy, Sling / baby carrier, Infant / toddler carrier</t>
  </si>
  <si>
    <t>Decoy Park.jpg</t>
  </si>
  <si>
    <t>Finlake Falls Holiday Park Kids Swimming Pool</t>
  </si>
  <si>
    <t>Finlake Falls is a brilliant indoor heated pool and small-scale waterpark that runs all year-round, with exception of the the outdoor pool and slide being seasonally available. Primarily intended for those staying at the holiday park, but local families can purchase day/session passes as well as memberships which offer additional benefits. Swimming slots do often need to be booked ahead of time, so it's one to plan ahead rather than arrange spontaneously, but well worth a trip or considering membership if your children love swimming and you'd like a local, quieter spot that has both lane options, lessons, slides and simpler water play options. (Note for younger children there are height restrictions on all slides, so they are generally suited to age 8+)</t>
  </si>
  <si>
    <t>Finlake Resort &amp; Spa</t>
  </si>
  <si>
    <t>Barley Lane</t>
  </si>
  <si>
    <t>TQ13 0EJ</t>
  </si>
  <si>
    <t>Disabled toilets, Baby changing, Showers / changing facilities, Indoor Seating, Outdoor Seating, Bench Seating</t>
  </si>
  <si>
    <t>Hot Drinks, Snacks, Hot &amp; Cold food</t>
  </si>
  <si>
    <t xml:space="preserve">holiday park, swimming pool, splash zone, water play, indoor swimming pool, water flumes, outdoor swimming pool, toddler splash zone, beach-entry pool, water slides, watersports hub
</t>
  </si>
  <si>
    <t>Springtime, Summer</t>
  </si>
  <si>
    <t>Seasonal water fun</t>
  </si>
  <si>
    <t>Instructor support, Splash-friendly areas</t>
  </si>
  <si>
    <t>Finlake Pool.JPG</t>
  </si>
  <si>
    <t>Finlake Falls Holiday Park Flumes &amp; Rides</t>
  </si>
  <si>
    <t>Instructor support, Splash-friendly areas, Water slides, Water rides</t>
  </si>
  <si>
    <t>Bury Meadow</t>
  </si>
  <si>
    <t>Bury Meadow is a handy city-centre park when children need a quick outdoor energy blow-out, or a quieter leafy space without leaving Exeter. There’s open grass, a playground, wooden activity trail and paths, so it can cover a quick run-around, a snack stop, or a calmer pause between town, RAMM, the university side or the stations. It is more of an easy local breathing-space than a destination park, but useful when everyone needs fresh air and a bit of room to move. With lots of pockets of shade in the summer too, it provides a cool, quieter place to take a pause whilst in the city. Paved paths around the park make it well-suited to a scooter or short bike loop.</t>
  </si>
  <si>
    <t>New North Road</t>
  </si>
  <si>
    <t>St Davids</t>
  </si>
  <si>
    <t>EX4 4HH</t>
  </si>
  <si>
    <t>Picnic Benches, Bench Seating, Dogs Allowed, Toilets</t>
  </si>
  <si>
    <t>Sunshine, Dry &amp; mild, Dry &amp; warm, Dry &amp; hot, Overcast / cloudy</t>
  </si>
  <si>
    <t>city park, local park, peaceful park, swings, outdoor play equipment, swings, slides, roundabout, trampoline, wooden activity trail, open parkland</t>
  </si>
  <si>
    <t>Balance elements, Stepping obstacles, Clear sightlines for adults</t>
  </si>
  <si>
    <t>Bury Meadow.JPG</t>
  </si>
  <si>
    <t>Mouthwell Sands</t>
  </si>
  <si>
    <t>Hope Cove is the sort of beach village that works best when you want sand, rockpools, a paddle and somewhere nearby for food, without committing to a huge resort day. There are two beaches — Mouthwell Sands closest to the car park, and Harbour Beach just beyond — so you can shift about depending on tide, weather and children’s energy. Roads into the village are narrow and parking can be tight in summer, so it’s worth going early rather than arriving with hungry children and no space. Public toilets and cafés nearby make it much easier than a completely wild beach stop.</t>
  </si>
  <si>
    <t>Mouthwell beach</t>
  </si>
  <si>
    <t>TQ7 3HG</t>
  </si>
  <si>
    <t>Hot Drinks, Hot &amp; Cold food, Clear Sightlines, Snacks, Sweet treats, Outdoor terrace</t>
  </si>
  <si>
    <t>sandy beach, swimming, rock pooling, stream paddling, dam building, sandcastles, bodyboarding, kayaking, paddleboarding, seal spotting, dolphin spotting, coastal walking, harbour wall jumping, smugglers caves</t>
  </si>
  <si>
    <t>Ice Creams, Watersports Hire, Wildflower Meadows, Seasonal Flowers, Marine Wildlife Spotting, Migrating Birds, Seabird Colonies</t>
  </si>
  <si>
    <t>Seasonally Lifeguarded, Diggable sand (Sandcastles), Rockpools, Seaweed beds, Shell or seaglass collecting, Smooth pebbles, Shallow paddling, Streams or channels, Coves &amp; inlets, Rock formations, Caves, Cliffs Or Headlands, Coastal Wildlife, Surfing, Swimming, Bodyboarding, Kayaking / SUP, Toilets nearby, Beach Cafe, Slipway</t>
  </si>
  <si>
    <t>Hope Cove.jpg</t>
  </si>
  <si>
    <t>Jo</t>
  </si>
  <si>
    <t>Rocky Cove, Wild or Remote Beach, Pebble or Shingle Beach</t>
  </si>
  <si>
    <t>Mansands Beach - National Trust</t>
  </si>
  <si>
    <t>Mansands is a beautiful, quieter beach for families who are happy to put in a bit of additional effort for space and a wilder feel. There’s no parking right by the beach and access is on foot, so it’s better for children who can manage the walk, uneven ground and carrying their own bits. At low tide there’s more sand to play on; at other times it feels more pebbly and tucked-away. Pack everything you need, because this is not a facilities beach but a beautiful, magical feel when you arrive.</t>
  </si>
  <si>
    <t>Woodhuish Lane Car Park</t>
  </si>
  <si>
    <t>Kingswear</t>
  </si>
  <si>
    <t>Dartmouth</t>
  </si>
  <si>
    <t>TQ6 0EF</t>
  </si>
  <si>
    <t>1-2hrs, 2-3hrs, 4+ hours</t>
  </si>
  <si>
    <t>pebble and sand beach, rock pooling, caves, coastal exploration, fresh water stream, brackish lagoon, bird hide, birdwatching, grass snakes, coastal walking, National Trust</t>
  </si>
  <si>
    <t>Winter, Summer</t>
  </si>
  <si>
    <t>"Returning swallows, swifts (birds)", Birdsong, Migrating Birds, Starling Murmurations, Snowdrops</t>
  </si>
  <si>
    <t>Rockpools, Seaweed beds, Shell or seaglass collecting, Smooth pebbles, Coves &amp; inlets, Streams or channels, Rock formations, Cliffs Or Headlands, Caves, Coastal Wildlife, Dog Friendly - off lead all year</t>
  </si>
  <si>
    <t>Sling / baby carrier, Infant / toddler carrier, Swimming kit, Towels, Water shoes, Wetsuit Boots</t>
  </si>
  <si>
    <t>Mansands Beach.JPG</t>
  </si>
  <si>
    <t>Greenway - National Trust</t>
  </si>
  <si>
    <t>Greenway is a slower National Trust day with a bit of adventure built into the getting-there. The house, gardens, woodland paths and river views make it good for children who like exploring, stories and outdoor wandering rather than rides or big play areas; a more traditional National Trust visit than some of the estates which are more adapted to families. The key thing to know before setting off is parking: if you’re driving, you need to book a parking space ahead of your visit. Arriving by boat, ferry or steam railway can make the day feel much more memorable too, so it's a trip that can easily be made into something of an adventure if you've got the energy and interest. Beautiful views and peaceful surroundings make it a lovely trip regardless, and you can expect the usual NT Cafe goodies that complete the visit.</t>
  </si>
  <si>
    <t>Greenway Road</t>
  </si>
  <si>
    <t>Galmpton</t>
  </si>
  <si>
    <t>TQ5 0ES</t>
  </si>
  <si>
    <t xml:space="preserve">Open weekdays February to October. Nov-Dec open weekends 11:00-16:00. Shut January. </t>
  </si>
  <si>
    <t>(Fixed) Child, Adult, Group</t>
  </si>
  <si>
    <t>Toilets, Disabled toilets, Baby changing, Bench Seating, Picnic Benches, Highchairs, Indoor Seating, Dogs Allowed, Guided Tour, Outdoor Seating</t>
  </si>
  <si>
    <t>Activity trail, Treasure hunt, Clues / games, Children’s trail, Children's Menu, Ice creams</t>
  </si>
  <si>
    <t>Hot Drinks, Hot &amp; Cold food, Snacks, Sweet treats, Outdoor terrace, Bookshop, Giftshop, WiFi</t>
  </si>
  <si>
    <t>Agatha Christie holiday home, house trail, animal spotting trail, walled gardens, woodland walks, riverside paths, boathouse, Napoleonic battery, River Dart views, fernery, National Trust</t>
  </si>
  <si>
    <t>Christmas, Springtime, Summer</t>
  </si>
  <si>
    <t>Ice Creams, Garden games, Festive Displays, Bluebells, Seasonal Flowers</t>
  </si>
  <si>
    <t>Designed or sculpted landscapes, Seasonal foliage, Seasonal or curated displays, Room to run freely, Open sightlines, Meandering paths, "Hidden corners, passageways, gates &amp; gardens"</t>
  </si>
  <si>
    <t>Greenway.JPG</t>
  </si>
  <si>
    <t>Easy Pit-Stops, Coffee Cabin / Truck</t>
  </si>
  <si>
    <t xml:space="preserve">Hangtime </t>
  </si>
  <si>
    <t>Hangtime is the handy beachside café at Sideshore when you’re already doing the beach, scooters or a seafront wander and need food without pulling everyone away from the water. The benches look straight out over the sand and watersports, so children have something to watch while you do coffee, snacks, breakfast baps or lunch. It’s not a destination on its own, but it’s very good at making an Exmouth beach trip easier when everyone is sandy, hungry or flagging. It's also one of the earliest to open at the Sideshore complex, so if you're after a coffee break after an early start, Hangtime is there for you!</t>
  </si>
  <si>
    <t>Unit 6 &amp; 7, Sideshore</t>
  </si>
  <si>
    <t>Picnic Benches, Bench Seating, Dogs Allowed, Outdoor Seating</t>
  </si>
  <si>
    <t>Hot Drinks, Snacks, Sweet treats, Outdoor terrace</t>
  </si>
  <si>
    <t xml:space="preserve">beach cafe, coffee stop, sea views, coffee, smoothies, acai bowls, pasties, ice cream, milkshakes, beachfront views, watching watersports, outdoor seating
</t>
  </si>
  <si>
    <t>Outdoor play area nearby, Combined with a walk or attraction, Farm animals nearby</t>
  </si>
  <si>
    <t>Hangtime.JPG</t>
  </si>
  <si>
    <t>Historic Estate</t>
  </si>
  <si>
    <t>Castle Drogo Museum</t>
  </si>
  <si>
    <t>A striking castle interior with family rooms, hidden details, historic objects and stories from the Drewe family. Inside Castle Drogo, families can explore the last castle built in England, with grand rooms, architectural detail, collection pieces and changing exhibitions. It’s a slower indoor visit, good for children who like houses, history, objects and spotting small details as they move through each room.</t>
  </si>
  <si>
    <t>Drive</t>
  </si>
  <si>
    <t>Drewsteignton</t>
  </si>
  <si>
    <t>EX6 6PB</t>
  </si>
  <si>
    <t>1 adult &amp; up to 3 children</t>
  </si>
  <si>
    <t>Family (2 adults and up to 3 children)</t>
  </si>
  <si>
    <t>Toilets, Disabled toilets, Indoor Seating, Picnic Benches, Guided Tour, Dogs Allowed</t>
  </si>
  <si>
    <t>Hot Drinks, Hot &amp; Cold food, Bookshop, Giftshop, Sweet treats, Snacks</t>
  </si>
  <si>
    <t>Windy (&gt; X mph), Raining / wet, Snow / sleet / ice, Overcast / cloudy, Stormy / heavy rain / thunderstorms, Dry &amp; mild, Dry &amp; cold</t>
  </si>
  <si>
    <t>Historic Houses, Castles, Architecture, National Trust</t>
  </si>
  <si>
    <t>Autumn Leaves</t>
  </si>
  <si>
    <t>Historic buildings, Period features, Recreated environments, Castles or Fortresses, Story-led interpretation, Visual displays, Audio guides or trails</t>
  </si>
  <si>
    <t>Caslte Drogo Museum.jpg</t>
  </si>
  <si>
    <t>https://www.nationaltrust.org.uk/visit/devon/castle-drogo</t>
  </si>
  <si>
    <t>Immersive Worlds, Scenario &amp; World play</t>
  </si>
  <si>
    <t>Imagination Avenue Play Cafe</t>
  </si>
  <si>
    <t>Unit 2F Onyx Business Park</t>
  </si>
  <si>
    <t xml:space="preserve">Enterprise Road </t>
  </si>
  <si>
    <t xml:space="preserve">Barnstaple </t>
  </si>
  <si>
    <t>EX31 3ZD</t>
  </si>
  <si>
    <t>0-6 months</t>
  </si>
  <si>
    <t>6-11 months</t>
  </si>
  <si>
    <t>Free Car Park, On-street / nearby parking</t>
  </si>
  <si>
    <t>Windy (&gt; X mph), Raining / wet, Overcast / cloudy, Stormy / heavy rain / thunderstorms, Dry &amp; mild, Dry &amp; cold, Dry &amp; warm, Snow / sleet / ice</t>
  </si>
  <si>
    <t>imaginative play, baby zone</t>
  </si>
  <si>
    <t>Immersive settings, Dressing Up Clothes, Role-based scenarios, Shared imaginative spaces, Open-ended play structure</t>
  </si>
  <si>
    <t>The Play Cafe.jpg</t>
  </si>
  <si>
    <t>Essential Info</t>
  </si>
  <si>
    <t>Event Descriptors</t>
  </si>
  <si>
    <t>Event Venue</t>
  </si>
  <si>
    <t>Scheduling</t>
  </si>
  <si>
    <t>Single-Day (one session) Event Schedule</t>
  </si>
  <si>
    <t>Single-Day (multi-session) Event Schedule</t>
  </si>
  <si>
    <t xml:space="preserve">Multi-Day Event With Fixed Daily Times Schedule </t>
  </si>
  <si>
    <t>Multi-Day Event With Mixed Daily Times</t>
  </si>
  <si>
    <t>Event Ticketing Types, Dates &amp; Costs</t>
  </si>
  <si>
    <t>Skill Requirements</t>
  </si>
  <si>
    <t>Ticket Requirements + Types</t>
  </si>
  <si>
    <t>Event Setting</t>
  </si>
  <si>
    <t>Opportunity Theme Variant</t>
  </si>
  <si>
    <t>Event Name</t>
  </si>
  <si>
    <t>Event Type</t>
  </si>
  <si>
    <t>Weather Suitability</t>
  </si>
  <si>
    <t>Event Start Date</t>
  </si>
  <si>
    <t>Event End Date</t>
  </si>
  <si>
    <t>Event Days Total</t>
  </si>
  <si>
    <t>Are there Multiple Sessions in one day?</t>
  </si>
  <si>
    <t>Event Schedule Pattern (Which days of the week will the event be running?)</t>
  </si>
  <si>
    <t>Are there fixed timings that are the same each day?</t>
  </si>
  <si>
    <t>Daily Start Time</t>
  </si>
  <si>
    <t>Daily Finish Time</t>
  </si>
  <si>
    <t>Total number of sessions within the day</t>
  </si>
  <si>
    <t>Times of those multi-sessions</t>
  </si>
  <si>
    <t>Daily Timings Start Time</t>
  </si>
  <si>
    <t>Daily Timings End Time</t>
  </si>
  <si>
    <t>Monday Start Time</t>
  </si>
  <si>
    <t>Monday End Time</t>
  </si>
  <si>
    <t>Tuesday Start Time</t>
  </si>
  <si>
    <t>Tuesday End Time</t>
  </si>
  <si>
    <t>Wednesday Start Time</t>
  </si>
  <si>
    <t>Wednesday End Time</t>
  </si>
  <si>
    <t>Thursday Start Time</t>
  </si>
  <si>
    <t>Thursday End Time</t>
  </si>
  <si>
    <t>Friday Start Time</t>
  </si>
  <si>
    <t>Friday End Time</t>
  </si>
  <si>
    <t>Saturday Start Time</t>
  </si>
  <si>
    <t>Saturday End Time</t>
  </si>
  <si>
    <t>Sunday Start Time</t>
  </si>
  <si>
    <t>Sunday End Time</t>
  </si>
  <si>
    <t>Ticket Sales Start Date</t>
  </si>
  <si>
    <t>Baby Ticket Age Range</t>
  </si>
  <si>
    <t>Fixed Child Ticket Age Range</t>
  </si>
  <si>
    <t>Young Child Ticket Age Range</t>
  </si>
  <si>
    <t>Older Child Ticket Age Range</t>
  </si>
  <si>
    <t>Adult Ticket Age Range</t>
  </si>
  <si>
    <t>Concession Ticket Age Range</t>
  </si>
  <si>
    <t>Interest Tags</t>
  </si>
  <si>
    <t>Highlights (Attractions)</t>
  </si>
  <si>
    <t>Skill Area</t>
  </si>
  <si>
    <t>Skill Area Variant</t>
  </si>
  <si>
    <t>Ability Level</t>
  </si>
  <si>
    <t>Image Name</t>
  </si>
  <si>
    <r>
      <rPr>
        <b/>
        <sz val="8"/>
        <color theme="1"/>
        <rFont val="Roboto"/>
      </rPr>
      <t xml:space="preserve">*UMER ONLY*
</t>
    </r>
    <r>
      <rPr>
        <sz val="8"/>
        <color theme="1"/>
        <rFont val="Roboto"/>
      </rPr>
      <t>Confirm Entry Added?</t>
    </r>
  </si>
  <si>
    <t>event_opportunity_theme</t>
  </si>
  <si>
    <t>event_opportunity_theme_variant</t>
  </si>
  <si>
    <t>event_name</t>
  </si>
  <si>
    <t>event_activity_group</t>
  </si>
  <si>
    <t>event_type</t>
  </si>
  <si>
    <t>event_description</t>
  </si>
  <si>
    <t>event_address_line_1</t>
  </si>
  <si>
    <t>event_address_line_2</t>
  </si>
  <si>
    <t>event_city</t>
  </si>
  <si>
    <t>event_region</t>
  </si>
  <si>
    <t>event_postcode</t>
  </si>
  <si>
    <t>event_country</t>
  </si>
  <si>
    <t>event_physical_setting</t>
  </si>
  <si>
    <t>event_detailed_weather_suitability</t>
  </si>
  <si>
    <t>event_start_date</t>
  </si>
  <si>
    <t>event_end_date</t>
  </si>
  <si>
    <t>event_days_total</t>
  </si>
  <si>
    <t>event_daily_multi_session</t>
  </si>
  <si>
    <t>event_timetable_weekly</t>
  </si>
  <si>
    <t>event_daily_fixed_timings</t>
  </si>
  <si>
    <t>event_daily_fixed_start_time</t>
  </si>
  <si>
    <t>event_daily_fixed_end_time</t>
  </si>
  <si>
    <t>event_daily_multi_session_total</t>
  </si>
  <si>
    <t>event_daily_multi_session_timings</t>
  </si>
  <si>
    <t>event_weekly_fixed_start_time</t>
  </si>
  <si>
    <t>event_weekly_fixed_end_time</t>
  </si>
  <si>
    <t>event_mixed_timings_monday_start_time</t>
  </si>
  <si>
    <t>event_mixed_timings_monday_end_time</t>
  </si>
  <si>
    <t>event_mixed_timings_tuesday_start_time</t>
  </si>
  <si>
    <t>event_mixed_timings_tuesday_end_time</t>
  </si>
  <si>
    <t>event_mixed_timings_wednesday_start_time</t>
  </si>
  <si>
    <t>event_mixed_timings_wednesday_end_time</t>
  </si>
  <si>
    <t>event_mixed_timings_thursday_start_time</t>
  </si>
  <si>
    <t>event_mixed_timings_thursday_end_time</t>
  </si>
  <si>
    <t>event_mixed_timings_friday_start_time</t>
  </si>
  <si>
    <t>event_mixed_timings_friday_end_time</t>
  </si>
  <si>
    <t>event_mixed_timings_saturday_start_time</t>
  </si>
  <si>
    <t>event_mixed_timings_saturday_end_time</t>
  </si>
  <si>
    <t>event_mixed_timings_sunday_start_time</t>
  </si>
  <si>
    <t>event_mixed_timings_sunday_end_time</t>
  </si>
  <si>
    <t>ticket_sales_start_date</t>
  </si>
  <si>
    <t>event_entry_cost</t>
  </si>
  <si>
    <t>event_booking_type</t>
  </si>
  <si>
    <t>event_parking_provision</t>
  </si>
  <si>
    <t>event_general_facilities</t>
  </si>
  <si>
    <t>event_child_facilities</t>
  </si>
  <si>
    <t>event_adult_facilities</t>
  </si>
  <si>
    <t>event_age_suitability_under_1_s</t>
  </si>
  <si>
    <t>event_age_suitability_1_to_2_years</t>
  </si>
  <si>
    <t>event_age_suitability_3_to_4_years</t>
  </si>
  <si>
    <t>event_age_suitability_5_to_7_years</t>
  </si>
  <si>
    <t>event_age_suitability_8_to_12_years</t>
  </si>
  <si>
    <t>event_age_suitability_over_13_years</t>
  </si>
  <si>
    <t>event_age_suitability_adults</t>
  </si>
  <si>
    <t>event_interest_tags</t>
  </si>
  <si>
    <t>event_seasonal_tags</t>
  </si>
  <si>
    <t>event_seasonal_highlights</t>
  </si>
  <si>
    <t>event_highlights</t>
  </si>
  <si>
    <t>event_extra_kit</t>
  </si>
  <si>
    <t>event_skill_area</t>
  </si>
  <si>
    <t>event_skill_area_variant</t>
  </si>
  <si>
    <t>event_ability_level</t>
  </si>
  <si>
    <t>quick_reset</t>
  </si>
  <si>
    <t>energy_burner</t>
  </si>
  <si>
    <t>simple_reset</t>
  </si>
  <si>
    <t>special_day_out</t>
  </si>
  <si>
    <t>effort_reward</t>
  </si>
  <si>
    <t>regular_habit</t>
  </si>
  <si>
    <t>different_score</t>
  </si>
  <si>
    <t>support_score</t>
  </si>
  <si>
    <t>event</t>
  </si>
  <si>
    <t>Ashridge Court</t>
  </si>
  <si>
    <t>Nature-based</t>
  </si>
  <si>
    <t>Set against the backgroup of surrounding farmland, 6 acres of garden dating from the early 1900s are waiting to be explored. An Arts &amp; Crafts movement inspired garden room featuring Japanese maples, a woodland walk dashed with ferns and shrubs, and a walled garden and arboretum offer a relaxed, unfussy space to stretch legs and enjoy a thoughtfully landscaped space.</t>
  </si>
  <si>
    <t>North Tawton</t>
  </si>
  <si>
    <t>EX20 2DH</t>
  </si>
  <si>
    <t>Friday</t>
  </si>
  <si>
    <t>0-17</t>
  </si>
  <si>
    <t>Dogs Allowed, Toilets, Disabled toilets</t>
  </si>
  <si>
    <t>Snacks, Hot &amp; Cold food, Clear Sightlines</t>
  </si>
  <si>
    <t>Historical garden, autumn colours, countryside views, wildlife garden, National Garden Scheme</t>
  </si>
  <si>
    <t>Seasonal foliage, Seasonal or curated displays, Room to run freely, Meandering paths, Designed or sculpted landscapes, Vegetable gardens &amp; growing spaces</t>
  </si>
  <si>
    <t>Sling / baby carrier, Infant / toddler carrier, Wellies, Cash - no card payments</t>
  </si>
  <si>
    <t>Ashridge Court.jpg</t>
  </si>
  <si>
    <t>Kia-Ora Farm &amp; Gardens</t>
  </si>
  <si>
    <t>A charming 10 acre garden set in beautiful countryside in the heart of Devon. The extensively planted Gardens create an idyllic, peaceful setting with vast lawns, large lakes, ponds, bog gardens and various water features including its own waterwheel and mill, a paradise for swans, ducks, geese and endless other wildlife. This is a garden full of character and charm, a wonderful place for children of all ages to enjoy and explore...topped off with homemade cakes and tea.</t>
  </si>
  <si>
    <t>Knowle Lane</t>
  </si>
  <si>
    <t>Cullompton</t>
  </si>
  <si>
    <t>EX15 1PZ</t>
  </si>
  <si>
    <t>Sunday</t>
  </si>
  <si>
    <t>Adult</t>
  </si>
  <si>
    <t>Hot Drinks, Snacks, Sweet treats, Giftshop</t>
  </si>
  <si>
    <t>Rose gardens, National Garden Scheme, peacocks</t>
  </si>
  <si>
    <t>Seasonal foliage, Water Features or Fountains, Lakes or wildlife ponds, Room to run freely, Open sightlines, Meandering paths</t>
  </si>
  <si>
    <t>Sling / baby carrier, Infant / toddler carrier, Cash - no card payments</t>
  </si>
  <si>
    <t>Kia-Ora Farm &amp; Gardens.jpg</t>
  </si>
  <si>
    <t>Monday</t>
  </si>
  <si>
    <t>Goren Farm</t>
  </si>
  <si>
    <t xml:space="preserve">Easy access footpaths are dotted across fifty acres of natural, species-rich wildflower meadows. With dozens of varieties of wild flowers and grasses, thousands of orchids from early June, and a haven for butterflies in July, this beautiful setting gives wildlife enthusiasts an opportunity to enjoy seasonal natural beauty, set against the stunning views of the Blackdown Hills. Open evenings run from early May until the end of June giving families the chance to picnic in a spectacular setting, or, with a small cafe onsite serving light lunches and Cream Teas, enjoy views over the Corry valley whilst sampling a homegrown cider or apple juice.
</t>
  </si>
  <si>
    <t>Broadhayes</t>
  </si>
  <si>
    <t>Stockland</t>
  </si>
  <si>
    <t>EX14 9EN</t>
  </si>
  <si>
    <t>Picnic Benches, Outdoor Seating, Toilets</t>
  </si>
  <si>
    <t>Corry Valley, Countryside Views, Wildflower Meadows, Butterflies, National Garden Scheme</t>
  </si>
  <si>
    <t>Wildflower Meadows, Butterflies</t>
  </si>
  <si>
    <t>Meadows or wild grass</t>
  </si>
  <si>
    <t>Sling / baby carrier, Infant / toddler carrier, Binoculars</t>
  </si>
  <si>
    <t>Goren Farm.jpg</t>
  </si>
  <si>
    <t>(Fixed) Child, Adult</t>
  </si>
  <si>
    <t>Seasonal</t>
  </si>
  <si>
    <t>PYO Farm</t>
  </si>
  <si>
    <t xml:space="preserve">Thorne's Farm PYO </t>
  </si>
  <si>
    <t>PYO</t>
  </si>
  <si>
    <t xml:space="preserve">Thorne's Farm PYO is a hive of activity throughout the summer months as their season begins - with elevated rows of strawberries, set in beautiful countryside, it's a real summer treat to spend time collecting fruit then cooling off on the Cafe terrace. Simple, relaxed and with a indoor play area suited to smaller children, it's a lovely simple outing. </t>
  </si>
  <si>
    <t>Hawthorne Gardens</t>
  </si>
  <si>
    <t>Crediton</t>
  </si>
  <si>
    <t>Toilets, Disabled toilets, Picnic Benches, Dogs Allowed, Outdoor Seating</t>
  </si>
  <si>
    <t>Colouring, Indoor Play Space, Children's Menu</t>
  </si>
  <si>
    <t>Hot Drinks, Comfy Seating / Sofas, Hot &amp; Cold food, Snacks, Sweet treats, Log burner, Giftshop, Outdoor terrace</t>
  </si>
  <si>
    <t>Strawberries, Rasberries, PYO Fruit, PYO Vegetables</t>
  </si>
  <si>
    <t>PYO Fruit, PYO Vegetables, Fruit Picking</t>
  </si>
  <si>
    <t>Seasonal Fruit Picking</t>
  </si>
  <si>
    <t>Sling / baby carrier, Infant / toddler carrier</t>
  </si>
  <si>
    <t>Thorne's Farm PYO.JPG</t>
  </si>
  <si>
    <t>Amelia's Flower Farm PYO</t>
  </si>
  <si>
    <t xml:space="preserve">Amelia’s Flower Farm PYO is a relaxed seasonal outing where families can pick a brilliant bouquet of unusual, scented flowers for £24/bucket (for 20 stems). Wander through the farm's flowerbeds that burst with colour throughout the summer months, while children help, pick their own, visit the resident piglets, enjoy a cake or icecream, then burn off some energy in the play area or by taking a short walk towards the River Teign nearby. </t>
  </si>
  <si>
    <t>Teign View</t>
  </si>
  <si>
    <t>Windy (&gt; X mph), Sunshine, Overcast / cloudy, Dry &amp; mild, Dry &amp; cold, Dry &amp; warm, Dry &amp; hot</t>
  </si>
  <si>
    <t>Open (Free) Access, Pay On Arrival</t>
  </si>
  <si>
    <t>Toilets, Baby changing, Indoor Seating, Outdoor Seating, Picnic Benches, Dogs Allowed</t>
  </si>
  <si>
    <t>Ice creams, "Swings, Slides, Climbing Frames", Outdoor play equipment</t>
  </si>
  <si>
    <t>PYO Flowers, Flower Farm</t>
  </si>
  <si>
    <t>Summer, Spring flowers</t>
  </si>
  <si>
    <t>Butterflies, Wildflower Meadows, PYO Flowers</t>
  </si>
  <si>
    <t>Flower collecting or displays</t>
  </si>
  <si>
    <t>Amelia's PYO Flowers.JPG</t>
  </si>
  <si>
    <t>Den-Building &amp; Nature Craft, Natural Play Area, Forest School</t>
  </si>
  <si>
    <t>Little Wildlings</t>
  </si>
  <si>
    <t>Simple Reset, Moment of Peace, Low Effort</t>
  </si>
  <si>
    <t>The Courtney Centre</t>
  </si>
  <si>
    <t>Kingsteignton Road</t>
  </si>
  <si>
    <t>TQ12 2QA</t>
  </si>
  <si>
    <t>Saturday</t>
  </si>
  <si>
    <t>Young Child, Group</t>
  </si>
  <si>
    <t>Toilets, Disabled toilets, Picnic Benches, Outdoor Seating</t>
  </si>
  <si>
    <t>Outdoor play, messy exploration</t>
  </si>
  <si>
    <t>Summer, Summer holiday clubs</t>
  </si>
  <si>
    <t>Mud kitchens, "Sand, soil, and loose materials", Forest school activities, Immersive natural surroundings, Quiet or low-intervention spaces</t>
  </si>
  <si>
    <t>Outdoors &amp; Nature</t>
  </si>
  <si>
    <t>None / Novice</t>
  </si>
  <si>
    <t>Wildlings Nature Play.jpeg</t>
  </si>
  <si>
    <t>Club Venue Address</t>
  </si>
  <si>
    <t>Dates</t>
  </si>
  <si>
    <t>Club Running times</t>
  </si>
  <si>
    <t>Ticketing</t>
  </si>
  <si>
    <t>Additional Info</t>
  </si>
  <si>
    <t>Multiple Sessions Daily</t>
  </si>
  <si>
    <t>Fixed Start / End Times</t>
  </si>
  <si>
    <t>Daily Start / End times</t>
  </si>
  <si>
    <t>Multi-Sessions Per Day</t>
  </si>
  <si>
    <t>Monthly Fixed Date</t>
  </si>
  <si>
    <t>Club Setting</t>
  </si>
  <si>
    <t>Club Setting 
(More Specifically)</t>
  </si>
  <si>
    <t>Club Name</t>
  </si>
  <si>
    <t>Club Format</t>
  </si>
  <si>
    <t>Commitment</t>
  </si>
  <si>
    <t>Frequency</t>
  </si>
  <si>
    <t>Region</t>
  </si>
  <si>
    <t>Confirm the start date</t>
  </si>
  <si>
    <t>Confirm the end date</t>
  </si>
  <si>
    <t>Multiple sessions Daily?</t>
  </si>
  <si>
    <t>Multiple sessions Daily - Total per day</t>
  </si>
  <si>
    <t>Fixed Daily Multi-Session Times</t>
  </si>
  <si>
    <t>Which days of the week does it run?</t>
  </si>
  <si>
    <t>Fixed Daily Start / End Times?</t>
  </si>
  <si>
    <t>Fixed Daily start time:</t>
  </si>
  <si>
    <t>Fixed Daily end time:</t>
  </si>
  <si>
    <t>Monday Start time</t>
  </si>
  <si>
    <t>Monday End time</t>
  </si>
  <si>
    <t>Tuesday Start time</t>
  </si>
  <si>
    <t>Tuesday End time</t>
  </si>
  <si>
    <t>Wednesday Start time</t>
  </si>
  <si>
    <t>Wednesday End time</t>
  </si>
  <si>
    <t>Thursday Start time</t>
  </si>
  <si>
    <t>Thursday End time</t>
  </si>
  <si>
    <t>Friday Start time</t>
  </si>
  <si>
    <t>Friday End time</t>
  </si>
  <si>
    <t>Saturday Start time</t>
  </si>
  <si>
    <t>Saturday End time</t>
  </si>
  <si>
    <t>Sunday Start time</t>
  </si>
  <si>
    <t>Sunday End time</t>
  </si>
  <si>
    <t>Multi-Session Monday - No. of sessions</t>
  </si>
  <si>
    <t>Monday session times</t>
  </si>
  <si>
    <t>Multi-Session Tuesday - No. of sessions</t>
  </si>
  <si>
    <t>Tuesday session times</t>
  </si>
  <si>
    <t>Multi-Session Wednesday - No. of sessions</t>
  </si>
  <si>
    <t>Wednesday session times</t>
  </si>
  <si>
    <t>Multi-Session Thursday - No. of sessions</t>
  </si>
  <si>
    <t>Thursday session times</t>
  </si>
  <si>
    <t>Multi-Session Friday - No. of sessions</t>
  </si>
  <si>
    <t>Friday session times</t>
  </si>
  <si>
    <t>Multi-Session Saturday - No. of sessions</t>
  </si>
  <si>
    <t>Saturday session times</t>
  </si>
  <si>
    <t>Multi-Session Sunday - No. of sessions</t>
  </si>
  <si>
    <t>Sunday session times</t>
  </si>
  <si>
    <t>Which day of the week does it occur?</t>
  </si>
  <si>
    <t>Do you have a fixed week within the month</t>
  </si>
  <si>
    <t>Which week does your club occur?</t>
  </si>
  <si>
    <t>Please confirm any upcoming dates:</t>
  </si>
  <si>
    <t>Booking Type</t>
  </si>
  <si>
    <t>Activity Group</t>
  </si>
  <si>
    <t>club_opportunity_theme</t>
  </si>
  <si>
    <t>club_opportunity_theme_variant</t>
  </si>
  <si>
    <t>club_name</t>
  </si>
  <si>
    <t>club_description</t>
  </si>
  <si>
    <t>club_format</t>
  </si>
  <si>
    <t>club_committment</t>
  </si>
  <si>
    <t>club_frequency</t>
  </si>
  <si>
    <t>club_address_line_1</t>
  </si>
  <si>
    <t>club_address_line_2</t>
  </si>
  <si>
    <t>club_city_town</t>
  </si>
  <si>
    <t>club_state_region_province</t>
  </si>
  <si>
    <t>club_postcode</t>
  </si>
  <si>
    <t>club_country</t>
  </si>
  <si>
    <t>club_start_date</t>
  </si>
  <si>
    <t>club_end_date</t>
  </si>
  <si>
    <t>club_repeat_session</t>
  </si>
  <si>
    <t>club_daily_fixed_session_total</t>
  </si>
  <si>
    <t>club_daily_fixed_session_schedule</t>
  </si>
  <si>
    <t>club_daily_schedule</t>
  </si>
  <si>
    <t>club_fixed_daily_timings</t>
  </si>
  <si>
    <t>club_daily_start_time</t>
  </si>
  <si>
    <t>club_daily_end_time</t>
  </si>
  <si>
    <t>club_mixed_timings_monday_start_time</t>
  </si>
  <si>
    <t>club_mixed_timings_monday_end_time</t>
  </si>
  <si>
    <t>club_mixed_timings_tuesday_start_time</t>
  </si>
  <si>
    <t>club_mixed_timings_tuesday_end_time</t>
  </si>
  <si>
    <t>club_mixed_timings_wednesday_start_time</t>
  </si>
  <si>
    <t>club_mixed_timings_wednesday_end_time</t>
  </si>
  <si>
    <t>club_mixed_timings_thursday_start_time</t>
  </si>
  <si>
    <t>club_mixed_timings_thursday_end_time</t>
  </si>
  <si>
    <t>club_mixed_timings_friday_start_time</t>
  </si>
  <si>
    <t>club_mixed_timings_friday_end_time</t>
  </si>
  <si>
    <t>club_mixed_timings_saturday_start_time</t>
  </si>
  <si>
    <t>club_mixed_timings_saturday_end_time</t>
  </si>
  <si>
    <t>club_mixed_timings_sunday_start_time</t>
  </si>
  <si>
    <t>club_mixed_timings_sunday_end_time</t>
  </si>
  <si>
    <t>club_multi_session_monday_session_total</t>
  </si>
  <si>
    <t>club_multi_session_monday_schedule</t>
  </si>
  <si>
    <t>club_multi_session_tuesday_session_total</t>
  </si>
  <si>
    <t>club_multi_session_tuesday_schedule</t>
  </si>
  <si>
    <t>club_multi_session_wednesday_session_total</t>
  </si>
  <si>
    <t>club_multi_session_wednesday_schedule</t>
  </si>
  <si>
    <t>club_multi_session_thursday_session_total</t>
  </si>
  <si>
    <t>club_multi_session_thursday_schedule</t>
  </si>
  <si>
    <t>club_multi_session_friday_session_total</t>
  </si>
  <si>
    <t>club_multi_session_friday_schedule</t>
  </si>
  <si>
    <t>club_multi_session_saturday_session_total</t>
  </si>
  <si>
    <t>club_multi_session_saturday_schedule</t>
  </si>
  <si>
    <t>club_multi_session_sunday_session_total</t>
  </si>
  <si>
    <t>club_multi_session_sunday_schedule</t>
  </si>
  <si>
    <t>club_monthly_schedule</t>
  </si>
  <si>
    <t>club_fixed_month_occurance</t>
  </si>
  <si>
    <t>club_monthly_occurance</t>
  </si>
  <si>
    <t>club_monthly_fixed_dates</t>
  </si>
  <si>
    <t>club_booking_provision</t>
  </si>
  <si>
    <t>club_parking_provision</t>
  </si>
  <si>
    <t>club_general_facilities</t>
  </si>
  <si>
    <t>club_child_facilities</t>
  </si>
  <si>
    <t>club_adult_facilities</t>
  </si>
  <si>
    <t>club_age_suitability_under_1_s</t>
  </si>
  <si>
    <t>club_age_suitability_1_to_2_years</t>
  </si>
  <si>
    <t>club_age_suitability_3_to_4_years</t>
  </si>
  <si>
    <t>club_age_suitability_5_to_7_years</t>
  </si>
  <si>
    <t>club_age_suitability_8_to_12_years</t>
  </si>
  <si>
    <t>club_age_suitability_over_13_years</t>
  </si>
  <si>
    <t>club_age_suitability_adults</t>
  </si>
  <si>
    <t>club_activity_group</t>
  </si>
  <si>
    <t>club_physical_setting</t>
  </si>
  <si>
    <t>club_skill_area</t>
  </si>
  <si>
    <t>club_skill_area_variant</t>
  </si>
  <si>
    <t>club_ability_level</t>
  </si>
  <si>
    <t>club_interest_tags</t>
  </si>
  <si>
    <t>club_seasonal_tag</t>
  </si>
  <si>
    <t>club_seasonal_highlights</t>
  </si>
  <si>
    <t>club_attractions</t>
  </si>
  <si>
    <t>club_extra_kit</t>
  </si>
  <si>
    <t>club</t>
  </si>
  <si>
    <t>Ocean Softplay Afterschool Club</t>
  </si>
  <si>
    <t>Ocean is a large lesiure facility on the Exmouth Seafront, home to a large softplay venue which caters for children aged 0-11. A large, airy, open space, the softplay is zoned into areas suited to the littlest to older children up to the age of 11, with multiple levels of play, ballpits, slides, dropslides and nets. These afterschool sessions are designed to give children the opportunity to burn off some additional physical energy before the day is out, often when the centre is a little quieter. It is well set-up for parents to take a seat in the cafe space directly alongside and keep an easy-eye on things, plus with a children's menu with the usual popular options, it can make for a low-effort, easy evening.</t>
  </si>
  <si>
    <t>Stay-and-play (supervised)</t>
  </si>
  <si>
    <t>One-off (pay as you go)</t>
  </si>
  <si>
    <t>Daily</t>
  </si>
  <si>
    <t>Adult, Baby, Young Child, Older Child</t>
  </si>
  <si>
    <t>Hot Drinks, WiFi, Hot &amp; Cold food, Clear Sightlines, Snacks, Sweet treats</t>
  </si>
  <si>
    <t>drop-slides, sensory zone, softplay, afterschool club</t>
  </si>
  <si>
    <t>Weekly</t>
  </si>
  <si>
    <t>09:00-11:00, 11:30-13:30, 14:00-16:00, 16:30-18:30</t>
  </si>
  <si>
    <t>09:00-11:30, 12:00-14:30, 15:00-17:30</t>
  </si>
  <si>
    <t>Ocean SoftPlay New Parents Club</t>
  </si>
  <si>
    <t xml:space="preserve">This regular club is aimed at new parents who might like to meet other local families, and enjoy a free hot drink while you do! Ocean is a large lesiure facility on the Exmouth Seafront, home to an extensive softplay place which caters for children aged 0-11. An airy, open space within the building, the softplay is zoned into areas making sure even the littlest of visitors are well catered to; with a dedicated section for crawlers and toddlers, slightly tucked to one side so young children aren't so much in the thick of the busyness. The cafe area within the sofplay centre sells hot drinks and snacks, and also has child-friendly options and a children's menu. </t>
  </si>
  <si>
    <t>Wednesday</t>
  </si>
  <si>
    <t>new parents, local meet-ups, softplay</t>
  </si>
  <si>
    <t>Tunnels and crawl spaces, Ball pools, Enclosed space, Clear sightlines, Seating for adults, Café or refreshment area, Separate toddler area, Age-zoned play areas, Calm or quieter zones</t>
  </si>
  <si>
    <t>Ocean New Parents.jpg</t>
  </si>
  <si>
    <t>Route Descriptors</t>
  </si>
  <si>
    <t>Route Start Point</t>
  </si>
  <si>
    <t>Type of Route</t>
  </si>
  <si>
    <t xml:space="preserve">Route Setting </t>
  </si>
  <si>
    <t>Route Name</t>
  </si>
  <si>
    <t>Route Type</t>
  </si>
  <si>
    <t>Route Suitability</t>
  </si>
  <si>
    <t>Route Distance (miles)</t>
  </si>
  <si>
    <t>Terrain Type</t>
  </si>
  <si>
    <t>Difficulty Rating</t>
  </si>
  <si>
    <t>Address Line 2</t>
  </si>
  <si>
    <r>
      <rPr>
        <b/>
        <sz val="9"/>
        <color theme="1"/>
        <rFont val="Roboto"/>
      </rPr>
      <t xml:space="preserve">*UMER ONLY*
</t>
    </r>
    <r>
      <rPr>
        <sz val="9"/>
        <color theme="1"/>
        <rFont val="Roboto"/>
      </rPr>
      <t>Confirm Entry Added?</t>
    </r>
  </si>
  <si>
    <t>route_opportunity_theme</t>
  </si>
  <si>
    <t>route_opportunity_theme_variant</t>
  </si>
  <si>
    <t>route_name</t>
  </si>
  <si>
    <t>route_activity_grouping</t>
  </si>
  <si>
    <t>route_description</t>
  </si>
  <si>
    <t>route_type</t>
  </si>
  <si>
    <t>route_suitability</t>
  </si>
  <si>
    <t>route_distance</t>
  </si>
  <si>
    <t>route_terrain_type</t>
  </si>
  <si>
    <t>route_difficulty</t>
  </si>
  <si>
    <t>route_address_line_1</t>
  </si>
  <si>
    <t>route_address_line_2</t>
  </si>
  <si>
    <t>route_region</t>
  </si>
  <si>
    <t>route_postcode</t>
  </si>
  <si>
    <t>route_parking_provision</t>
  </si>
  <si>
    <t>route_general_facilities</t>
  </si>
  <si>
    <t>route_child_facilities</t>
  </si>
  <si>
    <t>route_adult_facilities</t>
  </si>
  <si>
    <t>route_dog_facilities</t>
  </si>
  <si>
    <t>route_age_suitability_under_1_s</t>
  </si>
  <si>
    <t>route_age_suitability_1_to_2_years</t>
  </si>
  <si>
    <t>route_age_suitability_3_to_4_years</t>
  </si>
  <si>
    <t>route_age_suitability_5_to_7_years</t>
  </si>
  <si>
    <t>route_age_suitability_8_to_12_years</t>
  </si>
  <si>
    <t>route_age_suitability_over_13_years</t>
  </si>
  <si>
    <t>route_age_suitability_adults</t>
  </si>
  <si>
    <t>route_physical_setting</t>
  </si>
  <si>
    <t>route_detailed_weather_suitability</t>
  </si>
  <si>
    <t>route_estimated_duration</t>
  </si>
  <si>
    <t>route_interest_tags</t>
  </si>
  <si>
    <t>route_seasonal_tag</t>
  </si>
  <si>
    <t>route_seasonal_highlights</t>
  </si>
  <si>
    <t>route_attractions</t>
  </si>
  <si>
    <t>route_extra_kit</t>
  </si>
  <si>
    <t>route</t>
  </si>
  <si>
    <t>Scenic Walks &amp; Trails</t>
  </si>
  <si>
    <t>Woodland Walk, River or Lakeside Ramble</t>
  </si>
  <si>
    <t>Fingle Bridge River Walk (5 Mile Loop)</t>
  </si>
  <si>
    <t>Fingle Bridge is a brilliant river-and-woods walk if you want children to feel like they're properly out in the wild, without losing the reassurance of a pub, parking and toilets near the bridge. The riverside paths, packhorse bridge, woodland, meadows and weir give children plenty to notice, and wildlife spotters should look out for kingfishers, otters, salmon and brown trout in the clear water below. The full Teign Gorge loop has steep sections, steps and muddy ground, so it's better for walkers (or backcarriers) than buggies. For an easier family version, stay lower along the river and use Fingle Bridge as the anchor point for snacks, paddling pauses and a shorter out-and-back.</t>
  </si>
  <si>
    <t>Circular</t>
  </si>
  <si>
    <t>Dog friendly, Carrier Only</t>
  </si>
  <si>
    <t>5 miles</t>
  </si>
  <si>
    <t>Mixed terrain, Woodland track, Uneven</t>
  </si>
  <si>
    <t>Moderate</t>
  </si>
  <si>
    <t>Fingle Bridge</t>
  </si>
  <si>
    <t>Teign Gorge</t>
  </si>
  <si>
    <t>EX6 6PW</t>
  </si>
  <si>
    <t>rivers, streams, paddling, Pooh sticks, stone throwing, scrambling, weir, ancient woodland, oak woodland, bluebells, wild garlic, salmon, brown trout, kingfishers, otters, butterflies, woodland walks, gorge, suspension bridge, packhorse bridge, Iron Age, hill fort, Dartmoor, panoramic views, archaeology, wildlife spotting</t>
  </si>
  <si>
    <t>Autumn colours, Springtime</t>
  </si>
  <si>
    <t>Kingfisher Spotting, Autumn Leaves, Fungi, Bluebells</t>
  </si>
  <si>
    <t>Rivers &amp; streams, Natural paddling spots, Scenic valleys, Wildlife spotting</t>
  </si>
  <si>
    <t>Sling / baby carrier, Infant / toddler carrier, Sturdy footwear</t>
  </si>
  <si>
    <t>Fingle Bridge 5 Mile Loop.jpg</t>
  </si>
  <si>
    <t>Fingle Bridge Riverside</t>
  </si>
  <si>
    <t>The riverside at Fingle Bridge is the simpler option if the full gorge loop feels too much. You still get the old packhorse bridge, shallow river edges perfect for stone throwing and scrambling, woodland paths and picnicable meadows, but without committing everyone to a longer climb. Stepping stones, clear water and the chance to spot salmon and kingfishers keep children entertained at their own pace. Pack layers and decent shoes, and keep younger children close near the river and road crossing by the bridge.</t>
  </si>
  <si>
    <t>Out-and-back</t>
  </si>
  <si>
    <t>Dog friendly, Mountain Bikes Only, Off-road Buggies only, Carrier Only</t>
  </si>
  <si>
    <t>1-3.5 miles</t>
  </si>
  <si>
    <t>Flat, Uneven, Woodland track</t>
  </si>
  <si>
    <t>Easy</t>
  </si>
  <si>
    <t>rivers, streams, paddling, Pooh sticks, stone throwing, scrambling, stepping stones, picnicking, ancient woodland, oak woodland, bluebells, salmon, brown trout, kingfishers, otters, wildlife spotting, packhorse bridge, gorge views, Dartmoor</t>
  </si>
  <si>
    <t>Traffic-free sections, Wide pathways, Clear sightlines, Riverside stretches, Easy parking nearby, Cafés or facilities along the route</t>
  </si>
  <si>
    <t>Fingle Bridge.jpg</t>
  </si>
  <si>
    <t>River or Lakeside Ramble, Woodland Walk</t>
  </si>
  <si>
    <t>River Otter Walk - Tipton St John</t>
  </si>
  <si>
    <t>This is a proper half-day family walk in its entirety rather than a quick wander, running about five miles from Tipton St John towards Ottery St Mary and back along public footpaths on both sides of the river. It's mostly fairly flat with small climbs over bridges and stiles, so older children who can manage the distance should get a good mix of river, countryside, bridges and village interest. The River Otter is home to England's first legally reintroduced wild beavers — keep an eye out for gnawed trees and dams as evidence of their activity, and at dusk there's a real chance of spotting them feeding. Build in snacks, mud-ready shoes and a play at the playpark in Tipton as an incentive; for younger children, it may work better as a shorter out-and-back from one end.</t>
  </si>
  <si>
    <t>1-3 miles</t>
  </si>
  <si>
    <t>Uneven, Flat</t>
  </si>
  <si>
    <t>Tipton St John Playing Field</t>
  </si>
  <si>
    <t>EX10 0AA</t>
  </si>
  <si>
    <t>1-2hrs, 30-60mins, 2-3hrs</t>
  </si>
  <si>
    <t>rivers, streams, paddling, Pooh sticks, bridges, stiles, village exploring, playground, beavers, otters, kingfishers, herons, dragonflies, butterflies, wildflowers, river beach, wildlife spotting, countryside walks</t>
  </si>
  <si>
    <t>Baby Lambs, Bluebells, Dragonflies &amp; Damselflies, Starling Murmurations, River wildlife spotting</t>
  </si>
  <si>
    <t>Rivers &amp; streams, Natural paddling spots, "Bridges (wooden, stone, suspension)", Countryside views, Wildlife spotting</t>
  </si>
  <si>
    <t>Sling / baby carrier, Infant / toddler carrier, Towels, Water shoes, Fishing nets, Wetsuit Boots</t>
  </si>
  <si>
    <t>River Otter Walk.jpg</t>
  </si>
  <si>
    <t>Local Wander</t>
  </si>
  <si>
    <t>RSPB Nature Reserve Aylesbere Common</t>
  </si>
  <si>
    <t>Aylesbeare Common is a quieter, wilder walk for children who enjoy nature spotting more than play equipment. There are two signed trails — a short 0.75-mile route and a longer 3-mile route — with heathland, birds, butterflies, dragonflies and seasonal colour. Heath spotted orchids and bog plants like sundew add to the nature interest, and the hilltop position gives lovely views from either side of the reserve. The longer trail can be uneven, with gradients, steps and gates, so choose the shorter or tarmac farm-track option across the road from the main car park if legs are small and tire quickly. There are no toilets here, so plan it as a fresh-air-and-wildlife stop rather than a facilities-based outing.</t>
  </si>
  <si>
    <t>Out-and-back, Loop with variations, Circular</t>
  </si>
  <si>
    <t>Dog friendly, Off-road Buggies only, Mountain Bikes Only</t>
  </si>
  <si>
    <t>Flat, Undulating, Woodland track</t>
  </si>
  <si>
    <t>Joney's Cross Car Park</t>
  </si>
  <si>
    <t>EX10 0BL</t>
  </si>
  <si>
    <t>Sunshine, Overcast / cloudy, Dry &amp; mild, Dry &amp; cold, Dry &amp; warm, Windy (&gt; X mph)</t>
  </si>
  <si>
    <t>heathland, birdwatching, Dartford warbler, nightjar, stonechat, hobby, butterflies, dragonflies, damselflies, silver-studded blue, southern damselfly, heather, sundew, bog plants, orchids, wildflowers, nature trails, elevated viewpoints, hilltop views, short walks, wildlife spotting</t>
  </si>
  <si>
    <t>Springtime</t>
  </si>
  <si>
    <t>Birdsong, Migrating Birds</t>
  </si>
  <si>
    <t>Panoramic views, Countryside views, Elevated viewpoints, Wildlife spotting</t>
  </si>
  <si>
    <t>Aylesbere Common.jpg</t>
  </si>
  <si>
    <t>The Goat Trail Topsham</t>
  </si>
  <si>
    <t>The Goat Walk is an easy win when you want estuary views, boats, birdlife and a quaint Topsham feel without committing to a long walk. The circular route is around 2–2.5 miles, mostly flat and well-surfaced, making it ideal for scooters, balance bikes and early cyclists as well as buggies. The narrow waterside section is beautiful but needs care with scooters, buggies and small children because parts sit right beside the estuary with no railing. The RSPB bird hide along the route is a great spot for avocet and wading bird watching, and the quayside at the end offers cafés, pubs, toilets and independent shops. Works well as a loop or a relaxed out-and-back with a stop for snacks at the quay.</t>
  </si>
  <si>
    <t>Buggy friendly, Dog friendly, Scooter route, Cycle route, Wheelchair friendly</t>
  </si>
  <si>
    <t>2-2.5 miles</t>
  </si>
  <si>
    <t>Flat, Surfaced / smooth</t>
  </si>
  <si>
    <t>Bowling Green Road</t>
  </si>
  <si>
    <t>estuary, estuary views, boats, quayside, birdwatching, avocets, egrets, wading birds, herons, lapwings, RSPB, bird hide, scooters, balance bikes, history, maritime history, historic buildings, independent shops, wildlife spotting</t>
  </si>
  <si>
    <t>Winter, Springtime, Summer</t>
  </si>
  <si>
    <t>"Returning swallows, swifts (birds)", Seabird Colonies, Kingfisher Spotting, Migrating Birds, Starling Murmurations, Dragonflies &amp; Damselflies, Birdsong, Wildflowers</t>
  </si>
  <si>
    <t>Rivers &amp; streams, Coastal views, Wildlife spotting</t>
  </si>
  <si>
    <t>Goat Trail.jpg</t>
  </si>
  <si>
    <t>Exe Estuary Trail - Exmouth to Lower Halsdon Farm</t>
  </si>
  <si>
    <t>This is a useful short stretch of the Exe Estuary Trail when you want the views and fresh air without committing to a long ride or walk. From Exmouth, the route quickly picks up the shared tarmac path towards Lower Halsdon Farm, with the estuary opening out beside you and Avocet Line trains running along the waterline — a bonus for train-loving children. It's good for buggies, scooters, balance bikes and early cyclists because the path is flat and well-surfaced, though it is shared with faster cyclists and walkers, so younger children may need reminding to keep left and watch for passing riders. Lower Halsdon Farm's National Trust tea garden makes a lovely turnaround point, open weekends from May to September.</t>
  </si>
  <si>
    <t>Point to point, Out-and-back</t>
  </si>
  <si>
    <t>1.3-2.6 miles</t>
  </si>
  <si>
    <t>36 Capel Lane</t>
  </si>
  <si>
    <t>EX8 2QZ</t>
  </si>
  <si>
    <t>Hot Drinks, Clear Sightlines, Snacks, Sweet treats</t>
  </si>
  <si>
    <t>Windy (&gt; X mph), Dry &amp; mild, Dry &amp; cold, Dry &amp; warm, Overcast / cloudy, Sunshine</t>
  </si>
  <si>
    <t>estuary, estuary views, trains, train spotting, Avocet Line, birdwatching, avocets, wading birds, wildfowl, herons, egrets, cycling, balance bikes, scooters, walking, wildlife spotting, cream teas</t>
  </si>
  <si>
    <t>Migrating Birds, Wildflowers, Dragonflies &amp; Damselflies, Starling Murmurations</t>
  </si>
  <si>
    <t>Coastal views, Wildlife spotting</t>
  </si>
  <si>
    <t>Exmouth to Lower Halsdon.jpg</t>
  </si>
  <si>
    <t>Longer ride</t>
  </si>
  <si>
    <t>Exe Estuary Trail - Lympstone to Exmouth</t>
  </si>
  <si>
    <t>This route works well when you want the reward of ending in Exmouth: beach, cafés, Sideshore, the prom and ice cream if you're willing to go a little further, with the train home as a backup if legs give out. Leaving Lympstone, children get a good mix of village, estuary, boats, birds and railway-side path before the beach town feel takes over. It's mostly easy-going, but it is a shared trail so it works best for children who can manage cyclists passing, or little ones safely in buggies, trailers or child seats. Carter Avenue play park in Exmouth sits just before the main road near the end and makes a useful incentive or a natural turning point if you're doing an out-and-back.</t>
  </si>
  <si>
    <t>4 miles</t>
  </si>
  <si>
    <t>EX8 5HH</t>
  </si>
  <si>
    <t>estuary, estuary views, trains, train spotting, Avocet Line, birdwatching, avocets, wading birds, wildfowl, herons, egrets, cycling, balance bikes, scooters, pushchair friendly, flat walks, boats, beach, Exmouth, playground, wildlife spotting</t>
  </si>
  <si>
    <t>Traffic-free sections, Clear sightlines, Coastal promenades, Scooter-friendly, Multiple access points, Play areas en route</t>
  </si>
  <si>
    <t>Lympstone to Exmouth.jpg</t>
  </si>
  <si>
    <t>Exe Estuary Trail - Exmouth to Lympstone</t>
  </si>
  <si>
    <t>One of the easiest sections of the Exe Estuary Trail to just get on and go with. Starting in Exmouth you pick up the path quickly and follow the estuary north, with the Avocet Line running alongside so trains pass regularly — younger children tend to love this. Lympstone makes a natural stopping point with a village shop, café, pubs, harbour, crabbing off the harbour wall and Cliff Field play area all within easy reach. Good for scooters, small bikes and family cycling, but the path can get busy so children need to be comfortable sharing space with faster cyclists. If you're heading back to Exmouth along the trail at weekends between May and September, Lower Halsdon Farm is worth a stop for cream teas on the way home.</t>
  </si>
  <si>
    <t>estuary, estuary views, trains, train spotting, Avocet Line, birdwatching, avocets, wading birds, wildfowl, herons, egrets, boats, harbour, crabbing, cycling, balance bikes, scooters, pushchair friendly, flat walks, village exploring, playground, cream teas, wildlife spotting</t>
  </si>
  <si>
    <t>Traffic-free sections, Clear sightlines, Coastal promenades, Scooter-friendly, Multiple access points, Stops for snacks or picnics</t>
  </si>
  <si>
    <t>Exmouth to Lympstone.jpg</t>
  </si>
  <si>
    <t>Quick spin</t>
  </si>
  <si>
    <t>Exe Estuary Trail - Lympstone to Lower Halsdon Farm</t>
  </si>
  <si>
    <t>A shorter, quieter option when you want estuary views and a manageable distance without committing to Exmouth. From Lympstone the path heads south towards Lower Halsdon Farm with open estuary views and trains passing along the waterline. The National Trust farm makes a natural turning point — cream teas and homemade cakes at the tea garden when it's open, weekends May to September. A gentle option for a scooter run, early bike ride or pushchair walk when you want everyone moving but nothing too ambitious.</t>
  </si>
  <si>
    <t>2 miles</t>
  </si>
  <si>
    <t>Surfaced / smooth</t>
  </si>
  <si>
    <t>Picnic Benches, Outdoor Seating, Dogs Allowed</t>
  </si>
  <si>
    <t>estuary, estuary views, trains, train spotting, Avocet Line, birdwatching, avocets, wading birds, herons, egrets, cycling, balance bikes, scooters, pushchair friendly, flat walks, cream teas, National Trust, wildlife spotting</t>
  </si>
  <si>
    <t>Lympstone to Farm.jpg</t>
  </si>
  <si>
    <t>Exe Estuary Trail - Lympstone to Exton</t>
  </si>
  <si>
    <t xml:space="preserve">Lympstone to Exton is a good small-step section of the trail: enough of an outing to feel like you’ve gone somewhere, but not so far that it becomes a big production. It works well for children building stamina on bikes or scooters, with the estuary, railway and village-to-village feel giving them things to notice along the way and almost entirely flat. Exton station makes the route feel nicely anchored, and you can turn it into an out-and-back, a train-assisted trip, or a stepping stone towards Topsham if everyone still has energy. The park at Exton (and the Puffing Bill pub) work nicely for a refuel stop too. </t>
  </si>
  <si>
    <t>3.2 miles</t>
  </si>
  <si>
    <t>EX8 5JW</t>
  </si>
  <si>
    <t>estuary, estuary views, trains, train spotting, Avocet Line, Royal Marines, birdwatching, avocets, wading birds, herons, egrets, cycling, balance bikes, scooters, pushchair friendly, flat walks, village exploring, playground, wildlife spotting</t>
  </si>
  <si>
    <t>Autumn</t>
  </si>
  <si>
    <t>Migrating Birds, Wildflowers, Dragonflies &amp; Damselflies, Starling Murmurations, Apple Picking, Blackberry Picking</t>
  </si>
  <si>
    <t>Traffic-free sections, Clear sightlines, Coastal promenades, Scooter-friendly, Multiple access points</t>
  </si>
  <si>
    <t>Lympstone to Exton.JPG</t>
  </si>
  <si>
    <t>Exe Estuary Trail - Exton to Lympstone</t>
  </si>
  <si>
    <t>Starting at Exton gives this section a quieter feel and is nice direction to travel when you want Lympstone as the reward at the end: harbour wall for crabbing, village shop, café, pubs, station and Cliff Field play area all close together. Starting at Exton you can use the play area opposite the Puffing Billy as a warm-up before setting off south. Children get the simple pleasure of following the estuary between two villages, with enough railway and birdlife interest to keep it from feeling like “just a path”; birdwatching gets better as you approach Lympstone and the estuary opens out. Good for a gentle cycle, scooter run or buggy walk, especially if you build in a village stop at Lympstone.</t>
  </si>
  <si>
    <t>Exton</t>
  </si>
  <si>
    <t>EX3 0PR</t>
  </si>
  <si>
    <t>estuary, estuary views, trains, train spotting, Avocet Line, Royal Marines, birdwatching, avocets, wading birds, herons, egrets, boats, harbour, crabbing, cycling, balance bikes, scooters, pushchair friendly, flat walks, village exploring, playground, wildlife spotting</t>
  </si>
  <si>
    <t>Migrating Birds, Wildflowers, Dragonflies &amp; Damselflies, Starling Murmurations, Blackberry Picking</t>
  </si>
  <si>
    <t>Exton to Lympstone.jpg</t>
  </si>
  <si>
    <t>Exe Estuary Trail - Exmouth to Exton</t>
  </si>
  <si>
    <t>A good middle-distance option when Lympstone feels too short but Darts Farm feels like too much. From Exmouth you pick up the trail easily, pass Lower Halsdon Farm and work through Lympstone — harbour, crabbing, village stop — before continuing north to Exton. It gives children a clear sequence of things to aim for rather than one long stretch, and the Puffing Billy pub with its play area opposite makes a satisfying end point. Use the train back from Exton if legs are done.</t>
  </si>
  <si>
    <t>7.6 miles</t>
  </si>
  <si>
    <t>estuary, estuary views, trains, train spotting, Avocet Line, birdwatching, avocets, wading birds, herons, egrets, boats, harbour, crabbing, cycling, balance bikes, scooters, pushchair friendly, flat walks, village exploring, playground, cream teas, wildlife spotting</t>
  </si>
  <si>
    <t>Traffic-free sections, Clear sightlines, Coastal promenades, Scooter-friendly, Multiple access points, Stops for snacks or picnics, Play areas en route</t>
  </si>
  <si>
    <t>Exmouth to Exton.JPG</t>
  </si>
  <si>
    <t>Shelly Bay to Orcombe Point</t>
  </si>
  <si>
    <t>A lovely Exmouth seafront stretch when you want a walk that feels coastal without being complicated. Starting near Shelly Beach gives you the marina, boats, estuary views and a tucked-away feel before the route opens out along the promenade towards the main beach, cafés, Sideshore and eventually Orcombe Point. It's easy to make it shorter, snack-led or longer depending on children's energy. The final climb up to the Geoneedle gives older children a clear destination and good views in both directions along the coast, but the promenade section is flat and surfaced throughout — good for scooters and bikes.</t>
  </si>
  <si>
    <t>Point to point</t>
  </si>
  <si>
    <t>Dog friendly, Buggy friendly, Scooter route, Cycle route, Wheelchair friendly</t>
  </si>
  <si>
    <t>2.5–3 miles</t>
  </si>
  <si>
    <t>EX8 1AN</t>
  </si>
  <si>
    <t>50.61748043198046, -3.42501520373284</t>
  </si>
  <si>
    <t>estuary views, marina, boats, beach, promenade, coastal views, coastal walking, Jurassic Coast, Geoneedle, World Heritage Site, red cliffs, headland, seafront, Sideshore, scooters, cycling, pushchair friendly, ice cream, cafés</t>
  </si>
  <si>
    <t>Natural paddling spots, Beaches or coves, Coastal views, Caves or rock formations, Elevated viewpoints</t>
  </si>
  <si>
    <t>Exmouth Beach Cycle Track.JPG</t>
  </si>
  <si>
    <t>The Byes</t>
  </si>
  <si>
    <t>The Byes is one of the easiest riverside routes to use with children because it feels peaceful and tucked away, but still connects back into Sidmouth and the high street. The path follows the River Sid — Devon's shortest river — for about 1.5 miles through meadows and parkland towards Sidford, and is tarmacked throughout, making it good for scooters, bikes and buggies. Multiple small bridges cross the river along the route, which children tend to make the most of. Keep an eye out for kingfishers, dippers and grey wagtails, and otters are present in the river too. Build it around a town café, play stop or beach visit at the end — continuing into Sidmouth brings you out at Ham Play Park and the far end of the town beach, with cafés and ice cream a short walk away.</t>
  </si>
  <si>
    <t>2-4 miles</t>
  </si>
  <si>
    <t>Byes Lane</t>
  </si>
  <si>
    <t>Sidford</t>
  </si>
  <si>
    <t>EX10 9QX</t>
  </si>
  <si>
    <t>rivers, streams, Pooh sticks, bridges, kingfishers, dippers, grey wagtails, otters, wildflowers, meadows, ancient trees, cycling, scooters, balance bikes, pushchair friendly, flat walks, beach, playground, wildlife spotting</t>
  </si>
  <si>
    <t>Bluebells, Daffodills, Kingfisher Spotting, Autumn Leaves, River wildlife spotting</t>
  </si>
  <si>
    <t>Rivers &amp; streams, Natural paddling spots, "Bridges (wooden, stone, suspension)", Wildlife spotting</t>
  </si>
  <si>
    <t>The Byes.jpg</t>
  </si>
  <si>
    <t>Woodland Walk</t>
  </si>
  <si>
    <t>Bellever Forest</t>
  </si>
  <si>
    <t>Bellever gives families a proper Dartmoor woodland outing without having to head straight onto open moor. The East Dart River runs along the edge of the forest and fills up in summer with families picnicking and paddling on its banks — get there early on warm days as the best spots go quickly. There are several waymarked trails to choose from: a short easy-access path from the car park straight to the river, a history trail past Bronze Age hut circles, and a longer route up to Bellever Tor with wide views across the moor. Heritage Dartmoor Ponies graze the forest throughout the year — children love seeing them, but keep your distance and don't feed them. Toilets at the car park, open 9:30am–5pm. Parking is paid but cheap.</t>
  </si>
  <si>
    <t>Loop with variations</t>
  </si>
  <si>
    <t>Dog friendly, Carrier Only, Off-road Buggies only</t>
  </si>
  <si>
    <t>1-4 miles</t>
  </si>
  <si>
    <t>Undulating, Mixed terrain, Woodland track</t>
  </si>
  <si>
    <t>Yelverton</t>
  </si>
  <si>
    <t>PL20 6TT</t>
  </si>
  <si>
    <t>30-60mins, 1-2hrs, 2-3hrs, 4+ hours</t>
  </si>
  <si>
    <t>rivers, streams, paddling, picnicking, Dartmoor ponies, ponies, tor, rock scrambling, panoramic views, woodland walks, ancient woodland, Bronze Age, archaeology, history, history trail, wildlife spotting, buzzards, otters, trout, waymarked trails, Dartmoor</t>
  </si>
  <si>
    <t>Foals, Bluebells, Autumn Leaves, Fungi</t>
  </si>
  <si>
    <t>Rivers &amp; streams, Natural paddling spots, Ancient trees, Stepping stones, Countryside views, Wildlife spotting</t>
  </si>
  <si>
    <t>Water shoes, Dry bags, Sling / baby carrier</t>
  </si>
  <si>
    <t>Bellever Forest.jpg</t>
  </si>
  <si>
    <t>River or Lakeside Ramble</t>
  </si>
  <si>
    <t>Parke Estate Riverside Walk</t>
  </si>
  <si>
    <t>Parke is a lovely National Trust estate when you want a proper walk without paying for a big house-and-garden day. The riverside paths, woodland, pasture, orchard and old railway line give you lots of ways to shape the visit: a short loop, a muddier stomp, a bike-friendly stretch on the Wray Valley Trail, or a slower wander to spot wildlife by the River Bovey. It's best in boots after wet weather. The paths from the main car park aren't smooth, so off-road buggies and backcarriers work better than standard pushchairs. There's a small café near the car park with toilets, the river route has good shade and picnic spots — bring a blanket — and there are plenty of places to paddle if children find the water.</t>
  </si>
  <si>
    <t>Dog friendly, Off-road Buggies only, Carrier Only, Mountain Bikes Only</t>
  </si>
  <si>
    <t>2-3 miles</t>
  </si>
  <si>
    <t>Mixed terrain, Uneven, Woodland track</t>
  </si>
  <si>
    <t>Parke</t>
  </si>
  <si>
    <t>Activity Sheets or Signs, Activity trail</t>
  </si>
  <si>
    <t>Drinks stand, Snacks, Hot Drinks</t>
  </si>
  <si>
    <t>rivers, streams, paddling, Pooh sticks, stepping stones, woodland walks, ancient woodland, orchard, wildlife spotting, Dartmoor ponies, otters, kingfishers, bats, dormice, old railway, cycling, Wray Valley Trail, National Trust, picnicking</t>
  </si>
  <si>
    <t>Birdsong, Fungi, Autumn Leaves, River wildlife spotting</t>
  </si>
  <si>
    <t>Water shoes, Dry bags, Change of clothes</t>
  </si>
  <si>
    <t>Parke River.jpg</t>
  </si>
  <si>
    <t>Bystock Pools - Lake Walk</t>
  </si>
  <si>
    <t>Bystock Pools is a peaceful nature reserve with ponds, heathland, meadows and woodland, managed by Devon Wildlife Trust. In spring and summer the dragonflies and damselflies around the water are the big draw — there are rare species here including the southern damselfly. The reserve also has ducks on the upper ponds, grazing ponies further in, and butterflies in the heathland margins. It has that quiet, hidden-away feel in all seasons, but it's not suited to buggies — the paths are narrow and uneven in places, so it's one for determined legs or a good backcarrier. No facilities on site at all, so bring snacks and make sure younger children are comfortable before you set off.</t>
  </si>
  <si>
    <t>Carrier Only</t>
  </si>
  <si>
    <t>1-2 miles</t>
  </si>
  <si>
    <t>Undulating, Mixed terrain, Uneven, Woodland track</t>
  </si>
  <si>
    <t>Squabmoor Reservoir Car Park</t>
  </si>
  <si>
    <t>East Budleigh</t>
  </si>
  <si>
    <t>heathland, ponds, lakes, dragonflies, damselflies, southern damselfly, butterflies, silver-studded blue, birdwatching, nightjar, willow warbler, ponies, ducks, wildflowers, heather, boardwalk, nature trails, wildlife spotting</t>
  </si>
  <si>
    <t>Summer, Springtime</t>
  </si>
  <si>
    <t>Dragonflies &amp; Damselflies, Butterflies, Glow worms</t>
  </si>
  <si>
    <t>Lakes &amp; reservoirs, Countryside views, Wildlife spotting</t>
  </si>
  <si>
    <t>Bystock Pools.JPG</t>
  </si>
  <si>
    <t>Estate Grounds</t>
  </si>
  <si>
    <t>Powderham Castle Grounds</t>
  </si>
  <si>
    <t>Powderham gives you deer-park views, woodland edges, lawns and glimpses of the River Exe, which families can turn into a short wander, a picnic or a longer leg-stretch depending on energy. The deer are the main draw for children — the herd roams the grounds freely and can get surprisingly close. It's a good option when you want somewhere that feels a bit special and spacious, with the castle as a backdrop even if you're not going inside. Check opening times before visiting as access to the grounds varies seasonally.</t>
  </si>
  <si>
    <t>Trail network</t>
  </si>
  <si>
    <t>Mixed terrain, Flat, Uneven</t>
  </si>
  <si>
    <t>Powderham Estate</t>
  </si>
  <si>
    <t>EX6 8JQ</t>
  </si>
  <si>
    <t>deer, deer park, deer spotting, riverside, estuary views, woodland walks, parkland, historic house, castle, wildlife spotting, picnicking, open space</t>
  </si>
  <si>
    <t>Red Deer Ruts</t>
  </si>
  <si>
    <t>Countryside views, Coastal views, Wildlife spotting</t>
  </si>
  <si>
    <t>Powderham Grounds.JPG</t>
  </si>
  <si>
    <t>Blackbury Camp Bluebell Walk</t>
  </si>
  <si>
    <t xml:space="preserve">Blackbury Camp is at its best in bluebell season — usually late April to mid-May — when the woodland inside and around the Iron Age hillfort fills with bluebells in a way that genuinely stops you in your tracks. The hillfort itself is small, compact and free to enter: children can run the ramparts, explore the earthworks and find the southern barbican entrance, which is unusually well preserved. The flat interior is good for picnics and ball games. Paths can be uneven and muddy, so it's boots and slow exploring rather than scooters or polished facilities. No café or toilets at the site — Blackbury Honey Farm is a short drive away if you want a stop on the way out. The narrow lanes to get there need careful driving.
</t>
  </si>
  <si>
    <t>Off-road Buggies only, Carrier Only</t>
  </si>
  <si>
    <t>Woodland track</t>
  </si>
  <si>
    <t>Colyton</t>
  </si>
  <si>
    <t>EX24 6JF</t>
  </si>
  <si>
    <t>bluebells, bluebell woods, wildflowers, Iron Age, hillfort, archaeology, ancient history, ramparts, earthworks, woodland walks, picnicking, wildlife spotting, pheasants, rabbits, spring flowers</t>
  </si>
  <si>
    <t>Bluebells, Wildflowers</t>
  </si>
  <si>
    <t>Countryside views, Elevated viewpoints</t>
  </si>
  <si>
    <t>Blackberry Camp Bluebell Walk.jpg</t>
  </si>
  <si>
    <t>Coastal or Clifftop Walk</t>
  </si>
  <si>
    <t>Orccombe Point Beach &amp; Clifftop Walk</t>
  </si>
  <si>
    <t>Orcombe Point gives families a bit of everything: beach, red cliffs, grassy clifftop, sea views and the Geoneedle marking the start of the Jurassic Coast. It works well when children need more purpose than just "going for a walk" — there are clear landmarks to aim for and good views in both directions along the coast once you get to the top. The beach at the base of the point is quieter than the main Exmouth stretch and worth a pause. The clifftop sections need close supervision with younger children, and wind can change the feel quickly, so layers and sensible shoes help.</t>
  </si>
  <si>
    <t>Carrier Only, Dog friendly</t>
  </si>
  <si>
    <t>1.5 miles</t>
  </si>
  <si>
    <t>Steep, Mixed terrain, Steps</t>
  </si>
  <si>
    <t>339 Queen's Drive</t>
  </si>
  <si>
    <t>EX8 2DF</t>
  </si>
  <si>
    <t>Jurassic Coast, Geoneedle, World Heritage Site, red cliffs, coastal views, coastal walking, headland, clifftop, beach, rock pooling, wildflowers, butterflies, birdwatching, sea views, Dartmoor views, Exmouth, South West Coast Path</t>
  </si>
  <si>
    <t>Panoramic views, Coastal views, Caves or rock formations, Beaches or coves, Elevated viewpoints</t>
  </si>
  <si>
    <t>Orccombe Point Beach Walk.JPG</t>
  </si>
  <si>
    <t>Mortehoe Walk (Woolacombe)</t>
  </si>
  <si>
    <t>Mortehoe is a good base for a proper coastal walk with older children: big views, sheep-dotted paths, rocky headlands and the chance of spotting seals around Morte Point. It feels much wilder than a beach promenade, and the village gives you a useful start and finish point for toilets, food and a reset before or after. The paths are uneven in places with slopes and exposed edges, so it suits children who can manage a more demanding walk and stay sensible near cliffs. On a clear day the views stretch out to Lundy Island, which is worth pointing out to children who like having something to spot.</t>
  </si>
  <si>
    <t>4-6 miles</t>
  </si>
  <si>
    <t>Rocky, Gravel, Uneven, Steep</t>
  </si>
  <si>
    <t>Mortehoe Station Road</t>
  </si>
  <si>
    <t>Mortehoe</t>
  </si>
  <si>
    <t>EX34 7DX</t>
  </si>
  <si>
    <t>coastal walking, headland, clifftop, coastal views, seal spotting, seals, Lundy Island, rock formations, sheep, wildlife spotting, South West Coast Path, North Devon, village exploring</t>
  </si>
  <si>
    <t>Morthehoe Walk Woolacombe.jpg</t>
  </si>
  <si>
    <t xml:space="preserve">Mortehoe Coastal Path </t>
  </si>
  <si>
    <t>The Mortehoe coastal path is a good choice when you want drama rather than a gentle stroll: cliff paths, sea views, hidden coves, rock formations and proper North Devon coastline. There are steep sections, steps and exposed edges, so it suits confident walkers and older children best — this is not a toddler wander. Slow down at the viewpoints, build in time for seal-spotting around Morte Point, and keep it weather-aware — it can feel very exposed in wind. The reward is some of the most spectacular coastal scenery in Devon.</t>
  </si>
  <si>
    <t>4.5-6 miles</t>
  </si>
  <si>
    <t>coastal walking, clifftop, coastal views, headland, hidden coves, rock formations, seal spotting, seals, Lundy Island, dramatic scenery, South West Coast Path, North Devon, wildlife spotting, cliffs</t>
  </si>
  <si>
    <t>Morthehoe Coastal Path.jpg</t>
  </si>
  <si>
    <t>Budleigh to Exmouth Cycle Trail</t>
  </si>
  <si>
    <t>A longer point-to-point or out-and-back ride with a lot of variety. Children get a clear destination at either end: beach, cafés and the Lime Kiln area in Budleigh, or the prom, Sideshore, Orcombe Point and town facilities in Exmouth. Some sections involve roads or shared paths, so it works better for confident child cyclists, trailers or adults with younger children on seats. Worth checking the route beforehand and building in a café or beach stop to give the ride a clear reward at the halfway point or end — it should feel like a journey rather than just a cycle.</t>
  </si>
  <si>
    <t>5-10 miles</t>
  </si>
  <si>
    <t>Lime Kiln Car Park</t>
  </si>
  <si>
    <t>cycling, cycle trail, coastal views, estuary views, beach, Jurassic Coast, red cliffs, Budleigh Salterton, Exmouth, pebble beach, fossil hunting, birdwatching, wading birds, flat walks, pushchair friendly, scooters</t>
  </si>
  <si>
    <t>Traffic-free sections, Wide pathways, Clear sightlines, Scooter-friendly, Multiple access points</t>
  </si>
  <si>
    <t>Budleigh to Exmouth Cycle Route.jpg</t>
  </si>
  <si>
    <t>Exmouth to Budleigh Cycle Trail</t>
  </si>
  <si>
    <t>Riding from Exmouth to Budleigh works well when you want to leave the busier seafront behind and head towards a calmer coastal finish. Children get the sense of travelling somewhere properly, with Budleigh beach, the high street and ice cream giving the ride a natural end or mid-point. More purposeful than a scooter along the prom, so check the route beforehand and use it with children who can manage shared paths, junctions and a longer one-way distance. The Avocet Line train makes a useful return option if legs give out.</t>
  </si>
  <si>
    <t>Bidmead Community Centre</t>
  </si>
  <si>
    <t>41 Littleham Road</t>
  </si>
  <si>
    <t>EX8 2QJ</t>
  </si>
  <si>
    <t>cycling, cycle trail, coastal views, red cliffs, Jurassic Coast, Budleigh Salterton, Exmouth, pebble beach, fossil hunting, birdwatching, estuary views, flat walks, trains, Avocet Line</t>
  </si>
  <si>
    <t>Exmouth to Budleigh Cycle Route.jpg</t>
  </si>
  <si>
    <t>Towpath</t>
  </si>
  <si>
    <t>Exeter Quay Loop</t>
  </si>
  <si>
    <t>A simple, low-commitment route when you want movement, river views and something to aim for without taking on a long walk. The distance is manageable for scooters, balance bikes and younger children, and there are plenty of built-in pauses: boats, bridges, cafés, the river, ducks and the buzz of the Quay. Works well as a short reset, a first cycling confidence loop or an easy add-on before food, Clip 'n Climb, Haven Banks or a wander along the canal. The quayside has a good spread of cafés and bakeries, so it makes a natural mixed outing — move first, eat second.</t>
  </si>
  <si>
    <t>1 mile</t>
  </si>
  <si>
    <t>Haven Banks Car Park</t>
  </si>
  <si>
    <t>Hot Drinks, Clear Sightlines, Drinks stand, Snacks, Sweet treats</t>
  </si>
  <si>
    <t>Windy (&gt; X mph), Sunshine, Overcast / cloudy, Dry &amp; mild, Dry &amp; cold, Dry &amp; warm</t>
  </si>
  <si>
    <t>rivers, riverside, boats, bridges, ducks, duck feeding, cycling, scooters, balance bikes, pushchair friendly, flat walks, cafés, quayside, canal, Exeter, city exploring</t>
  </si>
  <si>
    <t>"Bridges (wooden, stone, suspension)", Scenic valleys, Wildlife spotting</t>
  </si>
  <si>
    <t>Exeter Quayside walk.jpg</t>
  </si>
  <si>
    <t>Feature Walk</t>
  </si>
  <si>
    <t>Exmouth Dinosaur Trail</t>
  </si>
  <si>
    <t>A free self-guided walking trail around Exmouth town, spotting life-sized dinosaur models, murals and etchings scattered across the streets and seafront. There are two versions — a shorter Town Trail and a longer Explorer Trail — both starting from the Tourist Information Centre on The Strand, where you can pick up a free trail map. Brass rubbing plaques sit alongside each dinosaur, and children who complete all the rubbings can collect a souvenir badge from the TIC for £1. Species include velociraptors, a brachiosaurus, iguanodon, ichthyosaur and a T-Rex hatching from an egg. The trail also links to the Ordnance Survey Secret Stories app if you want to go digital, which adds clues, Horrible Histories-style stories and puzzles along the route.</t>
  </si>
  <si>
    <t>Exmouth Information Centre</t>
  </si>
  <si>
    <t>45A The Strand</t>
  </si>
  <si>
    <t>EX8 1AL</t>
  </si>
  <si>
    <t>dinosaurs, dinosaur spotting, dinosaur trail, Jurassic Coast, town trail, brass rubbings, trail map, self-guided trail, collecting, scavenger hunt, town exploring, Exmouth, free activity</t>
  </si>
  <si>
    <t>Waymarked features (e.g. sculpture trail)</t>
  </si>
  <si>
    <t>Dinosaur Trail.jpg</t>
  </si>
  <si>
    <t>Haldon Forest - Discovery Trail</t>
  </si>
  <si>
    <t>Haldon's easiest family trail: a 1.5-mile loop on a wide, fully surfaced path through conifers, with open viewpoints, shelters, benches and picnic spots along the way. It's the most manageable choice for pushchairs, manual wheelchairs, beginner cyclists and young children who want forest time without a long walk. The current activity trail running along this route is Room on the Broom — interactive panels help children find Witch's lost hat, bow and wand and collect spell ingredients, with a trail pack available from the info pod for £4. The Gruffalo orienteering challenge also runs alongside it: pick up the separate £1.50 map from the info pod to find 12 hidden markers around the route. Both are worth knowing about before you visit so children can choose, or do both. Note there are two road crossings along the route, and paths can get muddy after rain, so wellies are a good idea in wetter months.</t>
  </si>
  <si>
    <t>Off-road Buggies only, Dog friendly, Mountain Bikes Only</t>
  </si>
  <si>
    <t>Woodland track, Mixed terrain, Undulating</t>
  </si>
  <si>
    <t>Haldon Forest Park - Forestry England</t>
  </si>
  <si>
    <t>Toilets, Disabled toilets, Baby changing, Picnic Benches, Bench Seating, Highchairs, Dogs Allowed, Indoor Seating, Outdoor Seating</t>
  </si>
  <si>
    <t>Activity trail, Children’s trail, "Swings, Slides, Climbing Frames", Outdoor play equipment, Sandpit, Ice creams, Activity Sheets or Signs, Colouring</t>
  </si>
  <si>
    <t>Hot Drinks, Comfy Seating / Sofas, Hot &amp; Cold food, Clear Sightlines, Snacks, Drinks stand, Sweet treats, Outdoor terrace</t>
  </si>
  <si>
    <t>woodland walks, conifer forest, Room on the Broom, Gruffalo, Gruffalo trail, orienteering, map reading, waymarked trail, Julia Donaldson, wildlife spotting, birdwatching, picnicking, pushchair friendly, flat walks, play area</t>
  </si>
  <si>
    <t>Countryside views, Elevated viewpoints, Wildlife spotting, Waymarked features (e.g. sculpture trail)</t>
  </si>
  <si>
    <t>Haldon Discovery Trail.JPG</t>
  </si>
  <si>
    <t>Haldon Forest - Butterfly Trail</t>
  </si>
  <si>
    <t>Haldon's longest walking route, heading deeper into the forest through varied terrain: woodland paths, butterfly habitat, steep climbs, descents, steps and a rhododendron-lined section back towards the visitor hub. The trail's highlight for nature-interested children is the rare pearl-bordered fritillary butterfly, which breeds in the forest's managed clearings and is one of the hardest to find in the UK. Older children get real distance, terrain change and genuine wildlife interest; younger children may do better on selected sections rather than the full route, especially after wet weather when parts get muddy.</t>
  </si>
  <si>
    <t>woodland walks, butterflies, pearl-bordered fritillary, rare butterflies, wildlife spotting, rhododendrons, wildflowers, forest walking, steep walks, nature trails</t>
  </si>
  <si>
    <t>Panoramic views, Countryside views, Elevated viewpoints</t>
  </si>
  <si>
    <t>Haldon Forest Trail.jpeg</t>
  </si>
  <si>
    <t>Suz</t>
  </si>
  <si>
    <t>Haldon Forest - Discovery Route</t>
  </si>
  <si>
    <t>The gentlest cycling option at Haldon: a fully surfaced, mostly level shared trail that works well for newer riders, balance-bike graduates and families cycling together. It follows the same wide path as the walking Discovery Trail, passing viewpoints, shelters and picnic areas through the conifers. It's shared with walkers and other cyclists, so it suits riders who can slow down and pass carefully, and there are two road crossings to manage. A good first forest ride for children still building confidence before moving to singletrack. Helmets required.</t>
  </si>
  <si>
    <t>Mountain Bikes Only</t>
  </si>
  <si>
    <t>cycling, beginner cycling, family cycling, woodland cycling, forest trails, balance bikes, conifer forest, viewpoints, pushchair friendly, flat rides</t>
  </si>
  <si>
    <t>Traffic-free sections, Short loops, Easy parking nearby, Cafés or facilities along the route</t>
  </si>
  <si>
    <t>Haldon Bike Trail 1.jpeg</t>
  </si>
  <si>
    <t>Danes Wood</t>
  </si>
  <si>
    <t>Danes Wood is the quieter, wilder side of Killerton for families who want woodland rather than gardens. Ancient oaks and sweet chestnuts make it proper climbing-tree territory, and the exposed sandstone quarry banks around the edges give children something interesting to scramble on and explore. The interior of the wood is open access land so there's no set route to follow, which suits children who want to poke around at their own pace. In spring it earns its local reputation as a bluebell walk, and the wildlife is good year-round — songbirds in the canopy, butterflies in the clearings, and fungi worth looking for in autumn. After rain the paths get properly muddy, so it's better suited to wellies rather than trainers. There are no facilities beyond the small free car park, which actually makes it feel like more of a proper woodland adventure, but worth keeping in mind.</t>
  </si>
  <si>
    <t>Off-road Buggies only, Carrier Only, Mountain Bikes Only, Dog friendly</t>
  </si>
  <si>
    <t>1-2.5 miles</t>
  </si>
  <si>
    <t>Flat, Woodland track</t>
  </si>
  <si>
    <t>EX5 3LH</t>
  </si>
  <si>
    <t>ancient woodland, bluebells, wild garlic, fungi, butterflies, pearl-bordered fritillary, songbirds, climbable trees, natural boulders, scrambling, den building, woodland walks, wildlife spotting</t>
  </si>
  <si>
    <t>Bluebells, Butterflies, Dragonflies &amp; Damselflies, Fungi</t>
  </si>
  <si>
    <t>Countryside views, Wildlife spotting</t>
  </si>
  <si>
    <t>Danes Wood.JPG</t>
  </si>
  <si>
    <t>Killerton Estate</t>
  </si>
  <si>
    <t>Killerton works well for families because you can scale the visit to the day you're having. A short wander near the house and café is a workable simple option, but there are also parkland paths, the Iron Age hill fort on Dolbury Hill, woodland routes out to Danes Wood and longer loops through the estate that keep older children properly occupied. Children who like the idea of climbing an extinct volcano will enjoy heading up to The Clump, where the legend of a friendly dragon living inside the hill is worth telling on the way up. The estate also has orienteering courses, including the Volcano Challenge for children aged eight and over, available for 50p from visitor reception. With the café, toilets, second-hand bookshop and shop all at the main visitor hub, it's one of the easier full-day outdoor options in East Devon, particularly if you're already a National Trust member.</t>
  </si>
  <si>
    <t>Trail network, Circular</t>
  </si>
  <si>
    <t>Dog friendly, Mountain Bikes Only, Off-road Buggies only</t>
  </si>
  <si>
    <t>Toilets, Disabled toilets, Baby changing, Picnic Benches, Indoor Seating, Highchairs, Outdoor Seating</t>
  </si>
  <si>
    <t>Children’s trail, Activity trail, Activity Sheets or Signs, Ice creams, Outdoor play equipment, "Swings, Slides, Climbing Frames"</t>
  </si>
  <si>
    <t>30-60mins, 1-2hrs, 2-3hrs, Whole Day</t>
  </si>
  <si>
    <t>parkland, woodland walks, ancient woodland, bluebells, wild garlic, fungi, Iron Age, hill fort, extinct volcano, panoramic views, deer, butterflies, pearl-bordered fritillary, dormice, bats, wildlife spotting, orienteering, ancient trees, picnicking, café, National Trust</t>
  </si>
  <si>
    <t>Apple Picking</t>
  </si>
  <si>
    <t>Countryside views, Wildlife spotting, Waymarked features (e.g. sculpture trail)</t>
  </si>
  <si>
    <t>Ellerhayes Walk</t>
  </si>
  <si>
    <t>Ellerhayes gives you the Killerton countryside feeling without needing to pay for the main car park or commit to the house and gardens. The walk takes you through woodland and farmland on the northern edge of the estate, with the River Culm appearing along the route and old estate features tucked into the landscape. It's an honest boots-and-snacks walk rather than a gentle potter — the paths can get muddy after rain and some sections are uneven — but children who like a bit of rough terrain and the feeling of proper countryside will get more from it than they would from the more polished visitor trails nearer the house.</t>
  </si>
  <si>
    <t>Out-and-back, Circular</t>
  </si>
  <si>
    <t>Dog friendly, Off-road Buggies only</t>
  </si>
  <si>
    <t>1.5-3 miles</t>
  </si>
  <si>
    <t>Undulating, Woodland track</t>
  </si>
  <si>
    <t>Bridge Lane</t>
  </si>
  <si>
    <t>Silverton</t>
  </si>
  <si>
    <t>EX5 4PX</t>
  </si>
  <si>
    <t>riverside, rivers, woodland walks, countryside walks, estate paths, wildlife spotting, ancient trees, farmland, muddy paths</t>
  </si>
  <si>
    <t>Ellerhayes.JPG</t>
  </si>
  <si>
    <t>Columbjohn Walk</t>
  </si>
  <si>
    <t>Columbjohn is one of the more satisfying Killerton routes for older children who can manage a proper walk. It takes you beyond the obvious visitor areas into parkland, woodland and quieter estate paths, with the River Culm, old trees and the tiny private chapel at Columbjohn giving the route a sense of history and discovery. There is a real countryside feel to this one — you're in working farmland as much as a visitor attraction — and it works best with snacks, layers and decent shoes rather than as a quick add-on. Paths can join hands into small ponds in wet weather, to quote the NT's own trail notes, so come prepared.</t>
  </si>
  <si>
    <t>Circular, Out-and-back</t>
  </si>
  <si>
    <t>3.5 miles</t>
  </si>
  <si>
    <t>rivers, streams, riverside, woodland walks, parkland, ancient trees, wildlife spotting, countryside walks, estate paths, historic buildings, bluebells, wild garlic</t>
  </si>
  <si>
    <t>Columbjohn Walk.JPG</t>
  </si>
  <si>
    <t>Killerton to Broadclyst</t>
  </si>
  <si>
    <t xml:space="preserve">This route gives children the satisfaction of actually travelling somewhere rather than completing a loop. The flat, well-surfaced path runs from Killerton through farmland and quiet lanes to Clyston Mill in Broadclyst, one of the South West's last remaining watermills, and then on into the village itself if you want a further destination. The route crosses the M5 on a bridge, which children tend to find particularly exciting, and Broadclyst village has a play park, pub and village shop at the far end. Clyston Mill is free for NT members and worth building in if it's open. The path is flat and surfaced enough for bikes and scooters, and the six-mile return trip is manageable for most families with a reasonable pace and a snack stop.
</t>
  </si>
  <si>
    <t>6 miles</t>
  </si>
  <si>
    <t>Surfaced / smooth, Flat</t>
  </si>
  <si>
    <t>4+ hours, 2-3hrs, Whole Day</t>
  </si>
  <si>
    <t>cycling, countryside cycling, flat walks, watermill, milling, National Trust, farmland, rivers, wildlife spotting, village exploring, picnicking, pushchair friendly</t>
  </si>
  <si>
    <t>Killerton to Broadclyst.JPG</t>
  </si>
  <si>
    <t>Beer to Branscombe</t>
  </si>
  <si>
    <t>The Beer to Branscombe route follows the South West Coast Path across cliff tops and through woodland, with wide sea views and Branscombe giving the walk a clear destination. The outward section from Beer climbs to Beer Head before dropping via 83 steps down to Branscombe Mouth, so legs need to be willing as this is not a flat or gentle walk. The return via the Hooken Undercliff is one of the more dramatic stretches of the Jurassic Coast: a ten-acre landslip that broke away from the cliff in 1790, leaving chalk pinnacles and a mysterious tangled wilderness that children tend to find properly interesting. Branscombe has pubs, a National Trust tea room and a working forge to pause at, and the 899 bus runs back to Beer if legs give out at the end. Note that as of early 2026, one section of the coast path near the Hooken was subject to a closure due to subsidence, so it's worth check the South West Coast Path website before visiting.</t>
  </si>
  <si>
    <t>Undulating, Steep, Woodland track</t>
  </si>
  <si>
    <t>EX12 3AQ</t>
  </si>
  <si>
    <t>coastal walking, clifftop, coastal views, Jurassic Coast, World Heritage Site, chalk cliffs, white cliffs, Beer Head, smugglers, caves, landslip, geology, rock formations, wildflowers, sea views, swimming, rock pooling, Branscombe beach, village exploring, pubs, National Trust, history</t>
  </si>
  <si>
    <t>Wildflowers, Seabird Colonies</t>
  </si>
  <si>
    <t>Beer to Branscombe.JPG</t>
  </si>
  <si>
    <t>Powderham to Turf Locks</t>
  </si>
  <si>
    <t>A flat, open estuary route with wide skies, water on both sides in places, and the Turf pub sitting at the end as a genuine destination rather than just a turning point. The Turf is one of the few pubs in the country you genuinely cannot reach by car only on foot, by bike or by boat, which gives the journey a sense of purpose that children respond to well. The route follows the Exe Estuary Trail along the canal towpath, with boats, lock gates, birdlife and estuary views keeping things interesting along the way. It feels more exposed than a woodland walk, so wind and weather make a difference to how enjoyable it is. The Topsham Ferry runs from late April to September, which gives you the option of a one-way trip with a ferry return if the distance feels like too much on the way back.</t>
  </si>
  <si>
    <t>3.6 miles</t>
  </si>
  <si>
    <t>St Clement’s Church</t>
  </si>
  <si>
    <t>Powderham</t>
  </si>
  <si>
    <t>EX6 8JJ</t>
  </si>
  <si>
    <t>estuary, estuary views, canal, lock gates, boats, birdwatching, avocets, wading birds, wildfowl, herons, curlews, lapwings, cycling, balance bikes, scooters, pushchair friendly, flat walks, ferry, pub garden, Powderham Castle, deer</t>
  </si>
  <si>
    <t>Powerderham to Turf.jpg</t>
  </si>
  <si>
    <t>Turf Locks Riverside Walk</t>
  </si>
  <si>
    <t>The Turf Locks sit where the Exeter Ship Canal meets the Exe Estuary, and the appeal for families is straightforward: lock gates to peer into, boats coming through, wide estuary views, good birdwatching and a proper pub garden at the end that welcomes children and dogs without fuss. The route in is flat and easy going along the canal towpath, and you can make it as short or long as suits the group — younger children will get plenty from a shorter there-and-back with time spent watching the water, while older children can manage the full walk or cycle from Exeter Quay. The Topsham Ferry from late April to September gives you the option of arriving or returning by boat, which makes it feel more like an adventure.</t>
  </si>
  <si>
    <t>Station Road</t>
  </si>
  <si>
    <t>EX6 8DZ</t>
  </si>
  <si>
    <t>canal, lock gates, boats, estuary, estuary views, birdwatching, avocets, wading birds, wildfowl, herons, curlews, kingfishers, dragonflies, cycling, balance bikes, scooters, pushchair friendly, flat walks, ferry, pub garden, history, Exeter Ship Canal</t>
  </si>
  <si>
    <t>Turf Locks Riverside.jpg</t>
  </si>
  <si>
    <t>Nature Trail</t>
  </si>
  <si>
    <t>Budleigh Nature Reserve to Otterton</t>
  </si>
  <si>
    <t>A calm, flat riverside walk from Budleigh Salterton along the River Otter to Otterton Mill, with birdwatching, beaver evidence and the mill as a natural destination at the far end. The path is mostly level and well-surfaced near Budleigh, with bird hides and viewing points early on — children enjoy the peek holes in the hides for scanning the reedbeds. You are unlikely to spot a beaver on the water, but the gnawed trees and felled trunks along the riverbank are unmissable evidence of their presence, which children may find exciting. The full route to Otterton Mill and back is about six miles, so it suits families with older children or confident walkers; a shorter out-and-back to the first bridge makes a more manageable version for younger legs, and the path can get boggy after rain so wellies are worth considering. Otterton Mill has a café and cream teas at the end if you make the full distance.</t>
  </si>
  <si>
    <t>Flat, Mixed terrain</t>
  </si>
  <si>
    <t>rivers, estuary, reedbeds, saltmarsh, birdwatching, avocets, herons, egrets, kingfishers, wading birds, wildfowl, beavers, otters, dragonflies, bird hide, watermill, milling, cream teas, pushchair friendly, flat walks, wildlife spotting, Jurassic Coast</t>
  </si>
  <si>
    <t>Springtime, Autumn</t>
  </si>
  <si>
    <t>River wildlife spotting, Migrating Birds</t>
  </si>
  <si>
    <t>Rivers &amp; streams, Natural paddling spots, Coastal views, Wildlife spotting</t>
  </si>
  <si>
    <t>Budleigh Nature Reserve.jpg</t>
  </si>
  <si>
    <t>Heathland</t>
  </si>
  <si>
    <t>Woodbury Castle</t>
  </si>
  <si>
    <t>Woodbury Castle gives families an easy way into Woodbury Common without needing to commit to a long walk. The Iron Age hillfort earthworks are the main draw: the banks and ditches give children something to scramble over, and the interior of the fort is flat enough for a picnic or a run around. Younger children get plenty from a short wander around the ramparts, collecting sticks and exploring the paths through the trees, while older children can link it into a longer common walk across the heathland beyond. The ground is uneven, stony and can be muddy after rain, so walking shoes or wellies suit it best, rather than scooters or pushchairs.</t>
  </si>
  <si>
    <t>Undulating, Woodland track, Mixed terrain</t>
  </si>
  <si>
    <t>EX10 0JB</t>
  </si>
  <si>
    <t>heathland, Iron Age, hill fort, archaeology, ancient history, earthworks, ramparts, woodland walks, wildlife spotting, butterflies, dragonflies, Dartford warbler, stonechat, ponies, scrambling, den building</t>
  </si>
  <si>
    <t>Butterflies, Migrating Birds</t>
  </si>
  <si>
    <t>Woodbury Castle.jpg</t>
  </si>
  <si>
    <t>Woodbury Common</t>
  </si>
  <si>
    <t>Woodbury Common is a wide open landscape of heathland, pine edges, rough tracks and long views, and its appeal for families is mainly in the freedom rather than any specific feature. You can make it a short stomp from one of the car parks or a longer loop across more exposed ground, depending on energy levels and age. Younger children tend to enjoy the puddles, stones and open space in short bursts; older children can take on longer routes with real distance and variety. The stony paths further from the car parks don't suit bikes unless they're proper off-road, but the tracks closer in work for a determined balance biker or remote-controlled monster truck. It feels less managed than a country park, which is exactly what makes it feel like an adventure.</t>
  </si>
  <si>
    <t>30-60mins, 1-2hrs, 2-3hrs, Under 30mins</t>
  </si>
  <si>
    <t>heathland, open moorland, wildlife spotting, Dartford warbler, nightjar, stonechat, hobby, butterflies, dragonflies, silver-studded blue, ponies, panoramic views, elevated viewpoints, nature trails</t>
  </si>
  <si>
    <t>Panoramic views, Countryside views, Wildlife spotting</t>
  </si>
  <si>
    <t>Woodbury Common 1.jpg</t>
  </si>
  <si>
    <t>Estuary View - Woodbury Common</t>
  </si>
  <si>
    <t>One of the more rewarding corners of Woodbury Common when you want open heathland, good tracks and a clear focal point to walk towards. The views back across the Exe Estuary give the route a sense of direction, and the common itself has enough room for children to move, pause and notice things in the distance without any fuss. Younger children can manage a shorter loop from the car park; older children can link it into a longer walk across the tracks. It sits fairly high and exposed, which is part of what makes it feel so spacious — worth bearing that in mind on a blustery day.</t>
  </si>
  <si>
    <t>heathland, estuary views, panoramic views, elevated viewpoints, open moorland, wildlife spotting, Dartford warbler, stonechat, butterflies, dragonflies, silver-studded blue, ponies, long views, Exe Estuary</t>
  </si>
  <si>
    <t>Panoramic views, Countryside views, Wildlife spotting, Coastal views</t>
  </si>
  <si>
    <t>Woodbury Estuary View.jpg</t>
  </si>
  <si>
    <t>Energy Burner, Simple Reset, Moment of Peace</t>
  </si>
  <si>
    <t>Stover is a gentle nature walk with a lake at its centre, woodland paths, picnic spots and mostly level ground that can be kept short or extended into a slower loop. Younger children have plenty to notice close to the path — ducks, swans, water, boardwalks and small stopping points — while older children can take a longer loop, use the aerial walkway and explore more of the woodland. Ted Hughes's poetry trail adds something different for children who enjoy spotting things along the way, and the carved wooden animals along the route are worth looking out for. The park feels more contained than a wilder reserve, with toilets near the Stover Centre making it easier to use with mixed ages.</t>
  </si>
  <si>
    <t>Buggy friendly, Dog friendly, Cycle route, Off-road Buggies only</t>
  </si>
  <si>
    <t>2-5 miles</t>
  </si>
  <si>
    <t>Dogs Allowed, Toilets, Disabled toilets, Picnic Benches, Bench Seating</t>
  </si>
  <si>
    <t>lake, ducks, swans, birdwatching, kingfishers, dragonflies, woodland walks, boardwalk, aerial walkway, poetry trail, carved wooden sculptures, wildlife spotting, squirrels, roe deer, nature trails, pushchair friendly, flat walks</t>
  </si>
  <si>
    <t>Stover Park.jpeg</t>
  </si>
  <si>
    <t>Decoy gives families a lot in one place, and the order you tackle things matters: the play park is visible from the car park the moment you arrive, so if you want to save it as a reward rather than a starting point, it helps to have a plan in mind before you arrive. The lake loop is short enough for younger children to feel manageable, with ducks and swans to watch, woodland paths to explore and good kingfisher spotting along the water margins. In summer the splashpad and kayak hire add a whole different dimension to the visit, and the play equipment, open grass and kiosk for snacks means it can stretch into a full outdoor morning without too much additional effort.</t>
  </si>
  <si>
    <t>0.75-2 miles</t>
  </si>
  <si>
    <t>Dogs Allowed, Toilets, Disabled toilets, Picnic Benches</t>
  </si>
  <si>
    <t>lake, ducks, swans, birdwatching, kingfishers, dragonflies, woodland walks, splashpad, water jets, kayaking, canoeing, cycling, BMX track, outdoor play equipment, wildlife spotting, picnicking, pushchair friendly, flat walks</t>
  </si>
  <si>
    <t>Decoy Park Walk.jpg</t>
  </si>
  <si>
    <t>Lympstone Village Loop</t>
  </si>
  <si>
    <t xml:space="preserve">A short, unhurried walk around Lympstone village that takes in the harbour, historic buildings, Peter's Tower and the estuary foreshore. The harbour is the main draw for children — the passages between the cottages lead down to the beach, where the houses back right onto the shore and the residents close metal flood gates at high tide, and the harbour where (timed right) children can go crabbing. The tall poles on the beach traditionally used for drying washing and still stand today, and Peter's Tower, the Italianate clock tower built in 1885, is a good spotting landmark. The route is mostly quiet lanes and paths, suitable for a gentle wander or scooters in places, and Cliff Field play area is close by if you want to add a play stop. The village has a pub and a small shop for supplies, and High Tide cafe which sells a brilliant range of sweet treats, breakfast options and light lunch options.
</t>
  </si>
  <si>
    <t>Buggy friendly, Dog friendly, Scooter route, Cycle route</t>
  </si>
  <si>
    <t>Undulating, Surfaced / smooth</t>
  </si>
  <si>
    <t>1 Church Road</t>
  </si>
  <si>
    <t>harbour, boats, fishing boats, coastal village, historic buildings, Peter's Tower, village exploring, estuary views, birdwatching, wading birds, history, maritime history, shipbuilding, crabbing, beachcombing, scooters</t>
  </si>
  <si>
    <t>Rivers &amp; streams, Countryside views, Wildlife spotting</t>
  </si>
  <si>
    <t>Lympstone Village Green.jpg</t>
  </si>
  <si>
    <t>Mincing Lake Valley Park</t>
  </si>
  <si>
    <t xml:space="preserve">Mincinglake is one of Exeter's quieter green spaces, tucked into a valley with woodland, meadows, a stream and a small play area that feels genuinely separate from the city around it. Devon Wildlife Trust manages the site, and the wildlife interest is really varied; bullfinches, foxes, harvest mice, and a fairy village that children tend to find and return to repeatedly. The stream runs through the bottom of the valley and children who spot it tend to stop and stay for a while. DWT runs free seasonal family activity sessions in summer with bug hunting, birdwatching and nature art, but most days Mincinglake is an unhurried, rustic walk that feels low-key and straightforward if you're in the area.
</t>
  </si>
  <si>
    <t>0.75-2miles</t>
  </si>
  <si>
    <t xml:space="preserve">woodland walks, meadows, streams, paddling, den building, fairy village, wildlife spotting, foxes, bullfinches, harvest mice, bug hunting, birdwatching, nature trails, outdoor play equipment, giant slide, climbing frame
</t>
  </si>
  <si>
    <t>Wildlife spotting, Scenic valleys</t>
  </si>
  <si>
    <t>National Park, River or Lakeside Ramble</t>
  </si>
  <si>
    <t>Dartmeet</t>
  </si>
  <si>
    <t xml:space="preserve">Dartmeet is where the East and West Dart rivers meet, and for families the appeal is immediate when you arrive: clear, shallow water right next to the car park, giant boulders to climb, stepping stones, grassy riverbanks and the kind of freedom that feels properly Dartmoor. Younger children can spend a happy hour simply paddling, scrambling and throwing stones without going anywhere in particular. The short signed walk north from the car park along the East Dart adds clapper bridges, more climbing, deeper pools and open moorland — and the chance of spotting Dartmoor ponies grazing nearby. The path gets rocky further up so it's not pushchair friendly, but the river stretch near the car park is accessible enough for most families. Toilets and a small café kiosk are at the car park, which makes it easier than many Dartmoor spots to use as a spontaneous stop rather than a planned expedition.
</t>
  </si>
  <si>
    <t>PL20 6SG</t>
  </si>
  <si>
    <t xml:space="preserve">rivers, streams, paddling, stone throwing, scrambling, rock climbing, stepping stones, Pooh sticks, clapper bridges, boulders, Dartmoor ponies, ponies, kingfishers, dragonflies, otters, brown trout, picnicking, Dartmoor, moorland
</t>
  </si>
  <si>
    <t>Autumn, Springtime</t>
  </si>
  <si>
    <t>Red Deer Ruts, Foals, Bluebells</t>
  </si>
  <si>
    <t>Stepping stones, "Bridges (wooden, stone, suspension)", Ancient trees, Lakes &amp; reservoirs, Rivers &amp; streams, Countryside views, Elevated viewpoints, Scenic valleys, Wildlife spotting</t>
  </si>
  <si>
    <t>Dartmeet.JPG</t>
  </si>
  <si>
    <t>Castle Feature - Woodbury Common</t>
  </si>
  <si>
    <t xml:space="preserve">The Castle Feature refers to Woodbury Castle, the Iron Age hillfort that sits at the main car park end of Woodbury Common. It's the most accessible part of the common for families arriving by car — the earthworks are immediately visible from the car park and take only a few minutes to reach on foot. The ramparts and ditches are impressively large up close, and children can scramble along the banks and explore the interior without any formal trail to follow. It works well as a starting point before heading out onto the wider common, or as a standalone short visit if the heathland walk feels like too much. 
</t>
  </si>
  <si>
    <t>Off-road Buggies only, Dog friendly</t>
  </si>
  <si>
    <t>0.5-2 miles</t>
  </si>
  <si>
    <t>Woodland track, Uneven</t>
  </si>
  <si>
    <t>Iron Age, hill fort, archaeology, earthworks, ramparts, ditches, scrambling, heathland, panoramic views, wildlife spotting, Dartford warbler, stonechat, butterflies</t>
  </si>
  <si>
    <t>Castle Feature Woodbury.jpg</t>
  </si>
  <si>
    <t>Denbury Hillfort Monument</t>
  </si>
  <si>
    <t>Denbury Hillfort is a Scheduled Ancient Monument near Newton Abbot, sitting on top of Denbury Down and dating to around 300–100BC. The hillfort is unusually well preserved, with impressive double ramparts and deep ditches on the south and east sides, and two Bronze Age burial mounds inside the fort interior that predate the Iron Age structure itself. Access is via a short ten-minute walk up a lane from the village — narrow and hedged with wildflowers in spring — and the site has interpretation boards explaining what you're looking at. Children can walk the full circumference along the outer ditch path, which takes about twenty minutes and gives a real sense of the scale of the earthworks. In spring the woodland floor inside the fort fills with bluebells. Local legend says a golden crown is buried somewhere on Denbury Down, which is a fun detail mentioning to children before you set off to add an extra spark to the trip.</t>
  </si>
  <si>
    <t>Carrier Only, Dog friendly, Mountain Bikes Only</t>
  </si>
  <si>
    <t>Undulating, Uneven, Woodland track</t>
  </si>
  <si>
    <t>TQ12 6DY</t>
  </si>
  <si>
    <t>Iron Age, hill fort, archaeology, earthworks, ramparts, Bronze Age, burial mounds, ancient history, bluebells, wildflowers, scrambling, Dartmoor views, treasure legend, legend, wildlife spotting</t>
  </si>
  <si>
    <t>Bluebells, Autumn Leaves, "Berries, Nuts, Conkers", Snowdrops</t>
  </si>
  <si>
    <t>Ancient trees, Ruins or historic features, Wildlife spotting, Elevated viewpoints, Panoramic views, Scenic valleys</t>
  </si>
  <si>
    <t>Denbury Hillfort Momument.JPG</t>
  </si>
  <si>
    <t>Phear Park is one of Exmouth's most useful all-round park stops when different children need different things at the same time. There's open grass and mature trees for running and climbing, play areas for younger children, a skate park, tennis courts, pitch and putt and plenty of flat space for scooters or a ball. It can work as a quick leg-stretch or a full park morning depending on how the day is going, and it sits close enough to town that you can adjust the plan without much effort. Bumble &amp; Tee café on the edge of the park covers the hot drink and snack question.</t>
  </si>
  <si>
    <t>0.5-1 mile</t>
  </si>
  <si>
    <t>Withycombe Village Road</t>
  </si>
  <si>
    <t>EX8 1TQ</t>
  </si>
  <si>
    <t>Toilets, Picnic Benches, Bench Seating, Dogs Allowed, Outdoor Seating</t>
  </si>
  <si>
    <t>open green space, woodland walks, pond, duck feeding, pitch and putt golf, tennis, skateboarding, BMX, scooters, outdoor play equipment, swings, slides, climbing frames, ground trampoline, basket swing, balance trail, picnicking, cycling space, café nearby</t>
  </si>
  <si>
    <t>Seasonal Flowers</t>
  </si>
  <si>
    <t>Countryside views, Wildlife spotting, Rivers &amp; streams</t>
  </si>
  <si>
    <t>enum_name</t>
  </si>
  <si>
    <t>group_label</t>
  </si>
  <si>
    <t>value_key</t>
  </si>
  <si>
    <t>value_label</t>
  </si>
  <si>
    <t>applies_to_type</t>
  </si>
  <si>
    <t>status</t>
  </si>
  <si>
    <t>notes</t>
  </si>
  <si>
    <t>Provider facing label</t>
  </si>
  <si>
    <t>Opportunity Types</t>
  </si>
  <si>
    <t>Activity Venue</t>
  </si>
  <si>
    <t>all</t>
  </si>
  <si>
    <t>Active</t>
  </si>
  <si>
    <t>Route</t>
  </si>
  <si>
    <t>Club</t>
  </si>
  <si>
    <t>Event</t>
  </si>
  <si>
    <t>experience</t>
  </si>
  <si>
    <t>Experience</t>
  </si>
  <si>
    <t>inactive</t>
  </si>
  <si>
    <t>Future use / Military pilot only</t>
  </si>
  <si>
    <t>community</t>
  </si>
  <si>
    <t>Community</t>
  </si>
  <si>
    <t>support</t>
  </si>
  <si>
    <t>Support</t>
  </si>
  <si>
    <t>Activity Grouping (User-facing Filters)</t>
  </si>
  <si>
    <t>activity_group</t>
  </si>
  <si>
    <t>active</t>
  </si>
  <si>
    <t>activities under X hours, X total cost, not high energy, not chaotic energy, something calming</t>
  </si>
  <si>
    <t>high energy, intended to tire children out and burn off energy - will need to categorise this better</t>
  </si>
  <si>
    <t>low_effort</t>
  </si>
  <si>
    <t>low input needed from parents, something simple, closeby, that children can enjoy mostly independently</t>
  </si>
  <si>
    <t>a special, more considered day out that requires half a day minimum</t>
  </si>
  <si>
    <t>moment_of_peace</t>
  </si>
  <si>
    <t>something where the parent can enjoy a coffee or a sit down without being required to rush about, something calm, minimal to no input, likely to keep  hildren engaged quietly</t>
  </si>
  <si>
    <t>Interest Categories (User-facing Interest Areas)</t>
  </si>
  <si>
    <t>interest_category</t>
  </si>
  <si>
    <t>Interest Category</t>
  </si>
  <si>
    <t>nature_exploration</t>
  </si>
  <si>
    <t>Nature &amp; Exploration</t>
  </si>
  <si>
    <t>profile</t>
  </si>
  <si>
    <t>Outdoor discovery, nature connection</t>
  </si>
  <si>
    <t>movement_energy</t>
  </si>
  <si>
    <t>Movement &amp; Energy</t>
  </si>
  <si>
    <t>High-energy, physical play</t>
  </si>
  <si>
    <t>creativity_imagination</t>
  </si>
  <si>
    <t>Creativity &amp; Imagination</t>
  </si>
  <si>
    <t>Making, pretending, expressing</t>
  </si>
  <si>
    <t>learning_curiosity</t>
  </si>
  <si>
    <t>Learning &amp; Curiosity</t>
  </si>
  <si>
    <t>Discovery, questions, learning</t>
  </si>
  <si>
    <t>slowing_down</t>
  </si>
  <si>
    <t>Slowing Down</t>
  </si>
  <si>
    <t>Soothing, quiet, low stimulation</t>
  </si>
  <si>
    <t>together_time</t>
  </si>
  <si>
    <t>Family Resets</t>
  </si>
  <si>
    <t>Shared, connective experiences</t>
  </si>
  <si>
    <t>special_memorable</t>
  </si>
  <si>
    <t>Special &amp; Memorable Days Out</t>
  </si>
  <si>
    <t>Novelty, excitement, big moments</t>
  </si>
  <si>
    <t>Opportunity Themes</t>
  </si>
  <si>
    <t>opportunity_theme</t>
  </si>
  <si>
    <t>Opportunity Theme</t>
  </si>
  <si>
    <t>scenic_walks</t>
  </si>
  <si>
    <t>route, event, club</t>
  </si>
  <si>
    <t>Walks chosen for views &amp; atmosphere</t>
  </si>
  <si>
    <t>green_spaces</t>
  </si>
  <si>
    <t>venue, event, club</t>
  </si>
  <si>
    <t>Open spaces for free play</t>
  </si>
  <si>
    <t>nature_wildlife</t>
  </si>
  <si>
    <t>route, venue, event, club</t>
  </si>
  <si>
    <t>Nature-rich, exploratory environments</t>
  </si>
  <si>
    <t>coastal_adventures</t>
  </si>
  <si>
    <t>Coastal exploration &amp; play</t>
  </si>
  <si>
    <t>gardens_outdoor</t>
  </si>
  <si>
    <t>Curated outdoor spaces</t>
  </si>
  <si>
    <t>active_play</t>
  </si>
  <si>
    <t>Large-scale, physical play</t>
  </si>
  <si>
    <t>sporty_activities</t>
  </si>
  <si>
    <t>Organised or casual sports</t>
  </si>
  <si>
    <t>wheels_routes</t>
  </si>
  <si>
    <t>Bike, scooter, wheeled routes</t>
  </si>
  <si>
    <t>water_fun</t>
  </si>
  <si>
    <t>Swimming, paddling, splash</t>
  </si>
  <si>
    <t>creative_play</t>
  </si>
  <si>
    <t>Art, making, performing</t>
  </si>
  <si>
    <t>imaginative_play</t>
  </si>
  <si>
    <t>Pretend &amp; story-led play</t>
  </si>
  <si>
    <t>sensory_soothing</t>
  </si>
  <si>
    <t>Sensory or Calming Experiences</t>
  </si>
  <si>
    <t>Regulation-focused experiences</t>
  </si>
  <si>
    <t>hands_on_learning</t>
  </si>
  <si>
    <t>Hands-On Learning</t>
  </si>
  <si>
    <t>Learning by doing</t>
  </si>
  <si>
    <t>interactive_museums</t>
  </si>
  <si>
    <t>Museums designed for children</t>
  </si>
  <si>
    <t>historical_cultural</t>
  </si>
  <si>
    <t>Heritage &amp; culture</t>
  </si>
  <si>
    <t>animal_encounters</t>
  </si>
  <si>
    <t>Animals as the core draw</t>
  </si>
  <si>
    <t>soft_play</t>
  </si>
  <si>
    <t>venue, event</t>
  </si>
  <si>
    <t>Indoor physical play</t>
  </si>
  <si>
    <t>indoor_entertainment</t>
  </si>
  <si>
    <t>venue, club, event</t>
  </si>
  <si>
    <t>Indoor related activities</t>
  </si>
  <si>
    <t>vehicles_transport</t>
  </si>
  <si>
    <t>Transport &amp; Engineering</t>
  </si>
  <si>
    <t>Trains, boats, machinery</t>
  </si>
  <si>
    <t>big_day_out</t>
  </si>
  <si>
    <t>Large, immersive attractions</t>
  </si>
  <si>
    <t>relaxed_cafe</t>
  </si>
  <si>
    <t>Informal café time</t>
  </si>
  <si>
    <t>family_dining</t>
  </si>
  <si>
    <t>Sit-down family meals</t>
  </si>
  <si>
    <t>seasonal</t>
  </si>
  <si>
    <t>Opportunity Themes mapped to Interest Categories</t>
  </si>
  <si>
    <t>interest_category_options</t>
  </si>
  <si>
    <t>Nature &amp; Exploration Themes</t>
  </si>
  <si>
    <t>Scenic Walks &amp; Wanders</t>
  </si>
  <si>
    <t xml:space="preserve">(This is shown when the child is likely to be building skill and parents are looking for dedicated clubs or events catering to them having shown a specific interest - not just general 'have a go' activities) </t>
  </si>
  <si>
    <t>Orienteering or Navigation</t>
  </si>
  <si>
    <t>Age 8 and over</t>
  </si>
  <si>
    <t>Sailing</t>
  </si>
  <si>
    <t>Age 6 and over</t>
  </si>
  <si>
    <t>Coasteering</t>
  </si>
  <si>
    <t>Gardens &amp; Heritage Grounds</t>
  </si>
  <si>
    <t>Paddleboarding</t>
  </si>
  <si>
    <t>Kayaking</t>
  </si>
  <si>
    <t>Surfing</t>
  </si>
  <si>
    <t>Movement &amp; Energy Options</t>
  </si>
  <si>
    <t>active_play_climbing</t>
  </si>
  <si>
    <t>Climbing</t>
  </si>
  <si>
    <t>Football</t>
  </si>
  <si>
    <t>Tennis</t>
  </si>
  <si>
    <t>Age 5 and over</t>
  </si>
  <si>
    <t>Athletics</t>
  </si>
  <si>
    <t>Age 7 and over</t>
  </si>
  <si>
    <t>Gymnastics</t>
  </si>
  <si>
    <t>Martial Arts</t>
  </si>
  <si>
    <t>Skateboarding</t>
  </si>
  <si>
    <t>Rollerblades / skates</t>
  </si>
  <si>
    <t>Motorcross</t>
  </si>
  <si>
    <t>AS ABOVE (Water Based Fun)</t>
  </si>
  <si>
    <t>Creativity &amp; Imagination Options</t>
  </si>
  <si>
    <t>Dance</t>
  </si>
  <si>
    <t>Music</t>
  </si>
  <si>
    <t>Creative Writing</t>
  </si>
  <si>
    <t>Age 10 and over</t>
  </si>
  <si>
    <t>Drama / Acting</t>
  </si>
  <si>
    <t>Learning &amp; Curiosity Options</t>
  </si>
  <si>
    <t>Coding</t>
  </si>
  <si>
    <t>Horse Riding</t>
  </si>
  <si>
    <t>Animal Husbandry</t>
  </si>
  <si>
    <t>Robotics</t>
  </si>
  <si>
    <t>Construction</t>
  </si>
  <si>
    <t>Slowing Down Options</t>
  </si>
  <si>
    <t>Yoga</t>
  </si>
  <si>
    <t>a_big_day_out</t>
  </si>
  <si>
    <t>Escape rooms</t>
  </si>
  <si>
    <t>Go-Karting</t>
  </si>
  <si>
    <t>General Skills / Abilities</t>
  </si>
  <si>
    <t>general_skill</t>
  </si>
  <si>
    <t>Balance Biking</t>
  </si>
  <si>
    <t>Show for Ages 1 - 4</t>
  </si>
  <si>
    <t>Cycling</t>
  </si>
  <si>
    <t>Show for Ages 4 and over</t>
  </si>
  <si>
    <t>Scootering</t>
  </si>
  <si>
    <t>Show for Ages 1 - 5</t>
  </si>
  <si>
    <t>Hiking</t>
  </si>
  <si>
    <t>Show for Age 8 and over</t>
  </si>
  <si>
    <t>Swimming</t>
  </si>
  <si>
    <t>Show for Age 6 and over</t>
  </si>
  <si>
    <t>Opportunity Themes mapped to each Opportunity Type</t>
  </si>
  <si>
    <t>opportunity_type_theme_options</t>
  </si>
  <si>
    <t>Route Themes</t>
  </si>
  <si>
    <t>route_themes</t>
  </si>
  <si>
    <t>Venue Themes</t>
  </si>
  <si>
    <t>venue_themes</t>
  </si>
  <si>
    <t>Green Space To Run Around</t>
  </si>
  <si>
    <t>Formal or landscaped gardens</t>
  </si>
  <si>
    <t>Playground space</t>
  </si>
  <si>
    <t>Cycling or Walking Routes</t>
  </si>
  <si>
    <t>Water-based Activities</t>
  </si>
  <si>
    <t>Creative or Expressive Play</t>
  </si>
  <si>
    <t>Imaginary Role Play</t>
  </si>
  <si>
    <t>Sensory Experiences</t>
  </si>
  <si>
    <t>Exhibits &amp; Discoveries</t>
  </si>
  <si>
    <t>Historical or cultural education</t>
  </si>
  <si>
    <t>Indoor Play Equipment</t>
  </si>
  <si>
    <t>Vehicle rides or exploration</t>
  </si>
  <si>
    <t>A special (big) day out</t>
  </si>
  <si>
    <t>A relaxed coffee stop</t>
  </si>
  <si>
    <t>Family Dining moment</t>
  </si>
  <si>
    <t>Club Themes</t>
  </si>
  <si>
    <t>club_themes</t>
  </si>
  <si>
    <t>Event Themes</t>
  </si>
  <si>
    <t>event_themes</t>
  </si>
  <si>
    <t>Opportunity Theme Variants (what is it, exactly)</t>
  </si>
  <si>
    <t>opportunity_theme_variant_walks</t>
  </si>
  <si>
    <t>woodland_walk</t>
  </si>
  <si>
    <t>Tree-covered, shaded walks</t>
  </si>
  <si>
    <t>coastal_walk</t>
  </si>
  <si>
    <t>Sea views, cliffs</t>
  </si>
  <si>
    <t>riverside_walk</t>
  </si>
  <si>
    <t>Calm waterside walks</t>
  </si>
  <si>
    <t>nature_trail</t>
  </si>
  <si>
    <t>Signed or circular routes</t>
  </si>
  <si>
    <t>national_park</t>
  </si>
  <si>
    <t>National Park</t>
  </si>
  <si>
    <t>route, venue</t>
  </si>
  <si>
    <t>waymarked_trail</t>
  </si>
  <si>
    <t>Waymarked Trail</t>
  </si>
  <si>
    <t>estate_grounds</t>
  </si>
  <si>
    <t>heathland</t>
  </si>
  <si>
    <t>feature_walk</t>
  </si>
  <si>
    <t>Destination-led</t>
  </si>
  <si>
    <t>gentle_wander</t>
  </si>
  <si>
    <t>Short, low-effort walks</t>
  </si>
  <si>
    <t>hilly_hike</t>
  </si>
  <si>
    <t>Challenging Hike</t>
  </si>
  <si>
    <t>Challenging hikes on tricky terrain</t>
  </si>
  <si>
    <t>city_circuit</t>
  </si>
  <si>
    <t>City Circuit</t>
  </si>
  <si>
    <t>Short loops in urban areas</t>
  </si>
  <si>
    <t>towpaths</t>
  </si>
  <si>
    <t>Simple towpaths</t>
  </si>
  <si>
    <t>opportunity_theme_variant</t>
  </si>
  <si>
    <t>Open Green Spaces</t>
  </si>
  <si>
    <t>country_parks</t>
  </si>
  <si>
    <t>Big open parks with space to roam</t>
  </si>
  <si>
    <t>open_parkland</t>
  </si>
  <si>
    <t>Wide, unfenced grassy areas</t>
  </si>
  <si>
    <t>village_greens</t>
  </si>
  <si>
    <t>Village Green</t>
  </si>
  <si>
    <t>Informal local green spaces</t>
  </si>
  <si>
    <t>village_parks</t>
  </si>
  <si>
    <t>Village Park</t>
  </si>
  <si>
    <t>Smaller local park options usually with some greenspace</t>
  </si>
  <si>
    <t>urban_green_spaces</t>
  </si>
  <si>
    <t>City-based open green areas</t>
  </si>
  <si>
    <t>castle_grounds</t>
  </si>
  <si>
    <t>Castle Grounds</t>
  </si>
  <si>
    <t>Managed grounds open to the public</t>
  </si>
  <si>
    <t>nature_reserves</t>
  </si>
  <si>
    <t>all, route</t>
  </si>
  <si>
    <t>Protected or unmanaged natural areas</t>
  </si>
  <si>
    <t>wildlife_spotting</t>
  </si>
  <si>
    <t>Birds, insects, deer</t>
  </si>
  <si>
    <t>hydes_cabins</t>
  </si>
  <si>
    <t>Quiet observation</t>
  </si>
  <si>
    <t>learning_hut</t>
  </si>
  <si>
    <t>forest_school</t>
  </si>
  <si>
    <t>Forest School</t>
  </si>
  <si>
    <t>Lightly structured, nature-first learning</t>
  </si>
  <si>
    <t>natural_play_areas</t>
  </si>
  <si>
    <t>Natural Play Area</t>
  </si>
  <si>
    <t>Play using natural materials, wild, unmanaged spaces</t>
  </si>
  <si>
    <t>den_building</t>
  </si>
  <si>
    <t>Den-Building &amp; Nature Craft</t>
  </si>
  <si>
    <t>Hands-on interaction with nature</t>
  </si>
  <si>
    <t>nature_trails</t>
  </si>
  <si>
    <t>Discovery Trail</t>
  </si>
  <si>
    <t>Trails designed to encourage exploration</t>
  </si>
  <si>
    <t>sandy_beach</t>
  </si>
  <si>
    <t>Sand-focused play</t>
  </si>
  <si>
    <t>pebble_beach</t>
  </si>
  <si>
    <t>rnli_beach</t>
  </si>
  <si>
    <t>RNLI Beach</t>
  </si>
  <si>
    <t>Safe water entry</t>
  </si>
  <si>
    <t>coves_exploration</t>
  </si>
  <si>
    <t>Rocky Cove</t>
  </si>
  <si>
    <t>Smaller, enclosed bays</t>
  </si>
  <si>
    <t>coasteering_adventure</t>
  </si>
  <si>
    <t>Coasteering Beach</t>
  </si>
  <si>
    <t>club, experience, venue</t>
  </si>
  <si>
    <t>Coasterring as an activity or ideal preferred spot</t>
  </si>
  <si>
    <t>wild_open_beaches</t>
  </si>
  <si>
    <t>Wild or Remote Beach</t>
  </si>
  <si>
    <t>Exposed, expansive beaches</t>
  </si>
  <si>
    <t>dog_friendly_beaches</t>
  </si>
  <si>
    <t>Dog access important</t>
  </si>
  <si>
    <t>mixed_sand_shingle</t>
  </si>
  <si>
    <t>Mixed Sand &amp; Shingle Beach</t>
  </si>
  <si>
    <t>cove_or_bay</t>
  </si>
  <si>
    <t>Sheltered Cove or Bay</t>
  </si>
  <si>
    <t>surf_beach</t>
  </si>
  <si>
    <t>Surf Beach</t>
  </si>
  <si>
    <t>harbour_beach</t>
  </si>
  <si>
    <t>estuary_beach</t>
  </si>
  <si>
    <t>Estuary Beach</t>
  </si>
  <si>
    <t>botanical_gardens</t>
  </si>
  <si>
    <t>Botanical Garden</t>
  </si>
  <si>
    <t>Plant collections</t>
  </si>
  <si>
    <t>arboretum</t>
  </si>
  <si>
    <t>Arboretum</t>
  </si>
  <si>
    <t>historic_estate_gardens</t>
  </si>
  <si>
    <t>Manor, estate, heritage gardens</t>
  </si>
  <si>
    <t>formal_landscape_gardens</t>
  </si>
  <si>
    <t>Designed garden layouts</t>
  </si>
  <si>
    <t>community_gardens</t>
  </si>
  <si>
    <t>Community Garden</t>
  </si>
  <si>
    <t>Local gardens open to the public</t>
  </si>
  <si>
    <t>themed_gardens</t>
  </si>
  <si>
    <t>Themed Garden</t>
  </si>
  <si>
    <t>Art, sculpture, or concept-led gardens</t>
  </si>
  <si>
    <t>enclosed_gardens</t>
  </si>
  <si>
    <t>Enclosed Garden</t>
  </si>
  <si>
    <t>Contained, intimate spaces</t>
  </si>
  <si>
    <t>large_playgrounds</t>
  </si>
  <si>
    <t>Destination Playground</t>
  </si>
  <si>
    <t>Big, well-equipped playgrounds</t>
  </si>
  <si>
    <t>local_playgrouns</t>
  </si>
  <si>
    <t>Smaller, village parks</t>
  </si>
  <si>
    <t>adventure_playgrounds</t>
  </si>
  <si>
    <t>More challenging, exploratory play</t>
  </si>
  <si>
    <t>natural_play</t>
  </si>
  <si>
    <t>Natural Obstacle Course</t>
  </si>
  <si>
    <t>Wood, ropes, nature-led design</t>
  </si>
  <si>
    <t>skate_park</t>
  </si>
  <si>
    <t>actie</t>
  </si>
  <si>
    <t>Ramps, jumps, smoothed surface intended for skates</t>
  </si>
  <si>
    <t>orienteering_course</t>
  </si>
  <si>
    <t>Orienteering Course</t>
  </si>
  <si>
    <t>Height, obstacles, physical challenge</t>
  </si>
  <si>
    <t>letterboxing_course</t>
  </si>
  <si>
    <t>Letterboxing Site</t>
  </si>
  <si>
    <t>Fast-paced, physical play</t>
  </si>
  <si>
    <t>leisure_centre</t>
  </si>
  <si>
    <t>Leisure Centre</t>
  </si>
  <si>
    <t>assault-course</t>
  </si>
  <si>
    <t>Adventure / Assault Course</t>
  </si>
  <si>
    <t>climbing_centre</t>
  </si>
  <si>
    <t>multisports_activity_centre</t>
  </si>
  <si>
    <t>Multisports Centre</t>
  </si>
  <si>
    <t>sports_stadium</t>
  </si>
  <si>
    <t>Sport Stadium</t>
  </si>
  <si>
    <t>sports_arena</t>
  </si>
  <si>
    <t>Sport Arena</t>
  </si>
  <si>
    <t>swimming_pool</t>
  </si>
  <si>
    <t>community_centre</t>
  </si>
  <si>
    <t>Community Centre</t>
  </si>
  <si>
    <t>range</t>
  </si>
  <si>
    <t>sports_track</t>
  </si>
  <si>
    <t>Sports Track</t>
  </si>
  <si>
    <t>indoor_courts</t>
  </si>
  <si>
    <t>Indoor Court</t>
  </si>
  <si>
    <t>outdoor_courts</t>
  </si>
  <si>
    <t>specialist_sports_facility</t>
  </si>
  <si>
    <t>Specialist Facility</t>
  </si>
  <si>
    <t>outdoor_pitch</t>
  </si>
  <si>
    <t>Outdoor Pitch</t>
  </si>
  <si>
    <t>gym</t>
  </si>
  <si>
    <t>Gym</t>
  </si>
  <si>
    <t>coached_sessions</t>
  </si>
  <si>
    <t>Coached Sessions</t>
  </si>
  <si>
    <t>venue, club</t>
  </si>
  <si>
    <t>One-off or drop-in coaching</t>
  </si>
  <si>
    <t>structured_lessons</t>
  </si>
  <si>
    <t>Structured Lessons</t>
  </si>
  <si>
    <t>club, venue</t>
  </si>
  <si>
    <t>Progressive learning (e.g. weekly classes)</t>
  </si>
  <si>
    <t>clubs_and_teams</t>
  </si>
  <si>
    <t>Club or Team</t>
  </si>
  <si>
    <t>Membership-based, ongoing</t>
  </si>
  <si>
    <t>training_and_drills</t>
  </si>
  <si>
    <t>Training or Skills Focus</t>
  </si>
  <si>
    <t>Drills, skills sessions, practice</t>
  </si>
  <si>
    <t>kit_hire</t>
  </si>
  <si>
    <t>Kit &amp; Equipment Hire</t>
  </si>
  <si>
    <t>Kit hire, equipment loans</t>
  </si>
  <si>
    <t>hire_and_free_practice</t>
  </si>
  <si>
    <t>Hireable Court/Pitch</t>
  </si>
  <si>
    <t>Courts, pitches,</t>
  </si>
  <si>
    <t>winter_wonderland</t>
  </si>
  <si>
    <t>Winter Wonderland</t>
  </si>
  <si>
    <t>ice_rink</t>
  </si>
  <si>
    <t>Ice-skating Rink</t>
  </si>
  <si>
    <t>festival_park</t>
  </si>
  <si>
    <t>Festival Park</t>
  </si>
  <si>
    <t>arena</t>
  </si>
  <si>
    <t>Arena</t>
  </si>
  <si>
    <t>statium</t>
  </si>
  <si>
    <t>Stadium</t>
  </si>
  <si>
    <t>showground</t>
  </si>
  <si>
    <t>Showground</t>
  </si>
  <si>
    <t>fairground</t>
  </si>
  <si>
    <t>Fairground</t>
  </si>
  <si>
    <t>pick_your_own</t>
  </si>
  <si>
    <t>light_trail</t>
  </si>
  <si>
    <t>Lights Trail</t>
  </si>
  <si>
    <t>patch</t>
  </si>
  <si>
    <t>Patch or Field</t>
  </si>
  <si>
    <t>opportunity_theme_variant_rideable</t>
  </si>
  <si>
    <t>quick_spin</t>
  </si>
  <si>
    <t>“Easy win / quick reset” energy. Keeps it broad (bike/scooter/etc.) without specifying kit.</t>
  </si>
  <si>
    <t>longer_ride</t>
  </si>
  <si>
    <t>Signals a more committed outing without implying distance, difficulty, or route shape (handled elsewhere).</t>
  </si>
  <si>
    <t>practise_route</t>
  </si>
  <si>
    <t>Practise Space</t>
  </si>
  <si>
    <t>Parent intent: learning, improving, settling nerves. Covers “learn to ride” and skill progression without age bands.</t>
  </si>
  <si>
    <t>skills_and_stunts</t>
  </si>
  <si>
    <t>Captures pump tracks / ramps / jumps as a feel (high-energy, skill-testing) without naming facilities or disciplines.</t>
  </si>
  <si>
    <t>paddle_spot</t>
  </si>
  <si>
    <t>Paddle Spot</t>
  </si>
  <si>
    <t>Activity Venue, Route</t>
  </si>
  <si>
    <t>Core hot-weather intent. Covers paddling, shallow water, splashy play without naming water type.</t>
  </si>
  <si>
    <t>water_play</t>
  </si>
  <si>
    <t>Signals calm, low-risk, sensory water experiences (streams, edges, shallow areas).</t>
  </si>
  <si>
    <t>Calm water, shade, inland feel</t>
  </si>
  <si>
    <t>water_park</t>
  </si>
  <si>
    <t>Waterparks</t>
  </si>
  <si>
    <t>Parent-recognisable phrase for splash parks / fountains without facility lists.</t>
  </si>
  <si>
    <t>water_rides</t>
  </si>
  <si>
    <t>On The Water</t>
  </si>
  <si>
    <t>activity, venue, club</t>
  </si>
  <si>
    <t>water_adventure</t>
  </si>
  <si>
    <t>Water Adventure</t>
  </si>
  <si>
    <t>Slightly braver, exploratory water experiences (wading, flowing water) without tipping into Beach or Sporty.</t>
  </si>
  <si>
    <t>making_and_creating</t>
  </si>
  <si>
    <t>Activity Venue, Club, Event</t>
  </si>
  <si>
    <t>Hands-on creative output: art, craft, clay, textiles. Medium-agnostic by design.</t>
  </si>
  <si>
    <t>expressive_movement_and_music</t>
  </si>
  <si>
    <t>Music &amp; Movement</t>
  </si>
  <si>
    <t>Singing, dancing, rhythm, performance through the body; not fitness-led.</t>
  </si>
  <si>
    <t>creative_expression</t>
  </si>
  <si>
    <t>Creative Expression</t>
  </si>
  <si>
    <t>creative writing, poetry, spoken verse, storytelling</t>
  </si>
  <si>
    <t>performing_and_putting_on_a_show</t>
  </si>
  <si>
    <t>Performative Arts</t>
  </si>
  <si>
    <t>Drama, theatre-style play, confidence-building expression in front of others.</t>
  </si>
  <si>
    <t>film_photography</t>
  </si>
  <si>
    <t>Film or Media</t>
  </si>
  <si>
    <t>Photography, film, creative documentation framed as meaning-making, not tech skills.</t>
  </si>
  <si>
    <t>role_play_and_characters</t>
  </si>
  <si>
    <t>Character-Led Play</t>
  </si>
  <si>
    <t>Neutral, scalable phrasing that works from dressing up through to character-led re-enactment.</t>
  </si>
  <si>
    <t>immersive_worlds</t>
  </si>
  <si>
    <t>Activity Venue, Event</t>
  </si>
  <si>
    <t>Signals depth and escapism without sounding provider-led or age-specific.</t>
  </si>
  <si>
    <t>scenario_and_world_play</t>
  </si>
  <si>
    <t>Scenario &amp; World play</t>
  </si>
  <si>
    <t>Activity Venue, Club</t>
  </si>
  <si>
    <t>Broad enough to include small-world play and complex scenario building or re-enactment.</t>
  </si>
  <si>
    <t>narrative_led_experiences</t>
  </si>
  <si>
    <t>Narrative-led experiences</t>
  </si>
  <si>
    <t>Slightly more mature phrasing for story-driven experiences without tipping into academic tone.</t>
  </si>
  <si>
    <t>sensory_garden</t>
  </si>
  <si>
    <t>Sensory garden</t>
  </si>
  <si>
    <t>Recognisable parent term; outdoor, designed-for-senses, calming by intent.</t>
  </si>
  <si>
    <t>sensory_room_or_space</t>
  </si>
  <si>
    <t>Sensory Space</t>
  </si>
  <si>
    <t>Dedicated indoor sensory rooms or permanent calming spaces.</t>
  </si>
  <si>
    <t>calming_designed_environment</t>
  </si>
  <si>
    <t>Soothing Environment</t>
  </si>
  <si>
    <t>Intentionally gentle environments or installations without clinical framing.</t>
  </si>
  <si>
    <t>light_touch_sensory_experience</t>
  </si>
  <si>
    <t>Light-touch Sensory</t>
  </si>
  <si>
    <t>Sensory-focused but explicitly not intense or overwhelming.</t>
  </si>
  <si>
    <t>experiments</t>
  </si>
  <si>
    <t>Experiments</t>
  </si>
  <si>
    <t>Science-style exploration, trial &amp; error</t>
  </si>
  <si>
    <t>discovery_challenges</t>
  </si>
  <si>
    <t>Discovery-Based Challenges</t>
  </si>
  <si>
    <t>learning_through_play</t>
  </si>
  <si>
    <t>Learning Through Play</t>
  </si>
  <si>
    <t>Play-led learning environments</t>
  </si>
  <si>
    <t>interactive_exhibits</t>
  </si>
  <si>
    <t>Interactive Exhibits</t>
  </si>
  <si>
    <t>Touch, build, manipulate</t>
  </si>
  <si>
    <t>problem_solving</t>
  </si>
  <si>
    <t>Problem-Solving</t>
  </si>
  <si>
    <t>Puzzles, logic, engineering-style tasks</t>
  </si>
  <si>
    <t>construction_activity</t>
  </si>
  <si>
    <t>Construction Activities</t>
  </si>
  <si>
    <t>Constructing, assembling, creating</t>
  </si>
  <si>
    <t>science_and_discovery</t>
  </si>
  <si>
    <t>Science &amp; Discovery</t>
  </si>
  <si>
    <t>Science centres, discovery museums</t>
  </si>
  <si>
    <t>technology_and_innovation</t>
  </si>
  <si>
    <t>Technology &amp; Innovation</t>
  </si>
  <si>
    <t>Tech, engineering, innovation spaces</t>
  </si>
  <si>
    <t>history_made_interactive</t>
  </si>
  <si>
    <t>History presented interactively</t>
  </si>
  <si>
    <t>world_and_cultures</t>
  </si>
  <si>
    <t>World &amp; Cultures</t>
  </si>
  <si>
    <t>Geography, people, global cultures</t>
  </si>
  <si>
    <t>children_focused_discovery</t>
  </si>
  <si>
    <t>Child-Focused Discovery</t>
  </si>
  <si>
    <t>Designed specifically for children</t>
  </si>
  <si>
    <t>farm_and_smallholding</t>
  </si>
  <si>
    <t>Petting farms, open farms, smallholdings</t>
  </si>
  <si>
    <t>wildlife_reserve</t>
  </si>
  <si>
    <t>Wildlife Reserve</t>
  </si>
  <si>
    <t>animal_parks</t>
  </si>
  <si>
    <t>Zoos, safari parks, wildlife parks</t>
  </si>
  <si>
    <t>conservation_project</t>
  </si>
  <si>
    <t>animal_sanctuary</t>
  </si>
  <si>
    <t>Animal Sanctuary</t>
  </si>
  <si>
    <t>sealife_aquarium</t>
  </si>
  <si>
    <t>Aquatic animal centres</t>
  </si>
  <si>
    <t>reptiles_and_exotics</t>
  </si>
  <si>
    <t>Reptiles &amp; Exotics</t>
  </si>
  <si>
    <t>Reptile centres, specialist collections</t>
  </si>
  <si>
    <t>birds_of_prey</t>
  </si>
  <si>
    <t>Bird of Prey Centre</t>
  </si>
  <si>
    <t>stables_yard</t>
  </si>
  <si>
    <t>Stables or Yard</t>
  </si>
  <si>
    <t>venue, club, experience</t>
  </si>
  <si>
    <t>Riding, grooming, pony encounters</t>
  </si>
  <si>
    <t>ancient_sites</t>
  </si>
  <si>
    <t>Ancient Site</t>
  </si>
  <si>
    <t>venue, route</t>
  </si>
  <si>
    <t>Castles, fortresses, ruins</t>
  </si>
  <si>
    <t>historic_houses</t>
  </si>
  <si>
    <t>Manor houses, estates, heritage homes</t>
  </si>
  <si>
    <t>living_history</t>
  </si>
  <si>
    <t>Living History</t>
  </si>
  <si>
    <t>Re-enactment, costumed history</t>
  </si>
  <si>
    <t>open_museum</t>
  </si>
  <si>
    <t>Open-Air Museum</t>
  </si>
  <si>
    <t>industrial_history</t>
  </si>
  <si>
    <t>Industrial &amp; Working History</t>
  </si>
  <si>
    <t>Mills, railways, mines, docks</t>
  </si>
  <si>
    <t>archaeological_sites</t>
  </si>
  <si>
    <t>Archaeological</t>
  </si>
  <si>
    <t>Fossil spots, archaeological sites of interest</t>
  </si>
  <si>
    <t>cultural_heritage</t>
  </si>
  <si>
    <t>Cultural Heritage Site</t>
  </si>
  <si>
    <t>Cultural exhibitions, heritage centres</t>
  </si>
  <si>
    <t>historic_religious</t>
  </si>
  <si>
    <t>Historic Religious Building</t>
  </si>
  <si>
    <t>Cathedrals, abbeys, historic churches</t>
  </si>
  <si>
    <t>large_soft_play</t>
  </si>
  <si>
    <t>Multi-level, slides, big structures</t>
  </si>
  <si>
    <t>toddler_soft_play</t>
  </si>
  <si>
    <t>Toddler Play Space</t>
  </si>
  <si>
    <t>Designed for under 5s</t>
  </si>
  <si>
    <t>indoor_climbing</t>
  </si>
  <si>
    <t>Indoor Climbing</t>
  </si>
  <si>
    <t>Climbing walls, obstacle-style energy</t>
  </si>
  <si>
    <t>indoor_course</t>
  </si>
  <si>
    <t>Inside Course</t>
  </si>
  <si>
    <t>Assault course, ninja course, obstacles</t>
  </si>
  <si>
    <t>trampoline_park</t>
  </si>
  <si>
    <t>Trampolines, bounce parks</t>
  </si>
  <si>
    <t>indoor_multi_activity</t>
  </si>
  <si>
    <t>Multi-Activity Centre</t>
  </si>
  <si>
    <t>Mixed zones: soft play + trampolines etc</t>
  </si>
  <si>
    <t>cinema</t>
  </si>
  <si>
    <t>Cinema</t>
  </si>
  <si>
    <t>event, club</t>
  </si>
  <si>
    <t>theature_panto</t>
  </si>
  <si>
    <t>Stage-Show</t>
  </si>
  <si>
    <t>live_events</t>
  </si>
  <si>
    <t>Live Events</t>
  </si>
  <si>
    <t>gaming</t>
  </si>
  <si>
    <t>Gaming &amp; VR</t>
  </si>
  <si>
    <t>escape_room</t>
  </si>
  <si>
    <t>improvised_performance</t>
  </si>
  <si>
    <t>Improvised Performance</t>
  </si>
  <si>
    <t>comedy_club</t>
  </si>
  <si>
    <t>Comedy</t>
  </si>
  <si>
    <t>karaoke_club</t>
  </si>
  <si>
    <t>Karaoke</t>
  </si>
  <si>
    <t>arcade_hall</t>
  </si>
  <si>
    <t>Arcade / Amusements</t>
  </si>
  <si>
    <t>laser_tag</t>
  </si>
  <si>
    <t>Laser Tag</t>
  </si>
  <si>
    <t>bowling_alley</t>
  </si>
  <si>
    <t>trains_and_rail</t>
  </si>
  <si>
    <t>Trains &amp; Railways</t>
  </si>
  <si>
    <t>Steam, heritage, miniature railways</t>
  </si>
  <si>
    <t>boat_trips</t>
  </si>
  <si>
    <t>Boat Trips &amp; Ferries</t>
  </si>
  <si>
    <t>route, event</t>
  </si>
  <si>
    <t>Ferries, sightseeing boat trips</t>
  </si>
  <si>
    <t>harbours_and_marinas</t>
  </si>
  <si>
    <t>Harbours &amp; Marinas</t>
  </si>
  <si>
    <t>Watching boats, ports, docks</t>
  </si>
  <si>
    <t>aviation_experiences</t>
  </si>
  <si>
    <t>Aircraft &amp; Aviation</t>
  </si>
  <si>
    <t>Museums, viewing areas, airfields</t>
  </si>
  <si>
    <t>transport_museums</t>
  </si>
  <si>
    <t>Transport Museum</t>
  </si>
  <si>
    <t>Cars, buses, mixed vehicle collections</t>
  </si>
  <si>
    <t>working_transport_hubs</t>
  </si>
  <si>
    <t>Working Transport Hubs</t>
  </si>
  <si>
    <t>Stations, depots, logistics hubs</t>
  </si>
  <si>
    <t>themepark</t>
  </si>
  <si>
    <t>Themepark</t>
  </si>
  <si>
    <t>Ride-based parks</t>
  </si>
  <si>
    <t>amusement_park</t>
  </si>
  <si>
    <t>arcades</t>
  </si>
  <si>
    <t>major_animal_attractions</t>
  </si>
  <si>
    <t>Major Animal Attractions</t>
  </si>
  <si>
    <t>Zoos, safari parks</t>
  </si>
  <si>
    <t>large_scale_outdoor</t>
  </si>
  <si>
    <t>Estates, expansive outdoor sites</t>
  </si>
  <si>
    <t>major_indoor</t>
  </si>
  <si>
    <t>Major Indoor Attractions</t>
  </si>
  <si>
    <t>Large indoor destinations</t>
  </si>
  <si>
    <t>seasonal_and_themed</t>
  </si>
  <si>
    <t>Seasonal &amp; Themed Events</t>
  </si>
  <si>
    <t>Christmas trails, festivals, themed days</t>
  </si>
  <si>
    <t>family_friendly_cafes</t>
  </si>
  <si>
    <t>Welcoming, space for kids</t>
  </si>
  <si>
    <t>cafe_with_play</t>
  </si>
  <si>
    <t>Quiet Cafés</t>
  </si>
  <si>
    <t>Toys, books, colouring</t>
  </si>
  <si>
    <t>cafe_with_outdoor_space</t>
  </si>
  <si>
    <t>Cafés with Outdoor Space</t>
  </si>
  <si>
    <t>Gardens, courtyards, terraces</t>
  </si>
  <si>
    <t>coffee_cabin</t>
  </si>
  <si>
    <t>Small mobile coffee stations with nearby seating / views</t>
  </si>
  <si>
    <t>pit_stop_cafes</t>
  </si>
  <si>
    <t>On routes, parks, attractions</t>
  </si>
  <si>
    <t>casual_family_restaurants</t>
  </si>
  <si>
    <t>Family Eateries</t>
  </si>
  <si>
    <t>Relaxed, unfussy, welcoming</t>
  </si>
  <si>
    <t>dining_with_space</t>
  </si>
  <si>
    <t>Outdoor Family Dining</t>
  </si>
  <si>
    <t>Gardens, play corners, outdoor areas</t>
  </si>
  <si>
    <t>destination_dining</t>
  </si>
  <si>
    <t>Destination Family Dining</t>
  </si>
  <si>
    <t>Food as part of a wider outing</t>
  </si>
  <si>
    <t>food_festival</t>
  </si>
  <si>
    <t>Food Festivals</t>
  </si>
  <si>
    <t>detailed_weather_suitability</t>
  </si>
  <si>
    <t>Weather Conditions</t>
  </si>
  <si>
    <t>wet_rain</t>
  </si>
  <si>
    <t>Raining / wet</t>
  </si>
  <si>
    <t>windy</t>
  </si>
  <si>
    <t>Windy (&gt; X mph)</t>
  </si>
  <si>
    <t>sunshine</t>
  </si>
  <si>
    <t>Sunshine</t>
  </si>
  <si>
    <t>snow_ice</t>
  </si>
  <si>
    <t>Snow / sleet / ice</t>
  </si>
  <si>
    <t>overcast</t>
  </si>
  <si>
    <t>Overcast / cloudy</t>
  </si>
  <si>
    <t>storm_heavy_rain</t>
  </si>
  <si>
    <t>Stormy / heavy rain / thunderstorms</t>
  </si>
  <si>
    <t>dry_mild</t>
  </si>
  <si>
    <t>Dry &amp; mild</t>
  </si>
  <si>
    <t>X–X°C</t>
  </si>
  <si>
    <t>dry_cold</t>
  </si>
  <si>
    <t>Dry &amp; cold</t>
  </si>
  <si>
    <t>&lt; X°C</t>
  </si>
  <si>
    <t>dry_warm</t>
  </si>
  <si>
    <t>Dry &amp; warm</t>
  </si>
  <si>
    <t>dry_hot</t>
  </si>
  <si>
    <t>Dry &amp; hot</t>
  </si>
  <si>
    <t>&gt; X°C</t>
  </si>
  <si>
    <t>Physical Setting</t>
  </si>
  <si>
    <t>physical_setting</t>
  </si>
  <si>
    <t>inside</t>
  </si>
  <si>
    <t>outside</t>
  </si>
  <si>
    <t>mixed_covering</t>
  </si>
  <si>
    <t>age_suitability</t>
  </si>
  <si>
    <t>under_one</t>
  </si>
  <si>
    <t>Under 1's</t>
  </si>
  <si>
    <t>1_years</t>
  </si>
  <si>
    <t>2_years</t>
  </si>
  <si>
    <t>3_years</t>
  </si>
  <si>
    <t>4_years</t>
  </si>
  <si>
    <t>5_years</t>
  </si>
  <si>
    <t>6_years</t>
  </si>
  <si>
    <t>7_years</t>
  </si>
  <si>
    <t>8_years</t>
  </si>
  <si>
    <t>9_years</t>
  </si>
  <si>
    <t>10_years</t>
  </si>
  <si>
    <t>11_years</t>
  </si>
  <si>
    <t>12_years</t>
  </si>
  <si>
    <t>13_years</t>
  </si>
  <si>
    <t>13+</t>
  </si>
  <si>
    <t>16_years</t>
  </si>
  <si>
    <t>Estimated Time To Spend</t>
  </si>
  <si>
    <t>estimated_duration</t>
  </si>
  <si>
    <t>Estimated Duration</t>
  </si>
  <si>
    <t>under_thirty_mins</t>
  </si>
  <si>
    <t>thirty_sixty_mins</t>
  </si>
  <si>
    <t>one_two_hours</t>
  </si>
  <si>
    <t>two_three_hours</t>
  </si>
  <si>
    <t>four_plus</t>
  </si>
  <si>
    <t>4+ hours</t>
  </si>
  <si>
    <t>whole_day</t>
  </si>
  <si>
    <t>Whole Day</t>
  </si>
  <si>
    <t>functional_facility</t>
  </si>
  <si>
    <t>toilets</t>
  </si>
  <si>
    <t>disabled_toilets</t>
  </si>
  <si>
    <t>Disabled toilets</t>
  </si>
  <si>
    <t>baby_changing</t>
  </si>
  <si>
    <t>Baby changing</t>
  </si>
  <si>
    <t>showers_changing</t>
  </si>
  <si>
    <t>Showers / changing facilities</t>
  </si>
  <si>
    <t>benches</t>
  </si>
  <si>
    <t>picnic_benches</t>
  </si>
  <si>
    <t>Picnic Benches</t>
  </si>
  <si>
    <t>highchairs</t>
  </si>
  <si>
    <t>Highchairs</t>
  </si>
  <si>
    <t>indoor_seating</t>
  </si>
  <si>
    <t>Indoor Seating</t>
  </si>
  <si>
    <t>dogs_allowed</t>
  </si>
  <si>
    <t>guided_tour</t>
  </si>
  <si>
    <t>service_dogs_only</t>
  </si>
  <si>
    <t>Service Dogs Only</t>
  </si>
  <si>
    <t>buggy loan</t>
  </si>
  <si>
    <t>Buggy Loan</t>
  </si>
  <si>
    <t>carrier_loan</t>
  </si>
  <si>
    <t>Baby Carrier Loan</t>
  </si>
  <si>
    <t>outdoor_seating</t>
  </si>
  <si>
    <t>Outdoor Seating</t>
  </si>
  <si>
    <t>parent_facility</t>
  </si>
  <si>
    <t>hot_drinks</t>
  </si>
  <si>
    <t>Hot Drinks</t>
  </si>
  <si>
    <t>comfy_seating</t>
  </si>
  <si>
    <t>Comfy Seating / Sofas</t>
  </si>
  <si>
    <t>sunloungers</t>
  </si>
  <si>
    <t>Sunloungers</t>
  </si>
  <si>
    <t>wifi</t>
  </si>
  <si>
    <t>WiFi</t>
  </si>
  <si>
    <t>hot_cold_food</t>
  </si>
  <si>
    <t>Hot &amp; Cold food</t>
  </si>
  <si>
    <t>clear_sightlines</t>
  </si>
  <si>
    <t>snacks</t>
  </si>
  <si>
    <t>drinks_stand</t>
  </si>
  <si>
    <t>sweet_treats</t>
  </si>
  <si>
    <t>log_burner</t>
  </si>
  <si>
    <t>Log burner</t>
  </si>
  <si>
    <t>book_shop</t>
  </si>
  <si>
    <t>Bookshop</t>
  </si>
  <si>
    <t>gift_shop</t>
  </si>
  <si>
    <t>Giftshop</t>
  </si>
  <si>
    <t>outdoor_terrace</t>
  </si>
  <si>
    <t>Outdoor terrace</t>
  </si>
  <si>
    <t>kids_facility</t>
  </si>
  <si>
    <t>Kid Facilities</t>
  </si>
  <si>
    <t>colouring</t>
  </si>
  <si>
    <t>Colouring</t>
  </si>
  <si>
    <t>ice_creams</t>
  </si>
  <si>
    <t>activity_sheets</t>
  </si>
  <si>
    <t>activity_trail</t>
  </si>
  <si>
    <t>Activity trail</t>
  </si>
  <si>
    <t>treasure_hunt</t>
  </si>
  <si>
    <t>Treasure hunt</t>
  </si>
  <si>
    <t>childrens_trail</t>
  </si>
  <si>
    <t>clues_games</t>
  </si>
  <si>
    <t>Clues / games</t>
  </si>
  <si>
    <t>indoor_games</t>
  </si>
  <si>
    <t>Indoor games (puzzles, boards)</t>
  </si>
  <si>
    <t>sandpit</t>
  </si>
  <si>
    <t>Sandpit</t>
  </si>
  <si>
    <t>zip_line</t>
  </si>
  <si>
    <t>Zip Line</t>
  </si>
  <si>
    <t>rope_swings</t>
  </si>
  <si>
    <t>Rope Swings</t>
  </si>
  <si>
    <t>ride_on_vehicles</t>
  </si>
  <si>
    <t>Ride on Vehicles</t>
  </si>
  <si>
    <t>tractor_rides</t>
  </si>
  <si>
    <t>Tractor Rides</t>
  </si>
  <si>
    <t>childrens_menu</t>
  </si>
  <si>
    <t>swings_slides</t>
  </si>
  <si>
    <t>Swings, Slides, Climbing Frames</t>
  </si>
  <si>
    <t>soft_play_space</t>
  </si>
  <si>
    <t>play_equipment</t>
  </si>
  <si>
    <t>dog_facility</t>
  </si>
  <si>
    <t>dog_bins</t>
  </si>
  <si>
    <t>dog_wash</t>
  </si>
  <si>
    <t>dog_kennels</t>
  </si>
  <si>
    <t>lead_only</t>
  </si>
  <si>
    <t>parking_provision</t>
  </si>
  <si>
    <t>car_parking_paid</t>
  </si>
  <si>
    <t>car_parking_free</t>
  </si>
  <si>
    <t>car_parking_members_only</t>
  </si>
  <si>
    <t>Members Only Car Park</t>
  </si>
  <si>
    <t>on_street_nearby</t>
  </si>
  <si>
    <t>disabled_bays</t>
  </si>
  <si>
    <t>Disabled parking bays</t>
  </si>
  <si>
    <t>horse_parking</t>
  </si>
  <si>
    <t>Horse “parking”</t>
  </si>
  <si>
    <t>bike_racks</t>
  </si>
  <si>
    <t>extra_kit</t>
  </si>
  <si>
    <t>Extra Kit: Pushchair &amp; carrying</t>
  </si>
  <si>
    <t>pram_buggy_road</t>
  </si>
  <si>
    <t>Pram / buggy (road surfaces)</t>
  </si>
  <si>
    <t>xcountry_buggy</t>
  </si>
  <si>
    <t>sling_carrier</t>
  </si>
  <si>
    <t>Sling / baby carrier</t>
  </si>
  <si>
    <t>toddler_carrier</t>
  </si>
  <si>
    <t>Infant / toddler carrier</t>
  </si>
  <si>
    <t>Extra Kit: Water &amp; beach</t>
  </si>
  <si>
    <t>swimming_kit</t>
  </si>
  <si>
    <t>Swimming kit</t>
  </si>
  <si>
    <t>towels</t>
  </si>
  <si>
    <t>Towels</t>
  </si>
  <si>
    <t>water_shoes</t>
  </si>
  <si>
    <t>Water shoes</t>
  </si>
  <si>
    <t>beach_toys</t>
  </si>
  <si>
    <t>Beach toys</t>
  </si>
  <si>
    <t>sand_toys</t>
  </si>
  <si>
    <t>tide_times</t>
  </si>
  <si>
    <t>Tide timetable</t>
  </si>
  <si>
    <t>dry_bags</t>
  </si>
  <si>
    <t>Dry bags</t>
  </si>
  <si>
    <t>fishing_nets</t>
  </si>
  <si>
    <t>Buckets &amp; nets</t>
  </si>
  <si>
    <t>fishing_rods_bait</t>
  </si>
  <si>
    <t>Fishing rods &amp; bait</t>
  </si>
  <si>
    <t>wetsuits</t>
  </si>
  <si>
    <t>Wetsuits</t>
  </si>
  <si>
    <t>wetsuit_boots</t>
  </si>
  <si>
    <t>Wetsuit Boots</t>
  </si>
  <si>
    <t>snorkel_mask</t>
  </si>
  <si>
    <t>Snorkel &amp; Mask</t>
  </si>
  <si>
    <t>Extra Kit: Weather &amp; clothing</t>
  </si>
  <si>
    <t>sunshine_kit</t>
  </si>
  <si>
    <t>Sun kit (SPF, hats, sunglasses)</t>
  </si>
  <si>
    <t>waterproofs</t>
  </si>
  <si>
    <t>Waterproof clothing</t>
  </si>
  <si>
    <t>wellies</t>
  </si>
  <si>
    <t>Wellies</t>
  </si>
  <si>
    <t>warm_clothes</t>
  </si>
  <si>
    <t>Change of clothes</t>
  </si>
  <si>
    <t>sturdy_footwear</t>
  </si>
  <si>
    <t>Sturdy footwear</t>
  </si>
  <si>
    <t>Extra Kit: Visibility &amp; gear</t>
  </si>
  <si>
    <t>torch</t>
  </si>
  <si>
    <t>Torch</t>
  </si>
  <si>
    <t>headtorch</t>
  </si>
  <si>
    <t>Headtorch</t>
  </si>
  <si>
    <t>binoculars</t>
  </si>
  <si>
    <t>Extra Kit: Other</t>
  </si>
  <si>
    <t>activity_specific_clothing</t>
  </si>
  <si>
    <t>Activity-specific clothing</t>
  </si>
  <si>
    <t>chalk_bag</t>
  </si>
  <si>
    <t>Chalk Bag</t>
  </si>
  <si>
    <t>kite_play</t>
  </si>
  <si>
    <t>Kite</t>
  </si>
  <si>
    <t>indoor_activities_kit</t>
  </si>
  <si>
    <t>Indoor activities (colouring, puzzles)</t>
  </si>
  <si>
    <t>cash_payments</t>
  </si>
  <si>
    <t>Cash - no card payments</t>
  </si>
  <si>
    <t>cashless_payments_only</t>
  </si>
  <si>
    <t>Cashless - bring a bank card</t>
  </si>
  <si>
    <t>camping_gear</t>
  </si>
  <si>
    <t>Camping Gear</t>
  </si>
  <si>
    <t>seasonal_tag</t>
  </si>
  <si>
    <t>christmas</t>
  </si>
  <si>
    <t>Christmas</t>
  </si>
  <si>
    <t>advent</t>
  </si>
  <si>
    <t>Advent</t>
  </si>
  <si>
    <t>winter</t>
  </si>
  <si>
    <t>valentines</t>
  </si>
  <si>
    <t>Valentine’s</t>
  </si>
  <si>
    <t>winter_solstice</t>
  </si>
  <si>
    <t>Winter solstice</t>
  </si>
  <si>
    <t>spring_flowers</t>
  </si>
  <si>
    <t>easter</t>
  </si>
  <si>
    <t>lent</t>
  </si>
  <si>
    <t>Lent</t>
  </si>
  <si>
    <t>autumn</t>
  </si>
  <si>
    <t>summer</t>
  </si>
  <si>
    <t>summer_solstice</t>
  </si>
  <si>
    <t>Summer solstice</t>
  </si>
  <si>
    <t>autumn_colours</t>
  </si>
  <si>
    <t>halloween</t>
  </si>
  <si>
    <t>guy_fawkes</t>
  </si>
  <si>
    <t>Guy Fawkes</t>
  </si>
  <si>
    <t>summer_holiday_clubs</t>
  </si>
  <si>
    <t>Summer holiday clubs</t>
  </si>
  <si>
    <t>half_term_clubs</t>
  </si>
  <si>
    <t>Half term clubs</t>
  </si>
  <si>
    <t>seasonal_highlights</t>
  </si>
  <si>
    <t>seasonal_highlights_spring</t>
  </si>
  <si>
    <t>Bluebells</t>
  </si>
  <si>
    <t>Daffodills</t>
  </si>
  <si>
    <t>Foals</t>
  </si>
  <si>
    <t>Returning swallows, swifts (birds)</t>
  </si>
  <si>
    <t>New Ponies</t>
  </si>
  <si>
    <t>seasonal_highlights_summer</t>
  </si>
  <si>
    <t>Butterflies</t>
  </si>
  <si>
    <t>Seabird Colonies</t>
  </si>
  <si>
    <t>PYO Flowers</t>
  </si>
  <si>
    <t>PYO Fruit</t>
  </si>
  <si>
    <t>PYO Vegetables</t>
  </si>
  <si>
    <t>Maize Maze</t>
  </si>
  <si>
    <t>Kingfisher Spotting</t>
  </si>
  <si>
    <t>River wildlife spotting</t>
  </si>
  <si>
    <t>Glow worms</t>
  </si>
  <si>
    <t>Wildflowers</t>
  </si>
  <si>
    <t>Marine Wildlife Spotting</t>
  </si>
  <si>
    <t>Watersports Hire</t>
  </si>
  <si>
    <t>Ice Creams</t>
  </si>
  <si>
    <t>Garden games</t>
  </si>
  <si>
    <t>Marine Life</t>
  </si>
  <si>
    <t>Fruit Picking</t>
  </si>
  <si>
    <t>Dragonflies &amp; Damselflies</t>
  </si>
  <si>
    <t>seasonal_highlights_autumn</t>
  </si>
  <si>
    <t>Autumn pony "drifts"</t>
  </si>
  <si>
    <t>Truffling Pigs</t>
  </si>
  <si>
    <t>Fungi</t>
  </si>
  <si>
    <t>Blackberry Picking</t>
  </si>
  <si>
    <t>Autumnal Drinks</t>
  </si>
  <si>
    <t>Migrating Birds</t>
  </si>
  <si>
    <t>Berries, Nuts, Conkers</t>
  </si>
  <si>
    <t>seasonal_highlights_winter</t>
  </si>
  <si>
    <t>Snowdrops</t>
  </si>
  <si>
    <t>Crocus Lawn</t>
  </si>
  <si>
    <t>Starling Murmurations</t>
  </si>
  <si>
    <t>Festive Displays</t>
  </si>
  <si>
    <t>Barn Owl Spotting</t>
  </si>
  <si>
    <t>Sledging Spot</t>
  </si>
  <si>
    <t>Route Specific</t>
  </si>
  <si>
    <t>circular</t>
  </si>
  <si>
    <t>out_and_back</t>
  </si>
  <si>
    <t>point_to_point</t>
  </si>
  <si>
    <t>loop_with_variations</t>
  </si>
  <si>
    <t>trail_network</t>
  </si>
  <si>
    <t>buggy_friendly</t>
  </si>
  <si>
    <t>Buggy friendly</t>
  </si>
  <si>
    <t>dog_friendly</t>
  </si>
  <si>
    <t>Dog friendly</t>
  </si>
  <si>
    <t>scooter_route</t>
  </si>
  <si>
    <t>Scooter route</t>
  </si>
  <si>
    <t>cycle_route</t>
  </si>
  <si>
    <t>Cycle route</t>
  </si>
  <si>
    <t>bike_route</t>
  </si>
  <si>
    <t>wheelchair_friendly</t>
  </si>
  <si>
    <t>Wheelchair friendly</t>
  </si>
  <si>
    <t>carrier_only</t>
  </si>
  <si>
    <t>offroad_buggy_only</t>
  </si>
  <si>
    <t>Off-road Buggies only</t>
  </si>
  <si>
    <t>terrain_type</t>
  </si>
  <si>
    <t>steep</t>
  </si>
  <si>
    <t>Steep</t>
  </si>
  <si>
    <t>undulating</t>
  </si>
  <si>
    <t>Undulating</t>
  </si>
  <si>
    <t>flat</t>
  </si>
  <si>
    <t>Flat</t>
  </si>
  <si>
    <t>mixed</t>
  </si>
  <si>
    <t>Mixed terrain</t>
  </si>
  <si>
    <t>steps</t>
  </si>
  <si>
    <t>Steps</t>
  </si>
  <si>
    <t>rocky</t>
  </si>
  <si>
    <t>Rocky</t>
  </si>
  <si>
    <t>gravel</t>
  </si>
  <si>
    <t>Gravel</t>
  </si>
  <si>
    <t>uneven</t>
  </si>
  <si>
    <t>Uneven</t>
  </si>
  <si>
    <t>surfaced_smooth</t>
  </si>
  <si>
    <t>sand</t>
  </si>
  <si>
    <t>Sand</t>
  </si>
  <si>
    <t>woodland_track</t>
  </si>
  <si>
    <t>Route Difficulty</t>
  </si>
  <si>
    <t>easy</t>
  </si>
  <si>
    <t>moderate</t>
  </si>
  <si>
    <t>challenging</t>
  </si>
  <si>
    <t>Challenging</t>
  </si>
  <si>
    <t>Club Specific</t>
  </si>
  <si>
    <t>workshop</t>
  </si>
  <si>
    <t>Workshop</t>
  </si>
  <si>
    <t>stay_and_play_supervised</t>
  </si>
  <si>
    <t>lesson</t>
  </si>
  <si>
    <t>Lesson</t>
  </si>
  <si>
    <t>free_play_unsupervised</t>
  </si>
  <si>
    <t>Free play (unsupervised)</t>
  </si>
  <si>
    <t>training</t>
  </si>
  <si>
    <t>Training / Skill Development</t>
  </si>
  <si>
    <t>Club Frequency</t>
  </si>
  <si>
    <t>one_off</t>
  </si>
  <si>
    <t>One-off</t>
  </si>
  <si>
    <t>daily</t>
  </si>
  <si>
    <t>weekly</t>
  </si>
  <si>
    <t>monthly</t>
  </si>
  <si>
    <t>Monthly</t>
  </si>
  <si>
    <t>term_time_only</t>
  </si>
  <si>
    <t>Term-time only</t>
  </si>
  <si>
    <t>all_year_with_exceptions</t>
  </si>
  <si>
    <t>All year (with exceptions)</t>
  </si>
  <si>
    <t>club_commitment</t>
  </si>
  <si>
    <t>Club Committment</t>
  </si>
  <si>
    <t>payg_one_off</t>
  </si>
  <si>
    <t>termly_blocks</t>
  </si>
  <si>
    <t>Termly blocks</t>
  </si>
  <si>
    <t>annually</t>
  </si>
  <si>
    <t>Annually</t>
  </si>
  <si>
    <t>membership</t>
  </si>
  <si>
    <t>Membership</t>
  </si>
  <si>
    <t>skill_area</t>
  </si>
  <si>
    <t>sport</t>
  </si>
  <si>
    <t>Sport</t>
  </si>
  <si>
    <t>creative_arts</t>
  </si>
  <si>
    <t>Creative Arts</t>
  </si>
  <si>
    <t>academic</t>
  </si>
  <si>
    <t>Academic</t>
  </si>
  <si>
    <t>social_emotional</t>
  </si>
  <si>
    <t>Social &amp; emotional</t>
  </si>
  <si>
    <t>life_skills</t>
  </si>
  <si>
    <t>Life Skills</t>
  </si>
  <si>
    <t>technical_skills</t>
  </si>
  <si>
    <t>Technical Skills</t>
  </si>
  <si>
    <t>outdoor_nature</t>
  </si>
  <si>
    <t>global_awareness</t>
  </si>
  <si>
    <t>Global Awareness</t>
  </si>
  <si>
    <t>digital_media_modern</t>
  </si>
  <si>
    <t>Digital, media &amp; modern</t>
  </si>
  <si>
    <t>crafting_art</t>
  </si>
  <si>
    <t>Crafting &amp; Art</t>
  </si>
  <si>
    <t>sensory_play</t>
  </si>
  <si>
    <t>Sensory or SEND</t>
  </si>
  <si>
    <t>skill_area_variant</t>
  </si>
  <si>
    <t>team_sports</t>
  </si>
  <si>
    <t>Team Sports</t>
  </si>
  <si>
    <t>club,event,venue</t>
  </si>
  <si>
    <t>Football/rugby/hockey/netball etc</t>
  </si>
  <si>
    <t>racquet_sports</t>
  </si>
  <si>
    <t>Racquet Sports</t>
  </si>
  <si>
    <t>Tennis/badminton/squash/table tennis</t>
  </si>
  <si>
    <t>swimming_water_sports</t>
  </si>
  <si>
    <t>Swimming &amp; Water Sports</t>
  </si>
  <si>
    <t>Swimming lessons and organised water sports</t>
  </si>
  <si>
    <t>gymnastics_martial_arts</t>
  </si>
  <si>
    <t>Gymnastics &amp; Martial Arts</t>
  </si>
  <si>
    <t>Gymnastics, karate, judo, taekwondo etc</t>
  </si>
  <si>
    <t>athletics_running</t>
  </si>
  <si>
    <t>Athletics &amp; Running</t>
  </si>
  <si>
    <t>Track, running clubs, athletics</t>
  </si>
  <si>
    <t>cycling_skating</t>
  </si>
  <si>
    <t>Cycling &amp; Skating</t>
  </si>
  <si>
    <t>BMX, track cycling, roller skating</t>
  </si>
  <si>
    <t>climbing</t>
  </si>
  <si>
    <t>Climbing walls, bouldering sessions</t>
  </si>
  <si>
    <t>multi_sport</t>
  </si>
  <si>
    <t>Multi-Sport</t>
  </si>
  <si>
    <t>Mixed sport sessions/camps</t>
  </si>
  <si>
    <t>SEND</t>
  </si>
  <si>
    <t>ability_level</t>
  </si>
  <si>
    <t>novice</t>
  </si>
  <si>
    <t>beginner</t>
  </si>
  <si>
    <t>Beginner</t>
  </si>
  <si>
    <t>intermediate</t>
  </si>
  <si>
    <t>Intermediate</t>
  </si>
  <si>
    <t>expert</t>
  </si>
  <si>
    <t>Expert</t>
  </si>
  <si>
    <t>Event Specific</t>
  </si>
  <si>
    <t>social_gathering</t>
  </si>
  <si>
    <t>Social Gathering</t>
  </si>
  <si>
    <t>shared_meal</t>
  </si>
  <si>
    <t>Shared Meal</t>
  </si>
  <si>
    <t>workshop_or_talk</t>
  </si>
  <si>
    <t>Workshop or talk</t>
  </si>
  <si>
    <t>crafty_making</t>
  </si>
  <si>
    <t>Craft- or Skills-based</t>
  </si>
  <si>
    <t>festive</t>
  </si>
  <si>
    <t>Festive</t>
  </si>
  <si>
    <t>nature_based</t>
  </si>
  <si>
    <t>formal_event</t>
  </si>
  <si>
    <t>Formal Event or Dinner</t>
  </si>
  <si>
    <t>country_show</t>
  </si>
  <si>
    <t>Agricultural or County Show</t>
  </si>
  <si>
    <t>festival</t>
  </si>
  <si>
    <t>Festival</t>
  </si>
  <si>
    <t>music_event</t>
  </si>
  <si>
    <t>performance</t>
  </si>
  <si>
    <t>Performance</t>
  </si>
  <si>
    <t>entertainment</t>
  </si>
  <si>
    <t>Entertainment</t>
  </si>
  <si>
    <t>sport_based</t>
  </si>
  <si>
    <t>Sporting</t>
  </si>
  <si>
    <t>foraging</t>
  </si>
  <si>
    <t>Foraging, Fruit Picking</t>
  </si>
  <si>
    <t>tasting_event</t>
  </si>
  <si>
    <t>Tasting Event</t>
  </si>
  <si>
    <t>themed</t>
  </si>
  <si>
    <t>Themed</t>
  </si>
  <si>
    <t>family_fun_day</t>
  </si>
  <si>
    <t>Family Funday</t>
  </si>
  <si>
    <t>booking_type</t>
  </si>
  <si>
    <t>advance_book</t>
  </si>
  <si>
    <t>pay_on_arrival</t>
  </si>
  <si>
    <t>open_access</t>
  </si>
  <si>
    <t>pre_register</t>
  </si>
  <si>
    <t>Pre-Register</t>
  </si>
  <si>
    <t>members_only</t>
  </si>
  <si>
    <t>Memberships</t>
  </si>
  <si>
    <t>ticket_variant</t>
  </si>
  <si>
    <t>baby</t>
  </si>
  <si>
    <t>Baby</t>
  </si>
  <si>
    <t>fixed_child</t>
  </si>
  <si>
    <t>young_child</t>
  </si>
  <si>
    <t>Young Child</t>
  </si>
  <si>
    <t>older_child</t>
  </si>
  <si>
    <t>Older Child</t>
  </si>
  <si>
    <t>adult</t>
  </si>
  <si>
    <t>concession</t>
  </si>
  <si>
    <t>Concession</t>
  </si>
  <si>
    <t>group</t>
  </si>
  <si>
    <t>Group</t>
  </si>
  <si>
    <t>Attractions and/or "Highlights" (by Opportunity Theme)</t>
  </si>
  <si>
    <t>walks_and_wanders_attractions</t>
  </si>
  <si>
    <t>Walks &amp; Wanders Attractions</t>
  </si>
  <si>
    <t>waterfalls</t>
  </si>
  <si>
    <t>Waterfalls</t>
  </si>
  <si>
    <t>rivers_and_streams</t>
  </si>
  <si>
    <t>Rivers &amp; streams</t>
  </si>
  <si>
    <t>natural_paddling</t>
  </si>
  <si>
    <t>Natural paddling spots</t>
  </si>
  <si>
    <t>lakes_reservoirs</t>
  </si>
  <si>
    <t>Lakes &amp; reservoirs</t>
  </si>
  <si>
    <t>beaches_coves</t>
  </si>
  <si>
    <t>Beaches or coves</t>
  </si>
  <si>
    <t>rockpools</t>
  </si>
  <si>
    <t>Rockpools</t>
  </si>
  <si>
    <t>cliffs_headlands</t>
  </si>
  <si>
    <t>Cliffs &amp; headlands</t>
  </si>
  <si>
    <t>ancient_trees</t>
  </si>
  <si>
    <t>Ancient trees</t>
  </si>
  <si>
    <t>bridges</t>
  </si>
  <si>
    <t>Bridges (wooden, stone, suspension)</t>
  </si>
  <si>
    <t>stepping_stones</t>
  </si>
  <si>
    <t>Stepping stones</t>
  </si>
  <si>
    <t>rock_formations</t>
  </si>
  <si>
    <t>Caves or rock formations</t>
  </si>
  <si>
    <t>panoramic_views</t>
  </si>
  <si>
    <t>Panoramic views</t>
  </si>
  <si>
    <t>coastal_views</t>
  </si>
  <si>
    <t>Coastal views</t>
  </si>
  <si>
    <t>countryside_views</t>
  </si>
  <si>
    <t>Countryside views</t>
  </si>
  <si>
    <t>elevated_viewpoints</t>
  </si>
  <si>
    <t>Elevated viewpoints</t>
  </si>
  <si>
    <t>scenic_valleys</t>
  </si>
  <si>
    <t>Scenic valleys</t>
  </si>
  <si>
    <t>Wildlife spotting</t>
  </si>
  <si>
    <t>historic_ruins</t>
  </si>
  <si>
    <t>Ruins or historic features</t>
  </si>
  <si>
    <t>waymarked_features</t>
  </si>
  <si>
    <t>green_space_attractions</t>
  </si>
  <si>
    <t>Ponds or lakes</t>
  </si>
  <si>
    <t>Duck Ponds</t>
  </si>
  <si>
    <t>Water Features or Fountains</t>
  </si>
  <si>
    <t>Streams or ditches</t>
  </si>
  <si>
    <t>Open sightlines</t>
  </si>
  <si>
    <t>Scenic backdrops</t>
  </si>
  <si>
    <t>Rolling landscapes</t>
  </si>
  <si>
    <t>Natural play features (logs, slopes, rocks)</t>
  </si>
  <si>
    <t>Climbable trees</t>
  </si>
  <si>
    <t>Grassy banks</t>
  </si>
  <si>
    <t>Small hills / mounds</t>
  </si>
  <si>
    <t>Play equipment</t>
  </si>
  <si>
    <t>Football or Rugby Posts</t>
  </si>
  <si>
    <t>Marked Trails</t>
  </si>
  <si>
    <t>Children’s Activity Trails</t>
  </si>
  <si>
    <t>Nature &amp; Wildlife Exploration Attractions</t>
  </si>
  <si>
    <t>Climbing Logs or balance beams</t>
  </si>
  <si>
    <t>Mud kitchens</t>
  </si>
  <si>
    <t>Sand, soil, and loose materials</t>
  </si>
  <si>
    <t>Den-building materials</t>
  </si>
  <si>
    <t>Natural construction zones</t>
  </si>
  <si>
    <t>Mud and puddles</t>
  </si>
  <si>
    <t>Shallow water play (streams, channels)</t>
  </si>
  <si>
    <t>Forest school activities</t>
  </si>
  <si>
    <t>Guided outdoor learning prompts</t>
  </si>
  <si>
    <t>Letterboxing</t>
  </si>
  <si>
    <t>Fossil Hunting</t>
  </si>
  <si>
    <t>Farming school activities</t>
  </si>
  <si>
    <t>Simple tool use (supervised)</t>
  </si>
  <si>
    <t>Fire pits (when part of structured sessions)</t>
  </si>
  <si>
    <t>Immersive natural surroundings</t>
  </si>
  <si>
    <t>Quiet or low-intervention spaces</t>
  </si>
  <si>
    <t>Enclosed or defined play zones</t>
  </si>
  <si>
    <t>Coastal Adventures Attractions</t>
  </si>
  <si>
    <t>Seaweed beds</t>
  </si>
  <si>
    <t>Shell or seaglass collecting</t>
  </si>
  <si>
    <t>Crabbing</t>
  </si>
  <si>
    <t>Diggable sand (Sandcastles)</t>
  </si>
  <si>
    <t>Smooth pebbles</t>
  </si>
  <si>
    <t>Shallow paddling</t>
  </si>
  <si>
    <t>Streams or channels</t>
  </si>
  <si>
    <t>Coves &amp; inlets</t>
  </si>
  <si>
    <t>Rock formations</t>
  </si>
  <si>
    <t>Cliffs Or Headlands</t>
  </si>
  <si>
    <t>Caves</t>
  </si>
  <si>
    <t>Sand dunes</t>
  </si>
  <si>
    <t>Estuary edges</t>
  </si>
  <si>
    <t>Coastal Wildlife</t>
  </si>
  <si>
    <t>Equipment Hire</t>
  </si>
  <si>
    <t>Watersports Lessons</t>
  </si>
  <si>
    <t>Bodyboarding</t>
  </si>
  <si>
    <t>Kayaking / SUP</t>
  </si>
  <si>
    <t>Slipway</t>
  </si>
  <si>
    <t>Harbour</t>
  </si>
  <si>
    <t>Seasonally Lifeguarded</t>
  </si>
  <si>
    <t>Dog Friendly - seasonal leads</t>
  </si>
  <si>
    <t>Dog Friendly - off lead all year</t>
  </si>
  <si>
    <t>Boat trips nearby</t>
  </si>
  <si>
    <t>Toilets nearby</t>
  </si>
  <si>
    <t>Beach Cafe</t>
  </si>
  <si>
    <t>Promenade</t>
  </si>
  <si>
    <t>Large tidal range</t>
  </si>
  <si>
    <t>Natural channels</t>
  </si>
  <si>
    <t>Calm water at low tide</t>
  </si>
  <si>
    <t>Driftwood</t>
  </si>
  <si>
    <t>Crabs &amp; small marine life</t>
  </si>
  <si>
    <t>Natural splash zones</t>
  </si>
  <si>
    <t>Designed or sculpted landscapes</t>
  </si>
  <si>
    <t>Seasonal foliage</t>
  </si>
  <si>
    <t>Seasonal or curated displays</t>
  </si>
  <si>
    <t>Meadows &amp; wild grass</t>
  </si>
  <si>
    <t>Lakes or wildlife ponds</t>
  </si>
  <si>
    <t>Vegetable gardens &amp; growing spaces</t>
  </si>
  <si>
    <t>Meandering paths</t>
  </si>
  <si>
    <t>Hidden corners, passageways, gates &amp; gardens</t>
  </si>
  <si>
    <t>Garden “rooms”</t>
  </si>
  <si>
    <t>Bug hotels, discovery boards</t>
  </si>
  <si>
    <t>Bird Hydes &amp; Viewing Platforms</t>
  </si>
  <si>
    <t>Historic features</t>
  </si>
  <si>
    <t>Statues &amp; sculptures</t>
  </si>
  <si>
    <t>Maze</t>
  </si>
  <si>
    <t>Greenhouses &amp; tropical plants</t>
  </si>
  <si>
    <t>Biomes &amp; unusual environments</t>
  </si>
  <si>
    <t>Conservation displays or learning</t>
  </si>
  <si>
    <t>Rope bridges</t>
  </si>
  <si>
    <t>Climbing frames</t>
  </si>
  <si>
    <t>Balance elements</t>
  </si>
  <si>
    <t>Scramble nets</t>
  </si>
  <si>
    <t>Stepping obstacles</t>
  </si>
  <si>
    <t>Towers and platforms</t>
  </si>
  <si>
    <t xml:space="preserve">Slides </t>
  </si>
  <si>
    <t>Zip wires</t>
  </si>
  <si>
    <t>Fireman's poles</t>
  </si>
  <si>
    <t>Ropes &amp; aerial adventures</t>
  </si>
  <si>
    <t>Climbing rocks or bouldering</t>
  </si>
  <si>
    <t>Climbing wall</t>
  </si>
  <si>
    <t>Rope swings</t>
  </si>
  <si>
    <t>Abseiling or high ropes</t>
  </si>
  <si>
    <t>Fort-style structures</t>
  </si>
  <si>
    <t>Lookout points</t>
  </si>
  <si>
    <t>Tunnels and crawl spaces</t>
  </si>
  <si>
    <t>Obstacle courses</t>
  </si>
  <si>
    <t>Mixed-difficulty zones</t>
  </si>
  <si>
    <t>Enclosed adventure zones</t>
  </si>
  <si>
    <t>Clear sightlines for adults</t>
  </si>
  <si>
    <t>Orienteering</t>
  </si>
  <si>
    <t>Water play features</t>
  </si>
  <si>
    <t>Swings</t>
  </si>
  <si>
    <t>Basket / nest swings</t>
  </si>
  <si>
    <t>Roundabouts</t>
  </si>
  <si>
    <t>Seesaws</t>
  </si>
  <si>
    <t>Springers / rockers</t>
  </si>
  <si>
    <t>Ground trampolines</t>
  </si>
  <si>
    <t>Sand play area</t>
  </si>
  <si>
    <t>Mud kitchen</t>
  </si>
  <si>
    <t>Den building area</t>
  </si>
  <si>
    <t>Log balance trail</t>
  </si>
  <si>
    <t>Natural boulders</t>
  </si>
  <si>
    <t>Stream or water channel</t>
  </si>
  <si>
    <t>Wooded setting</t>
  </si>
  <si>
    <t>Open grass / running space</t>
  </si>
  <si>
    <t>Bowl</t>
  </si>
  <si>
    <t>Quarter pipes</t>
  </si>
  <si>
    <t>Street skating features</t>
  </si>
  <si>
    <t>Pump track</t>
  </si>
  <si>
    <t>BMX track</t>
  </si>
  <si>
    <t>Dirt jumps</t>
  </si>
  <si>
    <t>Wheelchair accessible equipment</t>
  </si>
  <si>
    <t>Inclusive swings</t>
  </si>
  <si>
    <t>Sensory play features</t>
  </si>
  <si>
    <t>Early access introduction</t>
  </si>
  <si>
    <t>Skill progression</t>
  </si>
  <si>
    <t>Confidence building</t>
  </si>
  <si>
    <t>Coordination &amp; balance</t>
  </si>
  <si>
    <t>Strength &amp; agility</t>
  </si>
  <si>
    <t>Structured coaching</t>
  </si>
  <si>
    <t>Mixed-ability sessions</t>
  </si>
  <si>
    <t>Team-based</t>
  </si>
  <si>
    <t>Friendly competition</t>
  </si>
  <si>
    <t>Non-competitive options</t>
  </si>
  <si>
    <t>Indoor sports halls</t>
  </si>
  <si>
    <t>Purpose-built facilities</t>
  </si>
  <si>
    <t>Safe enclosed spaces</t>
  </si>
  <si>
    <t>All-weather options</t>
  </si>
  <si>
    <t>Sea-sports</t>
  </si>
  <si>
    <t>Parkour &amp; freerunning</t>
  </si>
  <si>
    <t>Racquet sports</t>
  </si>
  <si>
    <t>Ninja warrior style courses</t>
  </si>
  <si>
    <t>Assault courses</t>
  </si>
  <si>
    <t>Aerial / high ropes (indoor)</t>
  </si>
  <si>
    <t>Ball Sports</t>
  </si>
  <si>
    <t>Outdoor Fitness</t>
  </si>
  <si>
    <t>Dance &amp; Movement</t>
  </si>
  <si>
    <t>Movement skills training</t>
  </si>
  <si>
    <t>Traffic-free sections</t>
  </si>
  <si>
    <t>Wide pathways</t>
  </si>
  <si>
    <t>Clear sightlines</t>
  </si>
  <si>
    <t>Riverside stretches</t>
  </si>
  <si>
    <t>Canal views</t>
  </si>
  <si>
    <t>Parkland surroundings</t>
  </si>
  <si>
    <t>Coastal promenades</t>
  </si>
  <si>
    <t>Bridges and landmarks</t>
  </si>
  <si>
    <t>Natural jumps, ramps or fun features</t>
  </si>
  <si>
    <t>Scooter-friendly</t>
  </si>
  <si>
    <t>High-adrenaline routes, jumps or terrain</t>
  </si>
  <si>
    <t>Points of interest along the way</t>
  </si>
  <si>
    <t>Play areas en route</t>
  </si>
  <si>
    <t>Stops for snacks or picnics</t>
  </si>
  <si>
    <t>Short loops</t>
  </si>
  <si>
    <t>Multiple access points</t>
  </si>
  <si>
    <t>Easy parking nearby</t>
  </si>
  <si>
    <t>Cafés or facilities along the route</t>
  </si>
  <si>
    <t>Shallow water</t>
  </si>
  <si>
    <t>Deep water or plunge pools</t>
  </si>
  <si>
    <t>Paddling spots</t>
  </si>
  <si>
    <t>Natural Swimming Spots</t>
  </si>
  <si>
    <t>Sheltered or shaded options</t>
  </si>
  <si>
    <t>Predictable tides or flow</t>
  </si>
  <si>
    <t>Lifeguarded areas (where applicable)</t>
  </si>
  <si>
    <t>Instructor support</t>
  </si>
  <si>
    <t>Splash-friendly areas</t>
  </si>
  <si>
    <t>Opportunities to explore</t>
  </si>
  <si>
    <t>Fishing licenses; fishing spot</t>
  </si>
  <si>
    <t>Jetty</t>
  </si>
  <si>
    <t>River access for small boats or paddleboards</t>
  </si>
  <si>
    <t>White water for experienced kayaking</t>
  </si>
  <si>
    <t>Rowing boats or small crafts</t>
  </si>
  <si>
    <t>Lakes or reservoirs</t>
  </si>
  <si>
    <t>Rivers or estuaries</t>
  </si>
  <si>
    <t>Blue Flag Beach</t>
  </si>
  <si>
    <t>Raft Building</t>
  </si>
  <si>
    <t>Splash Pads / Sprinklers</t>
  </si>
  <si>
    <t>Water slides</t>
  </si>
  <si>
    <t>Inflatables</t>
  </si>
  <si>
    <t>Wave machines</t>
  </si>
  <si>
    <t>Water rides</t>
  </si>
  <si>
    <t>Woodland or countryside setting</t>
  </si>
  <si>
    <t>Messy, hands-on crafts</t>
  </si>
  <si>
    <t>Music or singing</t>
  </si>
  <si>
    <t>Take-home creations</t>
  </si>
  <si>
    <t>Drawing or sketching</t>
  </si>
  <si>
    <t>Guided creative sessions</t>
  </si>
  <si>
    <t>Drama &amp; Theatre</t>
  </si>
  <si>
    <t>Open-ended creativity</t>
  </si>
  <si>
    <t>Small group workshops</t>
  </si>
  <si>
    <t>Drop-in creative tables</t>
  </si>
  <si>
    <t>Pottery, ceramics or clay</t>
  </si>
  <si>
    <t>Painting or brushwork</t>
  </si>
  <si>
    <t>Needlecraft instruction, lessons or talks</t>
  </si>
  <si>
    <t>Storytelling or Creative Writing</t>
  </si>
  <si>
    <t>Photography opportunities</t>
  </si>
  <si>
    <t>Performance opportunities</t>
  </si>
  <si>
    <t>Imaginative freedom</t>
  </si>
  <si>
    <t>Confidence-building environments</t>
  </si>
  <si>
    <t>Supportive facilitators</t>
  </si>
  <si>
    <t>Calm, focused spaces</t>
  </si>
  <si>
    <t>Creative studios</t>
  </si>
  <si>
    <t>Informal, welcoming environments</t>
  </si>
  <si>
    <t>Themed environments</t>
  </si>
  <si>
    <t>Immersive settings</t>
  </si>
  <si>
    <t>Dressing Up Clothes</t>
  </si>
  <si>
    <t>Ride-on vehicles or toys</t>
  </si>
  <si>
    <t>Narrative backdrops</t>
  </si>
  <si>
    <t>Role-based scenarios</t>
  </si>
  <si>
    <t>Character-led play</t>
  </si>
  <si>
    <t>Story-led experiences</t>
  </si>
  <si>
    <t>Mission or quest elements</t>
  </si>
  <si>
    <t>Problem-solving within a storyline</t>
  </si>
  <si>
    <t>Cooperative scenarios</t>
  </si>
  <si>
    <t>Group problem-solving</t>
  </si>
  <si>
    <t>Shared imaginative spaces</t>
  </si>
  <si>
    <t>Social role negotiation</t>
  </si>
  <si>
    <t>Open-ended play structure</t>
  </si>
  <si>
    <t>Sensory &amp; Soothing Experiences</t>
  </si>
  <si>
    <t>Arcade games</t>
  </si>
  <si>
    <t>VR goggles</t>
  </si>
  <si>
    <t>Pool or snooker table</t>
  </si>
  <si>
    <t>Bowling lanes</t>
  </si>
  <si>
    <t>Laser tag</t>
  </si>
  <si>
    <t>Trampolining</t>
  </si>
  <si>
    <t>Bar / licensed venue</t>
  </si>
  <si>
    <t>Café or restaurant</t>
  </si>
  <si>
    <t>Private hire / party packages</t>
  </si>
  <si>
    <t>Meet and greet</t>
  </si>
  <si>
    <t>VIP / premier experience</t>
  </si>
  <si>
    <t>Live music</t>
  </si>
  <si>
    <t>Comedy / stand-up</t>
  </si>
  <si>
    <t>Theatre / stage performance</t>
  </si>
  <si>
    <t>Pantomime</t>
  </si>
  <si>
    <t>Musical theatre</t>
  </si>
  <si>
    <t>Open mic</t>
  </si>
  <si>
    <t>Q&amp;A / live interview</t>
  </si>
  <si>
    <t>Cinema screen</t>
  </si>
  <si>
    <t>Immersive experience</t>
  </si>
  <si>
    <t>Touch-and-try exhibits</t>
  </si>
  <si>
    <t>Interactive displays</t>
  </si>
  <si>
    <t>Engineering &amp; Building</t>
  </si>
  <si>
    <t>Navigation &amp; Map Reading</t>
  </si>
  <si>
    <t>Buttons, levers, and mechanisms</t>
  </si>
  <si>
    <t>Build-and-test stations</t>
  </si>
  <si>
    <t>Bushcraft &amp; Forest Skills</t>
  </si>
  <si>
    <t>Survival Skills</t>
  </si>
  <si>
    <t>Cause-and-effect activities</t>
  </si>
  <si>
    <t>Problem-solving challenges</t>
  </si>
  <si>
    <t>Experimentation</t>
  </si>
  <si>
    <t>Mix of calm and energetic zones</t>
  </si>
  <si>
    <t>Facilitated demo sessions (optional)</t>
  </si>
  <si>
    <t>Technology and robotics</t>
  </si>
  <si>
    <t>Nature and the environment</t>
  </si>
  <si>
    <t>History brought to life</t>
  </si>
  <si>
    <t>Space and exploration</t>
  </si>
  <si>
    <t>Rotating or seasonal exhibits</t>
  </si>
  <si>
    <t>Historic buildings</t>
  </si>
  <si>
    <t>Costumed interpretation</t>
  </si>
  <si>
    <t>Recreated environments</t>
  </si>
  <si>
    <t>Period features</t>
  </si>
  <si>
    <t>Ruins to explore</t>
  </si>
  <si>
    <t>Dungeons</t>
  </si>
  <si>
    <t>Towers, walls, and tunnels</t>
  </si>
  <si>
    <t>Fossils</t>
  </si>
  <si>
    <t>Castles or Fortresses</t>
  </si>
  <si>
    <t>Hidden rooms or passages</t>
  </si>
  <si>
    <t>Outdoor grounds</t>
  </si>
  <si>
    <t>Story-led interpretation</t>
  </si>
  <si>
    <t>Audio guides or trails</t>
  </si>
  <si>
    <t>Visual displays</t>
  </si>
  <si>
    <t>Interactive elements</t>
  </si>
  <si>
    <t>Discovery trails</t>
  </si>
  <si>
    <t>Hands-on exhibits</t>
  </si>
  <si>
    <t>Dress-up areas</t>
  </si>
  <si>
    <t>Re-enactment days</t>
  </si>
  <si>
    <t>Craft or heritage activities</t>
  </si>
  <si>
    <t>Demonstrations</t>
  </si>
  <si>
    <t>Hands-on Petting</t>
  </si>
  <si>
    <t>Animal feeding</t>
  </si>
  <si>
    <t>Close-up viewing</t>
  </si>
  <si>
    <t>Keeper talks</t>
  </si>
  <si>
    <t>Animal Experience Day</t>
  </si>
  <si>
    <t>Trekking, rides or hacking</t>
  </si>
  <si>
    <t>Guided walks</t>
  </si>
  <si>
    <t>Animal husbandry</t>
  </si>
  <si>
    <t>Tractor rides</t>
  </si>
  <si>
    <t>Animal races</t>
  </si>
  <si>
    <t>Animal displays or shows</t>
  </si>
  <si>
    <t>Drive-through Safari</t>
  </si>
  <si>
    <t>Litter Farmer Experiences</t>
  </si>
  <si>
    <t>Multiple species</t>
  </si>
  <si>
    <t>Rare or exotic animals</t>
  </si>
  <si>
    <t>Conservation</t>
  </si>
  <si>
    <t>Baby animals (seasonal)</t>
  </si>
  <si>
    <t>Walk-through enclosures</t>
  </si>
  <si>
    <t>Rides or Treks</t>
  </si>
  <si>
    <t>Outdoor animal areas</t>
  </si>
  <si>
    <t>Farm-based activities (e.g. egg collecting)</t>
  </si>
  <si>
    <t>Soft climbing structures</t>
  </si>
  <si>
    <t>Slides</t>
  </si>
  <si>
    <t>Ball pools</t>
  </si>
  <si>
    <t>Enclosed space</t>
  </si>
  <si>
    <t>Seating for adults</t>
  </si>
  <si>
    <t>Café or refreshment area</t>
  </si>
  <si>
    <t>Separate toddler area</t>
  </si>
  <si>
    <t>Age-zoned play areas</t>
  </si>
  <si>
    <t>Calm or quieter zones</t>
  </si>
  <si>
    <t>Trains and locomotives</t>
  </si>
  <si>
    <t>Boats and ships</t>
  </si>
  <si>
    <t>Aircraft and helicopters</t>
  </si>
  <si>
    <t>Vintage vehicles</t>
  </si>
  <si>
    <t>Working machinery</t>
  </si>
  <si>
    <t>Rides or journeys</t>
  </si>
  <si>
    <t>Vehicles in operation</t>
  </si>
  <si>
    <t>Demonstrations or displays</t>
  </si>
  <si>
    <t>Cab or cockpit viewing</t>
  </si>
  <si>
    <t>Engineering features</t>
  </si>
  <si>
    <t>Animals or animal experiences</t>
  </si>
  <si>
    <t>Live shows or performances</t>
  </si>
  <si>
    <t>Large interactive exhibits</t>
  </si>
  <si>
    <t>Immersive or themed environments</t>
  </si>
  <si>
    <t>Meet &amp; greet characters or people</t>
  </si>
  <si>
    <t>Hands-on activities</t>
  </si>
  <si>
    <t>Challenges or missions</t>
  </si>
  <si>
    <t>Play or activity zones</t>
  </si>
  <si>
    <t>Landmark features</t>
  </si>
  <si>
    <t>Iconic structures or rides</t>
  </si>
  <si>
    <t>Water features</t>
  </si>
  <si>
    <t>Scenic or dramatic settings</t>
  </si>
  <si>
    <t>Themed trails (e.g. Halloween, Christmas, Easter)</t>
  </si>
  <si>
    <t>Dedicated play area</t>
  </si>
  <si>
    <t>Toy corner or play table</t>
  </si>
  <si>
    <t>Puzzles or games</t>
  </si>
  <si>
    <t>Space to run around</t>
  </si>
  <si>
    <t>Outdoor play area nearby</t>
  </si>
  <si>
    <t>Farm animals nearby</t>
  </si>
  <si>
    <t>Shop or browsing area (e.g. farm shop, garden centre)</t>
  </si>
  <si>
    <t>Book swap or exchange library</t>
  </si>
  <si>
    <t>Children’s menu</t>
  </si>
  <si>
    <t>Flexible seating for families</t>
  </si>
  <si>
    <t>Space for children to move a little</t>
  </si>
  <si>
    <t>Play area or outdoor play space</t>
  </si>
  <si>
    <t>Relaxed, family-welcoming feel</t>
  </si>
  <si>
    <t>Outdoor seating or garden</t>
  </si>
  <si>
    <t>Rural or scenic setting</t>
  </si>
  <si>
    <t>On-site grounds to explore</t>
  </si>
  <si>
    <t>Farm animals or gardens</t>
  </si>
  <si>
    <t>Meet Father Christmas</t>
  </si>
  <si>
    <t>Festive Shows</t>
  </si>
  <si>
    <t>Singing figures or characters</t>
  </si>
  <si>
    <t>Seasonal Hot Chocolates</t>
  </si>
  <si>
    <t>Themed Areas</t>
  </si>
  <si>
    <t>Themed Food</t>
  </si>
  <si>
    <t>Easter Egg Hunts</t>
  </si>
  <si>
    <t>Clues or Treasure Hunts</t>
  </si>
  <si>
    <t>Meet the Easter Bunny</t>
  </si>
  <si>
    <t>Costumes or Fancy Dress-up</t>
  </si>
  <si>
    <t>Firework Displays</t>
  </si>
  <si>
    <t>Roasting Marshmallows</t>
  </si>
  <si>
    <t>Bonfires</t>
  </si>
  <si>
    <t>Solstice Rituals</t>
  </si>
  <si>
    <t>Maize Mazes</t>
  </si>
  <si>
    <t>Splash Parks</t>
  </si>
  <si>
    <t>Inflatables Sessions</t>
  </si>
  <si>
    <t>BBQs</t>
  </si>
  <si>
    <t>Surf &amp; Turf</t>
  </si>
  <si>
    <t>Wildlife Spotting</t>
  </si>
  <si>
    <t>Sea Safari</t>
  </si>
  <si>
    <t>Airshows or displays</t>
  </si>
  <si>
    <t>Food stands &amp; stalls</t>
  </si>
  <si>
    <t>Live Performance</t>
  </si>
  <si>
    <t>Live Music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</si>
</sst>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809]#,##0.00"/>
    <numFmt numFmtId="165" formatCode="dd/mm/yyyy"/>
    <numFmt numFmtId="166" formatCode="hh:mm"/>
    <numFmt numFmtId="167" formatCode="0.0000000"/>
    <numFmt numFmtId="168" formatCode="d\-m"/>
    <numFmt numFmtId="169" formatCode="[hh]:mm:ss"/>
    <numFmt numFmtId="170" formatCode="&quot;£&quot;#,##0"/>
  </numFmts>
  <fonts count="63">
    <font>
      <sz val="10"/>
      <color rgb="FF000000"/>
      <name val="Arial"/>
      <scheme val="minor"/>
    </font>
    <font>
      <b/>
      <sz val="10"/>
      <color rgb="FFFFFFFF"/>
      <name val="Inter"/>
    </font>
    <font>
      <b/>
      <sz val="10"/>
      <color theme="0"/>
      <name val="Roboto"/>
    </font>
    <font>
      <b/>
      <sz val="10"/>
      <color rgb="FFFFFFFF"/>
      <name val="Arial"/>
      <scheme val="minor"/>
    </font>
    <font>
      <b/>
      <sz val="10"/>
      <color rgb="FFFFFFFF"/>
      <name val="Roboto"/>
    </font>
    <font>
      <b/>
      <sz val="10"/>
      <color theme="0"/>
      <name val="Inter"/>
    </font>
    <font>
      <b/>
      <sz val="10"/>
      <color rgb="FFFFFFFF"/>
      <name val="Arial"/>
    </font>
    <font>
      <b/>
      <sz val="9"/>
      <color rgb="FFFFFFFF"/>
      <name val="Arial"/>
      <scheme val="minor"/>
    </font>
    <font>
      <b/>
      <sz val="10"/>
      <color theme="0"/>
      <name val="Arial"/>
    </font>
    <font>
      <b/>
      <sz val="10"/>
      <color theme="0"/>
      <name val="Arial"/>
      <scheme val="minor"/>
    </font>
    <font>
      <b/>
      <sz val="8"/>
      <color theme="0"/>
      <name val="Arial"/>
      <scheme val="minor"/>
    </font>
    <font>
      <b/>
      <sz val="9"/>
      <color theme="1"/>
      <name val="Arial"/>
      <scheme val="minor"/>
    </font>
    <font>
      <b/>
      <sz val="9"/>
      <color theme="1"/>
      <name val="Inter"/>
    </font>
    <font>
      <sz val="10"/>
      <color rgb="FFFFFFFF"/>
      <name val="Inter"/>
    </font>
    <font>
      <b/>
      <sz val="10"/>
      <color theme="1"/>
      <name val="Roboto"/>
    </font>
    <font>
      <sz val="9"/>
      <color rgb="FFFFFFFF"/>
      <name val="Inter"/>
    </font>
    <font>
      <sz val="9"/>
      <color theme="0"/>
      <name val="Inter"/>
    </font>
    <font>
      <b/>
      <sz val="10"/>
      <color theme="1"/>
      <name val="Arial"/>
      <scheme val="minor"/>
    </font>
    <font>
      <sz val="9"/>
      <color theme="0"/>
      <name val="Roboto"/>
    </font>
    <font>
      <b/>
      <sz val="9"/>
      <color theme="0"/>
      <name val="Arial"/>
      <scheme val="minor"/>
    </font>
    <font>
      <sz val="10"/>
      <color theme="0"/>
      <name val="Roboto"/>
    </font>
    <font>
      <sz val="10"/>
      <color theme="0"/>
      <name val="Inter"/>
    </font>
    <font>
      <sz val="9"/>
      <color theme="1"/>
      <name val="Inter"/>
    </font>
    <font>
      <sz val="9"/>
      <color theme="0"/>
      <name val="Arial"/>
    </font>
    <font>
      <sz val="8"/>
      <color theme="0"/>
      <name val="Inter"/>
    </font>
    <font>
      <sz val="8"/>
      <color theme="0"/>
      <name val="Roboto"/>
    </font>
    <font>
      <sz val="8"/>
      <color rgb="FFFFFFFF"/>
      <name val="Inter"/>
    </font>
    <font>
      <sz val="9"/>
      <color theme="1"/>
      <name val="Roboto"/>
    </font>
    <font>
      <sz val="9"/>
      <color theme="0"/>
      <name val="Arial"/>
      <scheme val="minor"/>
    </font>
    <font>
      <sz val="8"/>
      <color theme="1"/>
      <name val="Inter"/>
    </font>
    <font>
      <sz val="9"/>
      <color rgb="FFFFFFFF"/>
      <name val="Arial"/>
      <scheme val="minor"/>
    </font>
    <font>
      <sz val="8"/>
      <color theme="0"/>
      <name val="Arial"/>
    </font>
    <font>
      <sz val="8"/>
      <color rgb="FF000000"/>
      <name val="Inter"/>
    </font>
    <font>
      <sz val="8"/>
      <color rgb="FF000000"/>
      <name val="Roboto"/>
    </font>
    <font>
      <sz val="9"/>
      <color rgb="FFFFFFFF"/>
      <name val="Roboto"/>
    </font>
    <font>
      <sz val="8"/>
      <color theme="1"/>
      <name val="Roboto"/>
    </font>
    <font>
      <sz val="8"/>
      <color theme="1"/>
      <name val="Arial"/>
    </font>
    <font>
      <sz val="9"/>
      <color theme="1"/>
      <name val="Arial"/>
      <scheme val="minor"/>
    </font>
    <font>
      <sz val="8"/>
      <color rgb="FF000000"/>
      <name val="Arial"/>
    </font>
    <font>
      <sz val="8"/>
      <color theme="1"/>
      <name val="Arial"/>
      <scheme val="minor"/>
    </font>
    <font>
      <sz val="9"/>
      <color rgb="FF000000"/>
      <name val="Arial"/>
      <scheme val="minor"/>
    </font>
    <font>
      <sz val="8"/>
      <color rgb="FF000000"/>
      <name val="Arial"/>
      <scheme val="minor"/>
    </font>
    <font>
      <sz val="9"/>
      <color theme="1"/>
      <name val="Arial"/>
    </font>
    <font>
      <sz val="7"/>
      <color rgb="FF000000"/>
      <name val="Arial"/>
      <scheme val="minor"/>
    </font>
    <font>
      <sz val="10"/>
      <color theme="1"/>
      <name val="Arial"/>
    </font>
    <font>
      <sz val="9"/>
      <color rgb="FF222222"/>
      <name val="Arial"/>
    </font>
    <font>
      <sz val="9"/>
      <color theme="1"/>
      <name val="Aptos Narrow"/>
    </font>
    <font>
      <u/>
      <sz val="9"/>
      <color rgb="FF1155CC"/>
      <name val="Arial"/>
      <scheme val="minor"/>
    </font>
    <font>
      <sz val="9"/>
      <color rgb="FF1F1F1F"/>
      <name val="Inter"/>
    </font>
    <font>
      <sz val="9"/>
      <color rgb="FF000000"/>
      <name val="Poppins"/>
    </font>
    <font>
      <sz val="10"/>
      <color theme="1"/>
      <name val="Arial"/>
      <scheme val="minor"/>
    </font>
    <font>
      <sz val="7"/>
      <color theme="1"/>
      <name val="Arial"/>
      <scheme val="minor"/>
    </font>
    <font>
      <u/>
      <sz val="10"/>
      <color rgb="FF1155CC"/>
      <name val="Arial"/>
      <scheme val="minor"/>
    </font>
    <font>
      <sz val="7"/>
      <color theme="1"/>
      <name val="Arial"/>
    </font>
    <font>
      <b/>
      <sz val="10"/>
      <color theme="1"/>
      <name val="Arial"/>
    </font>
    <font>
      <u/>
      <sz val="9"/>
      <color rgb="FF1155CC"/>
      <name val="Arial"/>
    </font>
    <font>
      <b/>
      <i/>
      <sz val="10"/>
      <color theme="1"/>
      <name val="Arial"/>
    </font>
    <font>
      <strike/>
      <sz val="10"/>
      <color theme="1"/>
      <name val="Arial"/>
    </font>
    <font>
      <sz val="10"/>
      <color theme="1"/>
      <name val="Roboto"/>
    </font>
    <font>
      <strike/>
      <sz val="10"/>
      <color theme="1"/>
      <name val="Roboto"/>
    </font>
    <font>
      <b/>
      <sz val="9"/>
      <color theme="1"/>
      <name val="Roboto"/>
    </font>
    <font>
      <b/>
      <sz val="8"/>
      <color theme="1"/>
      <name val="Roboto"/>
    </font>
    <font>
      <b/>
      <sz val="9"/>
      <color theme="1"/>
      <name val="Arial"/>
    </font>
  </fonts>
  <fills count="21">
    <fill>
      <patternFill patternType="none"/>
    </fill>
    <fill>
      <patternFill patternType="gray125"/>
    </fill>
    <fill>
      <patternFill patternType="solid">
        <fgColor rgb="FF668CDE"/>
        <bgColor rgb="FF668CDE"/>
      </patternFill>
    </fill>
    <fill>
      <patternFill patternType="solid">
        <fgColor rgb="FFFF9975"/>
        <bgColor rgb="FFFF9975"/>
      </patternFill>
    </fill>
    <fill>
      <patternFill patternType="solid">
        <fgColor rgb="FF47D1A3"/>
        <bgColor rgb="FF47D1A3"/>
      </patternFill>
    </fill>
    <fill>
      <patternFill patternType="solid">
        <fgColor rgb="FFF3F3F3"/>
        <bgColor rgb="FFF3F3F3"/>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EAD1DC"/>
        <bgColor rgb="FFEAD1DC"/>
      </patternFill>
    </fill>
    <fill>
      <patternFill patternType="solid">
        <fgColor rgb="FFEFEFEF"/>
        <bgColor rgb="FFEFEFEF"/>
      </patternFill>
    </fill>
    <fill>
      <patternFill patternType="solid">
        <fgColor rgb="FF00FF00"/>
        <bgColor rgb="FF00FF00"/>
      </patternFill>
    </fill>
    <fill>
      <patternFill patternType="solid">
        <fgColor rgb="FFE69138"/>
        <bgColor rgb="FFE69138"/>
      </patternFill>
    </fill>
    <fill>
      <patternFill patternType="solid">
        <fgColor rgb="FFF2F8F0"/>
        <bgColor rgb="FFF2F8F0"/>
      </patternFill>
    </fill>
    <fill>
      <patternFill patternType="solid">
        <fgColor rgb="FFEAF1FF"/>
        <bgColor rgb="FFEAF1FF"/>
      </patternFill>
    </fill>
    <fill>
      <patternFill patternType="solid">
        <fgColor rgb="FFFFFDF8"/>
        <bgColor rgb="FFFFFDF8"/>
      </patternFill>
    </fill>
    <fill>
      <patternFill patternType="solid">
        <fgColor theme="8"/>
        <bgColor theme="8"/>
      </patternFill>
    </fill>
    <fill>
      <patternFill patternType="solid">
        <fgColor rgb="FFFFF2CC"/>
        <bgColor rgb="FFFFF2CC"/>
      </patternFill>
    </fill>
    <fill>
      <patternFill patternType="solid">
        <fgColor rgb="FFFF6D01"/>
        <bgColor rgb="FFFF6D01"/>
      </patternFill>
    </fill>
    <fill>
      <patternFill patternType="solid">
        <fgColor rgb="FFFFF6ED"/>
        <bgColor rgb="FFFFF6ED"/>
      </patternFill>
    </fill>
    <fill>
      <patternFill patternType="solid">
        <fgColor rgb="FFB6D7A8"/>
        <bgColor rgb="FFB6D7A8"/>
      </patternFill>
    </fill>
  </fills>
  <borders count="3">
    <border>
      <left/>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247">
    <xf numFmtId="0" fontId="0" fillId="0" borderId="0" xfId="0" applyFont="1" applyAlignment="1"/>
    <xf numFmtId="0" fontId="5" fillId="2" borderId="0" xfId="0" applyFont="1" applyFill="1" applyAlignment="1">
      <alignment horizontal="center" vertical="center" wrapText="1"/>
    </xf>
    <xf numFmtId="0" fontId="9" fillId="2" borderId="0" xfId="0" applyFont="1" applyFill="1" applyAlignment="1">
      <alignment horizontal="center" vertical="center" wrapText="1"/>
    </xf>
    <xf numFmtId="0" fontId="10" fillId="2" borderId="0" xfId="0" applyFont="1" applyFill="1" applyAlignment="1">
      <alignment horizontal="center" vertical="center" wrapText="1"/>
    </xf>
    <xf numFmtId="0" fontId="14" fillId="4" borderId="0" xfId="0" applyFont="1" applyFill="1" applyAlignment="1">
      <alignment horizontal="center" vertical="center" wrapText="1"/>
    </xf>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vertical="center" wrapText="1"/>
    </xf>
    <xf numFmtId="0" fontId="16" fillId="2" borderId="0" xfId="0" applyFont="1" applyFill="1" applyAlignment="1">
      <alignment horizontal="center" vertical="center" wrapText="1"/>
    </xf>
    <xf numFmtId="0" fontId="17" fillId="4" borderId="0" xfId="0" applyFont="1" applyFill="1" applyAlignment="1">
      <alignment horizontal="center" vertical="center" wrapText="1"/>
    </xf>
    <xf numFmtId="0" fontId="18" fillId="2" borderId="0" xfId="0" applyFont="1" applyFill="1" applyAlignment="1">
      <alignment vertical="center" wrapText="1"/>
    </xf>
    <xf numFmtId="0" fontId="18" fillId="2" borderId="0" xfId="0" applyFont="1" applyFill="1" applyAlignment="1">
      <alignment horizontal="center" vertical="center" wrapText="1"/>
    </xf>
    <xf numFmtId="0" fontId="20" fillId="2" borderId="0" xfId="0" applyFont="1" applyFill="1" applyAlignment="1">
      <alignment horizontal="center" vertical="center" wrapText="1"/>
    </xf>
    <xf numFmtId="0" fontId="21" fillId="2" borderId="0" xfId="0" applyFont="1" applyFill="1" applyAlignment="1">
      <alignment vertical="center" wrapText="1"/>
    </xf>
    <xf numFmtId="0" fontId="20" fillId="2" borderId="0" xfId="0" applyFont="1" applyFill="1" applyAlignment="1">
      <alignment vertical="center" wrapText="1"/>
    </xf>
    <xf numFmtId="0" fontId="22" fillId="3" borderId="0" xfId="0" applyFont="1" applyFill="1" applyAlignment="1">
      <alignment horizontal="center" vertical="center" wrapText="1"/>
    </xf>
    <xf numFmtId="0" fontId="25" fillId="2" borderId="0" xfId="0" applyFont="1" applyFill="1" applyAlignment="1">
      <alignment vertical="center" wrapText="1"/>
    </xf>
    <xf numFmtId="0" fontId="26" fillId="2" borderId="0" xfId="0" applyFont="1" applyFill="1" applyAlignment="1">
      <alignment horizontal="left" vertical="center" wrapText="1"/>
    </xf>
    <xf numFmtId="0" fontId="27" fillId="4" borderId="0" xfId="0" applyFont="1" applyFill="1" applyAlignment="1">
      <alignment vertical="center" wrapText="1"/>
    </xf>
    <xf numFmtId="0" fontId="23" fillId="2" borderId="0" xfId="0" applyFont="1" applyFill="1" applyAlignment="1">
      <alignment horizontal="center" vertical="center" wrapText="1"/>
    </xf>
    <xf numFmtId="0" fontId="24" fillId="2" borderId="0" xfId="0" applyFont="1" applyFill="1" applyAlignment="1">
      <alignment horizontal="left" vertical="center" wrapText="1"/>
    </xf>
    <xf numFmtId="0" fontId="28" fillId="2" borderId="0" xfId="0" applyFont="1" applyFill="1" applyAlignment="1">
      <alignment vertical="center" wrapText="1"/>
    </xf>
    <xf numFmtId="0" fontId="13" fillId="2" borderId="0" xfId="0" applyFont="1" applyFill="1" applyAlignment="1">
      <alignment horizontal="center" vertical="center" wrapText="1"/>
    </xf>
    <xf numFmtId="0" fontId="26" fillId="2" borderId="0" xfId="0" applyFont="1" applyFill="1" applyAlignment="1">
      <alignment horizontal="center" vertical="center" wrapText="1"/>
    </xf>
    <xf numFmtId="0" fontId="30" fillId="2" borderId="0" xfId="0" applyFont="1" applyFill="1" applyAlignment="1">
      <alignment horizontal="center" vertical="center" wrapText="1"/>
    </xf>
    <xf numFmtId="0" fontId="31" fillId="2" borderId="0" xfId="0" applyFont="1" applyFill="1" applyAlignment="1">
      <alignment vertical="center" wrapText="1"/>
    </xf>
    <xf numFmtId="0" fontId="29" fillId="5" borderId="0" xfId="0" applyFont="1" applyFill="1" applyAlignment="1">
      <alignment vertical="center" wrapText="1"/>
    </xf>
    <xf numFmtId="0" fontId="29" fillId="5" borderId="0" xfId="0" applyFont="1" applyFill="1" applyAlignment="1">
      <alignment horizontal="center" vertical="center" wrapText="1"/>
    </xf>
    <xf numFmtId="0" fontId="28" fillId="2" borderId="0" xfId="0" applyFont="1" applyFill="1" applyAlignment="1">
      <alignment horizontal="center" vertical="center" wrapText="1"/>
    </xf>
    <xf numFmtId="0" fontId="32" fillId="5" borderId="0" xfId="0" applyFont="1" applyFill="1" applyAlignment="1">
      <alignment vertical="center" wrapText="1"/>
    </xf>
    <xf numFmtId="164" fontId="31" fillId="2" borderId="0" xfId="0" applyNumberFormat="1" applyFont="1" applyFill="1" applyAlignment="1">
      <alignment vertical="center" wrapText="1"/>
    </xf>
    <xf numFmtId="0" fontId="13" fillId="2" borderId="0" xfId="0" applyFont="1" applyFill="1" applyAlignment="1">
      <alignment vertical="center" wrapText="1"/>
    </xf>
    <xf numFmtId="0" fontId="33" fillId="5" borderId="0" xfId="0" applyFont="1" applyFill="1" applyAlignment="1">
      <alignment vertical="center" wrapText="1"/>
    </xf>
    <xf numFmtId="0" fontId="30" fillId="2" borderId="0" xfId="0" applyFont="1" applyFill="1" applyAlignment="1">
      <alignment vertical="center" wrapText="1"/>
    </xf>
    <xf numFmtId="0" fontId="29" fillId="0" borderId="0" xfId="0" applyFont="1" applyAlignment="1">
      <alignment vertical="center" wrapText="1"/>
    </xf>
    <xf numFmtId="164" fontId="16" fillId="2" borderId="0" xfId="0" applyNumberFormat="1" applyFont="1" applyFill="1" applyAlignment="1">
      <alignment vertical="center" wrapText="1"/>
    </xf>
    <xf numFmtId="164" fontId="28" fillId="2" borderId="0" xfId="0" applyNumberFormat="1" applyFont="1" applyFill="1" applyAlignment="1">
      <alignment vertical="center" wrapText="1"/>
    </xf>
    <xf numFmtId="0" fontId="23" fillId="2" borderId="0" xfId="0" applyFont="1" applyFill="1" applyAlignment="1">
      <alignment vertical="center" wrapText="1"/>
    </xf>
    <xf numFmtId="0" fontId="34" fillId="2" borderId="0" xfId="0" applyFont="1" applyFill="1" applyAlignment="1">
      <alignment vertical="center" wrapText="1"/>
    </xf>
    <xf numFmtId="0" fontId="29" fillId="3" borderId="0" xfId="0" applyFont="1" applyFill="1" applyAlignment="1">
      <alignment horizontal="center" vertical="center" wrapText="1"/>
    </xf>
    <xf numFmtId="0" fontId="35" fillId="4" borderId="0" xfId="0" applyFont="1" applyFill="1" applyAlignment="1">
      <alignment vertical="center" wrapText="1"/>
    </xf>
    <xf numFmtId="0" fontId="36" fillId="5" borderId="0" xfId="0" applyFont="1" applyFill="1" applyAlignment="1">
      <alignment horizontal="center" vertical="center" wrapText="1"/>
    </xf>
    <xf numFmtId="0" fontId="33" fillId="5" borderId="0" xfId="0" applyFont="1" applyFill="1" applyAlignment="1">
      <alignment horizontal="center" vertical="center" wrapText="1"/>
    </xf>
    <xf numFmtId="0" fontId="37" fillId="3" borderId="0" xfId="0" applyFont="1" applyFill="1" applyAlignment="1">
      <alignment horizontal="center" vertical="center" wrapText="1"/>
    </xf>
    <xf numFmtId="0" fontId="37" fillId="4" borderId="0" xfId="0" applyFont="1" applyFill="1" applyAlignment="1">
      <alignment vertical="center" wrapText="1"/>
    </xf>
    <xf numFmtId="0" fontId="36" fillId="5" borderId="0" xfId="0" applyFont="1" applyFill="1" applyAlignment="1">
      <alignment vertical="center" wrapText="1"/>
    </xf>
    <xf numFmtId="0" fontId="38" fillId="5" borderId="0" xfId="0" applyFont="1" applyFill="1" applyAlignment="1">
      <alignment vertical="center" wrapText="1"/>
    </xf>
    <xf numFmtId="0" fontId="39" fillId="0" borderId="0" xfId="0" applyFont="1" applyAlignment="1">
      <alignment horizontal="center" vertical="center" wrapText="1"/>
    </xf>
    <xf numFmtId="0" fontId="39" fillId="5" borderId="0" xfId="0" applyFont="1" applyFill="1" applyAlignment="1">
      <alignment horizontal="center" vertical="center" wrapText="1"/>
    </xf>
    <xf numFmtId="0" fontId="40" fillId="5" borderId="0" xfId="0" applyFont="1" applyFill="1" applyAlignment="1">
      <alignment vertical="center" wrapText="1"/>
    </xf>
    <xf numFmtId="0" fontId="41" fillId="5" borderId="0" xfId="0" applyFont="1" applyFill="1" applyAlignment="1">
      <alignment vertical="center" wrapText="1"/>
    </xf>
    <xf numFmtId="0" fontId="42" fillId="5" borderId="0" xfId="0" applyFont="1" applyFill="1" applyAlignment="1">
      <alignment vertical="center" wrapText="1"/>
    </xf>
    <xf numFmtId="0" fontId="37" fillId="5" borderId="0" xfId="0" applyFont="1" applyFill="1" applyAlignment="1">
      <alignment horizontal="center" vertical="center" wrapText="1"/>
    </xf>
    <xf numFmtId="164" fontId="36" fillId="5" borderId="0" xfId="0" applyNumberFormat="1" applyFont="1" applyFill="1" applyAlignment="1">
      <alignment vertical="center" wrapText="1"/>
    </xf>
    <xf numFmtId="164" fontId="29" fillId="5" borderId="0" xfId="0" applyNumberFormat="1" applyFont="1" applyFill="1" applyAlignment="1">
      <alignment vertical="center" wrapText="1"/>
    </xf>
    <xf numFmtId="0" fontId="36" fillId="5" borderId="0" xfId="0" applyFont="1" applyFill="1" applyAlignment="1">
      <alignment vertical="center"/>
    </xf>
    <xf numFmtId="0" fontId="43" fillId="5" borderId="0" xfId="0" applyFont="1" applyFill="1" applyAlignment="1">
      <alignment vertical="center" wrapText="1"/>
    </xf>
    <xf numFmtId="0" fontId="39" fillId="5" borderId="0" xfId="0" applyFont="1" applyFill="1" applyAlignment="1">
      <alignment vertical="center" wrapText="1"/>
    </xf>
    <xf numFmtId="164" fontId="39" fillId="5" borderId="0" xfId="0" applyNumberFormat="1" applyFont="1" applyFill="1" applyAlignment="1">
      <alignment vertical="center" wrapText="1"/>
    </xf>
    <xf numFmtId="0" fontId="39" fillId="5" borderId="0" xfId="0" applyFont="1" applyFill="1" applyAlignment="1">
      <alignment vertical="center"/>
    </xf>
    <xf numFmtId="0" fontId="45" fillId="0" borderId="0" xfId="0" applyFont="1" applyAlignment="1">
      <alignment vertical="center"/>
    </xf>
    <xf numFmtId="49" fontId="46" fillId="0" borderId="0" xfId="0" applyNumberFormat="1" applyFont="1" applyAlignment="1">
      <alignment vertical="center" wrapText="1"/>
    </xf>
    <xf numFmtId="165" fontId="22" fillId="0" borderId="0" xfId="0" applyNumberFormat="1" applyFont="1" applyAlignment="1">
      <alignment horizontal="right" vertical="center" wrapText="1"/>
    </xf>
    <xf numFmtId="166" fontId="37" fillId="0" borderId="0" xfId="0" applyNumberFormat="1" applyFont="1" applyAlignment="1">
      <alignment horizontal="right" vertical="center"/>
    </xf>
    <xf numFmtId="167" fontId="46" fillId="0" borderId="0" xfId="0" applyNumberFormat="1" applyFont="1" applyAlignment="1">
      <alignment horizontal="right" vertical="center" wrapText="1"/>
    </xf>
    <xf numFmtId="166" fontId="22" fillId="0" borderId="0" xfId="0" applyNumberFormat="1" applyFont="1" applyAlignment="1">
      <alignment horizontal="right" vertical="center" wrapText="1"/>
    </xf>
    <xf numFmtId="165" fontId="42" fillId="0" borderId="0" xfId="0" applyNumberFormat="1" applyFont="1" applyAlignment="1">
      <alignment horizontal="right" vertical="center"/>
    </xf>
    <xf numFmtId="164" fontId="37" fillId="0" borderId="0" xfId="0" applyNumberFormat="1" applyFont="1" applyAlignment="1">
      <alignment vertical="center"/>
    </xf>
    <xf numFmtId="0" fontId="44" fillId="0" borderId="0" xfId="0" applyFont="1"/>
    <xf numFmtId="0" fontId="42" fillId="0" borderId="0" xfId="0" applyFont="1" applyAlignment="1">
      <alignment wrapText="1"/>
    </xf>
    <xf numFmtId="0" fontId="42" fillId="0" borderId="0" xfId="0" applyFont="1" applyAlignment="1">
      <alignment horizontal="right" wrapText="1"/>
    </xf>
    <xf numFmtId="164" fontId="22" fillId="0" borderId="0" xfId="0" applyNumberFormat="1" applyFont="1" applyAlignment="1">
      <alignment horizontal="right" vertical="center" wrapText="1"/>
    </xf>
    <xf numFmtId="168" fontId="22" fillId="0" borderId="0" xfId="0" applyNumberFormat="1" applyFont="1" applyAlignment="1">
      <alignment horizontal="right" vertical="center" wrapText="1"/>
    </xf>
    <xf numFmtId="164" fontId="42" fillId="0" borderId="0" xfId="0" applyNumberFormat="1" applyFont="1" applyAlignment="1">
      <alignment horizontal="right" vertical="center"/>
    </xf>
    <xf numFmtId="0" fontId="22" fillId="0" borderId="0" xfId="0" applyFont="1" applyAlignment="1">
      <alignment horizontal="center" wrapText="1"/>
    </xf>
    <xf numFmtId="0" fontId="22" fillId="0" borderId="0" xfId="0" applyFont="1"/>
    <xf numFmtId="0" fontId="37" fillId="0" borderId="0" xfId="0" applyFont="1" applyAlignment="1">
      <alignment vertical="center"/>
    </xf>
    <xf numFmtId="0" fontId="47" fillId="0" borderId="0" xfId="0" applyFont="1" applyAlignment="1">
      <alignment vertical="center" wrapText="1"/>
    </xf>
    <xf numFmtId="0" fontId="44" fillId="0" borderId="0" xfId="0" applyFont="1" applyAlignment="1">
      <alignment vertical="center"/>
    </xf>
    <xf numFmtId="0" fontId="42" fillId="0" borderId="0" xfId="0" applyFont="1" applyAlignment="1">
      <alignment horizontal="center" vertical="center" wrapText="1"/>
    </xf>
    <xf numFmtId="49" fontId="37" fillId="0" borderId="0" xfId="0" applyNumberFormat="1" applyFont="1" applyAlignment="1">
      <alignment horizontal="right" vertical="center"/>
    </xf>
    <xf numFmtId="0" fontId="37" fillId="0" borderId="0" xfId="0" applyFont="1" applyAlignment="1">
      <alignment vertical="center" wrapText="1"/>
    </xf>
    <xf numFmtId="0" fontId="22" fillId="0" borderId="0" xfId="0" applyFont="1" applyAlignment="1">
      <alignment horizontal="right" vertical="center" wrapText="1"/>
    </xf>
    <xf numFmtId="0" fontId="22" fillId="0" borderId="0" xfId="0" applyFont="1" applyAlignment="1">
      <alignment vertical="center" wrapText="1"/>
    </xf>
    <xf numFmtId="0" fontId="22" fillId="0" borderId="0" xfId="0" applyFont="1" applyAlignment="1">
      <alignment horizontal="center" vertical="center" wrapText="1"/>
    </xf>
    <xf numFmtId="166" fontId="22" fillId="0" borderId="0" xfId="0" applyNumberFormat="1" applyFont="1" applyAlignment="1">
      <alignment vertical="center" wrapText="1"/>
    </xf>
    <xf numFmtId="168" fontId="42" fillId="0" borderId="0" xfId="0" applyNumberFormat="1" applyFont="1" applyAlignment="1">
      <alignment horizontal="right" vertical="center" wrapText="1"/>
    </xf>
    <xf numFmtId="0" fontId="48" fillId="0" borderId="0" xfId="0" applyFont="1" applyAlignment="1">
      <alignment horizontal="left" vertical="center" wrapText="1"/>
    </xf>
    <xf numFmtId="0" fontId="48" fillId="0" borderId="0" xfId="0" applyFont="1" applyAlignment="1">
      <alignment vertical="center" wrapText="1"/>
    </xf>
    <xf numFmtId="165" fontId="22" fillId="0" borderId="0" xfId="0" applyNumberFormat="1" applyFont="1" applyAlignment="1">
      <alignment vertical="center" wrapText="1"/>
    </xf>
    <xf numFmtId="0" fontId="42" fillId="0" borderId="0" xfId="0" applyFont="1" applyAlignment="1">
      <alignment horizontal="right" vertical="center"/>
    </xf>
    <xf numFmtId="164" fontId="37" fillId="0" borderId="0" xfId="0" applyNumberFormat="1" applyFont="1" applyAlignment="1">
      <alignment horizontal="right" vertical="center"/>
    </xf>
    <xf numFmtId="164" fontId="22" fillId="0" borderId="0" xfId="0" applyNumberFormat="1" applyFont="1" applyAlignment="1">
      <alignment vertical="center" wrapText="1"/>
    </xf>
    <xf numFmtId="168" fontId="22" fillId="0" borderId="0" xfId="0" applyNumberFormat="1" applyFont="1" applyAlignment="1">
      <alignment vertical="center" wrapText="1"/>
    </xf>
    <xf numFmtId="0" fontId="49" fillId="6" borderId="0" xfId="0" applyFont="1" applyFill="1" applyAlignment="1">
      <alignment horizontal="left" vertical="center" wrapText="1"/>
    </xf>
    <xf numFmtId="49" fontId="37" fillId="0" borderId="0" xfId="0" applyNumberFormat="1" applyFont="1" applyAlignment="1">
      <alignment vertical="center"/>
    </xf>
    <xf numFmtId="0" fontId="42" fillId="0" borderId="0" xfId="0" applyFont="1" applyAlignment="1">
      <alignment vertical="center"/>
    </xf>
    <xf numFmtId="49" fontId="22" fillId="0" borderId="0" xfId="0" applyNumberFormat="1" applyFont="1" applyAlignment="1">
      <alignment wrapText="1"/>
    </xf>
    <xf numFmtId="167" fontId="42" fillId="0" borderId="0" xfId="0" applyNumberFormat="1" applyFont="1" applyAlignment="1">
      <alignment vertical="center"/>
    </xf>
    <xf numFmtId="165" fontId="42" fillId="0" borderId="0" xfId="0" applyNumberFormat="1" applyFont="1" applyAlignment="1">
      <alignment vertical="center"/>
    </xf>
    <xf numFmtId="0" fontId="22" fillId="0" borderId="0" xfId="0" applyFont="1" applyAlignment="1">
      <alignment wrapText="1"/>
    </xf>
    <xf numFmtId="49" fontId="42" fillId="0" borderId="0" xfId="0" applyNumberFormat="1" applyFont="1" applyAlignment="1">
      <alignment wrapText="1"/>
    </xf>
    <xf numFmtId="0" fontId="42" fillId="0" borderId="0" xfId="0" applyFont="1" applyAlignment="1">
      <alignment vertical="center" wrapText="1"/>
    </xf>
    <xf numFmtId="14" fontId="42" fillId="0" borderId="0" xfId="0" applyNumberFormat="1" applyFont="1" applyAlignment="1">
      <alignment horizontal="right" wrapText="1"/>
    </xf>
    <xf numFmtId="14" fontId="37" fillId="0" borderId="0" xfId="0" applyNumberFormat="1" applyFont="1" applyAlignment="1">
      <alignment vertical="center" wrapText="1"/>
    </xf>
    <xf numFmtId="0" fontId="42" fillId="0" borderId="0" xfId="0" applyFont="1" applyAlignment="1">
      <alignment horizontal="center" vertical="center"/>
    </xf>
    <xf numFmtId="164" fontId="42" fillId="0" borderId="0" xfId="0" applyNumberFormat="1" applyFont="1" applyAlignment="1">
      <alignment vertical="center"/>
    </xf>
    <xf numFmtId="0" fontId="50" fillId="0" borderId="0" xfId="0" applyFont="1"/>
    <xf numFmtId="0" fontId="22" fillId="0" borderId="0" xfId="0" applyFont="1" applyAlignment="1">
      <alignment horizontal="center"/>
    </xf>
    <xf numFmtId="49" fontId="50" fillId="0" borderId="0" xfId="0" applyNumberFormat="1" applyFont="1" applyAlignment="1">
      <alignment vertical="center"/>
    </xf>
    <xf numFmtId="166" fontId="51" fillId="0" borderId="0" xfId="0" applyNumberFormat="1" applyFont="1" applyAlignment="1">
      <alignment vertical="center" wrapText="1"/>
    </xf>
    <xf numFmtId="0" fontId="51" fillId="0" borderId="0" xfId="0" applyFont="1" applyAlignment="1">
      <alignment vertical="center" wrapText="1"/>
    </xf>
    <xf numFmtId="0" fontId="37" fillId="0" borderId="0" xfId="0" applyFont="1" applyAlignment="1">
      <alignment horizontal="center" vertical="center"/>
    </xf>
    <xf numFmtId="166" fontId="37" fillId="0" borderId="0" xfId="0" applyNumberFormat="1" applyFont="1" applyAlignment="1">
      <alignment vertical="center"/>
    </xf>
    <xf numFmtId="0" fontId="50" fillId="0" borderId="0" xfId="0" applyFont="1" applyAlignment="1">
      <alignment vertical="center"/>
    </xf>
    <xf numFmtId="49" fontId="22" fillId="0" borderId="0" xfId="0" applyNumberFormat="1" applyFont="1"/>
    <xf numFmtId="0" fontId="52" fillId="0" borderId="0" xfId="0" applyFont="1" applyAlignment="1">
      <alignment vertical="center"/>
    </xf>
    <xf numFmtId="49" fontId="37" fillId="0" borderId="0" xfId="0" applyNumberFormat="1" applyFont="1" applyAlignment="1">
      <alignment vertical="center" wrapText="1"/>
    </xf>
    <xf numFmtId="168" fontId="37" fillId="0" borderId="0" xfId="0" applyNumberFormat="1" applyFont="1" applyAlignment="1">
      <alignment horizontal="right" vertical="center"/>
    </xf>
    <xf numFmtId="166" fontId="50" fillId="0" borderId="0" xfId="0" applyNumberFormat="1" applyFont="1" applyAlignment="1">
      <alignment vertical="center"/>
    </xf>
    <xf numFmtId="49" fontId="50" fillId="0" borderId="0" xfId="0" applyNumberFormat="1" applyFont="1" applyAlignment="1">
      <alignment vertical="center" wrapText="1"/>
    </xf>
    <xf numFmtId="0" fontId="50" fillId="0" borderId="0" xfId="0" applyFont="1" applyAlignment="1">
      <alignment vertical="center" wrapText="1"/>
    </xf>
    <xf numFmtId="166" fontId="37" fillId="0" borderId="0" xfId="0" applyNumberFormat="1" applyFont="1" applyAlignment="1">
      <alignment vertical="center" wrapText="1"/>
    </xf>
    <xf numFmtId="166" fontId="37" fillId="0" borderId="0" xfId="0" applyNumberFormat="1" applyFont="1" applyAlignment="1">
      <alignment horizontal="right" vertical="center" wrapText="1"/>
    </xf>
    <xf numFmtId="164" fontId="37" fillId="0" borderId="0" xfId="0" applyNumberFormat="1" applyFont="1" applyAlignment="1">
      <alignment horizontal="right" vertical="center" wrapText="1"/>
    </xf>
    <xf numFmtId="164" fontId="37" fillId="0" borderId="0" xfId="0" applyNumberFormat="1" applyFont="1" applyAlignment="1">
      <alignment vertical="center" wrapText="1"/>
    </xf>
    <xf numFmtId="168" fontId="37" fillId="0" borderId="0" xfId="0" applyNumberFormat="1" applyFont="1" applyAlignment="1">
      <alignment horizontal="right" vertical="center" wrapText="1"/>
    </xf>
    <xf numFmtId="0" fontId="37" fillId="0" borderId="0" xfId="0" applyFont="1" applyAlignment="1">
      <alignment horizontal="center" vertical="center" wrapText="1"/>
    </xf>
    <xf numFmtId="169" fontId="37" fillId="0" borderId="0" xfId="0" applyNumberFormat="1" applyFont="1" applyAlignment="1">
      <alignment horizontal="right" vertical="center"/>
    </xf>
    <xf numFmtId="0" fontId="50" fillId="7" borderId="0" xfId="0" applyFont="1" applyFill="1"/>
    <xf numFmtId="169" fontId="37" fillId="0" borderId="0" xfId="0" applyNumberFormat="1" applyFont="1" applyAlignment="1">
      <alignment vertical="center"/>
    </xf>
    <xf numFmtId="164" fontId="50" fillId="0" borderId="0" xfId="0" applyNumberFormat="1" applyFont="1" applyAlignment="1">
      <alignment vertical="center"/>
    </xf>
    <xf numFmtId="0" fontId="37" fillId="0" borderId="0" xfId="0" applyFont="1"/>
    <xf numFmtId="170" fontId="37" fillId="0" borderId="0" xfId="0" applyNumberFormat="1" applyFont="1" applyAlignment="1">
      <alignment horizontal="right" vertical="center"/>
    </xf>
    <xf numFmtId="49" fontId="37" fillId="6" borderId="0" xfId="0" applyNumberFormat="1" applyFont="1" applyFill="1" applyAlignment="1">
      <alignment horizontal="right" vertical="center"/>
    </xf>
    <xf numFmtId="0" fontId="50" fillId="8" borderId="0" xfId="0" applyFont="1" applyFill="1"/>
    <xf numFmtId="49" fontId="44" fillId="0" borderId="0" xfId="0" applyNumberFormat="1" applyFont="1" applyAlignment="1">
      <alignment vertical="center"/>
    </xf>
    <xf numFmtId="0" fontId="53" fillId="0" borderId="0" xfId="0" applyFont="1" applyAlignment="1">
      <alignment vertical="center" wrapText="1"/>
    </xf>
    <xf numFmtId="49" fontId="45" fillId="0" borderId="0" xfId="0" applyNumberFormat="1" applyFont="1" applyAlignment="1">
      <alignment vertical="center"/>
    </xf>
    <xf numFmtId="49" fontId="42" fillId="0" borderId="0" xfId="0" applyNumberFormat="1" applyFont="1" applyAlignment="1">
      <alignment vertical="center"/>
    </xf>
    <xf numFmtId="0" fontId="42" fillId="0" borderId="0" xfId="0" applyFont="1" applyAlignment="1"/>
    <xf numFmtId="0" fontId="44" fillId="9" borderId="0" xfId="0" applyFont="1" applyFill="1"/>
    <xf numFmtId="166" fontId="44" fillId="0" borderId="0" xfId="0" applyNumberFormat="1" applyFont="1" applyAlignment="1">
      <alignment vertical="center"/>
    </xf>
    <xf numFmtId="0" fontId="42" fillId="9" borderId="0" xfId="0" applyFont="1" applyFill="1"/>
    <xf numFmtId="166" fontId="44" fillId="0" borderId="0" xfId="0" applyNumberFormat="1" applyFont="1" applyAlignment="1">
      <alignment horizontal="right" vertical="center"/>
    </xf>
    <xf numFmtId="0" fontId="42" fillId="9" borderId="0" xfId="0" applyFont="1" applyFill="1" applyAlignment="1">
      <alignment vertical="center"/>
    </xf>
    <xf numFmtId="0" fontId="54" fillId="0" borderId="0" xfId="0" applyFont="1" applyAlignment="1">
      <alignment horizontal="center" vertical="center" wrapText="1"/>
    </xf>
    <xf numFmtId="0" fontId="54" fillId="0" borderId="0" xfId="0" applyFont="1" applyAlignment="1">
      <alignment vertical="center" wrapText="1"/>
    </xf>
    <xf numFmtId="0" fontId="55" fillId="0" borderId="0" xfId="0" applyFont="1" applyAlignment="1">
      <alignment vertical="center" wrapText="1"/>
    </xf>
    <xf numFmtId="0" fontId="42" fillId="8" borderId="0" xfId="0" applyFont="1" applyFill="1" applyAlignment="1">
      <alignment vertical="center"/>
    </xf>
    <xf numFmtId="166" fontId="42" fillId="0" borderId="0" xfId="0" applyNumberFormat="1" applyFont="1" applyAlignment="1">
      <alignment vertical="center"/>
    </xf>
    <xf numFmtId="164" fontId="42" fillId="0" borderId="0" xfId="0" applyNumberFormat="1" applyFont="1" applyAlignment="1">
      <alignment horizontal="center" vertical="center"/>
    </xf>
    <xf numFmtId="0" fontId="44" fillId="0" borderId="0" xfId="0" applyFont="1" applyAlignment="1">
      <alignment vertical="center" wrapText="1"/>
    </xf>
    <xf numFmtId="0" fontId="45" fillId="0" borderId="0" xfId="0" applyFont="1" applyAlignment="1">
      <alignment vertical="center" wrapText="1"/>
    </xf>
    <xf numFmtId="0" fontId="44" fillId="2" borderId="0" xfId="0" applyFont="1" applyFill="1" applyAlignment="1">
      <alignment vertical="center" wrapText="1"/>
    </xf>
    <xf numFmtId="0" fontId="44" fillId="2" borderId="0" xfId="0" applyFont="1" applyFill="1" applyAlignment="1">
      <alignment vertical="center"/>
    </xf>
    <xf numFmtId="0" fontId="42" fillId="11" borderId="0" xfId="0" applyFont="1" applyFill="1" applyAlignment="1">
      <alignment vertical="center"/>
    </xf>
    <xf numFmtId="0" fontId="56" fillId="0" borderId="0" xfId="0" applyFont="1" applyAlignment="1">
      <alignment vertical="center" wrapText="1"/>
    </xf>
    <xf numFmtId="0" fontId="44" fillId="12" borderId="0" xfId="0" applyFont="1" applyFill="1" applyAlignment="1">
      <alignment vertical="center"/>
    </xf>
    <xf numFmtId="0" fontId="44" fillId="13" borderId="0" xfId="0" applyFont="1" applyFill="1" applyAlignment="1">
      <alignment vertical="center" wrapText="1"/>
    </xf>
    <xf numFmtId="0" fontId="44" fillId="13" borderId="0" xfId="0" applyFont="1" applyFill="1" applyAlignment="1">
      <alignment vertical="center"/>
    </xf>
    <xf numFmtId="0" fontId="44" fillId="14" borderId="0" xfId="0" applyFont="1" applyFill="1" applyAlignment="1">
      <alignment vertical="center" wrapText="1"/>
    </xf>
    <xf numFmtId="0" fontId="44" fillId="14" borderId="0" xfId="0" applyFont="1" applyFill="1" applyAlignment="1">
      <alignment vertical="center"/>
    </xf>
    <xf numFmtId="0" fontId="44" fillId="15" borderId="0" xfId="0" applyFont="1" applyFill="1" applyAlignment="1">
      <alignment vertical="center" wrapText="1"/>
    </xf>
    <xf numFmtId="0" fontId="44" fillId="15" borderId="0" xfId="0" applyFont="1" applyFill="1" applyAlignment="1">
      <alignment vertical="center"/>
    </xf>
    <xf numFmtId="0" fontId="42" fillId="8" borderId="0" xfId="0" applyFont="1" applyFill="1"/>
    <xf numFmtId="169" fontId="42" fillId="0" borderId="0" xfId="0" applyNumberFormat="1" applyFont="1" applyAlignment="1">
      <alignment vertical="center"/>
    </xf>
    <xf numFmtId="0" fontId="42" fillId="0" borderId="0" xfId="0" applyFont="1" applyAlignment="1">
      <alignment horizontal="right" vertical="center" wrapText="1"/>
    </xf>
    <xf numFmtId="169" fontId="44" fillId="0" borderId="0" xfId="0" applyNumberFormat="1" applyFont="1" applyAlignment="1">
      <alignment vertical="center"/>
    </xf>
    <xf numFmtId="168" fontId="42" fillId="0" borderId="0" xfId="0" applyNumberFormat="1" applyFont="1" applyAlignment="1">
      <alignment vertical="center" wrapText="1"/>
    </xf>
    <xf numFmtId="0" fontId="42" fillId="0" borderId="0" xfId="0" applyFont="1"/>
    <xf numFmtId="164" fontId="44" fillId="0" borderId="0" xfId="0" applyNumberFormat="1" applyFont="1" applyAlignment="1">
      <alignment vertical="center"/>
    </xf>
    <xf numFmtId="0" fontId="44" fillId="4" borderId="0" xfId="0" applyFont="1" applyFill="1" applyAlignment="1">
      <alignment vertical="center" wrapText="1"/>
    </xf>
    <xf numFmtId="0" fontId="44" fillId="4" borderId="0" xfId="0" applyFont="1" applyFill="1" applyAlignment="1">
      <alignment vertical="center"/>
    </xf>
    <xf numFmtId="0" fontId="44" fillId="8" borderId="0" xfId="0" applyFont="1" applyFill="1" applyAlignment="1">
      <alignment vertical="center" wrapText="1"/>
    </xf>
    <xf numFmtId="0" fontId="44" fillId="8" borderId="0" xfId="0" applyFont="1" applyFill="1" applyAlignment="1">
      <alignment vertical="center"/>
    </xf>
    <xf numFmtId="0" fontId="57" fillId="0" borderId="0" xfId="0" applyFont="1" applyAlignment="1">
      <alignment vertical="center" wrapText="1"/>
    </xf>
    <xf numFmtId="0" fontId="57" fillId="0" borderId="0" xfId="0" applyFont="1" applyAlignment="1">
      <alignment vertical="center"/>
    </xf>
    <xf numFmtId="0" fontId="44" fillId="0" borderId="1" xfId="0" applyFont="1" applyBorder="1"/>
    <xf numFmtId="0" fontId="44" fillId="0" borderId="2" xfId="0" applyFont="1" applyBorder="1" applyAlignment="1">
      <alignment vertical="center"/>
    </xf>
    <xf numFmtId="0" fontId="44" fillId="16" borderId="0" xfId="0" applyFont="1" applyFill="1" applyAlignment="1">
      <alignment vertical="center"/>
    </xf>
    <xf numFmtId="166" fontId="42" fillId="0" borderId="0" xfId="0" applyNumberFormat="1" applyFont="1" applyAlignment="1">
      <alignment horizontal="right" vertical="center"/>
    </xf>
    <xf numFmtId="169" fontId="42" fillId="0" borderId="0" xfId="0" applyNumberFormat="1" applyFont="1" applyAlignment="1">
      <alignment horizontal="right" vertical="center"/>
    </xf>
    <xf numFmtId="0" fontId="50" fillId="2" borderId="0" xfId="0" applyFont="1" applyFill="1" applyAlignment="1"/>
    <xf numFmtId="0" fontId="50" fillId="2" borderId="0" xfId="0" applyFont="1" applyFill="1"/>
    <xf numFmtId="49" fontId="42" fillId="0" borderId="0" xfId="0" applyNumberFormat="1" applyFont="1" applyAlignment="1">
      <alignment vertical="center" wrapText="1"/>
    </xf>
    <xf numFmtId="166" fontId="42" fillId="17" borderId="0" xfId="0" applyNumberFormat="1" applyFont="1" applyFill="1" applyAlignment="1">
      <alignment horizontal="right" vertical="center"/>
    </xf>
    <xf numFmtId="164" fontId="42" fillId="0" borderId="0" xfId="0" applyNumberFormat="1" applyFont="1" applyAlignment="1">
      <alignment horizontal="right" vertical="center" wrapText="1"/>
    </xf>
    <xf numFmtId="164" fontId="42" fillId="0" borderId="0" xfId="0" applyNumberFormat="1" applyFont="1" applyAlignment="1">
      <alignment vertical="center" wrapText="1"/>
    </xf>
    <xf numFmtId="164" fontId="42" fillId="17" borderId="0" xfId="0" applyNumberFormat="1" applyFont="1" applyFill="1" applyAlignment="1">
      <alignment vertical="center" wrapText="1"/>
    </xf>
    <xf numFmtId="0" fontId="42" fillId="17" borderId="0" xfId="0" applyFont="1" applyFill="1" applyAlignment="1">
      <alignment vertical="center"/>
    </xf>
    <xf numFmtId="0" fontId="42" fillId="17" borderId="0" xfId="0" applyFont="1" applyFill="1" applyAlignment="1">
      <alignment vertical="center" wrapText="1"/>
    </xf>
    <xf numFmtId="0" fontId="44" fillId="4" borderId="0" xfId="0" applyFont="1" applyFill="1" applyAlignment="1">
      <alignment wrapText="1"/>
    </xf>
    <xf numFmtId="0" fontId="44" fillId="18" borderId="0" xfId="0" applyFont="1" applyFill="1" applyAlignment="1">
      <alignment vertical="center" wrapText="1"/>
    </xf>
    <xf numFmtId="0" fontId="44" fillId="16" borderId="0" xfId="0" applyFont="1" applyFill="1" applyAlignment="1">
      <alignment vertical="center" wrapText="1"/>
    </xf>
    <xf numFmtId="0" fontId="44" fillId="0" borderId="0" xfId="0" applyFont="1" applyAlignment="1">
      <alignment wrapText="1"/>
    </xf>
    <xf numFmtId="0" fontId="44" fillId="2" borderId="0" xfId="0" applyFont="1" applyFill="1" applyAlignment="1">
      <alignment wrapText="1"/>
    </xf>
    <xf numFmtId="0" fontId="44" fillId="2" borderId="0" xfId="0" applyFont="1" applyFill="1"/>
    <xf numFmtId="0" fontId="50" fillId="4" borderId="0" xfId="0" applyFont="1" applyFill="1" applyAlignment="1">
      <alignment vertical="center" wrapText="1"/>
    </xf>
    <xf numFmtId="0" fontId="44" fillId="0" borderId="0" xfId="0" applyFont="1" applyAlignment="1"/>
    <xf numFmtId="0" fontId="58" fillId="8" borderId="0" xfId="0" applyFont="1" applyFill="1" applyAlignment="1">
      <alignment vertical="center" wrapText="1"/>
    </xf>
    <xf numFmtId="0" fontId="44" fillId="12" borderId="0" xfId="0" applyFont="1" applyFill="1" applyAlignment="1">
      <alignment vertical="center" wrapText="1"/>
    </xf>
    <xf numFmtId="0" fontId="44" fillId="19" borderId="0" xfId="0" applyFont="1" applyFill="1" applyAlignment="1">
      <alignment vertical="center" wrapText="1"/>
    </xf>
    <xf numFmtId="0" fontId="44" fillId="19" borderId="0" xfId="0" applyFont="1" applyFill="1" applyAlignment="1">
      <alignment vertical="center"/>
    </xf>
    <xf numFmtId="0" fontId="58" fillId="19" borderId="0" xfId="0" applyFont="1" applyFill="1" applyAlignment="1">
      <alignment vertical="center" wrapText="1"/>
    </xf>
    <xf numFmtId="0" fontId="44" fillId="20" borderId="0" xfId="0" applyFont="1" applyFill="1" applyAlignment="1">
      <alignment vertical="center" wrapText="1"/>
    </xf>
    <xf numFmtId="0" fontId="44" fillId="20" borderId="0" xfId="0" applyFont="1" applyFill="1" applyAlignment="1">
      <alignment vertical="center"/>
    </xf>
    <xf numFmtId="0" fontId="58" fillId="0" borderId="0" xfId="0" applyFont="1" applyAlignment="1">
      <alignment vertical="center" wrapText="1"/>
    </xf>
    <xf numFmtId="0" fontId="58" fillId="4" borderId="0" xfId="0" applyFont="1" applyFill="1" applyAlignment="1">
      <alignment vertical="center" wrapText="1"/>
    </xf>
    <xf numFmtId="0" fontId="59" fillId="0" borderId="0" xfId="0" applyFont="1" applyAlignment="1">
      <alignment vertical="center" wrapText="1"/>
    </xf>
    <xf numFmtId="0" fontId="50" fillId="4" borderId="0" xfId="0" applyFont="1" applyFill="1" applyAlignment="1"/>
    <xf numFmtId="0" fontId="50" fillId="0" borderId="0" xfId="0" applyFont="1" applyAlignment="1"/>
    <xf numFmtId="0" fontId="58" fillId="0" borderId="0" xfId="0" applyFont="1" applyAlignment="1">
      <alignment vertical="center"/>
    </xf>
    <xf numFmtId="0" fontId="58" fillId="4" borderId="0" xfId="0" applyFont="1" applyFill="1" applyAlignment="1">
      <alignment wrapText="1"/>
    </xf>
    <xf numFmtId="0" fontId="44" fillId="4" borderId="0" xfId="0" applyFont="1" applyFill="1"/>
    <xf numFmtId="0" fontId="9" fillId="2" borderId="0" xfId="0" applyFont="1" applyFill="1" applyAlignment="1">
      <alignment horizontal="center" vertical="center" wrapText="1"/>
    </xf>
    <xf numFmtId="0" fontId="0" fillId="0" borderId="0" xfId="0" applyFont="1" applyAlignment="1"/>
    <xf numFmtId="0" fontId="3" fillId="2" borderId="0" xfId="0" applyFont="1" applyFill="1" applyAlignment="1">
      <alignment horizontal="center" vertical="center" wrapText="1"/>
    </xf>
    <xf numFmtId="0" fontId="11" fillId="3" borderId="0" xfId="0" applyFont="1" applyFill="1" applyAlignment="1">
      <alignment horizontal="center" vertical="center"/>
    </xf>
    <xf numFmtId="0" fontId="11" fillId="3" borderId="0" xfId="0" applyFont="1" applyFill="1" applyAlignment="1">
      <alignment horizontal="center" vertical="center" wrapText="1"/>
    </xf>
    <xf numFmtId="0" fontId="17" fillId="4" borderId="0" xfId="0" applyFont="1" applyFill="1" applyAlignment="1">
      <alignment horizontal="center" vertical="center" wrapText="1"/>
    </xf>
    <xf numFmtId="0" fontId="10" fillId="2" borderId="0" xfId="0" applyFont="1" applyFill="1" applyAlignment="1">
      <alignment horizontal="center" vertical="center" wrapText="1"/>
    </xf>
    <xf numFmtId="0" fontId="19" fillId="2" borderId="0" xfId="0" applyFont="1" applyFill="1" applyAlignment="1">
      <alignment horizontal="center" vertical="center" wrapText="1"/>
    </xf>
    <xf numFmtId="0" fontId="7"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2" borderId="0" xfId="0" applyFont="1" applyFill="1" applyAlignment="1">
      <alignment horizontal="center"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wrapText="1"/>
    </xf>
    <xf numFmtId="0" fontId="12" fillId="3" borderId="0" xfId="0" applyFont="1" applyFill="1" applyAlignment="1">
      <alignment horizontal="center" vertical="center" wrapText="1"/>
    </xf>
    <xf numFmtId="0" fontId="14" fillId="4" borderId="0" xfId="0" applyFont="1" applyFill="1" applyAlignment="1">
      <alignment horizontal="center" vertical="center" wrapText="1"/>
    </xf>
    <xf numFmtId="0" fontId="1" fillId="2" borderId="0" xfId="0" applyFont="1" applyFill="1" applyAlignment="1">
      <alignment horizontal="center" vertical="center" wrapText="1"/>
    </xf>
    <xf numFmtId="0" fontId="5" fillId="2" borderId="0" xfId="0" applyFont="1" applyFill="1" applyAlignment="1">
      <alignment horizontal="center" vertical="center" wrapText="1"/>
    </xf>
    <xf numFmtId="0" fontId="44" fillId="0" borderId="0" xfId="0" applyFont="1" applyAlignment="1">
      <alignment vertical="center" wrapText="1"/>
    </xf>
    <xf numFmtId="0" fontId="54" fillId="10" borderId="0" xfId="0" applyFont="1" applyFill="1" applyAlignment="1">
      <alignment horizontal="center" vertical="center" wrapText="1"/>
    </xf>
    <xf numFmtId="0" fontId="44" fillId="13" borderId="0" xfId="0" applyFont="1" applyFill="1" applyAlignment="1">
      <alignment vertical="center" wrapText="1"/>
    </xf>
    <xf numFmtId="0" fontId="44" fillId="4" borderId="0" xfId="0" applyFont="1" applyFill="1" applyAlignment="1">
      <alignment vertical="center" wrapText="1"/>
    </xf>
    <xf numFmtId="0" fontId="44" fillId="14" borderId="0" xfId="0" applyFont="1" applyFill="1" applyAlignment="1">
      <alignment vertical="center" wrapText="1"/>
    </xf>
    <xf numFmtId="0" fontId="44" fillId="15" borderId="0" xfId="0" applyFont="1" applyFill="1" applyAlignment="1">
      <alignment vertical="center" wrapText="1"/>
    </xf>
    <xf numFmtId="0" fontId="44" fillId="16" borderId="0" xfId="0" applyFont="1" applyFill="1" applyAlignment="1">
      <alignment vertical="center" wrapText="1"/>
    </xf>
    <xf numFmtId="0" fontId="50" fillId="2" borderId="0" xfId="0" applyFont="1" applyFill="1" applyAlignment="1">
      <alignment vertical="center"/>
    </xf>
    <xf numFmtId="0" fontId="44" fillId="8" borderId="0" xfId="0" applyFont="1" applyFill="1" applyAlignment="1">
      <alignment vertical="center" wrapText="1"/>
    </xf>
    <xf numFmtId="0" fontId="44" fillId="19" borderId="0" xfId="0" applyFont="1" applyFill="1" applyAlignment="1">
      <alignment vertical="center" wrapText="1"/>
    </xf>
    <xf numFmtId="0" fontId="44" fillId="4" borderId="0" xfId="0" applyFont="1" applyFill="1" applyAlignment="1">
      <alignment wrapText="1"/>
    </xf>
    <xf numFmtId="0" fontId="54" fillId="10" borderId="0" xfId="0" applyFont="1" applyFill="1" applyAlignment="1">
      <alignment horizontal="center" wrapText="1"/>
    </xf>
    <xf numFmtId="0" fontId="44" fillId="0" borderId="0" xfId="0" applyFont="1" applyAlignment="1">
      <alignment vertical="center"/>
    </xf>
    <xf numFmtId="0" fontId="44" fillId="0" borderId="0" xfId="0" applyFont="1" applyAlignment="1">
      <alignment wrapText="1"/>
    </xf>
    <xf numFmtId="0" fontId="44" fillId="20" borderId="0" xfId="0" applyFont="1" applyFill="1" applyAlignment="1">
      <alignment vertical="center"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ationaltrust.org.uk/visit/devon/castle-drogo" TargetMode="External"/><Relationship Id="rId2" Type="http://schemas.openxmlformats.org/officeDocument/2006/relationships/hyperlink" Target="https://www.thornesfarmshop.co.uk/" TargetMode="External"/><Relationship Id="rId1" Type="http://schemas.openxmlformats.org/officeDocument/2006/relationships/hyperlink" Target="https://rammuseum.org.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123"/>
  <sheetViews>
    <sheetView workbookViewId="0">
      <pane xSplit="5" ySplit="4" topLeftCell="F60" activePane="bottomRight" state="frozen"/>
      <selection pane="bottomRight" activeCell="B3" sqref="B3"/>
      <selection pane="bottomLeft" activeCell="A5" sqref="A5"/>
      <selection pane="topRight" activeCell="F1" sqref="F1"/>
    </sheetView>
  </sheetViews>
  <sheetFormatPr defaultColWidth="12.5703125" defaultRowHeight="15.75" customHeight="1"/>
  <cols>
    <col min="1" max="1" width="13.7109375" hidden="1" customWidth="1"/>
    <col min="2" max="2" width="14.28515625" customWidth="1"/>
    <col min="3" max="3" width="16" customWidth="1"/>
    <col min="4" max="4" width="21.5703125" customWidth="1"/>
    <col min="5" max="5" width="14.140625" hidden="1" customWidth="1"/>
    <col min="6" max="6" width="16.140625" customWidth="1"/>
    <col min="7" max="7" width="37.85546875" customWidth="1"/>
    <col min="11" max="11" width="12.5703125" hidden="1"/>
    <col min="15" max="15" width="12.5703125" hidden="1"/>
    <col min="16" max="16" width="15.140625" customWidth="1"/>
    <col min="20" max="33" width="8.140625" customWidth="1"/>
    <col min="39" max="39" width="17.42578125" customWidth="1"/>
    <col min="40" max="53" width="8.85546875" customWidth="1"/>
    <col min="54" max="54" width="16.28515625" customWidth="1"/>
    <col min="55" max="55" width="17" customWidth="1"/>
    <col min="56" max="56" width="15.42578125" customWidth="1"/>
    <col min="57" max="57" width="15.140625" customWidth="1"/>
    <col min="58" max="58" width="14.85546875" customWidth="1"/>
    <col min="59" max="65" width="6.42578125" customWidth="1"/>
    <col min="66" max="66" width="15" customWidth="1"/>
    <col min="67" max="67" width="17.5703125" customWidth="1"/>
    <col min="68" max="68" width="18.7109375" customWidth="1"/>
    <col min="69" max="69" width="16.42578125" customWidth="1"/>
    <col min="70" max="71" width="15.7109375" customWidth="1"/>
    <col min="72" max="72" width="18.5703125" customWidth="1"/>
    <col min="73" max="73" width="15.85546875" customWidth="1"/>
    <col min="75" max="75" width="6.7109375" customWidth="1"/>
    <col min="76" max="85" width="6.7109375" hidden="1" customWidth="1"/>
    <col min="86" max="86" width="11.42578125" hidden="1" customWidth="1"/>
    <col min="87" max="88" width="11.5703125" customWidth="1"/>
    <col min="89" max="89" width="13" customWidth="1"/>
  </cols>
  <sheetData>
    <row r="1" spans="1:92" ht="17.25" customHeight="1">
      <c r="A1" s="217" t="s">
        <v>0</v>
      </c>
      <c r="B1" s="216"/>
      <c r="C1" s="216"/>
      <c r="D1" s="216"/>
      <c r="E1" s="216"/>
      <c r="F1" s="223" t="s">
        <v>1</v>
      </c>
      <c r="G1" s="216"/>
      <c r="H1" s="215" t="s">
        <v>2</v>
      </c>
      <c r="I1" s="216"/>
      <c r="J1" s="216"/>
      <c r="K1" s="216"/>
      <c r="L1" s="216"/>
      <c r="M1" s="216"/>
      <c r="N1" s="216"/>
      <c r="O1" s="216"/>
      <c r="P1" s="221" t="s">
        <v>3</v>
      </c>
      <c r="Q1" s="216"/>
      <c r="R1" s="216"/>
      <c r="S1" s="216"/>
      <c r="T1" s="216"/>
      <c r="U1" s="216"/>
      <c r="V1" s="216"/>
      <c r="W1" s="216"/>
      <c r="X1" s="216"/>
      <c r="Y1" s="216"/>
      <c r="Z1" s="216"/>
      <c r="AA1" s="216"/>
      <c r="AB1" s="216"/>
      <c r="AC1" s="216"/>
      <c r="AD1" s="216"/>
      <c r="AE1" s="216"/>
      <c r="AF1" s="216"/>
      <c r="AG1" s="216"/>
      <c r="AH1" s="216"/>
      <c r="AI1" s="3"/>
      <c r="AJ1" s="215" t="s">
        <v>4</v>
      </c>
      <c r="AK1" s="216"/>
      <c r="AL1" s="216"/>
      <c r="AM1" s="216"/>
      <c r="AN1" s="216"/>
      <c r="AO1" s="216"/>
      <c r="AP1" s="216"/>
      <c r="AQ1" s="216"/>
      <c r="AR1" s="216"/>
      <c r="AS1" s="216"/>
      <c r="AT1" s="216"/>
      <c r="AU1" s="216"/>
      <c r="AV1" s="216"/>
      <c r="AW1" s="216"/>
      <c r="AX1" s="216"/>
      <c r="AY1" s="216"/>
      <c r="AZ1" s="216"/>
      <c r="BA1" s="216"/>
      <c r="BB1" s="215" t="s">
        <v>5</v>
      </c>
      <c r="BC1" s="216"/>
      <c r="BD1" s="216"/>
      <c r="BE1" s="216"/>
      <c r="BF1" s="216"/>
      <c r="BG1" s="215" t="s">
        <v>6</v>
      </c>
      <c r="BH1" s="216"/>
      <c r="BI1" s="216"/>
      <c r="BJ1" s="216"/>
      <c r="BK1" s="216"/>
      <c r="BL1" s="216"/>
      <c r="BM1" s="216"/>
      <c r="BN1" s="215" t="s">
        <v>7</v>
      </c>
      <c r="BO1" s="216"/>
      <c r="BP1" s="216"/>
      <c r="BQ1" s="217" t="s">
        <v>8</v>
      </c>
      <c r="BR1" s="216"/>
      <c r="BS1" s="216"/>
      <c r="BT1" s="216"/>
      <c r="BU1" s="216"/>
      <c r="BV1" s="216"/>
      <c r="BW1" s="218" t="s">
        <v>9</v>
      </c>
      <c r="BX1" s="216"/>
      <c r="BY1" s="216"/>
      <c r="BZ1" s="219" t="s">
        <v>10</v>
      </c>
      <c r="CA1" s="216"/>
      <c r="CB1" s="216"/>
      <c r="CC1" s="216"/>
      <c r="CD1" s="216"/>
      <c r="CE1" s="216"/>
      <c r="CF1" s="216"/>
      <c r="CG1" s="216"/>
      <c r="CH1" s="220" t="s">
        <v>11</v>
      </c>
      <c r="CI1" s="216"/>
      <c r="CJ1" s="216"/>
      <c r="CK1" s="216"/>
      <c r="CL1" s="216"/>
      <c r="CM1" s="9"/>
      <c r="CN1" s="9"/>
    </row>
    <row r="2" spans="1:92" ht="24.75" customHeight="1">
      <c r="A2" s="216"/>
      <c r="B2" s="216"/>
      <c r="C2" s="216"/>
      <c r="D2" s="216"/>
      <c r="E2" s="216"/>
      <c r="F2" s="216"/>
      <c r="G2" s="216"/>
      <c r="H2" s="216"/>
      <c r="I2" s="216"/>
      <c r="J2" s="216"/>
      <c r="K2" s="216"/>
      <c r="L2" s="216"/>
      <c r="M2" s="216"/>
      <c r="N2" s="216"/>
      <c r="O2" s="216"/>
      <c r="P2" s="221" t="s">
        <v>12</v>
      </c>
      <c r="Q2" s="216"/>
      <c r="R2" s="216"/>
      <c r="S2" s="215" t="s">
        <v>13</v>
      </c>
      <c r="T2" s="216"/>
      <c r="U2" s="216"/>
      <c r="V2" s="216"/>
      <c r="W2" s="216"/>
      <c r="X2" s="216"/>
      <c r="Y2" s="216"/>
      <c r="Z2" s="216"/>
      <c r="AA2" s="216"/>
      <c r="AB2" s="216"/>
      <c r="AC2" s="216"/>
      <c r="AD2" s="216"/>
      <c r="AE2" s="216"/>
      <c r="AF2" s="216"/>
      <c r="AG2" s="216"/>
      <c r="AH2" s="222" t="s">
        <v>14</v>
      </c>
      <c r="AI2" s="216"/>
      <c r="AJ2" s="2" t="s">
        <v>15</v>
      </c>
      <c r="AK2" s="2" t="s">
        <v>16</v>
      </c>
      <c r="AL2" s="2" t="s">
        <v>17</v>
      </c>
      <c r="AM2" s="2" t="s">
        <v>18</v>
      </c>
      <c r="AN2" s="215" t="s">
        <v>19</v>
      </c>
      <c r="AO2" s="216"/>
      <c r="AP2" s="215" t="s">
        <v>20</v>
      </c>
      <c r="AQ2" s="216"/>
      <c r="AR2" s="215" t="s">
        <v>21</v>
      </c>
      <c r="AS2" s="216"/>
      <c r="AT2" s="215" t="s">
        <v>22</v>
      </c>
      <c r="AU2" s="216"/>
      <c r="AV2" s="215" t="s">
        <v>23</v>
      </c>
      <c r="AW2" s="216"/>
      <c r="AX2" s="215" t="s">
        <v>24</v>
      </c>
      <c r="AY2" s="216"/>
      <c r="AZ2" s="215" t="s">
        <v>25</v>
      </c>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6"/>
      <c r="BY2" s="216"/>
      <c r="BZ2" s="216"/>
      <c r="CA2" s="216"/>
      <c r="CB2" s="216"/>
      <c r="CC2" s="216"/>
      <c r="CD2" s="216"/>
      <c r="CE2" s="216"/>
      <c r="CF2" s="216"/>
      <c r="CG2" s="216"/>
      <c r="CH2" s="216"/>
      <c r="CI2" s="216"/>
      <c r="CJ2" s="216"/>
      <c r="CK2" s="216"/>
      <c r="CL2" s="216"/>
      <c r="CM2" s="9"/>
      <c r="CN2" s="9"/>
    </row>
    <row r="3" spans="1:92" ht="49.5" customHeight="1">
      <c r="A3" s="21" t="s">
        <v>26</v>
      </c>
      <c r="B3" s="21" t="s">
        <v>27</v>
      </c>
      <c r="C3" s="21" t="s">
        <v>28</v>
      </c>
      <c r="D3" s="28" t="s">
        <v>29</v>
      </c>
      <c r="E3" s="24" t="s">
        <v>30</v>
      </c>
      <c r="F3" s="21" t="s">
        <v>31</v>
      </c>
      <c r="G3" s="21" t="s">
        <v>32</v>
      </c>
      <c r="H3" s="28" t="s">
        <v>33</v>
      </c>
      <c r="I3" s="28" t="s">
        <v>34</v>
      </c>
      <c r="J3" s="28" t="s">
        <v>35</v>
      </c>
      <c r="K3" s="28" t="s">
        <v>36</v>
      </c>
      <c r="L3" s="21" t="s">
        <v>37</v>
      </c>
      <c r="M3" s="21" t="s">
        <v>38</v>
      </c>
      <c r="N3" s="21" t="s">
        <v>39</v>
      </c>
      <c r="O3" s="28" t="s">
        <v>40</v>
      </c>
      <c r="P3" s="28" t="s">
        <v>41</v>
      </c>
      <c r="Q3" s="28" t="s">
        <v>42</v>
      </c>
      <c r="R3" s="28" t="s">
        <v>43</v>
      </c>
      <c r="S3" s="28" t="s">
        <v>44</v>
      </c>
      <c r="T3" s="28" t="s">
        <v>45</v>
      </c>
      <c r="U3" s="28" t="s">
        <v>46</v>
      </c>
      <c r="V3" s="28" t="s">
        <v>47</v>
      </c>
      <c r="W3" s="28" t="s">
        <v>48</v>
      </c>
      <c r="X3" s="28" t="s">
        <v>49</v>
      </c>
      <c r="Y3" s="28" t="s">
        <v>50</v>
      </c>
      <c r="Z3" s="28" t="s">
        <v>51</v>
      </c>
      <c r="AA3" s="28" t="s">
        <v>52</v>
      </c>
      <c r="AB3" s="28" t="s">
        <v>53</v>
      </c>
      <c r="AC3" s="28" t="s">
        <v>54</v>
      </c>
      <c r="AD3" s="28" t="s">
        <v>55</v>
      </c>
      <c r="AE3" s="28" t="s">
        <v>56</v>
      </c>
      <c r="AF3" s="28" t="s">
        <v>57</v>
      </c>
      <c r="AG3" s="28" t="s">
        <v>58</v>
      </c>
      <c r="AH3" s="21" t="s">
        <v>59</v>
      </c>
      <c r="AI3" s="33" t="s">
        <v>60</v>
      </c>
      <c r="AJ3" s="21" t="s">
        <v>61</v>
      </c>
      <c r="AK3" s="21" t="s">
        <v>62</v>
      </c>
      <c r="AL3" s="21" t="s">
        <v>63</v>
      </c>
      <c r="AM3" s="28" t="s">
        <v>64</v>
      </c>
      <c r="AN3" s="21" t="s">
        <v>65</v>
      </c>
      <c r="AO3" s="36" t="s">
        <v>66</v>
      </c>
      <c r="AP3" s="21" t="s">
        <v>67</v>
      </c>
      <c r="AQ3" s="36" t="s">
        <v>68</v>
      </c>
      <c r="AR3" s="21" t="s">
        <v>69</v>
      </c>
      <c r="AS3" s="36" t="s">
        <v>70</v>
      </c>
      <c r="AT3" s="21" t="s">
        <v>71</v>
      </c>
      <c r="AU3" s="36" t="s">
        <v>72</v>
      </c>
      <c r="AV3" s="21" t="s">
        <v>73</v>
      </c>
      <c r="AW3" s="36" t="s">
        <v>74</v>
      </c>
      <c r="AX3" s="21" t="s">
        <v>75</v>
      </c>
      <c r="AY3" s="36" t="s">
        <v>76</v>
      </c>
      <c r="AZ3" s="21" t="s">
        <v>77</v>
      </c>
      <c r="BA3" s="36" t="s">
        <v>78</v>
      </c>
      <c r="BB3" s="21" t="s">
        <v>79</v>
      </c>
      <c r="BC3" s="21" t="s">
        <v>80</v>
      </c>
      <c r="BD3" s="21" t="s">
        <v>81</v>
      </c>
      <c r="BE3" s="21" t="s">
        <v>82</v>
      </c>
      <c r="BF3" s="21" t="s">
        <v>83</v>
      </c>
      <c r="BG3" s="21" t="s">
        <v>84</v>
      </c>
      <c r="BH3" s="21" t="s">
        <v>85</v>
      </c>
      <c r="BI3" s="21" t="s">
        <v>86</v>
      </c>
      <c r="BJ3" s="21" t="s">
        <v>87</v>
      </c>
      <c r="BK3" s="21" t="s">
        <v>88</v>
      </c>
      <c r="BL3" s="21" t="s">
        <v>89</v>
      </c>
      <c r="BM3" s="21" t="s">
        <v>90</v>
      </c>
      <c r="BN3" s="21" t="s">
        <v>91</v>
      </c>
      <c r="BO3" s="33" t="s">
        <v>92</v>
      </c>
      <c r="BP3" s="21" t="s">
        <v>93</v>
      </c>
      <c r="BQ3" s="33" t="s">
        <v>94</v>
      </c>
      <c r="BR3" s="21" t="s">
        <v>95</v>
      </c>
      <c r="BS3" s="21" t="s">
        <v>96</v>
      </c>
      <c r="BT3" s="33" t="s">
        <v>97</v>
      </c>
      <c r="BU3" s="21" t="s">
        <v>98</v>
      </c>
      <c r="BV3" s="21" t="s">
        <v>99</v>
      </c>
      <c r="BW3" s="43" t="s">
        <v>100</v>
      </c>
      <c r="BX3" s="43" t="s">
        <v>101</v>
      </c>
      <c r="BY3" s="43" t="s">
        <v>102</v>
      </c>
      <c r="BZ3" s="43" t="s">
        <v>103</v>
      </c>
      <c r="CA3" s="43" t="s">
        <v>104</v>
      </c>
      <c r="CB3" s="43" t="s">
        <v>105</v>
      </c>
      <c r="CC3" s="43" t="s">
        <v>106</v>
      </c>
      <c r="CD3" s="43" t="s">
        <v>107</v>
      </c>
      <c r="CE3" s="43" t="s">
        <v>108</v>
      </c>
      <c r="CF3" s="43" t="s">
        <v>109</v>
      </c>
      <c r="CG3" s="43" t="s">
        <v>110</v>
      </c>
      <c r="CH3" s="44" t="s">
        <v>30</v>
      </c>
      <c r="CI3" s="44" t="s">
        <v>111</v>
      </c>
      <c r="CJ3" s="44" t="s">
        <v>112</v>
      </c>
      <c r="CK3" s="44" t="s">
        <v>113</v>
      </c>
      <c r="CL3" s="44" t="s">
        <v>114</v>
      </c>
      <c r="CM3" s="44"/>
      <c r="CN3" s="44"/>
    </row>
    <row r="4" spans="1:92" ht="33" customHeight="1">
      <c r="A4" s="48" t="s">
        <v>115</v>
      </c>
      <c r="B4" s="48" t="s">
        <v>116</v>
      </c>
      <c r="C4" s="48" t="s">
        <v>117</v>
      </c>
      <c r="D4" s="47" t="s">
        <v>118</v>
      </c>
      <c r="E4" s="48" t="s">
        <v>119</v>
      </c>
      <c r="F4" s="49" t="s">
        <v>120</v>
      </c>
      <c r="G4" s="50" t="s">
        <v>121</v>
      </c>
      <c r="H4" s="48" t="s">
        <v>122</v>
      </c>
      <c r="I4" s="48" t="s">
        <v>123</v>
      </c>
      <c r="J4" s="48" t="s">
        <v>124</v>
      </c>
      <c r="K4" s="48" t="s">
        <v>125</v>
      </c>
      <c r="L4" s="48" t="s">
        <v>126</v>
      </c>
      <c r="M4" s="52" t="s">
        <v>127</v>
      </c>
      <c r="N4" s="52" t="s">
        <v>128</v>
      </c>
      <c r="O4" s="48" t="s">
        <v>129</v>
      </c>
      <c r="P4" s="48" t="s">
        <v>130</v>
      </c>
      <c r="Q4" s="48" t="s">
        <v>131</v>
      </c>
      <c r="R4" s="48" t="s">
        <v>132</v>
      </c>
      <c r="S4" s="48" t="s">
        <v>133</v>
      </c>
      <c r="T4" s="48" t="s">
        <v>134</v>
      </c>
      <c r="U4" s="48" t="s">
        <v>135</v>
      </c>
      <c r="V4" s="48" t="s">
        <v>136</v>
      </c>
      <c r="W4" s="48" t="s">
        <v>137</v>
      </c>
      <c r="X4" s="48" t="s">
        <v>138</v>
      </c>
      <c r="Y4" s="48" t="s">
        <v>139</v>
      </c>
      <c r="Z4" s="48" t="s">
        <v>140</v>
      </c>
      <c r="AA4" s="48" t="s">
        <v>141</v>
      </c>
      <c r="AB4" s="48" t="s">
        <v>142</v>
      </c>
      <c r="AC4" s="48" t="s">
        <v>143</v>
      </c>
      <c r="AD4" s="48" t="s">
        <v>144</v>
      </c>
      <c r="AE4" s="48" t="s">
        <v>145</v>
      </c>
      <c r="AF4" s="48" t="s">
        <v>146</v>
      </c>
      <c r="AG4" s="48" t="s">
        <v>147</v>
      </c>
      <c r="AH4" s="56" t="s">
        <v>148</v>
      </c>
      <c r="AI4" s="50"/>
      <c r="AJ4" s="48" t="s">
        <v>149</v>
      </c>
      <c r="AK4" s="57" t="s">
        <v>150</v>
      </c>
      <c r="AL4" s="57" t="s">
        <v>151</v>
      </c>
      <c r="AM4" s="48" t="s">
        <v>152</v>
      </c>
      <c r="AN4" s="57" t="s">
        <v>153</v>
      </c>
      <c r="AO4" s="58" t="s">
        <v>154</v>
      </c>
      <c r="AP4" s="57" t="s">
        <v>155</v>
      </c>
      <c r="AQ4" s="58" t="s">
        <v>156</v>
      </c>
      <c r="AR4" s="57" t="s">
        <v>157</v>
      </c>
      <c r="AS4" s="58" t="s">
        <v>158</v>
      </c>
      <c r="AT4" s="57" t="s">
        <v>159</v>
      </c>
      <c r="AU4" s="58" t="s">
        <v>160</v>
      </c>
      <c r="AV4" s="57" t="s">
        <v>161</v>
      </c>
      <c r="AW4" s="58" t="s">
        <v>162</v>
      </c>
      <c r="AX4" s="57" t="s">
        <v>163</v>
      </c>
      <c r="AY4" s="58" t="s">
        <v>164</v>
      </c>
      <c r="AZ4" s="57" t="s">
        <v>165</v>
      </c>
      <c r="BA4" s="58" t="s">
        <v>166</v>
      </c>
      <c r="BB4" s="48" t="s">
        <v>167</v>
      </c>
      <c r="BC4" s="48" t="s">
        <v>168</v>
      </c>
      <c r="BD4" s="48" t="s">
        <v>169</v>
      </c>
      <c r="BE4" s="48" t="s">
        <v>170</v>
      </c>
      <c r="BF4" s="59" t="s">
        <v>171</v>
      </c>
      <c r="BG4" s="57" t="s">
        <v>172</v>
      </c>
      <c r="BH4" s="57" t="s">
        <v>173</v>
      </c>
      <c r="BI4" s="57" t="s">
        <v>174</v>
      </c>
      <c r="BJ4" s="57" t="s">
        <v>175</v>
      </c>
      <c r="BK4" s="57" t="s">
        <v>176</v>
      </c>
      <c r="BL4" s="57" t="s">
        <v>177</v>
      </c>
      <c r="BM4" s="57" t="s">
        <v>178</v>
      </c>
      <c r="BN4" s="50" t="s">
        <v>179</v>
      </c>
      <c r="BO4" s="50" t="s">
        <v>180</v>
      </c>
      <c r="BP4" s="50" t="s">
        <v>181</v>
      </c>
      <c r="BQ4" s="50" t="s">
        <v>182</v>
      </c>
      <c r="BR4" s="50" t="s">
        <v>183</v>
      </c>
      <c r="BS4" s="50" t="s">
        <v>184</v>
      </c>
      <c r="BT4" s="50" t="s">
        <v>185</v>
      </c>
      <c r="BU4" s="49" t="s">
        <v>186</v>
      </c>
      <c r="BV4" s="50" t="s">
        <v>187</v>
      </c>
      <c r="BW4" s="50" t="s">
        <v>188</v>
      </c>
      <c r="BX4" s="50" t="s">
        <v>189</v>
      </c>
      <c r="BY4" s="50" t="s">
        <v>190</v>
      </c>
      <c r="BZ4" s="57" t="s">
        <v>191</v>
      </c>
      <c r="CA4" s="57" t="s">
        <v>192</v>
      </c>
      <c r="CB4" s="57" t="s">
        <v>193</v>
      </c>
      <c r="CC4" s="57" t="s">
        <v>194</v>
      </c>
      <c r="CD4" s="57" t="s">
        <v>195</v>
      </c>
      <c r="CE4" s="57" t="s">
        <v>196</v>
      </c>
      <c r="CF4" s="57" t="s">
        <v>197</v>
      </c>
      <c r="CG4" s="57" t="s">
        <v>198</v>
      </c>
      <c r="CH4" s="50" t="s">
        <v>199</v>
      </c>
      <c r="CI4" s="50" t="s">
        <v>200</v>
      </c>
      <c r="CJ4" s="50" t="s">
        <v>201</v>
      </c>
      <c r="CK4" s="50" t="s">
        <v>202</v>
      </c>
      <c r="CL4" s="50" t="s">
        <v>203</v>
      </c>
      <c r="CM4" s="50"/>
      <c r="CN4" s="50"/>
    </row>
    <row r="5" spans="1:92" ht="21.75" customHeight="1">
      <c r="A5" s="76" t="s">
        <v>204</v>
      </c>
      <c r="B5" s="76" t="s">
        <v>205</v>
      </c>
      <c r="C5" s="81" t="s">
        <v>206</v>
      </c>
      <c r="D5" s="76" t="s">
        <v>207</v>
      </c>
      <c r="E5" s="76"/>
      <c r="F5" s="81" t="s">
        <v>208</v>
      </c>
      <c r="G5" s="81" t="s">
        <v>209</v>
      </c>
      <c r="H5" s="81" t="s">
        <v>210</v>
      </c>
      <c r="I5" s="81" t="s">
        <v>211</v>
      </c>
      <c r="J5" s="81" t="s">
        <v>212</v>
      </c>
      <c r="K5" s="76"/>
      <c r="L5" s="81" t="s">
        <v>213</v>
      </c>
      <c r="M5" s="76">
        <v>50.652310022379702</v>
      </c>
      <c r="N5" s="76">
        <v>-3.5803790120681702</v>
      </c>
      <c r="O5" s="76"/>
      <c r="P5" s="76" t="s">
        <v>214</v>
      </c>
      <c r="Q5" s="112" t="b">
        <v>1</v>
      </c>
      <c r="R5" s="63">
        <v>0.29166666666666669</v>
      </c>
      <c r="S5" s="63">
        <v>0.875</v>
      </c>
      <c r="T5" s="76" t="s">
        <v>215</v>
      </c>
      <c r="U5" s="76" t="s">
        <v>215</v>
      </c>
      <c r="V5" s="76" t="s">
        <v>215</v>
      </c>
      <c r="W5" s="76" t="s">
        <v>215</v>
      </c>
      <c r="X5" s="76" t="s">
        <v>215</v>
      </c>
      <c r="Y5" s="76" t="s">
        <v>215</v>
      </c>
      <c r="Z5" s="76" t="s">
        <v>215</v>
      </c>
      <c r="AA5" s="76" t="s">
        <v>215</v>
      </c>
      <c r="AB5" s="76" t="s">
        <v>215</v>
      </c>
      <c r="AC5" s="76" t="s">
        <v>215</v>
      </c>
      <c r="AD5" s="76" t="s">
        <v>215</v>
      </c>
      <c r="AE5" s="76" t="s">
        <v>215</v>
      </c>
      <c r="AF5" s="76" t="s">
        <v>215</v>
      </c>
      <c r="AG5" s="76" t="s">
        <v>215</v>
      </c>
      <c r="AH5" s="81" t="s">
        <v>216</v>
      </c>
      <c r="AI5" s="76"/>
      <c r="AJ5" s="112" t="b">
        <v>0</v>
      </c>
      <c r="AK5" s="112" t="b">
        <v>0</v>
      </c>
      <c r="AL5" s="76" t="s">
        <v>217</v>
      </c>
      <c r="AM5" s="76"/>
      <c r="AN5" s="76" t="s">
        <v>215</v>
      </c>
      <c r="AO5" s="67" t="s">
        <v>215</v>
      </c>
      <c r="AP5" s="76" t="s">
        <v>215</v>
      </c>
      <c r="AQ5" s="67" t="s">
        <v>215</v>
      </c>
      <c r="AR5" s="76" t="s">
        <v>215</v>
      </c>
      <c r="AS5" s="67" t="s">
        <v>215</v>
      </c>
      <c r="AT5" s="76" t="s">
        <v>215</v>
      </c>
      <c r="AU5" s="67" t="s">
        <v>215</v>
      </c>
      <c r="AV5" s="76" t="s">
        <v>215</v>
      </c>
      <c r="AW5" s="67" t="s">
        <v>215</v>
      </c>
      <c r="AX5" s="76" t="s">
        <v>215</v>
      </c>
      <c r="AY5" s="67" t="s">
        <v>215</v>
      </c>
      <c r="AZ5" s="76" t="s">
        <v>215</v>
      </c>
      <c r="BA5" s="67" t="s">
        <v>215</v>
      </c>
      <c r="BB5" s="76" t="s">
        <v>218</v>
      </c>
      <c r="BC5" s="76" t="s">
        <v>219</v>
      </c>
      <c r="BD5" s="76" t="s">
        <v>220</v>
      </c>
      <c r="BE5" s="76" t="s">
        <v>221</v>
      </c>
      <c r="BF5" s="76" t="s">
        <v>222</v>
      </c>
      <c r="BG5" s="112" t="b">
        <v>1</v>
      </c>
      <c r="BH5" s="112" t="b">
        <v>1</v>
      </c>
      <c r="BI5" s="112" t="b">
        <v>1</v>
      </c>
      <c r="BJ5" s="112" t="b">
        <v>1</v>
      </c>
      <c r="BK5" s="112" t="b">
        <v>1</v>
      </c>
      <c r="BL5" s="112" t="b">
        <v>1</v>
      </c>
      <c r="BM5" s="112" t="b">
        <v>1</v>
      </c>
      <c r="BN5" s="76" t="s">
        <v>223</v>
      </c>
      <c r="BO5" s="76" t="s">
        <v>224</v>
      </c>
      <c r="BP5" s="76" t="s">
        <v>225</v>
      </c>
      <c r="BQ5" s="81" t="s">
        <v>226</v>
      </c>
      <c r="BR5" s="76"/>
      <c r="BS5" s="76" t="s">
        <v>227</v>
      </c>
      <c r="BT5" s="81" t="s">
        <v>228</v>
      </c>
      <c r="BU5" s="81" t="s">
        <v>229</v>
      </c>
      <c r="BV5" s="81" t="s">
        <v>230</v>
      </c>
      <c r="BW5" s="76" t="s">
        <v>231</v>
      </c>
      <c r="BX5" s="76"/>
      <c r="BY5" s="76"/>
      <c r="BZ5" s="76"/>
      <c r="CA5" s="76"/>
      <c r="CB5" s="76"/>
      <c r="CC5" s="76"/>
      <c r="CD5" s="76"/>
      <c r="CE5" s="76"/>
      <c r="CF5" s="76"/>
      <c r="CG5" s="76"/>
      <c r="CH5" s="112"/>
      <c r="CI5" s="112" t="b">
        <v>1</v>
      </c>
      <c r="CJ5" s="112"/>
      <c r="CK5" s="77"/>
      <c r="CL5" s="76"/>
      <c r="CM5" s="76"/>
      <c r="CN5" s="76"/>
    </row>
    <row r="6" spans="1:92" ht="21.75" customHeight="1">
      <c r="A6" s="76" t="s">
        <v>204</v>
      </c>
      <c r="B6" s="76" t="s">
        <v>232</v>
      </c>
      <c r="C6" s="81" t="s">
        <v>233</v>
      </c>
      <c r="D6" s="81" t="s">
        <v>234</v>
      </c>
      <c r="E6" s="76"/>
      <c r="F6" s="81" t="s">
        <v>235</v>
      </c>
      <c r="G6" s="81" t="s">
        <v>236</v>
      </c>
      <c r="H6" s="81" t="s">
        <v>237</v>
      </c>
      <c r="I6" s="81" t="s">
        <v>238</v>
      </c>
      <c r="J6" s="81" t="s">
        <v>212</v>
      </c>
      <c r="K6" s="76"/>
      <c r="L6" s="81" t="s">
        <v>239</v>
      </c>
      <c r="M6" s="76">
        <v>50.679417475660799</v>
      </c>
      <c r="N6" s="76">
        <v>-3.4572147833387601</v>
      </c>
      <c r="O6" s="76"/>
      <c r="P6" s="76" t="s">
        <v>240</v>
      </c>
      <c r="Q6" s="112" t="b">
        <v>1</v>
      </c>
      <c r="R6" s="63">
        <v>0.41666666666666669</v>
      </c>
      <c r="S6" s="63">
        <v>0.625</v>
      </c>
      <c r="T6" s="76" t="s">
        <v>215</v>
      </c>
      <c r="U6" s="76" t="s">
        <v>215</v>
      </c>
      <c r="V6" s="76" t="s">
        <v>215</v>
      </c>
      <c r="W6" s="76" t="s">
        <v>215</v>
      </c>
      <c r="X6" s="76" t="s">
        <v>215</v>
      </c>
      <c r="Y6" s="76" t="s">
        <v>215</v>
      </c>
      <c r="Z6" s="76" t="s">
        <v>215</v>
      </c>
      <c r="AA6" s="76" t="s">
        <v>215</v>
      </c>
      <c r="AB6" s="76" t="s">
        <v>215</v>
      </c>
      <c r="AC6" s="76" t="s">
        <v>215</v>
      </c>
      <c r="AD6" s="76" t="s">
        <v>215</v>
      </c>
      <c r="AE6" s="76" t="s">
        <v>215</v>
      </c>
      <c r="AF6" s="76" t="s">
        <v>215</v>
      </c>
      <c r="AG6" s="76" t="s">
        <v>215</v>
      </c>
      <c r="AH6" s="81" t="s">
        <v>241</v>
      </c>
      <c r="AI6" s="76"/>
      <c r="AJ6" s="112" t="b">
        <v>0</v>
      </c>
      <c r="AK6" s="112" t="b">
        <v>0</v>
      </c>
      <c r="AL6" s="76" t="s">
        <v>217</v>
      </c>
      <c r="AM6" s="76"/>
      <c r="AN6" s="76" t="s">
        <v>215</v>
      </c>
      <c r="AO6" s="67" t="s">
        <v>215</v>
      </c>
      <c r="AP6" s="76" t="s">
        <v>215</v>
      </c>
      <c r="AQ6" s="67" t="s">
        <v>215</v>
      </c>
      <c r="AR6" s="76" t="s">
        <v>215</v>
      </c>
      <c r="AS6" s="67" t="s">
        <v>215</v>
      </c>
      <c r="AT6" s="76" t="s">
        <v>215</v>
      </c>
      <c r="AU6" s="67" t="s">
        <v>215</v>
      </c>
      <c r="AV6" s="76" t="s">
        <v>215</v>
      </c>
      <c r="AW6" s="67" t="s">
        <v>215</v>
      </c>
      <c r="AX6" s="76" t="s">
        <v>215</v>
      </c>
      <c r="AY6" s="67" t="s">
        <v>215</v>
      </c>
      <c r="AZ6" s="76" t="s">
        <v>215</v>
      </c>
      <c r="BA6" s="67" t="s">
        <v>215</v>
      </c>
      <c r="BB6" s="76" t="s">
        <v>242</v>
      </c>
      <c r="BC6" s="76" t="s">
        <v>243</v>
      </c>
      <c r="BD6" s="76"/>
      <c r="BE6" s="76"/>
      <c r="BF6" s="76"/>
      <c r="BG6" s="112" t="b">
        <v>0</v>
      </c>
      <c r="BH6" s="112" t="b">
        <v>0</v>
      </c>
      <c r="BI6" s="112" t="b">
        <v>1</v>
      </c>
      <c r="BJ6" s="112" t="b">
        <v>1</v>
      </c>
      <c r="BK6" s="112" t="b">
        <v>1</v>
      </c>
      <c r="BL6" s="112" t="b">
        <v>1</v>
      </c>
      <c r="BM6" s="112" t="b">
        <v>1</v>
      </c>
      <c r="BN6" s="76" t="s">
        <v>244</v>
      </c>
      <c r="BO6" s="76" t="s">
        <v>245</v>
      </c>
      <c r="BP6" s="76" t="s">
        <v>246</v>
      </c>
      <c r="BQ6" s="81" t="s">
        <v>247</v>
      </c>
      <c r="BR6" s="76"/>
      <c r="BS6" s="76" t="s">
        <v>248</v>
      </c>
      <c r="BT6" s="81" t="s">
        <v>249</v>
      </c>
      <c r="BU6" s="81" t="s">
        <v>250</v>
      </c>
      <c r="BV6" s="81" t="s">
        <v>251</v>
      </c>
      <c r="BW6" s="76" t="s">
        <v>252</v>
      </c>
      <c r="BX6" s="76"/>
      <c r="BY6" s="76"/>
      <c r="BZ6" s="76"/>
      <c r="CA6" s="76"/>
      <c r="CB6" s="76"/>
      <c r="CC6" s="76"/>
      <c r="CD6" s="76"/>
      <c r="CE6" s="76"/>
      <c r="CF6" s="76"/>
      <c r="CG6" s="76"/>
      <c r="CH6" s="112"/>
      <c r="CI6" s="112" t="b">
        <v>1</v>
      </c>
      <c r="CJ6" s="112"/>
      <c r="CK6" s="76"/>
      <c r="CL6" s="76"/>
      <c r="CM6" s="76"/>
      <c r="CN6" s="76"/>
    </row>
    <row r="7" spans="1:92" ht="21.75" customHeight="1">
      <c r="A7" s="76" t="s">
        <v>204</v>
      </c>
      <c r="B7" s="76" t="s">
        <v>253</v>
      </c>
      <c r="C7" s="81" t="s">
        <v>254</v>
      </c>
      <c r="D7" s="76" t="s">
        <v>255</v>
      </c>
      <c r="E7" s="76"/>
      <c r="F7" s="81" t="s">
        <v>256</v>
      </c>
      <c r="G7" s="117" t="s">
        <v>257</v>
      </c>
      <c r="H7" s="81" t="s">
        <v>258</v>
      </c>
      <c r="I7" s="76"/>
      <c r="J7" s="81" t="s">
        <v>259</v>
      </c>
      <c r="K7" s="76"/>
      <c r="L7" s="81" t="s">
        <v>260</v>
      </c>
      <c r="M7" s="76">
        <v>50.611461337039003</v>
      </c>
      <c r="N7" s="76">
        <v>-3.3995731581969602</v>
      </c>
      <c r="O7" s="76"/>
      <c r="P7" s="76" t="s">
        <v>214</v>
      </c>
      <c r="Q7" s="112" t="b">
        <v>1</v>
      </c>
      <c r="R7" s="80" t="s">
        <v>261</v>
      </c>
      <c r="S7" s="80" t="s">
        <v>261</v>
      </c>
      <c r="T7" s="76" t="s">
        <v>215</v>
      </c>
      <c r="U7" s="76" t="s">
        <v>215</v>
      </c>
      <c r="V7" s="76" t="s">
        <v>215</v>
      </c>
      <c r="W7" s="76" t="s">
        <v>215</v>
      </c>
      <c r="X7" s="76" t="s">
        <v>215</v>
      </c>
      <c r="Y7" s="76" t="s">
        <v>215</v>
      </c>
      <c r="Z7" s="76" t="s">
        <v>215</v>
      </c>
      <c r="AA7" s="76" t="s">
        <v>215</v>
      </c>
      <c r="AB7" s="76" t="s">
        <v>215</v>
      </c>
      <c r="AC7" s="76" t="s">
        <v>215</v>
      </c>
      <c r="AD7" s="76" t="s">
        <v>215</v>
      </c>
      <c r="AE7" s="76" t="s">
        <v>215</v>
      </c>
      <c r="AF7" s="76" t="s">
        <v>215</v>
      </c>
      <c r="AG7" s="76" t="s">
        <v>215</v>
      </c>
      <c r="AH7" s="81" t="s">
        <v>215</v>
      </c>
      <c r="AI7" s="76" t="s">
        <v>262</v>
      </c>
      <c r="AJ7" s="112" t="b">
        <v>0</v>
      </c>
      <c r="AK7" s="112" t="b">
        <v>0</v>
      </c>
      <c r="AL7" s="76" t="s">
        <v>217</v>
      </c>
      <c r="AM7" s="76"/>
      <c r="AN7" s="76" t="s">
        <v>215</v>
      </c>
      <c r="AO7" s="67" t="s">
        <v>215</v>
      </c>
      <c r="AP7" s="76" t="s">
        <v>215</v>
      </c>
      <c r="AQ7" s="67" t="s">
        <v>215</v>
      </c>
      <c r="AR7" s="76" t="s">
        <v>215</v>
      </c>
      <c r="AS7" s="67" t="s">
        <v>215</v>
      </c>
      <c r="AT7" s="76" t="s">
        <v>215</v>
      </c>
      <c r="AU7" s="67" t="s">
        <v>215</v>
      </c>
      <c r="AV7" s="76" t="s">
        <v>215</v>
      </c>
      <c r="AW7" s="67" t="s">
        <v>215</v>
      </c>
      <c r="AX7" s="76" t="s">
        <v>215</v>
      </c>
      <c r="AY7" s="67" t="s">
        <v>215</v>
      </c>
      <c r="AZ7" s="76" t="s">
        <v>215</v>
      </c>
      <c r="BA7" s="67" t="s">
        <v>215</v>
      </c>
      <c r="BB7" s="76" t="s">
        <v>263</v>
      </c>
      <c r="BC7" s="76" t="s">
        <v>264</v>
      </c>
      <c r="BD7" s="76" t="s">
        <v>265</v>
      </c>
      <c r="BE7" s="76" t="s">
        <v>266</v>
      </c>
      <c r="BF7" s="76" t="s">
        <v>222</v>
      </c>
      <c r="BG7" s="112" t="b">
        <v>1</v>
      </c>
      <c r="BH7" s="112" t="b">
        <v>1</v>
      </c>
      <c r="BI7" s="112" t="b">
        <v>1</v>
      </c>
      <c r="BJ7" s="112" t="b">
        <v>1</v>
      </c>
      <c r="BK7" s="112" t="b">
        <v>1</v>
      </c>
      <c r="BL7" s="112" t="b">
        <v>1</v>
      </c>
      <c r="BM7" s="112" t="b">
        <v>1</v>
      </c>
      <c r="BN7" s="76" t="s">
        <v>223</v>
      </c>
      <c r="BO7" s="76" t="s">
        <v>267</v>
      </c>
      <c r="BP7" s="76" t="s">
        <v>268</v>
      </c>
      <c r="BQ7" s="81" t="s">
        <v>269</v>
      </c>
      <c r="BR7" s="76" t="s">
        <v>270</v>
      </c>
      <c r="BS7" s="76"/>
      <c r="BT7" s="81" t="s">
        <v>271</v>
      </c>
      <c r="BU7" s="81"/>
      <c r="BV7" s="81" t="s">
        <v>272</v>
      </c>
      <c r="BW7" s="76" t="s">
        <v>273</v>
      </c>
      <c r="BX7" s="76"/>
      <c r="BY7" s="76"/>
      <c r="BZ7" s="76"/>
      <c r="CA7" s="76"/>
      <c r="CB7" s="76"/>
      <c r="CC7" s="76"/>
      <c r="CD7" s="76"/>
      <c r="CE7" s="76"/>
      <c r="CF7" s="76"/>
      <c r="CG7" s="76"/>
      <c r="CH7" s="112"/>
      <c r="CI7" s="112" t="b">
        <v>1</v>
      </c>
      <c r="CJ7" s="112"/>
      <c r="CK7" s="95"/>
      <c r="CL7" s="76"/>
      <c r="CM7" s="76"/>
      <c r="CN7" s="76"/>
    </row>
    <row r="8" spans="1:92" ht="21.75" customHeight="1">
      <c r="A8" s="76" t="s">
        <v>204</v>
      </c>
      <c r="B8" s="76" t="s">
        <v>253</v>
      </c>
      <c r="C8" s="81" t="s">
        <v>274</v>
      </c>
      <c r="D8" s="76" t="s">
        <v>275</v>
      </c>
      <c r="E8" s="76"/>
      <c r="F8" s="81" t="s">
        <v>276</v>
      </c>
      <c r="G8" s="81" t="s">
        <v>277</v>
      </c>
      <c r="H8" s="81" t="s">
        <v>278</v>
      </c>
      <c r="I8" s="81" t="s">
        <v>279</v>
      </c>
      <c r="J8" s="81" t="s">
        <v>280</v>
      </c>
      <c r="K8" s="81"/>
      <c r="L8" s="81" t="s">
        <v>281</v>
      </c>
      <c r="M8" s="76">
        <v>50.676715644592399</v>
      </c>
      <c r="N8" s="76">
        <v>-3.2463814870290402</v>
      </c>
      <c r="O8" s="76"/>
      <c r="P8" s="76" t="s">
        <v>214</v>
      </c>
      <c r="Q8" s="112" t="b">
        <v>1</v>
      </c>
      <c r="R8" s="80" t="s">
        <v>261</v>
      </c>
      <c r="S8" s="80" t="s">
        <v>261</v>
      </c>
      <c r="T8" s="76" t="s">
        <v>215</v>
      </c>
      <c r="U8" s="76" t="s">
        <v>215</v>
      </c>
      <c r="V8" s="76" t="s">
        <v>215</v>
      </c>
      <c r="W8" s="76" t="s">
        <v>215</v>
      </c>
      <c r="X8" s="76" t="s">
        <v>215</v>
      </c>
      <c r="Y8" s="76" t="s">
        <v>215</v>
      </c>
      <c r="Z8" s="76" t="s">
        <v>215</v>
      </c>
      <c r="AA8" s="76" t="s">
        <v>215</v>
      </c>
      <c r="AB8" s="76" t="s">
        <v>215</v>
      </c>
      <c r="AC8" s="76" t="s">
        <v>215</v>
      </c>
      <c r="AD8" s="76" t="s">
        <v>215</v>
      </c>
      <c r="AE8" s="76" t="s">
        <v>215</v>
      </c>
      <c r="AF8" s="76" t="s">
        <v>215</v>
      </c>
      <c r="AG8" s="76" t="s">
        <v>215</v>
      </c>
      <c r="AH8" s="81" t="s">
        <v>215</v>
      </c>
      <c r="AI8" s="76" t="s">
        <v>262</v>
      </c>
      <c r="AJ8" s="112" t="b">
        <v>0</v>
      </c>
      <c r="AK8" s="112" t="b">
        <v>0</v>
      </c>
      <c r="AL8" s="76" t="s">
        <v>217</v>
      </c>
      <c r="AM8" s="76"/>
      <c r="AN8" s="76" t="s">
        <v>215</v>
      </c>
      <c r="AO8" s="67" t="s">
        <v>215</v>
      </c>
      <c r="AP8" s="76" t="s">
        <v>215</v>
      </c>
      <c r="AQ8" s="67" t="s">
        <v>215</v>
      </c>
      <c r="AR8" s="76" t="s">
        <v>215</v>
      </c>
      <c r="AS8" s="67" t="s">
        <v>215</v>
      </c>
      <c r="AT8" s="76" t="s">
        <v>215</v>
      </c>
      <c r="AU8" s="67" t="s">
        <v>215</v>
      </c>
      <c r="AV8" s="76" t="s">
        <v>215</v>
      </c>
      <c r="AW8" s="67" t="s">
        <v>215</v>
      </c>
      <c r="AX8" s="76" t="s">
        <v>215</v>
      </c>
      <c r="AY8" s="67" t="s">
        <v>215</v>
      </c>
      <c r="AZ8" s="76" t="s">
        <v>215</v>
      </c>
      <c r="BA8" s="67" t="s">
        <v>215</v>
      </c>
      <c r="BB8" s="76" t="s">
        <v>282</v>
      </c>
      <c r="BC8" s="76" t="s">
        <v>264</v>
      </c>
      <c r="BD8" s="76"/>
      <c r="BE8" s="76" t="s">
        <v>283</v>
      </c>
      <c r="BF8" s="76" t="s">
        <v>284</v>
      </c>
      <c r="BG8" s="112" t="b">
        <v>1</v>
      </c>
      <c r="BH8" s="112" t="b">
        <v>1</v>
      </c>
      <c r="BI8" s="112" t="b">
        <v>1</v>
      </c>
      <c r="BJ8" s="112" t="b">
        <v>1</v>
      </c>
      <c r="BK8" s="112" t="b">
        <v>1</v>
      </c>
      <c r="BL8" s="112" t="b">
        <v>1</v>
      </c>
      <c r="BM8" s="112" t="b">
        <v>1</v>
      </c>
      <c r="BN8" s="76" t="s">
        <v>223</v>
      </c>
      <c r="BO8" s="76" t="s">
        <v>285</v>
      </c>
      <c r="BP8" s="76" t="s">
        <v>286</v>
      </c>
      <c r="BQ8" s="81" t="s">
        <v>287</v>
      </c>
      <c r="BR8" s="76" t="s">
        <v>270</v>
      </c>
      <c r="BS8" s="76"/>
      <c r="BT8" s="81" t="s">
        <v>288</v>
      </c>
      <c r="BU8" s="81" t="s">
        <v>289</v>
      </c>
      <c r="BV8" s="81" t="s">
        <v>290</v>
      </c>
      <c r="BW8" s="76" t="s">
        <v>252</v>
      </c>
      <c r="BX8" s="76"/>
      <c r="BY8" s="76"/>
      <c r="BZ8" s="76"/>
      <c r="CA8" s="76"/>
      <c r="CB8" s="76"/>
      <c r="CC8" s="76"/>
      <c r="CD8" s="76"/>
      <c r="CE8" s="76"/>
      <c r="CF8" s="76"/>
      <c r="CG8" s="76"/>
      <c r="CH8" s="112"/>
      <c r="CI8" s="112" t="b">
        <v>1</v>
      </c>
      <c r="CJ8" s="112"/>
      <c r="CK8" s="76"/>
      <c r="CL8" s="76"/>
      <c r="CM8" s="76"/>
      <c r="CN8" s="76"/>
    </row>
    <row r="9" spans="1:92" ht="21.75" customHeight="1">
      <c r="A9" s="76" t="s">
        <v>204</v>
      </c>
      <c r="B9" s="76" t="s">
        <v>253</v>
      </c>
      <c r="C9" s="81" t="s">
        <v>291</v>
      </c>
      <c r="D9" s="76" t="s">
        <v>292</v>
      </c>
      <c r="E9" s="76"/>
      <c r="F9" s="81" t="s">
        <v>105</v>
      </c>
      <c r="G9" s="81" t="s">
        <v>293</v>
      </c>
      <c r="H9" s="76" t="s">
        <v>294</v>
      </c>
      <c r="I9" s="76" t="s">
        <v>295</v>
      </c>
      <c r="J9" s="76" t="s">
        <v>259</v>
      </c>
      <c r="K9" s="76"/>
      <c r="L9" s="76" t="s">
        <v>296</v>
      </c>
      <c r="M9" s="76">
        <v>50.648034437135301</v>
      </c>
      <c r="N9" s="76">
        <v>-3.4304694177104298</v>
      </c>
      <c r="O9" s="76"/>
      <c r="P9" s="76" t="s">
        <v>214</v>
      </c>
      <c r="Q9" s="112" t="b">
        <v>1</v>
      </c>
      <c r="R9" s="80" t="s">
        <v>261</v>
      </c>
      <c r="S9" s="80" t="s">
        <v>261</v>
      </c>
      <c r="T9" s="76" t="s">
        <v>215</v>
      </c>
      <c r="U9" s="76" t="s">
        <v>215</v>
      </c>
      <c r="V9" s="76" t="s">
        <v>215</v>
      </c>
      <c r="W9" s="76" t="s">
        <v>215</v>
      </c>
      <c r="X9" s="76" t="s">
        <v>215</v>
      </c>
      <c r="Y9" s="76" t="s">
        <v>215</v>
      </c>
      <c r="Z9" s="76" t="s">
        <v>215</v>
      </c>
      <c r="AA9" s="76" t="s">
        <v>215</v>
      </c>
      <c r="AB9" s="76" t="s">
        <v>215</v>
      </c>
      <c r="AC9" s="76" t="s">
        <v>215</v>
      </c>
      <c r="AD9" s="76" t="s">
        <v>215</v>
      </c>
      <c r="AE9" s="76" t="s">
        <v>215</v>
      </c>
      <c r="AF9" s="76" t="s">
        <v>215</v>
      </c>
      <c r="AG9" s="76" t="s">
        <v>215</v>
      </c>
      <c r="AH9" s="81" t="s">
        <v>215</v>
      </c>
      <c r="AI9" s="76" t="s">
        <v>262</v>
      </c>
      <c r="AJ9" s="112" t="b">
        <v>0</v>
      </c>
      <c r="AK9" s="112" t="b">
        <v>0</v>
      </c>
      <c r="AL9" s="76" t="s">
        <v>217</v>
      </c>
      <c r="AM9" s="76"/>
      <c r="AN9" s="76" t="s">
        <v>215</v>
      </c>
      <c r="AO9" s="67" t="s">
        <v>215</v>
      </c>
      <c r="AP9" s="76" t="s">
        <v>215</v>
      </c>
      <c r="AQ9" s="67" t="s">
        <v>215</v>
      </c>
      <c r="AR9" s="76" t="s">
        <v>215</v>
      </c>
      <c r="AS9" s="67" t="s">
        <v>215</v>
      </c>
      <c r="AT9" s="76" t="s">
        <v>215</v>
      </c>
      <c r="AU9" s="67" t="s">
        <v>215</v>
      </c>
      <c r="AV9" s="76" t="s">
        <v>215</v>
      </c>
      <c r="AW9" s="67" t="s">
        <v>215</v>
      </c>
      <c r="AX9" s="76" t="s">
        <v>215</v>
      </c>
      <c r="AY9" s="67" t="s">
        <v>215</v>
      </c>
      <c r="AZ9" s="76" t="s">
        <v>215</v>
      </c>
      <c r="BA9" s="67" t="s">
        <v>215</v>
      </c>
      <c r="BB9" s="76" t="s">
        <v>297</v>
      </c>
      <c r="BC9" s="76" t="s">
        <v>298</v>
      </c>
      <c r="BD9" s="76" t="s">
        <v>265</v>
      </c>
      <c r="BE9" s="76" t="s">
        <v>299</v>
      </c>
      <c r="BF9" s="76"/>
      <c r="BG9" s="112" t="b">
        <v>1</v>
      </c>
      <c r="BH9" s="112" t="b">
        <v>1</v>
      </c>
      <c r="BI9" s="112" t="b">
        <v>1</v>
      </c>
      <c r="BJ9" s="112" t="b">
        <v>1</v>
      </c>
      <c r="BK9" s="112" t="b">
        <v>1</v>
      </c>
      <c r="BL9" s="112" t="b">
        <v>1</v>
      </c>
      <c r="BM9" s="112" t="b">
        <v>1</v>
      </c>
      <c r="BN9" s="76" t="s">
        <v>223</v>
      </c>
      <c r="BO9" s="76" t="s">
        <v>285</v>
      </c>
      <c r="BP9" s="76" t="s">
        <v>246</v>
      </c>
      <c r="BQ9" s="81" t="s">
        <v>300</v>
      </c>
      <c r="BR9" s="76" t="s">
        <v>270</v>
      </c>
      <c r="BS9" s="76"/>
      <c r="BT9" s="81" t="s">
        <v>301</v>
      </c>
      <c r="BU9" s="81" t="s">
        <v>302</v>
      </c>
      <c r="BV9" s="81" t="s">
        <v>303</v>
      </c>
      <c r="BW9" s="76" t="s">
        <v>252</v>
      </c>
      <c r="BX9" s="76"/>
      <c r="BY9" s="76"/>
      <c r="BZ9" s="76"/>
      <c r="CA9" s="76"/>
      <c r="CB9" s="76"/>
      <c r="CC9" s="76"/>
      <c r="CD9" s="76"/>
      <c r="CE9" s="76"/>
      <c r="CF9" s="76"/>
      <c r="CG9" s="76"/>
      <c r="CH9" s="112"/>
      <c r="CI9" s="112" t="b">
        <v>1</v>
      </c>
      <c r="CJ9" s="112"/>
      <c r="CK9" s="76"/>
      <c r="CL9" s="76"/>
      <c r="CM9" s="76"/>
      <c r="CN9" s="76"/>
    </row>
    <row r="10" spans="1:92" ht="21.75" customHeight="1">
      <c r="A10" s="76" t="s">
        <v>204</v>
      </c>
      <c r="B10" s="76" t="s">
        <v>304</v>
      </c>
      <c r="C10" s="81" t="s">
        <v>305</v>
      </c>
      <c r="D10" s="81" t="s">
        <v>306</v>
      </c>
      <c r="E10" s="76"/>
      <c r="F10" s="81" t="s">
        <v>307</v>
      </c>
      <c r="G10" s="81" t="s">
        <v>308</v>
      </c>
      <c r="H10" s="81" t="s">
        <v>306</v>
      </c>
      <c r="I10" s="76"/>
      <c r="J10" s="81" t="s">
        <v>309</v>
      </c>
      <c r="K10" s="76"/>
      <c r="L10" s="81" t="s">
        <v>310</v>
      </c>
      <c r="M10" s="76">
        <v>50.405901745058202</v>
      </c>
      <c r="N10" s="76">
        <v>-3.9129553870412499</v>
      </c>
      <c r="O10" s="76"/>
      <c r="P10" s="76" t="s">
        <v>311</v>
      </c>
      <c r="Q10" s="112" t="b">
        <v>1</v>
      </c>
      <c r="R10" s="63">
        <v>0.45833333333333331</v>
      </c>
      <c r="S10" s="63">
        <v>0.70833333333333337</v>
      </c>
      <c r="T10" s="76" t="s">
        <v>215</v>
      </c>
      <c r="U10" s="76" t="s">
        <v>215</v>
      </c>
      <c r="V10" s="76" t="s">
        <v>215</v>
      </c>
      <c r="W10" s="76" t="s">
        <v>215</v>
      </c>
      <c r="X10" s="76" t="s">
        <v>215</v>
      </c>
      <c r="Y10" s="76" t="s">
        <v>215</v>
      </c>
      <c r="Z10" s="76" t="s">
        <v>215</v>
      </c>
      <c r="AA10" s="76" t="s">
        <v>215</v>
      </c>
      <c r="AB10" s="76" t="s">
        <v>215</v>
      </c>
      <c r="AC10" s="76" t="s">
        <v>215</v>
      </c>
      <c r="AD10" s="76" t="s">
        <v>215</v>
      </c>
      <c r="AE10" s="76" t="s">
        <v>215</v>
      </c>
      <c r="AF10" s="76" t="s">
        <v>215</v>
      </c>
      <c r="AG10" s="76" t="s">
        <v>215</v>
      </c>
      <c r="AH10" s="81" t="s">
        <v>312</v>
      </c>
      <c r="AI10" s="76" t="s">
        <v>262</v>
      </c>
      <c r="AJ10" s="112" t="b">
        <v>1</v>
      </c>
      <c r="AK10" s="112" t="b">
        <v>0</v>
      </c>
      <c r="AL10" s="76" t="s">
        <v>313</v>
      </c>
      <c r="AM10" s="76" t="s">
        <v>314</v>
      </c>
      <c r="AN10" s="76" t="s">
        <v>215</v>
      </c>
      <c r="AO10" s="67" t="s">
        <v>215</v>
      </c>
      <c r="AP10" s="76" t="s">
        <v>315</v>
      </c>
      <c r="AQ10" s="91">
        <v>0</v>
      </c>
      <c r="AR10" s="76" t="s">
        <v>215</v>
      </c>
      <c r="AS10" s="67" t="s">
        <v>215</v>
      </c>
      <c r="AT10" s="76" t="s">
        <v>215</v>
      </c>
      <c r="AU10" s="67" t="s">
        <v>215</v>
      </c>
      <c r="AV10" s="76" t="s">
        <v>316</v>
      </c>
      <c r="AW10" s="91">
        <v>9</v>
      </c>
      <c r="AX10" s="81" t="s">
        <v>317</v>
      </c>
      <c r="AY10" s="91">
        <v>8.5</v>
      </c>
      <c r="AZ10" s="76" t="s">
        <v>318</v>
      </c>
      <c r="BA10" s="91">
        <v>8.5</v>
      </c>
      <c r="BB10" s="76" t="s">
        <v>319</v>
      </c>
      <c r="BC10" s="76" t="s">
        <v>320</v>
      </c>
      <c r="BD10" s="76"/>
      <c r="BE10" s="76" t="s">
        <v>321</v>
      </c>
      <c r="BF10" s="76" t="s">
        <v>284</v>
      </c>
      <c r="BG10" s="112" t="b">
        <v>1</v>
      </c>
      <c r="BH10" s="112" t="b">
        <v>1</v>
      </c>
      <c r="BI10" s="112" t="b">
        <v>1</v>
      </c>
      <c r="BJ10" s="112" t="b">
        <v>1</v>
      </c>
      <c r="BK10" s="112" t="b">
        <v>1</v>
      </c>
      <c r="BL10" s="112" t="b">
        <v>1</v>
      </c>
      <c r="BM10" s="112" t="b">
        <v>1</v>
      </c>
      <c r="BN10" s="76" t="s">
        <v>223</v>
      </c>
      <c r="BO10" s="76" t="s">
        <v>285</v>
      </c>
      <c r="BP10" s="76" t="s">
        <v>322</v>
      </c>
      <c r="BQ10" s="81" t="s">
        <v>323</v>
      </c>
      <c r="BR10" s="76" t="s">
        <v>324</v>
      </c>
      <c r="BS10" s="76" t="s">
        <v>325</v>
      </c>
      <c r="BT10" s="81" t="s">
        <v>326</v>
      </c>
      <c r="BU10" s="81"/>
      <c r="BV10" s="81" t="s">
        <v>327</v>
      </c>
      <c r="BW10" s="76" t="s">
        <v>252</v>
      </c>
      <c r="BX10" s="76"/>
      <c r="BY10" s="76"/>
      <c r="BZ10" s="76"/>
      <c r="CA10" s="76"/>
      <c r="CB10" s="76"/>
      <c r="CC10" s="76"/>
      <c r="CD10" s="76"/>
      <c r="CE10" s="76"/>
      <c r="CF10" s="76"/>
      <c r="CG10" s="76"/>
      <c r="CH10" s="112"/>
      <c r="CI10" s="112" t="b">
        <v>1</v>
      </c>
      <c r="CJ10" s="112"/>
      <c r="CK10" s="77"/>
      <c r="CL10" s="76"/>
      <c r="CM10" s="76"/>
      <c r="CN10" s="76"/>
    </row>
    <row r="11" spans="1:92" ht="21.75" customHeight="1">
      <c r="A11" s="76" t="s">
        <v>204</v>
      </c>
      <c r="B11" s="76" t="s">
        <v>304</v>
      </c>
      <c r="C11" s="81" t="s">
        <v>328</v>
      </c>
      <c r="D11" s="81" t="s">
        <v>329</v>
      </c>
      <c r="E11" s="76"/>
      <c r="F11" s="81" t="s">
        <v>208</v>
      </c>
      <c r="G11" s="81" t="s">
        <v>330</v>
      </c>
      <c r="H11" s="81" t="s">
        <v>331</v>
      </c>
      <c r="I11" s="76"/>
      <c r="J11" s="81" t="s">
        <v>332</v>
      </c>
      <c r="K11" s="76"/>
      <c r="L11" s="81" t="s">
        <v>333</v>
      </c>
      <c r="M11" s="76">
        <v>50.452311072641201</v>
      </c>
      <c r="N11" s="76">
        <v>-3.6935000630530999</v>
      </c>
      <c r="O11" s="76"/>
      <c r="P11" s="76" t="s">
        <v>334</v>
      </c>
      <c r="Q11" s="112" t="b">
        <v>1</v>
      </c>
      <c r="R11" s="63">
        <v>0.375</v>
      </c>
      <c r="S11" s="63">
        <v>0.70833333333333337</v>
      </c>
      <c r="T11" s="76" t="s">
        <v>215</v>
      </c>
      <c r="U11" s="76" t="s">
        <v>215</v>
      </c>
      <c r="V11" s="76" t="s">
        <v>215</v>
      </c>
      <c r="W11" s="76" t="s">
        <v>215</v>
      </c>
      <c r="X11" s="76" t="s">
        <v>215</v>
      </c>
      <c r="Y11" s="76" t="s">
        <v>215</v>
      </c>
      <c r="Z11" s="76" t="s">
        <v>215</v>
      </c>
      <c r="AA11" s="76" t="s">
        <v>215</v>
      </c>
      <c r="AB11" s="76" t="s">
        <v>215</v>
      </c>
      <c r="AC11" s="76" t="s">
        <v>215</v>
      </c>
      <c r="AD11" s="76" t="s">
        <v>215</v>
      </c>
      <c r="AE11" s="76" t="s">
        <v>215</v>
      </c>
      <c r="AF11" s="76" t="s">
        <v>215</v>
      </c>
      <c r="AG11" s="76" t="s">
        <v>215</v>
      </c>
      <c r="AH11" s="76"/>
      <c r="AI11" s="76"/>
      <c r="AJ11" s="112" t="b">
        <v>1</v>
      </c>
      <c r="AK11" s="112" t="b">
        <v>1</v>
      </c>
      <c r="AL11" s="76" t="s">
        <v>335</v>
      </c>
      <c r="AM11" s="76" t="s">
        <v>336</v>
      </c>
      <c r="AN11" s="76" t="s">
        <v>215</v>
      </c>
      <c r="AO11" s="91">
        <v>0</v>
      </c>
      <c r="AP11" s="76" t="s">
        <v>215</v>
      </c>
      <c r="AQ11" s="91">
        <v>0</v>
      </c>
      <c r="AR11" s="76" t="s">
        <v>337</v>
      </c>
      <c r="AS11" s="91">
        <v>0</v>
      </c>
      <c r="AT11" s="76" t="s">
        <v>338</v>
      </c>
      <c r="AU11" s="91">
        <v>2</v>
      </c>
      <c r="AV11" s="76" t="s">
        <v>339</v>
      </c>
      <c r="AW11" s="91">
        <v>7</v>
      </c>
      <c r="AX11" s="76" t="s">
        <v>215</v>
      </c>
      <c r="AY11" s="91">
        <v>0</v>
      </c>
      <c r="AZ11" s="81" t="s">
        <v>340</v>
      </c>
      <c r="BA11" s="91">
        <v>10</v>
      </c>
      <c r="BB11" s="76" t="s">
        <v>218</v>
      </c>
      <c r="BC11" s="76" t="s">
        <v>341</v>
      </c>
      <c r="BD11" s="76" t="s">
        <v>342</v>
      </c>
      <c r="BE11" s="76" t="s">
        <v>299</v>
      </c>
      <c r="BF11" s="76"/>
      <c r="BG11" s="112" t="b">
        <v>1</v>
      </c>
      <c r="BH11" s="112" t="b">
        <v>1</v>
      </c>
      <c r="BI11" s="112" t="b">
        <v>1</v>
      </c>
      <c r="BJ11" s="112" t="b">
        <v>1</v>
      </c>
      <c r="BK11" s="112" t="b">
        <v>1</v>
      </c>
      <c r="BL11" s="112" t="b">
        <v>1</v>
      </c>
      <c r="BM11" s="112" t="b">
        <v>1</v>
      </c>
      <c r="BN11" s="76" t="s">
        <v>223</v>
      </c>
      <c r="BO11" s="76" t="s">
        <v>285</v>
      </c>
      <c r="BP11" s="76" t="s">
        <v>322</v>
      </c>
      <c r="BQ11" s="81" t="s">
        <v>343</v>
      </c>
      <c r="BR11" s="76" t="s">
        <v>344</v>
      </c>
      <c r="BS11" s="76" t="s">
        <v>345</v>
      </c>
      <c r="BT11" s="81" t="s">
        <v>346</v>
      </c>
      <c r="BU11" s="81" t="s">
        <v>347</v>
      </c>
      <c r="BV11" s="81" t="s">
        <v>348</v>
      </c>
      <c r="BW11" s="76" t="s">
        <v>252</v>
      </c>
      <c r="BX11" s="76"/>
      <c r="BY11" s="76"/>
      <c r="BZ11" s="76"/>
      <c r="CA11" s="76"/>
      <c r="CB11" s="76"/>
      <c r="CC11" s="76"/>
      <c r="CD11" s="76"/>
      <c r="CE11" s="76"/>
      <c r="CF11" s="76"/>
      <c r="CG11" s="76"/>
      <c r="CH11" s="112"/>
      <c r="CI11" s="112" t="b">
        <v>1</v>
      </c>
      <c r="CJ11" s="112"/>
      <c r="CK11" s="77"/>
      <c r="CL11" s="76"/>
      <c r="CM11" s="76"/>
      <c r="CN11" s="76"/>
    </row>
    <row r="12" spans="1:92" ht="21.75" customHeight="1">
      <c r="A12" s="76" t="s">
        <v>204</v>
      </c>
      <c r="B12" s="76" t="s">
        <v>349</v>
      </c>
      <c r="C12" s="81" t="s">
        <v>350</v>
      </c>
      <c r="D12" s="76" t="s">
        <v>351</v>
      </c>
      <c r="E12" s="76"/>
      <c r="F12" s="81" t="s">
        <v>352</v>
      </c>
      <c r="G12" s="81" t="s">
        <v>353</v>
      </c>
      <c r="H12" s="81" t="s">
        <v>354</v>
      </c>
      <c r="I12" s="81" t="s">
        <v>355</v>
      </c>
      <c r="J12" s="81" t="s">
        <v>356</v>
      </c>
      <c r="K12" s="76"/>
      <c r="L12" s="81" t="s">
        <v>357</v>
      </c>
      <c r="M12" s="76">
        <v>50.604388613821797</v>
      </c>
      <c r="N12" s="76">
        <v>-3.59397210496908</v>
      </c>
      <c r="O12" s="76"/>
      <c r="P12" s="76" t="s">
        <v>214</v>
      </c>
      <c r="Q12" s="112" t="b">
        <v>1</v>
      </c>
      <c r="R12" s="80" t="s">
        <v>261</v>
      </c>
      <c r="S12" s="80" t="s">
        <v>261</v>
      </c>
      <c r="T12" s="76" t="s">
        <v>215</v>
      </c>
      <c r="U12" s="76" t="s">
        <v>215</v>
      </c>
      <c r="V12" s="76" t="s">
        <v>215</v>
      </c>
      <c r="W12" s="76" t="s">
        <v>215</v>
      </c>
      <c r="X12" s="76" t="s">
        <v>215</v>
      </c>
      <c r="Y12" s="76" t="s">
        <v>215</v>
      </c>
      <c r="Z12" s="76" t="s">
        <v>215</v>
      </c>
      <c r="AA12" s="76" t="s">
        <v>215</v>
      </c>
      <c r="AB12" s="76" t="s">
        <v>215</v>
      </c>
      <c r="AC12" s="76" t="s">
        <v>215</v>
      </c>
      <c r="AD12" s="76" t="s">
        <v>215</v>
      </c>
      <c r="AE12" s="76" t="s">
        <v>215</v>
      </c>
      <c r="AF12" s="76" t="s">
        <v>215</v>
      </c>
      <c r="AG12" s="76" t="s">
        <v>215</v>
      </c>
      <c r="AH12" s="81" t="s">
        <v>215</v>
      </c>
      <c r="AI12" s="76" t="s">
        <v>262</v>
      </c>
      <c r="AJ12" s="112" t="b">
        <v>0</v>
      </c>
      <c r="AK12" s="112" t="b">
        <v>0</v>
      </c>
      <c r="AL12" s="76" t="s">
        <v>217</v>
      </c>
      <c r="AM12" s="76"/>
      <c r="AN12" s="76" t="s">
        <v>215</v>
      </c>
      <c r="AO12" s="67" t="s">
        <v>215</v>
      </c>
      <c r="AP12" s="76" t="s">
        <v>215</v>
      </c>
      <c r="AQ12" s="67" t="s">
        <v>215</v>
      </c>
      <c r="AR12" s="76" t="s">
        <v>215</v>
      </c>
      <c r="AS12" s="67" t="s">
        <v>215</v>
      </c>
      <c r="AT12" s="76" t="s">
        <v>215</v>
      </c>
      <c r="AU12" s="67" t="s">
        <v>215</v>
      </c>
      <c r="AV12" s="76" t="s">
        <v>215</v>
      </c>
      <c r="AW12" s="67" t="s">
        <v>215</v>
      </c>
      <c r="AX12" s="76" t="s">
        <v>215</v>
      </c>
      <c r="AY12" s="67" t="s">
        <v>215</v>
      </c>
      <c r="AZ12" s="76" t="s">
        <v>215</v>
      </c>
      <c r="BA12" s="67" t="s">
        <v>215</v>
      </c>
      <c r="BB12" s="76" t="s">
        <v>358</v>
      </c>
      <c r="BC12" s="76" t="s">
        <v>243</v>
      </c>
      <c r="BD12" s="76"/>
      <c r="BE12" s="76" t="s">
        <v>359</v>
      </c>
      <c r="BF12" s="76" t="s">
        <v>360</v>
      </c>
      <c r="BG12" s="112" t="b">
        <v>0</v>
      </c>
      <c r="BH12" s="112" t="b">
        <v>0</v>
      </c>
      <c r="BI12" s="112" t="b">
        <v>0</v>
      </c>
      <c r="BJ12" s="112" t="b">
        <v>0</v>
      </c>
      <c r="BK12" s="112" t="b">
        <v>1</v>
      </c>
      <c r="BL12" s="112" t="b">
        <v>1</v>
      </c>
      <c r="BM12" s="112" t="b">
        <v>1</v>
      </c>
      <c r="BN12" s="76" t="s">
        <v>223</v>
      </c>
      <c r="BO12" s="76" t="s">
        <v>224</v>
      </c>
      <c r="BP12" s="76" t="s">
        <v>286</v>
      </c>
      <c r="BQ12" s="81" t="s">
        <v>361</v>
      </c>
      <c r="BR12" s="76"/>
      <c r="BS12" s="76"/>
      <c r="BT12" s="81" t="s">
        <v>362</v>
      </c>
      <c r="BU12" s="81"/>
      <c r="BV12" s="81" t="s">
        <v>363</v>
      </c>
      <c r="BW12" s="76" t="s">
        <v>252</v>
      </c>
      <c r="BX12" s="76"/>
      <c r="BY12" s="76"/>
      <c r="BZ12" s="76"/>
      <c r="CA12" s="76"/>
      <c r="CB12" s="76"/>
      <c r="CC12" s="76"/>
      <c r="CD12" s="76"/>
      <c r="CE12" s="76"/>
      <c r="CF12" s="76"/>
      <c r="CG12" s="76"/>
      <c r="CH12" s="112"/>
      <c r="CI12" s="112" t="b">
        <v>1</v>
      </c>
      <c r="CJ12" s="112"/>
      <c r="CK12" s="76"/>
      <c r="CL12" s="76"/>
      <c r="CM12" s="76"/>
      <c r="CN12" s="76"/>
    </row>
    <row r="13" spans="1:92" ht="21.75" customHeight="1">
      <c r="A13" s="76" t="s">
        <v>204</v>
      </c>
      <c r="B13" s="76" t="s">
        <v>349</v>
      </c>
      <c r="C13" s="81" t="s">
        <v>364</v>
      </c>
      <c r="D13" s="95" t="s">
        <v>365</v>
      </c>
      <c r="E13" s="95"/>
      <c r="F13" s="81" t="s">
        <v>366</v>
      </c>
      <c r="G13" s="81" t="s">
        <v>367</v>
      </c>
      <c r="H13" s="81" t="s">
        <v>368</v>
      </c>
      <c r="I13" s="76"/>
      <c r="J13" s="81" t="s">
        <v>280</v>
      </c>
      <c r="K13" s="76"/>
      <c r="L13" s="81" t="s">
        <v>369</v>
      </c>
      <c r="M13" s="76">
        <v>50.6932413938341</v>
      </c>
      <c r="N13" s="76">
        <v>-3.2379334641808901</v>
      </c>
      <c r="O13" s="76"/>
      <c r="P13" s="76" t="s">
        <v>214</v>
      </c>
      <c r="Q13" s="112" t="b">
        <v>1</v>
      </c>
      <c r="R13" s="80" t="s">
        <v>261</v>
      </c>
      <c r="S13" s="80" t="s">
        <v>261</v>
      </c>
      <c r="T13" s="76" t="s">
        <v>215</v>
      </c>
      <c r="U13" s="76" t="s">
        <v>215</v>
      </c>
      <c r="V13" s="76" t="s">
        <v>215</v>
      </c>
      <c r="W13" s="76" t="s">
        <v>215</v>
      </c>
      <c r="X13" s="76" t="s">
        <v>215</v>
      </c>
      <c r="Y13" s="76" t="s">
        <v>215</v>
      </c>
      <c r="Z13" s="76" t="s">
        <v>215</v>
      </c>
      <c r="AA13" s="76" t="s">
        <v>215</v>
      </c>
      <c r="AB13" s="76" t="s">
        <v>215</v>
      </c>
      <c r="AC13" s="76" t="s">
        <v>215</v>
      </c>
      <c r="AD13" s="76" t="s">
        <v>215</v>
      </c>
      <c r="AE13" s="76" t="s">
        <v>215</v>
      </c>
      <c r="AF13" s="76" t="s">
        <v>215</v>
      </c>
      <c r="AG13" s="76" t="s">
        <v>215</v>
      </c>
      <c r="AH13" s="81" t="s">
        <v>215</v>
      </c>
      <c r="AI13" s="76" t="s">
        <v>262</v>
      </c>
      <c r="AJ13" s="112" t="b">
        <v>0</v>
      </c>
      <c r="AK13" s="112" t="b">
        <v>0</v>
      </c>
      <c r="AL13" s="76" t="s">
        <v>217</v>
      </c>
      <c r="AM13" s="76"/>
      <c r="AN13" s="76" t="s">
        <v>215</v>
      </c>
      <c r="AO13" s="67" t="s">
        <v>215</v>
      </c>
      <c r="AP13" s="76" t="s">
        <v>215</v>
      </c>
      <c r="AQ13" s="67" t="s">
        <v>215</v>
      </c>
      <c r="AR13" s="76" t="s">
        <v>215</v>
      </c>
      <c r="AS13" s="67" t="s">
        <v>215</v>
      </c>
      <c r="AT13" s="76" t="s">
        <v>215</v>
      </c>
      <c r="AU13" s="67" t="s">
        <v>215</v>
      </c>
      <c r="AV13" s="76" t="s">
        <v>215</v>
      </c>
      <c r="AW13" s="67" t="s">
        <v>215</v>
      </c>
      <c r="AX13" s="76" t="s">
        <v>215</v>
      </c>
      <c r="AY13" s="67" t="s">
        <v>215</v>
      </c>
      <c r="AZ13" s="76" t="s">
        <v>215</v>
      </c>
      <c r="BA13" s="67" t="s">
        <v>215</v>
      </c>
      <c r="BB13" s="76" t="s">
        <v>358</v>
      </c>
      <c r="BC13" s="76" t="s">
        <v>243</v>
      </c>
      <c r="BD13" s="76" t="s">
        <v>370</v>
      </c>
      <c r="BE13" s="76"/>
      <c r="BF13" s="76"/>
      <c r="BG13" s="112" t="b">
        <v>0</v>
      </c>
      <c r="BH13" s="112" t="b">
        <v>1</v>
      </c>
      <c r="BI13" s="112" t="b">
        <v>1</v>
      </c>
      <c r="BJ13" s="112" t="b">
        <v>1</v>
      </c>
      <c r="BK13" s="112" t="b">
        <v>0</v>
      </c>
      <c r="BL13" s="112" t="b">
        <v>0</v>
      </c>
      <c r="BM13" s="112" t="b">
        <v>0</v>
      </c>
      <c r="BN13" s="76" t="s">
        <v>223</v>
      </c>
      <c r="BO13" s="76" t="s">
        <v>285</v>
      </c>
      <c r="BP13" s="76" t="s">
        <v>246</v>
      </c>
      <c r="BQ13" s="81" t="s">
        <v>371</v>
      </c>
      <c r="BR13" s="76"/>
      <c r="BS13" s="76"/>
      <c r="BT13" s="81" t="s">
        <v>372</v>
      </c>
      <c r="BU13" s="81"/>
      <c r="BV13" s="81" t="s">
        <v>373</v>
      </c>
      <c r="BW13" s="76" t="s">
        <v>252</v>
      </c>
      <c r="BX13" s="76"/>
      <c r="BY13" s="76"/>
      <c r="BZ13" s="76"/>
      <c r="CA13" s="76"/>
      <c r="CB13" s="76"/>
      <c r="CC13" s="76"/>
      <c r="CD13" s="76"/>
      <c r="CE13" s="76"/>
      <c r="CF13" s="76"/>
      <c r="CG13" s="76"/>
      <c r="CH13" s="112"/>
      <c r="CI13" s="112" t="b">
        <v>1</v>
      </c>
      <c r="CJ13" s="112"/>
      <c r="CK13" s="81"/>
      <c r="CL13" s="76"/>
      <c r="CM13" s="76"/>
      <c r="CN13" s="76"/>
    </row>
    <row r="14" spans="1:92" ht="21.75" customHeight="1">
      <c r="A14" s="76" t="s">
        <v>204</v>
      </c>
      <c r="B14" s="76" t="s">
        <v>374</v>
      </c>
      <c r="C14" s="81" t="s">
        <v>375</v>
      </c>
      <c r="D14" s="95" t="s">
        <v>376</v>
      </c>
      <c r="E14" s="95"/>
      <c r="F14" s="81" t="s">
        <v>105</v>
      </c>
      <c r="G14" s="81" t="s">
        <v>377</v>
      </c>
      <c r="H14" s="81" t="s">
        <v>368</v>
      </c>
      <c r="I14" s="76"/>
      <c r="J14" s="81" t="s">
        <v>280</v>
      </c>
      <c r="K14" s="76"/>
      <c r="L14" s="81" t="s">
        <v>369</v>
      </c>
      <c r="M14" s="76">
        <v>50.695219110014897</v>
      </c>
      <c r="N14" s="76">
        <v>-3.2380192948516102</v>
      </c>
      <c r="O14" s="76"/>
      <c r="P14" s="76" t="s">
        <v>214</v>
      </c>
      <c r="Q14" s="112" t="b">
        <v>1</v>
      </c>
      <c r="R14" s="80" t="s">
        <v>261</v>
      </c>
      <c r="S14" s="80" t="s">
        <v>261</v>
      </c>
      <c r="T14" s="76" t="s">
        <v>215</v>
      </c>
      <c r="U14" s="76" t="s">
        <v>215</v>
      </c>
      <c r="V14" s="76" t="s">
        <v>215</v>
      </c>
      <c r="W14" s="76" t="s">
        <v>215</v>
      </c>
      <c r="X14" s="76" t="s">
        <v>215</v>
      </c>
      <c r="Y14" s="76" t="s">
        <v>215</v>
      </c>
      <c r="Z14" s="76" t="s">
        <v>215</v>
      </c>
      <c r="AA14" s="76" t="s">
        <v>215</v>
      </c>
      <c r="AB14" s="76" t="s">
        <v>215</v>
      </c>
      <c r="AC14" s="76" t="s">
        <v>215</v>
      </c>
      <c r="AD14" s="76" t="s">
        <v>215</v>
      </c>
      <c r="AE14" s="76" t="s">
        <v>215</v>
      </c>
      <c r="AF14" s="76" t="s">
        <v>215</v>
      </c>
      <c r="AG14" s="76" t="s">
        <v>215</v>
      </c>
      <c r="AH14" s="81" t="s">
        <v>215</v>
      </c>
      <c r="AI14" s="76" t="s">
        <v>262</v>
      </c>
      <c r="AJ14" s="112" t="b">
        <v>0</v>
      </c>
      <c r="AK14" s="112" t="b">
        <v>0</v>
      </c>
      <c r="AL14" s="76" t="s">
        <v>217</v>
      </c>
      <c r="AM14" s="76"/>
      <c r="AN14" s="76" t="s">
        <v>215</v>
      </c>
      <c r="AO14" s="67" t="s">
        <v>215</v>
      </c>
      <c r="AP14" s="76" t="s">
        <v>215</v>
      </c>
      <c r="AQ14" s="67" t="s">
        <v>215</v>
      </c>
      <c r="AR14" s="76" t="s">
        <v>215</v>
      </c>
      <c r="AS14" s="67" t="s">
        <v>215</v>
      </c>
      <c r="AT14" s="76" t="s">
        <v>215</v>
      </c>
      <c r="AU14" s="67" t="s">
        <v>215</v>
      </c>
      <c r="AV14" s="76" t="s">
        <v>215</v>
      </c>
      <c r="AW14" s="67" t="s">
        <v>215</v>
      </c>
      <c r="AX14" s="76" t="s">
        <v>215</v>
      </c>
      <c r="AY14" s="67" t="s">
        <v>215</v>
      </c>
      <c r="AZ14" s="76" t="s">
        <v>215</v>
      </c>
      <c r="BA14" s="67" t="s">
        <v>215</v>
      </c>
      <c r="BB14" s="76" t="s">
        <v>358</v>
      </c>
      <c r="BC14" s="76"/>
      <c r="BD14" s="76"/>
      <c r="BE14" s="76"/>
      <c r="BF14" s="76"/>
      <c r="BG14" s="112" t="b">
        <v>0</v>
      </c>
      <c r="BH14" s="112" t="b">
        <v>0</v>
      </c>
      <c r="BI14" s="112" t="b">
        <v>0</v>
      </c>
      <c r="BJ14" s="112" t="b">
        <v>1</v>
      </c>
      <c r="BK14" s="112" t="b">
        <v>1</v>
      </c>
      <c r="BL14" s="112" t="b">
        <v>1</v>
      </c>
      <c r="BM14" s="112" t="b">
        <v>1</v>
      </c>
      <c r="BN14" s="76" t="s">
        <v>223</v>
      </c>
      <c r="BO14" s="76" t="s">
        <v>378</v>
      </c>
      <c r="BP14" s="76" t="s">
        <v>379</v>
      </c>
      <c r="BQ14" s="81" t="s">
        <v>380</v>
      </c>
      <c r="BR14" s="76"/>
      <c r="BS14" s="76"/>
      <c r="BT14" s="81" t="s">
        <v>381</v>
      </c>
      <c r="BU14" s="81"/>
      <c r="BV14" s="81" t="s">
        <v>382</v>
      </c>
      <c r="BW14" s="76" t="s">
        <v>252</v>
      </c>
      <c r="BX14" s="76"/>
      <c r="BY14" s="76"/>
      <c r="BZ14" s="76"/>
      <c r="CA14" s="76"/>
      <c r="CB14" s="76"/>
      <c r="CC14" s="76"/>
      <c r="CD14" s="76"/>
      <c r="CE14" s="76"/>
      <c r="CF14" s="76"/>
      <c r="CG14" s="76"/>
      <c r="CH14" s="112"/>
      <c r="CI14" s="112" t="b">
        <v>1</v>
      </c>
      <c r="CJ14" s="112"/>
      <c r="CK14" s="76"/>
      <c r="CL14" s="76"/>
      <c r="CM14" s="76"/>
      <c r="CN14" s="76"/>
    </row>
    <row r="15" spans="1:92" ht="21.75" customHeight="1">
      <c r="A15" s="76" t="s">
        <v>204</v>
      </c>
      <c r="B15" s="76" t="s">
        <v>383</v>
      </c>
      <c r="C15" s="81" t="s">
        <v>384</v>
      </c>
      <c r="D15" s="117" t="s">
        <v>385</v>
      </c>
      <c r="E15" s="95"/>
      <c r="F15" s="81" t="s">
        <v>386</v>
      </c>
      <c r="G15" s="81" t="s">
        <v>387</v>
      </c>
      <c r="H15" s="81" t="s">
        <v>388</v>
      </c>
      <c r="I15" s="81" t="s">
        <v>389</v>
      </c>
      <c r="J15" s="81" t="s">
        <v>280</v>
      </c>
      <c r="K15" s="76"/>
      <c r="L15" s="81" t="s">
        <v>390</v>
      </c>
      <c r="M15" s="76">
        <v>50.697360764064904</v>
      </c>
      <c r="N15" s="76">
        <v>-3.1907530328448499</v>
      </c>
      <c r="O15" s="76"/>
      <c r="P15" s="76" t="s">
        <v>214</v>
      </c>
      <c r="Q15" s="112" t="b">
        <v>1</v>
      </c>
      <c r="R15" s="63">
        <v>0.375</v>
      </c>
      <c r="S15" s="63">
        <v>0.70833333333333337</v>
      </c>
      <c r="T15" s="76" t="s">
        <v>215</v>
      </c>
      <c r="U15" s="76" t="s">
        <v>215</v>
      </c>
      <c r="V15" s="76" t="s">
        <v>215</v>
      </c>
      <c r="W15" s="76" t="s">
        <v>215</v>
      </c>
      <c r="X15" s="76" t="s">
        <v>215</v>
      </c>
      <c r="Y15" s="76" t="s">
        <v>215</v>
      </c>
      <c r="Z15" s="76" t="s">
        <v>215</v>
      </c>
      <c r="AA15" s="76" t="s">
        <v>215</v>
      </c>
      <c r="AB15" s="76" t="s">
        <v>215</v>
      </c>
      <c r="AC15" s="76" t="s">
        <v>215</v>
      </c>
      <c r="AD15" s="76" t="s">
        <v>215</v>
      </c>
      <c r="AE15" s="76" t="s">
        <v>215</v>
      </c>
      <c r="AF15" s="76" t="s">
        <v>215</v>
      </c>
      <c r="AG15" s="76" t="s">
        <v>215</v>
      </c>
      <c r="AH15" s="81" t="s">
        <v>391</v>
      </c>
      <c r="AI15" s="76" t="s">
        <v>262</v>
      </c>
      <c r="AJ15" s="112" t="b">
        <v>0</v>
      </c>
      <c r="AK15" s="112" t="b">
        <v>0</v>
      </c>
      <c r="AL15" s="76" t="s">
        <v>217</v>
      </c>
      <c r="AM15" s="76"/>
      <c r="AN15" s="76" t="s">
        <v>215</v>
      </c>
      <c r="AO15" s="67" t="s">
        <v>215</v>
      </c>
      <c r="AP15" s="76" t="s">
        <v>215</v>
      </c>
      <c r="AQ15" s="67" t="s">
        <v>215</v>
      </c>
      <c r="AR15" s="76" t="s">
        <v>215</v>
      </c>
      <c r="AS15" s="67" t="s">
        <v>215</v>
      </c>
      <c r="AT15" s="76" t="s">
        <v>215</v>
      </c>
      <c r="AU15" s="67" t="s">
        <v>215</v>
      </c>
      <c r="AV15" s="76" t="s">
        <v>215</v>
      </c>
      <c r="AW15" s="67" t="s">
        <v>215</v>
      </c>
      <c r="AX15" s="76" t="s">
        <v>215</v>
      </c>
      <c r="AY15" s="67" t="s">
        <v>215</v>
      </c>
      <c r="AZ15" s="76" t="s">
        <v>215</v>
      </c>
      <c r="BA15" s="67" t="s">
        <v>215</v>
      </c>
      <c r="BB15" s="76" t="s">
        <v>392</v>
      </c>
      <c r="BC15" s="76" t="s">
        <v>393</v>
      </c>
      <c r="BD15" s="76" t="s">
        <v>394</v>
      </c>
      <c r="BE15" s="76" t="s">
        <v>395</v>
      </c>
      <c r="BF15" s="76" t="s">
        <v>284</v>
      </c>
      <c r="BG15" s="112" t="b">
        <v>1</v>
      </c>
      <c r="BH15" s="112" t="b">
        <v>1</v>
      </c>
      <c r="BI15" s="112" t="b">
        <v>1</v>
      </c>
      <c r="BJ15" s="112" t="b">
        <v>1</v>
      </c>
      <c r="BK15" s="112" t="b">
        <v>1</v>
      </c>
      <c r="BL15" s="112" t="b">
        <v>1</v>
      </c>
      <c r="BM15" s="112" t="b">
        <v>1</v>
      </c>
      <c r="BN15" s="76" t="s">
        <v>223</v>
      </c>
      <c r="BO15" s="76" t="s">
        <v>396</v>
      </c>
      <c r="BP15" s="76" t="s">
        <v>397</v>
      </c>
      <c r="BQ15" s="81" t="s">
        <v>398</v>
      </c>
      <c r="BR15" s="76" t="s">
        <v>399</v>
      </c>
      <c r="BS15" s="76"/>
      <c r="BT15" s="81" t="s">
        <v>400</v>
      </c>
      <c r="BU15" s="81" t="s">
        <v>401</v>
      </c>
      <c r="BV15" s="81" t="s">
        <v>402</v>
      </c>
      <c r="BW15" s="76" t="s">
        <v>252</v>
      </c>
      <c r="BX15" s="76"/>
      <c r="BY15" s="76"/>
      <c r="BZ15" s="76"/>
      <c r="CA15" s="76"/>
      <c r="CB15" s="76"/>
      <c r="CC15" s="76"/>
      <c r="CD15" s="76"/>
      <c r="CE15" s="76"/>
      <c r="CF15" s="76"/>
      <c r="CG15" s="76"/>
      <c r="CH15" s="112"/>
      <c r="CI15" s="112" t="b">
        <v>1</v>
      </c>
      <c r="CJ15" s="112"/>
      <c r="CK15" s="77"/>
      <c r="CL15" s="81"/>
      <c r="CM15" s="76"/>
      <c r="CN15" s="76"/>
    </row>
    <row r="16" spans="1:92" ht="21.75" customHeight="1">
      <c r="A16" s="76" t="s">
        <v>204</v>
      </c>
      <c r="B16" s="76" t="s">
        <v>383</v>
      </c>
      <c r="C16" s="81" t="s">
        <v>403</v>
      </c>
      <c r="D16" s="117" t="s">
        <v>404</v>
      </c>
      <c r="E16" s="95"/>
      <c r="F16" s="81" t="s">
        <v>405</v>
      </c>
      <c r="G16" s="81" t="s">
        <v>406</v>
      </c>
      <c r="H16" s="76" t="s">
        <v>407</v>
      </c>
      <c r="I16" s="81" t="s">
        <v>408</v>
      </c>
      <c r="J16" s="76"/>
      <c r="K16" s="76"/>
      <c r="L16" s="81" t="s">
        <v>409</v>
      </c>
      <c r="M16" s="76">
        <v>50.774248541888099</v>
      </c>
      <c r="N16" s="76">
        <v>-3.3052248293545801</v>
      </c>
      <c r="O16" s="76"/>
      <c r="P16" s="76" t="s">
        <v>214</v>
      </c>
      <c r="Q16" s="112" t="b">
        <v>1</v>
      </c>
      <c r="R16" s="63">
        <v>0.41666666666666669</v>
      </c>
      <c r="S16" s="63">
        <v>0.70833333333333337</v>
      </c>
      <c r="T16" s="76" t="s">
        <v>215</v>
      </c>
      <c r="U16" s="76" t="s">
        <v>215</v>
      </c>
      <c r="V16" s="76" t="s">
        <v>215</v>
      </c>
      <c r="W16" s="76" t="s">
        <v>215</v>
      </c>
      <c r="X16" s="76" t="s">
        <v>215</v>
      </c>
      <c r="Y16" s="76" t="s">
        <v>215</v>
      </c>
      <c r="Z16" s="76" t="s">
        <v>215</v>
      </c>
      <c r="AA16" s="76" t="s">
        <v>215</v>
      </c>
      <c r="AB16" s="76" t="s">
        <v>215</v>
      </c>
      <c r="AC16" s="76" t="s">
        <v>215</v>
      </c>
      <c r="AD16" s="76" t="s">
        <v>215</v>
      </c>
      <c r="AE16" s="76" t="s">
        <v>215</v>
      </c>
      <c r="AF16" s="76" t="s">
        <v>215</v>
      </c>
      <c r="AG16" s="76" t="s">
        <v>215</v>
      </c>
      <c r="AH16" s="81" t="s">
        <v>391</v>
      </c>
      <c r="AI16" s="76" t="s">
        <v>262</v>
      </c>
      <c r="AJ16" s="112" t="b">
        <v>1</v>
      </c>
      <c r="AK16" s="112" t="b">
        <v>1</v>
      </c>
      <c r="AL16" s="76" t="s">
        <v>410</v>
      </c>
      <c r="AM16" s="76" t="s">
        <v>411</v>
      </c>
      <c r="AN16" s="76" t="s">
        <v>412</v>
      </c>
      <c r="AO16" s="91">
        <v>0</v>
      </c>
      <c r="AP16" s="76" t="s">
        <v>413</v>
      </c>
      <c r="AQ16" s="91">
        <v>12.73</v>
      </c>
      <c r="AR16" s="76" t="s">
        <v>215</v>
      </c>
      <c r="AS16" s="91">
        <v>0</v>
      </c>
      <c r="AT16" s="76" t="s">
        <v>215</v>
      </c>
      <c r="AU16" s="91">
        <v>0</v>
      </c>
      <c r="AV16" s="76" t="s">
        <v>339</v>
      </c>
      <c r="AW16" s="91">
        <v>16.36</v>
      </c>
      <c r="AX16" s="76" t="s">
        <v>414</v>
      </c>
      <c r="AY16" s="91">
        <v>14.55</v>
      </c>
      <c r="AZ16" s="76" t="s">
        <v>415</v>
      </c>
      <c r="BA16" s="91">
        <v>48.18</v>
      </c>
      <c r="BB16" s="76" t="s">
        <v>416</v>
      </c>
      <c r="BC16" s="76" t="s">
        <v>417</v>
      </c>
      <c r="BD16" s="76" t="s">
        <v>418</v>
      </c>
      <c r="BE16" s="76" t="s">
        <v>321</v>
      </c>
      <c r="BF16" s="76"/>
      <c r="BG16" s="112" t="b">
        <v>1</v>
      </c>
      <c r="BH16" s="112" t="b">
        <v>1</v>
      </c>
      <c r="BI16" s="112" t="b">
        <v>1</v>
      </c>
      <c r="BJ16" s="112" t="b">
        <v>1</v>
      </c>
      <c r="BK16" s="112" t="b">
        <v>1</v>
      </c>
      <c r="BL16" s="112" t="b">
        <v>1</v>
      </c>
      <c r="BM16" s="112" t="b">
        <v>1</v>
      </c>
      <c r="BN16" s="76" t="s">
        <v>419</v>
      </c>
      <c r="BO16" s="76" t="s">
        <v>285</v>
      </c>
      <c r="BP16" s="76" t="s">
        <v>420</v>
      </c>
      <c r="BQ16" s="81" t="s">
        <v>421</v>
      </c>
      <c r="BR16" s="76" t="s">
        <v>422</v>
      </c>
      <c r="BS16" s="76"/>
      <c r="BT16" s="81" t="s">
        <v>423</v>
      </c>
      <c r="BU16" s="81" t="s">
        <v>424</v>
      </c>
      <c r="BV16" s="81" t="s">
        <v>425</v>
      </c>
      <c r="BW16" s="76" t="s">
        <v>252</v>
      </c>
      <c r="BX16" s="76"/>
      <c r="BY16" s="76"/>
      <c r="BZ16" s="76"/>
      <c r="CA16" s="76"/>
      <c r="CB16" s="76"/>
      <c r="CC16" s="76"/>
      <c r="CD16" s="76"/>
      <c r="CE16" s="76"/>
      <c r="CF16" s="76"/>
      <c r="CG16" s="76"/>
      <c r="CH16" s="112"/>
      <c r="CI16" s="112" t="b">
        <v>1</v>
      </c>
      <c r="CJ16" s="112"/>
      <c r="CK16" s="77"/>
      <c r="CL16" s="76"/>
      <c r="CM16" s="76"/>
      <c r="CN16" s="76"/>
    </row>
    <row r="17" spans="1:92" ht="21.75" customHeight="1">
      <c r="A17" s="76" t="s">
        <v>204</v>
      </c>
      <c r="B17" s="76" t="s">
        <v>374</v>
      </c>
      <c r="C17" s="81" t="s">
        <v>426</v>
      </c>
      <c r="D17" s="95" t="s">
        <v>427</v>
      </c>
      <c r="E17" s="95"/>
      <c r="F17" s="81" t="s">
        <v>104</v>
      </c>
      <c r="G17" s="81" t="s">
        <v>428</v>
      </c>
      <c r="H17" s="81" t="s">
        <v>429</v>
      </c>
      <c r="I17" s="76"/>
      <c r="J17" s="81" t="s">
        <v>212</v>
      </c>
      <c r="K17" s="76"/>
      <c r="L17" s="81" t="s">
        <v>430</v>
      </c>
      <c r="M17" s="76">
        <v>50.716847053964301</v>
      </c>
      <c r="N17" s="76">
        <v>-3.5308949792783402</v>
      </c>
      <c r="O17" s="76"/>
      <c r="P17" s="76" t="s">
        <v>214</v>
      </c>
      <c r="Q17" s="112" t="b">
        <v>1</v>
      </c>
      <c r="R17" s="63">
        <v>0.39583333333333331</v>
      </c>
      <c r="S17" s="63">
        <v>0.79166666666666663</v>
      </c>
      <c r="T17" s="76" t="s">
        <v>215</v>
      </c>
      <c r="U17" s="76" t="s">
        <v>215</v>
      </c>
      <c r="V17" s="76" t="s">
        <v>215</v>
      </c>
      <c r="W17" s="76" t="s">
        <v>215</v>
      </c>
      <c r="X17" s="76" t="s">
        <v>215</v>
      </c>
      <c r="Y17" s="76" t="s">
        <v>215</v>
      </c>
      <c r="Z17" s="76" t="s">
        <v>215</v>
      </c>
      <c r="AA17" s="76" t="s">
        <v>215</v>
      </c>
      <c r="AB17" s="76" t="s">
        <v>215</v>
      </c>
      <c r="AC17" s="76" t="s">
        <v>215</v>
      </c>
      <c r="AD17" s="76" t="s">
        <v>215</v>
      </c>
      <c r="AE17" s="76" t="s">
        <v>215</v>
      </c>
      <c r="AF17" s="76" t="s">
        <v>215</v>
      </c>
      <c r="AG17" s="76" t="s">
        <v>215</v>
      </c>
      <c r="AH17" s="81" t="s">
        <v>431</v>
      </c>
      <c r="AI17" s="76" t="s">
        <v>262</v>
      </c>
      <c r="AJ17" s="112" t="b">
        <v>1</v>
      </c>
      <c r="AK17" s="112" t="b">
        <v>1</v>
      </c>
      <c r="AL17" s="76" t="s">
        <v>432</v>
      </c>
      <c r="AM17" s="76" t="s">
        <v>433</v>
      </c>
      <c r="AN17" s="76" t="s">
        <v>215</v>
      </c>
      <c r="AO17" s="67" t="s">
        <v>215</v>
      </c>
      <c r="AP17" s="76" t="s">
        <v>434</v>
      </c>
      <c r="AQ17" s="91">
        <v>16.95</v>
      </c>
      <c r="AR17" s="76" t="s">
        <v>215</v>
      </c>
      <c r="AS17" s="67" t="s">
        <v>215</v>
      </c>
      <c r="AT17" s="76" t="s">
        <v>215</v>
      </c>
      <c r="AU17" s="67" t="s">
        <v>215</v>
      </c>
      <c r="AV17" s="76" t="s">
        <v>215</v>
      </c>
      <c r="AW17" s="67" t="s">
        <v>215</v>
      </c>
      <c r="AX17" s="76" t="s">
        <v>215</v>
      </c>
      <c r="AY17" s="67" t="s">
        <v>215</v>
      </c>
      <c r="AZ17" s="76" t="s">
        <v>215</v>
      </c>
      <c r="BA17" s="67" t="s">
        <v>215</v>
      </c>
      <c r="BB17" s="76" t="s">
        <v>282</v>
      </c>
      <c r="BC17" s="76" t="s">
        <v>435</v>
      </c>
      <c r="BD17" s="76"/>
      <c r="BE17" s="76" t="s">
        <v>436</v>
      </c>
      <c r="BF17" s="76"/>
      <c r="BG17" s="112" t="b">
        <v>0</v>
      </c>
      <c r="BH17" s="112" t="b">
        <v>0</v>
      </c>
      <c r="BI17" s="112" t="b">
        <v>0</v>
      </c>
      <c r="BJ17" s="112" t="b">
        <v>1</v>
      </c>
      <c r="BK17" s="112" t="b">
        <v>1</v>
      </c>
      <c r="BL17" s="112" t="b">
        <v>1</v>
      </c>
      <c r="BM17" s="112" t="b">
        <v>1</v>
      </c>
      <c r="BN17" s="76" t="s">
        <v>244</v>
      </c>
      <c r="BO17" s="76" t="s">
        <v>437</v>
      </c>
      <c r="BP17" s="76" t="s">
        <v>225</v>
      </c>
      <c r="BQ17" s="81" t="s">
        <v>438</v>
      </c>
      <c r="BR17" s="76"/>
      <c r="BS17" s="76"/>
      <c r="BT17" s="81" t="s">
        <v>439</v>
      </c>
      <c r="BU17" s="81"/>
      <c r="BV17" s="81" t="s">
        <v>440</v>
      </c>
      <c r="BW17" s="76" t="s">
        <v>252</v>
      </c>
      <c r="BX17" s="76"/>
      <c r="BY17" s="76"/>
      <c r="BZ17" s="76"/>
      <c r="CA17" s="76"/>
      <c r="CB17" s="76"/>
      <c r="CC17" s="76"/>
      <c r="CD17" s="76"/>
      <c r="CE17" s="76"/>
      <c r="CF17" s="76"/>
      <c r="CG17" s="76"/>
      <c r="CH17" s="112"/>
      <c r="CI17" s="112" t="b">
        <v>1</v>
      </c>
      <c r="CJ17" s="112"/>
      <c r="CK17" s="76"/>
      <c r="CL17" s="76"/>
      <c r="CM17" s="76"/>
      <c r="CN17" s="76"/>
    </row>
    <row r="18" spans="1:92" ht="21.75" customHeight="1">
      <c r="A18" s="76" t="s">
        <v>204</v>
      </c>
      <c r="B18" s="76" t="s">
        <v>441</v>
      </c>
      <c r="C18" s="81" t="s">
        <v>442</v>
      </c>
      <c r="D18" s="117" t="s">
        <v>443</v>
      </c>
      <c r="E18" s="95"/>
      <c r="F18" s="81" t="s">
        <v>235</v>
      </c>
      <c r="G18" s="81" t="s">
        <v>444</v>
      </c>
      <c r="H18" s="81" t="s">
        <v>445</v>
      </c>
      <c r="I18" s="81" t="s">
        <v>446</v>
      </c>
      <c r="J18" s="81" t="s">
        <v>408</v>
      </c>
      <c r="K18" s="76"/>
      <c r="L18" s="81" t="s">
        <v>447</v>
      </c>
      <c r="M18" s="76">
        <v>50.748139891410702</v>
      </c>
      <c r="N18" s="76">
        <v>-3.25760188887087</v>
      </c>
      <c r="O18" s="76"/>
      <c r="P18" s="76" t="s">
        <v>334</v>
      </c>
      <c r="Q18" s="112" t="b">
        <v>1</v>
      </c>
      <c r="R18" s="63">
        <v>0.375</v>
      </c>
      <c r="S18" s="63">
        <v>0.66666666666666663</v>
      </c>
      <c r="T18" s="76" t="s">
        <v>215</v>
      </c>
      <c r="U18" s="76" t="s">
        <v>215</v>
      </c>
      <c r="V18" s="76" t="s">
        <v>215</v>
      </c>
      <c r="W18" s="76" t="s">
        <v>215</v>
      </c>
      <c r="X18" s="76" t="s">
        <v>215</v>
      </c>
      <c r="Y18" s="76" t="s">
        <v>215</v>
      </c>
      <c r="Z18" s="76" t="s">
        <v>215</v>
      </c>
      <c r="AA18" s="76" t="s">
        <v>215</v>
      </c>
      <c r="AB18" s="76" t="s">
        <v>215</v>
      </c>
      <c r="AC18" s="76" t="s">
        <v>215</v>
      </c>
      <c r="AD18" s="76" t="s">
        <v>215</v>
      </c>
      <c r="AE18" s="76" t="s">
        <v>215</v>
      </c>
      <c r="AF18" s="76" t="s">
        <v>215</v>
      </c>
      <c r="AG18" s="76" t="s">
        <v>215</v>
      </c>
      <c r="AH18" s="76"/>
      <c r="AI18" s="76"/>
      <c r="AJ18" s="112" t="b">
        <v>0</v>
      </c>
      <c r="AK18" s="112" t="b">
        <v>0</v>
      </c>
      <c r="AL18" s="76" t="s">
        <v>217</v>
      </c>
      <c r="AM18" s="76"/>
      <c r="AN18" s="76" t="s">
        <v>215</v>
      </c>
      <c r="AO18" s="67" t="s">
        <v>215</v>
      </c>
      <c r="AP18" s="76" t="s">
        <v>215</v>
      </c>
      <c r="AQ18" s="67" t="s">
        <v>215</v>
      </c>
      <c r="AR18" s="76" t="s">
        <v>215</v>
      </c>
      <c r="AS18" s="67" t="s">
        <v>215</v>
      </c>
      <c r="AT18" s="76" t="s">
        <v>215</v>
      </c>
      <c r="AU18" s="67" t="s">
        <v>215</v>
      </c>
      <c r="AV18" s="76" t="s">
        <v>215</v>
      </c>
      <c r="AW18" s="67" t="s">
        <v>215</v>
      </c>
      <c r="AX18" s="76" t="s">
        <v>215</v>
      </c>
      <c r="AY18" s="67" t="s">
        <v>215</v>
      </c>
      <c r="AZ18" s="76" t="s">
        <v>215</v>
      </c>
      <c r="BA18" s="67" t="s">
        <v>215</v>
      </c>
      <c r="BB18" s="76" t="s">
        <v>416</v>
      </c>
      <c r="BC18" s="76" t="s">
        <v>448</v>
      </c>
      <c r="BD18" s="76"/>
      <c r="BE18" s="76" t="s">
        <v>449</v>
      </c>
      <c r="BF18" s="76"/>
      <c r="BG18" s="112" t="b">
        <v>1</v>
      </c>
      <c r="BH18" s="112" t="b">
        <v>1</v>
      </c>
      <c r="BI18" s="112" t="b">
        <v>1</v>
      </c>
      <c r="BJ18" s="112" t="b">
        <v>1</v>
      </c>
      <c r="BK18" s="112" t="b">
        <v>1</v>
      </c>
      <c r="BL18" s="112" t="b">
        <v>1</v>
      </c>
      <c r="BM18" s="112" t="b">
        <v>1</v>
      </c>
      <c r="BN18" s="76" t="s">
        <v>244</v>
      </c>
      <c r="BO18" s="76" t="s">
        <v>450</v>
      </c>
      <c r="BP18" s="76" t="s">
        <v>451</v>
      </c>
      <c r="BQ18" s="81" t="s">
        <v>452</v>
      </c>
      <c r="BR18" s="76"/>
      <c r="BS18" s="76" t="s">
        <v>453</v>
      </c>
      <c r="BT18" s="81" t="s">
        <v>454</v>
      </c>
      <c r="BU18" s="81" t="s">
        <v>455</v>
      </c>
      <c r="BV18" s="81" t="s">
        <v>456</v>
      </c>
      <c r="BW18" s="76" t="s">
        <v>252</v>
      </c>
      <c r="BX18" s="76"/>
      <c r="BY18" s="76"/>
      <c r="BZ18" s="76"/>
      <c r="CA18" s="76"/>
      <c r="CB18" s="76"/>
      <c r="CC18" s="76"/>
      <c r="CD18" s="76"/>
      <c r="CE18" s="76"/>
      <c r="CF18" s="76"/>
      <c r="CG18" s="76"/>
      <c r="CH18" s="112"/>
      <c r="CI18" s="112" t="b">
        <v>1</v>
      </c>
      <c r="CJ18" s="112"/>
      <c r="CK18" s="77"/>
      <c r="CL18" s="76"/>
      <c r="CM18" s="76"/>
      <c r="CN18" s="76"/>
    </row>
    <row r="19" spans="1:92" ht="21.75" customHeight="1">
      <c r="A19" s="76" t="s">
        <v>204</v>
      </c>
      <c r="B19" s="76" t="s">
        <v>441</v>
      </c>
      <c r="C19" s="81" t="s">
        <v>442</v>
      </c>
      <c r="D19" s="117" t="s">
        <v>457</v>
      </c>
      <c r="E19" s="95"/>
      <c r="F19" s="81" t="s">
        <v>458</v>
      </c>
      <c r="G19" s="81" t="s">
        <v>459</v>
      </c>
      <c r="H19" s="81" t="s">
        <v>460</v>
      </c>
      <c r="I19" s="81" t="s">
        <v>461</v>
      </c>
      <c r="J19" s="81" t="s">
        <v>356</v>
      </c>
      <c r="K19" s="76"/>
      <c r="L19" s="81" t="s">
        <v>462</v>
      </c>
      <c r="M19" s="76">
        <v>50.586685668072697</v>
      </c>
      <c r="N19" s="76">
        <v>-3.7201049023731301</v>
      </c>
      <c r="O19" s="76"/>
      <c r="P19" s="76" t="s">
        <v>334</v>
      </c>
      <c r="Q19" s="112" t="b">
        <v>1</v>
      </c>
      <c r="R19" s="63">
        <v>0.375</v>
      </c>
      <c r="S19" s="63">
        <v>0.70833333333333337</v>
      </c>
      <c r="T19" s="76" t="s">
        <v>215</v>
      </c>
      <c r="U19" s="76" t="s">
        <v>215</v>
      </c>
      <c r="V19" s="76" t="s">
        <v>215</v>
      </c>
      <c r="W19" s="76" t="s">
        <v>215</v>
      </c>
      <c r="X19" s="76" t="s">
        <v>215</v>
      </c>
      <c r="Y19" s="76" t="s">
        <v>215</v>
      </c>
      <c r="Z19" s="76" t="s">
        <v>215</v>
      </c>
      <c r="AA19" s="76" t="s">
        <v>215</v>
      </c>
      <c r="AB19" s="76" t="s">
        <v>215</v>
      </c>
      <c r="AC19" s="76" t="s">
        <v>215</v>
      </c>
      <c r="AD19" s="76" t="s">
        <v>215</v>
      </c>
      <c r="AE19" s="76" t="s">
        <v>215</v>
      </c>
      <c r="AF19" s="76" t="s">
        <v>215</v>
      </c>
      <c r="AG19" s="76" t="s">
        <v>215</v>
      </c>
      <c r="AH19" s="76"/>
      <c r="AI19" s="76"/>
      <c r="AJ19" s="112" t="b">
        <v>0</v>
      </c>
      <c r="AK19" s="112" t="b">
        <v>0</v>
      </c>
      <c r="AL19" s="76" t="s">
        <v>217</v>
      </c>
      <c r="AM19" s="76"/>
      <c r="AN19" s="76" t="s">
        <v>215</v>
      </c>
      <c r="AO19" s="67" t="s">
        <v>215</v>
      </c>
      <c r="AP19" s="76" t="s">
        <v>215</v>
      </c>
      <c r="AQ19" s="67" t="s">
        <v>215</v>
      </c>
      <c r="AR19" s="76" t="s">
        <v>215</v>
      </c>
      <c r="AS19" s="67" t="s">
        <v>215</v>
      </c>
      <c r="AT19" s="76" t="s">
        <v>215</v>
      </c>
      <c r="AU19" s="67" t="s">
        <v>215</v>
      </c>
      <c r="AV19" s="76" t="s">
        <v>215</v>
      </c>
      <c r="AW19" s="67" t="s">
        <v>215</v>
      </c>
      <c r="AX19" s="76" t="s">
        <v>215</v>
      </c>
      <c r="AY19" s="67" t="s">
        <v>215</v>
      </c>
      <c r="AZ19" s="76" t="s">
        <v>215</v>
      </c>
      <c r="BA19" s="67" t="s">
        <v>215</v>
      </c>
      <c r="BB19" s="76" t="s">
        <v>416</v>
      </c>
      <c r="BC19" s="76" t="s">
        <v>463</v>
      </c>
      <c r="BD19" s="76" t="s">
        <v>464</v>
      </c>
      <c r="BE19" s="76" t="s">
        <v>465</v>
      </c>
      <c r="BF19" s="76" t="s">
        <v>284</v>
      </c>
      <c r="BG19" s="112" t="b">
        <v>1</v>
      </c>
      <c r="BH19" s="112" t="b">
        <v>1</v>
      </c>
      <c r="BI19" s="112" t="b">
        <v>1</v>
      </c>
      <c r="BJ19" s="112" t="b">
        <v>1</v>
      </c>
      <c r="BK19" s="112" t="b">
        <v>1</v>
      </c>
      <c r="BL19" s="112" t="b">
        <v>1</v>
      </c>
      <c r="BM19" s="112" t="b">
        <v>1</v>
      </c>
      <c r="BN19" s="76" t="s">
        <v>419</v>
      </c>
      <c r="BO19" s="76" t="s">
        <v>450</v>
      </c>
      <c r="BP19" s="76" t="s">
        <v>466</v>
      </c>
      <c r="BQ19" s="81" t="s">
        <v>467</v>
      </c>
      <c r="BR19" s="76"/>
      <c r="BS19" s="76"/>
      <c r="BT19" s="81" t="s">
        <v>468</v>
      </c>
      <c r="BU19" s="81"/>
      <c r="BV19" s="81" t="s">
        <v>469</v>
      </c>
      <c r="BW19" s="76" t="s">
        <v>252</v>
      </c>
      <c r="BX19" s="76"/>
      <c r="BY19" s="76"/>
      <c r="BZ19" s="76"/>
      <c r="CA19" s="76"/>
      <c r="CB19" s="76"/>
      <c r="CC19" s="76"/>
      <c r="CD19" s="76"/>
      <c r="CE19" s="76"/>
      <c r="CF19" s="76"/>
      <c r="CG19" s="76"/>
      <c r="CH19" s="112"/>
      <c r="CI19" s="112" t="b">
        <v>1</v>
      </c>
      <c r="CJ19" s="112"/>
      <c r="CK19" s="77"/>
      <c r="CL19" s="76"/>
      <c r="CM19" s="76"/>
      <c r="CN19" s="76"/>
    </row>
    <row r="20" spans="1:92" ht="21.75" customHeight="1">
      <c r="A20" s="76" t="s">
        <v>204</v>
      </c>
      <c r="B20" s="76" t="s">
        <v>441</v>
      </c>
      <c r="C20" s="81" t="s">
        <v>442</v>
      </c>
      <c r="D20" s="117" t="s">
        <v>470</v>
      </c>
      <c r="E20" s="95"/>
      <c r="F20" s="81" t="s">
        <v>458</v>
      </c>
      <c r="G20" s="81" t="s">
        <v>471</v>
      </c>
      <c r="H20" s="81" t="s">
        <v>472</v>
      </c>
      <c r="I20" s="76"/>
      <c r="J20" s="81" t="s">
        <v>473</v>
      </c>
      <c r="K20" s="76"/>
      <c r="L20" s="81" t="s">
        <v>474</v>
      </c>
      <c r="M20" s="76">
        <v>50.8272436575472</v>
      </c>
      <c r="N20" s="76">
        <v>-3.15198490420735</v>
      </c>
      <c r="O20" s="76"/>
      <c r="P20" s="76" t="s">
        <v>214</v>
      </c>
      <c r="Q20" s="112" t="b">
        <v>1</v>
      </c>
      <c r="R20" s="63">
        <v>0.375</v>
      </c>
      <c r="S20" s="63">
        <v>0.66666666666666663</v>
      </c>
      <c r="T20" s="76" t="s">
        <v>215</v>
      </c>
      <c r="U20" s="76" t="s">
        <v>215</v>
      </c>
      <c r="V20" s="76" t="s">
        <v>215</v>
      </c>
      <c r="W20" s="76" t="s">
        <v>215</v>
      </c>
      <c r="X20" s="76" t="s">
        <v>215</v>
      </c>
      <c r="Y20" s="76" t="s">
        <v>215</v>
      </c>
      <c r="Z20" s="76" t="s">
        <v>215</v>
      </c>
      <c r="AA20" s="76" t="s">
        <v>215</v>
      </c>
      <c r="AB20" s="76" t="s">
        <v>215</v>
      </c>
      <c r="AC20" s="76" t="s">
        <v>215</v>
      </c>
      <c r="AD20" s="76" t="s">
        <v>215</v>
      </c>
      <c r="AE20" s="76" t="s">
        <v>215</v>
      </c>
      <c r="AF20" s="76" t="s">
        <v>215</v>
      </c>
      <c r="AG20" s="76" t="s">
        <v>215</v>
      </c>
      <c r="AH20" s="81" t="s">
        <v>475</v>
      </c>
      <c r="AI20" s="76"/>
      <c r="AJ20" s="112" t="b">
        <v>0</v>
      </c>
      <c r="AK20" s="112" t="b">
        <v>0</v>
      </c>
      <c r="AL20" s="76" t="s">
        <v>217</v>
      </c>
      <c r="AM20" s="76"/>
      <c r="AN20" s="76" t="s">
        <v>215</v>
      </c>
      <c r="AO20" s="67" t="s">
        <v>215</v>
      </c>
      <c r="AP20" s="76" t="s">
        <v>215</v>
      </c>
      <c r="AQ20" s="67" t="s">
        <v>215</v>
      </c>
      <c r="AR20" s="76" t="s">
        <v>215</v>
      </c>
      <c r="AS20" s="67" t="s">
        <v>215</v>
      </c>
      <c r="AT20" s="76" t="s">
        <v>215</v>
      </c>
      <c r="AU20" s="67" t="s">
        <v>215</v>
      </c>
      <c r="AV20" s="76" t="s">
        <v>215</v>
      </c>
      <c r="AW20" s="67" t="s">
        <v>215</v>
      </c>
      <c r="AX20" s="76" t="s">
        <v>215</v>
      </c>
      <c r="AY20" s="67" t="s">
        <v>215</v>
      </c>
      <c r="AZ20" s="76" t="s">
        <v>215</v>
      </c>
      <c r="BA20" s="67" t="s">
        <v>215</v>
      </c>
      <c r="BB20" s="76" t="s">
        <v>416</v>
      </c>
      <c r="BC20" s="76" t="s">
        <v>476</v>
      </c>
      <c r="BD20" s="76" t="s">
        <v>477</v>
      </c>
      <c r="BE20" s="76" t="s">
        <v>478</v>
      </c>
      <c r="BF20" s="76"/>
      <c r="BG20" s="112" t="b">
        <v>1</v>
      </c>
      <c r="BH20" s="112" t="b">
        <v>1</v>
      </c>
      <c r="BI20" s="112" t="b">
        <v>1</v>
      </c>
      <c r="BJ20" s="112" t="b">
        <v>1</v>
      </c>
      <c r="BK20" s="112" t="b">
        <v>1</v>
      </c>
      <c r="BL20" s="112" t="b">
        <v>1</v>
      </c>
      <c r="BM20" s="112" t="b">
        <v>1</v>
      </c>
      <c r="BN20" s="76" t="s">
        <v>419</v>
      </c>
      <c r="BO20" s="76" t="s">
        <v>450</v>
      </c>
      <c r="BP20" s="76" t="s">
        <v>451</v>
      </c>
      <c r="BQ20" s="81" t="s">
        <v>479</v>
      </c>
      <c r="BR20" s="76" t="s">
        <v>270</v>
      </c>
      <c r="BS20" s="76"/>
      <c r="BT20" s="81" t="s">
        <v>480</v>
      </c>
      <c r="BU20" s="81"/>
      <c r="BV20" s="81" t="s">
        <v>481</v>
      </c>
      <c r="BW20" s="76" t="s">
        <v>252</v>
      </c>
      <c r="BX20" s="76"/>
      <c r="BY20" s="76"/>
      <c r="BZ20" s="76"/>
      <c r="CA20" s="76"/>
      <c r="CB20" s="76"/>
      <c r="CC20" s="76"/>
      <c r="CD20" s="76"/>
      <c r="CE20" s="76"/>
      <c r="CF20" s="76"/>
      <c r="CG20" s="76"/>
      <c r="CH20" s="112"/>
      <c r="CI20" s="112" t="b">
        <v>1</v>
      </c>
      <c r="CJ20" s="112"/>
      <c r="CK20" s="76"/>
      <c r="CL20" s="76"/>
      <c r="CM20" s="76"/>
      <c r="CN20" s="76"/>
    </row>
    <row r="21" spans="1:92" ht="21.75" customHeight="1">
      <c r="A21" s="76" t="s">
        <v>204</v>
      </c>
      <c r="B21" s="76" t="s">
        <v>441</v>
      </c>
      <c r="C21" s="81" t="s">
        <v>482</v>
      </c>
      <c r="D21" s="117" t="s">
        <v>483</v>
      </c>
      <c r="E21" s="95"/>
      <c r="F21" s="81" t="s">
        <v>235</v>
      </c>
      <c r="G21" s="81" t="s">
        <v>484</v>
      </c>
      <c r="H21" s="81" t="s">
        <v>485</v>
      </c>
      <c r="I21" s="81" t="s">
        <v>486</v>
      </c>
      <c r="J21" s="81" t="s">
        <v>356</v>
      </c>
      <c r="K21" s="76"/>
      <c r="L21" s="81" t="s">
        <v>487</v>
      </c>
      <c r="M21" s="76">
        <v>50.535429634091699</v>
      </c>
      <c r="N21" s="76">
        <v>-3.5589451349006298</v>
      </c>
      <c r="O21" s="76"/>
      <c r="P21" s="76" t="s">
        <v>488</v>
      </c>
      <c r="Q21" s="112" t="b">
        <v>1</v>
      </c>
      <c r="R21" s="63">
        <v>0.41666666666666669</v>
      </c>
      <c r="S21" s="63">
        <v>0.66666666666666663</v>
      </c>
      <c r="T21" s="76" t="s">
        <v>215</v>
      </c>
      <c r="U21" s="76" t="s">
        <v>215</v>
      </c>
      <c r="V21" s="76" t="s">
        <v>215</v>
      </c>
      <c r="W21" s="76" t="s">
        <v>215</v>
      </c>
      <c r="X21" s="76" t="s">
        <v>215</v>
      </c>
      <c r="Y21" s="76" t="s">
        <v>215</v>
      </c>
      <c r="Z21" s="76" t="s">
        <v>215</v>
      </c>
      <c r="AA21" s="76" t="s">
        <v>215</v>
      </c>
      <c r="AB21" s="76" t="s">
        <v>215</v>
      </c>
      <c r="AC21" s="76" t="s">
        <v>215</v>
      </c>
      <c r="AD21" s="76" t="s">
        <v>215</v>
      </c>
      <c r="AE21" s="76" t="s">
        <v>215</v>
      </c>
      <c r="AF21" s="76" t="s">
        <v>215</v>
      </c>
      <c r="AG21" s="76" t="s">
        <v>215</v>
      </c>
      <c r="AH21" s="81" t="s">
        <v>489</v>
      </c>
      <c r="AI21" s="76"/>
      <c r="AJ21" s="112" t="b">
        <v>0</v>
      </c>
      <c r="AK21" s="112" t="b">
        <v>0</v>
      </c>
      <c r="AL21" s="76" t="s">
        <v>217</v>
      </c>
      <c r="AM21" s="76"/>
      <c r="AN21" s="76" t="s">
        <v>215</v>
      </c>
      <c r="AO21" s="67" t="s">
        <v>215</v>
      </c>
      <c r="AP21" s="76" t="s">
        <v>215</v>
      </c>
      <c r="AQ21" s="67" t="s">
        <v>215</v>
      </c>
      <c r="AR21" s="76" t="s">
        <v>215</v>
      </c>
      <c r="AS21" s="67" t="s">
        <v>215</v>
      </c>
      <c r="AT21" s="76" t="s">
        <v>215</v>
      </c>
      <c r="AU21" s="67" t="s">
        <v>215</v>
      </c>
      <c r="AV21" s="76" t="s">
        <v>215</v>
      </c>
      <c r="AW21" s="67" t="s">
        <v>215</v>
      </c>
      <c r="AX21" s="76" t="s">
        <v>215</v>
      </c>
      <c r="AY21" s="67" t="s">
        <v>215</v>
      </c>
      <c r="AZ21" s="76" t="s">
        <v>215</v>
      </c>
      <c r="BA21" s="67" t="s">
        <v>215</v>
      </c>
      <c r="BB21" s="76" t="s">
        <v>416</v>
      </c>
      <c r="BC21" s="76" t="s">
        <v>490</v>
      </c>
      <c r="BD21" s="76" t="s">
        <v>491</v>
      </c>
      <c r="BE21" s="76" t="s">
        <v>492</v>
      </c>
      <c r="BF21" s="76"/>
      <c r="BG21" s="112" t="b">
        <v>1</v>
      </c>
      <c r="BH21" s="112" t="b">
        <v>1</v>
      </c>
      <c r="BI21" s="112" t="b">
        <v>1</v>
      </c>
      <c r="BJ21" s="112" t="b">
        <v>1</v>
      </c>
      <c r="BK21" s="112" t="b">
        <v>1</v>
      </c>
      <c r="BL21" s="112" t="b">
        <v>1</v>
      </c>
      <c r="BM21" s="112" t="b">
        <v>1</v>
      </c>
      <c r="BN21" s="76" t="s">
        <v>419</v>
      </c>
      <c r="BO21" s="76" t="s">
        <v>450</v>
      </c>
      <c r="BP21" s="76" t="s">
        <v>451</v>
      </c>
      <c r="BQ21" s="81" t="s">
        <v>493</v>
      </c>
      <c r="BR21" s="76" t="s">
        <v>270</v>
      </c>
      <c r="BS21" s="76" t="s">
        <v>494</v>
      </c>
      <c r="BT21" s="81" t="s">
        <v>495</v>
      </c>
      <c r="BU21" s="81" t="s">
        <v>347</v>
      </c>
      <c r="BV21" s="81" t="s">
        <v>496</v>
      </c>
      <c r="BW21" s="76" t="s">
        <v>252</v>
      </c>
      <c r="BX21" s="76"/>
      <c r="BY21" s="76"/>
      <c r="BZ21" s="76"/>
      <c r="CA21" s="76"/>
      <c r="CB21" s="76"/>
      <c r="CC21" s="76"/>
      <c r="CD21" s="76"/>
      <c r="CE21" s="76"/>
      <c r="CF21" s="76"/>
      <c r="CG21" s="76"/>
      <c r="CH21" s="112"/>
      <c r="CI21" s="112" t="b">
        <v>1</v>
      </c>
      <c r="CJ21" s="112"/>
      <c r="CK21" s="77"/>
      <c r="CL21" s="76"/>
      <c r="CM21" s="76"/>
      <c r="CN21" s="76"/>
    </row>
    <row r="22" spans="1:92" ht="21.75" customHeight="1">
      <c r="A22" s="76" t="s">
        <v>204</v>
      </c>
      <c r="B22" s="76" t="s">
        <v>441</v>
      </c>
      <c r="C22" s="81" t="s">
        <v>497</v>
      </c>
      <c r="D22" s="95" t="s">
        <v>498</v>
      </c>
      <c r="E22" s="95"/>
      <c r="F22" s="81" t="s">
        <v>276</v>
      </c>
      <c r="G22" s="81" t="s">
        <v>499</v>
      </c>
      <c r="H22" s="81" t="s">
        <v>500</v>
      </c>
      <c r="I22" s="81" t="s">
        <v>501</v>
      </c>
      <c r="J22" s="81" t="s">
        <v>259</v>
      </c>
      <c r="K22" s="76"/>
      <c r="L22" s="81" t="s">
        <v>502</v>
      </c>
      <c r="M22" s="76">
        <v>50.632582296802902</v>
      </c>
      <c r="N22" s="76">
        <v>-3.4172746465461201</v>
      </c>
      <c r="O22" s="76"/>
      <c r="P22" s="76" t="s">
        <v>503</v>
      </c>
      <c r="Q22" s="112" t="b">
        <v>1</v>
      </c>
      <c r="R22" s="63">
        <v>0.41666666666666669</v>
      </c>
      <c r="S22" s="63">
        <v>0.66666666666666663</v>
      </c>
      <c r="T22" s="76" t="s">
        <v>215</v>
      </c>
      <c r="U22" s="76" t="s">
        <v>215</v>
      </c>
      <c r="V22" s="76" t="s">
        <v>215</v>
      </c>
      <c r="W22" s="76" t="s">
        <v>215</v>
      </c>
      <c r="X22" s="76" t="s">
        <v>215</v>
      </c>
      <c r="Y22" s="76" t="s">
        <v>215</v>
      </c>
      <c r="Z22" s="76" t="s">
        <v>215</v>
      </c>
      <c r="AA22" s="76" t="s">
        <v>215</v>
      </c>
      <c r="AB22" s="76" t="s">
        <v>215</v>
      </c>
      <c r="AC22" s="76" t="s">
        <v>215</v>
      </c>
      <c r="AD22" s="76" t="s">
        <v>215</v>
      </c>
      <c r="AE22" s="76" t="s">
        <v>215</v>
      </c>
      <c r="AF22" s="76" t="s">
        <v>215</v>
      </c>
      <c r="AG22" s="76" t="s">
        <v>215</v>
      </c>
      <c r="AH22" s="81" t="s">
        <v>504</v>
      </c>
      <c r="AI22" s="76"/>
      <c r="AJ22" s="112" t="b">
        <v>0</v>
      </c>
      <c r="AK22" s="112" t="b">
        <v>0</v>
      </c>
      <c r="AL22" s="76" t="s">
        <v>217</v>
      </c>
      <c r="AM22" s="76"/>
      <c r="AN22" s="76" t="s">
        <v>215</v>
      </c>
      <c r="AO22" s="67" t="s">
        <v>215</v>
      </c>
      <c r="AP22" s="76" t="s">
        <v>215</v>
      </c>
      <c r="AQ22" s="67" t="s">
        <v>215</v>
      </c>
      <c r="AR22" s="76" t="s">
        <v>215</v>
      </c>
      <c r="AS22" s="67" t="s">
        <v>215</v>
      </c>
      <c r="AT22" s="76" t="s">
        <v>215</v>
      </c>
      <c r="AU22" s="67" t="s">
        <v>215</v>
      </c>
      <c r="AV22" s="76" t="s">
        <v>215</v>
      </c>
      <c r="AW22" s="67" t="s">
        <v>215</v>
      </c>
      <c r="AX22" s="76" t="s">
        <v>215</v>
      </c>
      <c r="AY22" s="67" t="s">
        <v>215</v>
      </c>
      <c r="AZ22" s="76" t="s">
        <v>215</v>
      </c>
      <c r="BA22" s="67" t="s">
        <v>215</v>
      </c>
      <c r="BB22" s="76" t="s">
        <v>505</v>
      </c>
      <c r="BC22" s="76" t="s">
        <v>506</v>
      </c>
      <c r="BD22" s="76" t="s">
        <v>265</v>
      </c>
      <c r="BE22" s="76" t="s">
        <v>507</v>
      </c>
      <c r="BF22" s="76"/>
      <c r="BG22" s="112" t="b">
        <v>1</v>
      </c>
      <c r="BH22" s="112" t="b">
        <v>1</v>
      </c>
      <c r="BI22" s="112" t="b">
        <v>1</v>
      </c>
      <c r="BJ22" s="112" t="b">
        <v>1</v>
      </c>
      <c r="BK22" s="112" t="b">
        <v>1</v>
      </c>
      <c r="BL22" s="112" t="b">
        <v>1</v>
      </c>
      <c r="BM22" s="112" t="b">
        <v>1</v>
      </c>
      <c r="BN22" s="76" t="s">
        <v>223</v>
      </c>
      <c r="BO22" s="76" t="s">
        <v>508</v>
      </c>
      <c r="BP22" s="76" t="s">
        <v>509</v>
      </c>
      <c r="BQ22" s="81" t="s">
        <v>510</v>
      </c>
      <c r="BR22" s="76"/>
      <c r="BS22" s="76"/>
      <c r="BT22" s="81" t="s">
        <v>511</v>
      </c>
      <c r="BU22" s="81"/>
      <c r="BV22" s="81" t="s">
        <v>512</v>
      </c>
      <c r="BW22" s="76" t="s">
        <v>252</v>
      </c>
      <c r="BX22" s="76"/>
      <c r="BY22" s="76"/>
      <c r="BZ22" s="76"/>
      <c r="CA22" s="76"/>
      <c r="CB22" s="76"/>
      <c r="CC22" s="76"/>
      <c r="CD22" s="76"/>
      <c r="CE22" s="76"/>
      <c r="CF22" s="76"/>
      <c r="CG22" s="76"/>
      <c r="CH22" s="112"/>
      <c r="CI22" s="112" t="b">
        <v>1</v>
      </c>
      <c r="CJ22" s="112"/>
      <c r="CK22" s="77"/>
      <c r="CL22" s="76"/>
      <c r="CM22" s="76"/>
      <c r="CN22" s="76"/>
    </row>
    <row r="23" spans="1:92" ht="21.75" customHeight="1">
      <c r="A23" s="76" t="s">
        <v>204</v>
      </c>
      <c r="B23" s="76" t="s">
        <v>513</v>
      </c>
      <c r="C23" s="81" t="s">
        <v>514</v>
      </c>
      <c r="D23" s="95" t="s">
        <v>515</v>
      </c>
      <c r="E23" s="95"/>
      <c r="F23" s="81" t="s">
        <v>352</v>
      </c>
      <c r="G23" s="81" t="s">
        <v>516</v>
      </c>
      <c r="H23" s="81" t="s">
        <v>354</v>
      </c>
      <c r="I23" s="81" t="s">
        <v>355</v>
      </c>
      <c r="J23" s="81" t="s">
        <v>356</v>
      </c>
      <c r="K23" s="76"/>
      <c r="L23" s="81" t="s">
        <v>357</v>
      </c>
      <c r="M23" s="76">
        <v>50.604388613821797</v>
      </c>
      <c r="N23" s="76">
        <v>-3.59397210496908</v>
      </c>
      <c r="O23" s="76"/>
      <c r="P23" s="76" t="s">
        <v>214</v>
      </c>
      <c r="Q23" s="112" t="b">
        <v>1</v>
      </c>
      <c r="R23" s="80" t="s">
        <v>261</v>
      </c>
      <c r="S23" s="80" t="s">
        <v>261</v>
      </c>
      <c r="T23" s="76" t="s">
        <v>215</v>
      </c>
      <c r="U23" s="76" t="s">
        <v>215</v>
      </c>
      <c r="V23" s="76" t="s">
        <v>215</v>
      </c>
      <c r="W23" s="76" t="s">
        <v>215</v>
      </c>
      <c r="X23" s="76" t="s">
        <v>215</v>
      </c>
      <c r="Y23" s="76" t="s">
        <v>215</v>
      </c>
      <c r="Z23" s="76" t="s">
        <v>215</v>
      </c>
      <c r="AA23" s="76" t="s">
        <v>215</v>
      </c>
      <c r="AB23" s="76" t="s">
        <v>215</v>
      </c>
      <c r="AC23" s="76" t="s">
        <v>215</v>
      </c>
      <c r="AD23" s="76" t="s">
        <v>215</v>
      </c>
      <c r="AE23" s="76" t="s">
        <v>215</v>
      </c>
      <c r="AF23" s="76" t="s">
        <v>215</v>
      </c>
      <c r="AG23" s="76" t="s">
        <v>215</v>
      </c>
      <c r="AH23" s="81" t="s">
        <v>215</v>
      </c>
      <c r="AI23" s="76" t="s">
        <v>262</v>
      </c>
      <c r="AJ23" s="112" t="b">
        <v>0</v>
      </c>
      <c r="AK23" s="112" t="b">
        <v>0</v>
      </c>
      <c r="AL23" s="76" t="s">
        <v>217</v>
      </c>
      <c r="AM23" s="76"/>
      <c r="AN23" s="76" t="s">
        <v>215</v>
      </c>
      <c r="AO23" s="67" t="s">
        <v>215</v>
      </c>
      <c r="AP23" s="76" t="s">
        <v>215</v>
      </c>
      <c r="AQ23" s="67" t="s">
        <v>215</v>
      </c>
      <c r="AR23" s="76" t="s">
        <v>215</v>
      </c>
      <c r="AS23" s="67" t="s">
        <v>215</v>
      </c>
      <c r="AT23" s="76" t="s">
        <v>215</v>
      </c>
      <c r="AU23" s="67" t="s">
        <v>215</v>
      </c>
      <c r="AV23" s="76" t="s">
        <v>215</v>
      </c>
      <c r="AW23" s="67" t="s">
        <v>215</v>
      </c>
      <c r="AX23" s="76" t="s">
        <v>215</v>
      </c>
      <c r="AY23" s="67" t="s">
        <v>215</v>
      </c>
      <c r="AZ23" s="76" t="s">
        <v>215</v>
      </c>
      <c r="BA23" s="67" t="s">
        <v>215</v>
      </c>
      <c r="BB23" s="76" t="s">
        <v>358</v>
      </c>
      <c r="BC23" s="76" t="s">
        <v>298</v>
      </c>
      <c r="BD23" s="76"/>
      <c r="BE23" s="76" t="s">
        <v>359</v>
      </c>
      <c r="BF23" s="76" t="s">
        <v>222</v>
      </c>
      <c r="BG23" s="112" t="b">
        <v>0</v>
      </c>
      <c r="BH23" s="112" t="b">
        <v>0</v>
      </c>
      <c r="BI23" s="112" t="b">
        <v>1</v>
      </c>
      <c r="BJ23" s="112" t="b">
        <v>1</v>
      </c>
      <c r="BK23" s="112" t="b">
        <v>1</v>
      </c>
      <c r="BL23" s="112" t="b">
        <v>1</v>
      </c>
      <c r="BM23" s="112" t="b">
        <v>1</v>
      </c>
      <c r="BN23" s="76" t="s">
        <v>223</v>
      </c>
      <c r="BO23" s="76" t="s">
        <v>517</v>
      </c>
      <c r="BP23" s="76" t="s">
        <v>286</v>
      </c>
      <c r="BQ23" s="81" t="s">
        <v>518</v>
      </c>
      <c r="BR23" s="76"/>
      <c r="BS23" s="76"/>
      <c r="BT23" s="81" t="s">
        <v>519</v>
      </c>
      <c r="BU23" s="81"/>
      <c r="BV23" s="81" t="s">
        <v>520</v>
      </c>
      <c r="BW23" s="76" t="s">
        <v>252</v>
      </c>
      <c r="BX23" s="76"/>
      <c r="BY23" s="76"/>
      <c r="BZ23" s="76"/>
      <c r="CA23" s="76"/>
      <c r="CB23" s="76"/>
      <c r="CC23" s="76"/>
      <c r="CD23" s="76"/>
      <c r="CE23" s="76"/>
      <c r="CF23" s="76"/>
      <c r="CG23" s="76"/>
      <c r="CH23" s="112"/>
      <c r="CI23" s="112" t="b">
        <v>1</v>
      </c>
      <c r="CJ23" s="112"/>
      <c r="CK23" s="76"/>
      <c r="CL23" s="76"/>
      <c r="CM23" s="76"/>
      <c r="CN23" s="76"/>
    </row>
    <row r="24" spans="1:92" ht="26.25" customHeight="1">
      <c r="A24" s="76" t="s">
        <v>204</v>
      </c>
      <c r="B24" s="76" t="s">
        <v>349</v>
      </c>
      <c r="C24" s="81" t="s">
        <v>350</v>
      </c>
      <c r="D24" s="95" t="s">
        <v>521</v>
      </c>
      <c r="E24" s="109"/>
      <c r="F24" s="81" t="s">
        <v>522</v>
      </c>
      <c r="G24" s="81" t="s">
        <v>523</v>
      </c>
      <c r="H24" s="76" t="s">
        <v>524</v>
      </c>
      <c r="I24" s="81" t="s">
        <v>525</v>
      </c>
      <c r="J24" s="81" t="s">
        <v>526</v>
      </c>
      <c r="K24" s="114"/>
      <c r="L24" s="81" t="s">
        <v>527</v>
      </c>
      <c r="M24" s="76">
        <v>50.631232299055497</v>
      </c>
      <c r="N24" s="76">
        <v>-3.3129116851860401</v>
      </c>
      <c r="O24" s="114"/>
      <c r="P24" s="76" t="s">
        <v>214</v>
      </c>
      <c r="Q24" s="112" t="b">
        <v>1</v>
      </c>
      <c r="R24" s="80" t="s">
        <v>261</v>
      </c>
      <c r="S24" s="80" t="s">
        <v>261</v>
      </c>
      <c r="T24" s="110" t="s">
        <v>215</v>
      </c>
      <c r="U24" s="110" t="s">
        <v>215</v>
      </c>
      <c r="V24" s="110" t="s">
        <v>215</v>
      </c>
      <c r="W24" s="110" t="s">
        <v>215</v>
      </c>
      <c r="X24" s="110" t="s">
        <v>215</v>
      </c>
      <c r="Y24" s="110" t="s">
        <v>215</v>
      </c>
      <c r="Z24" s="110" t="s">
        <v>215</v>
      </c>
      <c r="AA24" s="110" t="s">
        <v>215</v>
      </c>
      <c r="AB24" s="110" t="s">
        <v>215</v>
      </c>
      <c r="AC24" s="110" t="s">
        <v>215</v>
      </c>
      <c r="AD24" s="110" t="s">
        <v>215</v>
      </c>
      <c r="AE24" s="110" t="s">
        <v>215</v>
      </c>
      <c r="AF24" s="111" t="s">
        <v>215</v>
      </c>
      <c r="AG24" s="111" t="s">
        <v>215</v>
      </c>
      <c r="AH24" s="111" t="s">
        <v>215</v>
      </c>
      <c r="AI24" s="76" t="s">
        <v>262</v>
      </c>
      <c r="AJ24" s="112" t="b">
        <v>0</v>
      </c>
      <c r="AK24" s="112" t="b">
        <v>0</v>
      </c>
      <c r="AL24" s="76" t="s">
        <v>217</v>
      </c>
      <c r="AM24" s="114"/>
      <c r="AN24" s="67" t="s">
        <v>215</v>
      </c>
      <c r="AO24" s="67" t="s">
        <v>215</v>
      </c>
      <c r="AP24" s="67" t="s">
        <v>215</v>
      </c>
      <c r="AQ24" s="67" t="s">
        <v>215</v>
      </c>
      <c r="AR24" s="67" t="s">
        <v>215</v>
      </c>
      <c r="AS24" s="67" t="s">
        <v>215</v>
      </c>
      <c r="AT24" s="67" t="s">
        <v>215</v>
      </c>
      <c r="AU24" s="67" t="s">
        <v>215</v>
      </c>
      <c r="AV24" s="67" t="s">
        <v>215</v>
      </c>
      <c r="AW24" s="67" t="s">
        <v>215</v>
      </c>
      <c r="AX24" s="67" t="s">
        <v>215</v>
      </c>
      <c r="AY24" s="67" t="s">
        <v>215</v>
      </c>
      <c r="AZ24" s="67" t="s">
        <v>215</v>
      </c>
      <c r="BA24" s="67" t="s">
        <v>215</v>
      </c>
      <c r="BB24" s="76" t="s">
        <v>218</v>
      </c>
      <c r="BC24" s="76" t="s">
        <v>243</v>
      </c>
      <c r="BD24" s="114"/>
      <c r="BE24" s="76" t="s">
        <v>359</v>
      </c>
      <c r="BF24" s="76"/>
      <c r="BG24" s="112" t="b">
        <v>0</v>
      </c>
      <c r="BH24" s="112" t="b">
        <v>0</v>
      </c>
      <c r="BI24" s="112" t="b">
        <v>1</v>
      </c>
      <c r="BJ24" s="112" t="b">
        <v>1</v>
      </c>
      <c r="BK24" s="112" t="b">
        <v>1</v>
      </c>
      <c r="BL24" s="112" t="b">
        <v>1</v>
      </c>
      <c r="BM24" s="112" t="b">
        <v>0</v>
      </c>
      <c r="BN24" s="76" t="s">
        <v>223</v>
      </c>
      <c r="BO24" s="76" t="s">
        <v>285</v>
      </c>
      <c r="BP24" s="76" t="s">
        <v>286</v>
      </c>
      <c r="BQ24" s="81" t="s">
        <v>528</v>
      </c>
      <c r="BR24" s="114"/>
      <c r="BS24" s="114"/>
      <c r="BT24" s="81" t="s">
        <v>529</v>
      </c>
      <c r="BU24" s="81"/>
      <c r="BV24" s="81" t="s">
        <v>530</v>
      </c>
      <c r="BW24" s="76" t="s">
        <v>252</v>
      </c>
      <c r="BX24" s="114"/>
      <c r="BY24" s="114"/>
      <c r="BZ24" s="114"/>
      <c r="CA24" s="114"/>
      <c r="CB24" s="114"/>
      <c r="CC24" s="114"/>
      <c r="CD24" s="114"/>
      <c r="CE24" s="114"/>
      <c r="CF24" s="114"/>
      <c r="CG24" s="114"/>
      <c r="CH24" s="114"/>
      <c r="CI24" s="112" t="b">
        <v>1</v>
      </c>
      <c r="CJ24" s="114"/>
      <c r="CK24" s="114"/>
      <c r="CL24" s="114"/>
      <c r="CM24" s="114"/>
      <c r="CN24" s="114"/>
    </row>
    <row r="25" spans="1:92" ht="26.25" customHeight="1">
      <c r="A25" s="76" t="s">
        <v>204</v>
      </c>
      <c r="B25" s="76" t="s">
        <v>349</v>
      </c>
      <c r="C25" s="81" t="s">
        <v>364</v>
      </c>
      <c r="D25" s="95" t="s">
        <v>531</v>
      </c>
      <c r="E25" s="109"/>
      <c r="F25" s="81" t="s">
        <v>532</v>
      </c>
      <c r="G25" s="81" t="s">
        <v>533</v>
      </c>
      <c r="H25" s="76" t="s">
        <v>524</v>
      </c>
      <c r="I25" s="81" t="s">
        <v>525</v>
      </c>
      <c r="J25" s="81" t="s">
        <v>526</v>
      </c>
      <c r="K25" s="114"/>
      <c r="L25" s="81" t="s">
        <v>527</v>
      </c>
      <c r="M25" s="76">
        <v>50.6316270105551</v>
      </c>
      <c r="N25" s="76">
        <v>-3.31272929499085</v>
      </c>
      <c r="O25" s="114"/>
      <c r="P25" s="76" t="s">
        <v>214</v>
      </c>
      <c r="Q25" s="112" t="b">
        <v>1</v>
      </c>
      <c r="R25" s="80" t="s">
        <v>261</v>
      </c>
      <c r="S25" s="80" t="s">
        <v>261</v>
      </c>
      <c r="T25" s="110" t="s">
        <v>215</v>
      </c>
      <c r="U25" s="110" t="s">
        <v>215</v>
      </c>
      <c r="V25" s="110" t="s">
        <v>215</v>
      </c>
      <c r="W25" s="110" t="s">
        <v>215</v>
      </c>
      <c r="X25" s="110" t="s">
        <v>215</v>
      </c>
      <c r="Y25" s="110" t="s">
        <v>215</v>
      </c>
      <c r="Z25" s="110" t="s">
        <v>215</v>
      </c>
      <c r="AA25" s="110" t="s">
        <v>215</v>
      </c>
      <c r="AB25" s="110" t="s">
        <v>215</v>
      </c>
      <c r="AC25" s="110" t="s">
        <v>215</v>
      </c>
      <c r="AD25" s="110" t="s">
        <v>215</v>
      </c>
      <c r="AE25" s="110" t="s">
        <v>215</v>
      </c>
      <c r="AF25" s="111" t="s">
        <v>215</v>
      </c>
      <c r="AG25" s="111" t="s">
        <v>215</v>
      </c>
      <c r="AH25" s="111" t="s">
        <v>215</v>
      </c>
      <c r="AI25" s="76" t="s">
        <v>262</v>
      </c>
      <c r="AJ25" s="112" t="b">
        <v>0</v>
      </c>
      <c r="AK25" s="112" t="b">
        <v>0</v>
      </c>
      <c r="AL25" s="76" t="s">
        <v>217</v>
      </c>
      <c r="AM25" s="114"/>
      <c r="AN25" s="67" t="s">
        <v>215</v>
      </c>
      <c r="AO25" s="67" t="s">
        <v>215</v>
      </c>
      <c r="AP25" s="67" t="s">
        <v>215</v>
      </c>
      <c r="AQ25" s="67" t="s">
        <v>215</v>
      </c>
      <c r="AR25" s="67" t="s">
        <v>215</v>
      </c>
      <c r="AS25" s="67" t="s">
        <v>215</v>
      </c>
      <c r="AT25" s="67" t="s">
        <v>215</v>
      </c>
      <c r="AU25" s="67" t="s">
        <v>215</v>
      </c>
      <c r="AV25" s="67" t="s">
        <v>215</v>
      </c>
      <c r="AW25" s="67" t="s">
        <v>215</v>
      </c>
      <c r="AX25" s="67" t="s">
        <v>215</v>
      </c>
      <c r="AY25" s="67" t="s">
        <v>215</v>
      </c>
      <c r="AZ25" s="67" t="s">
        <v>215</v>
      </c>
      <c r="BA25" s="67" t="s">
        <v>215</v>
      </c>
      <c r="BB25" s="76" t="s">
        <v>218</v>
      </c>
      <c r="BC25" s="76" t="s">
        <v>243</v>
      </c>
      <c r="BD25" s="76" t="s">
        <v>534</v>
      </c>
      <c r="BE25" s="76" t="s">
        <v>359</v>
      </c>
      <c r="BF25" s="114"/>
      <c r="BG25" s="112" t="b">
        <v>0</v>
      </c>
      <c r="BH25" s="112" t="b">
        <v>1</v>
      </c>
      <c r="BI25" s="112" t="b">
        <v>1</v>
      </c>
      <c r="BJ25" s="112" t="b">
        <v>1</v>
      </c>
      <c r="BK25" s="112" t="b">
        <v>0</v>
      </c>
      <c r="BL25" s="112" t="b">
        <v>0</v>
      </c>
      <c r="BM25" s="112" t="b">
        <v>0</v>
      </c>
      <c r="BN25" s="76" t="s">
        <v>223</v>
      </c>
      <c r="BO25" s="76" t="s">
        <v>285</v>
      </c>
      <c r="BP25" s="76" t="s">
        <v>535</v>
      </c>
      <c r="BQ25" s="81" t="s">
        <v>536</v>
      </c>
      <c r="BR25" s="114"/>
      <c r="BS25" s="114"/>
      <c r="BT25" s="81" t="s">
        <v>537</v>
      </c>
      <c r="BU25" s="81"/>
      <c r="BV25" s="81" t="s">
        <v>538</v>
      </c>
      <c r="BW25" s="76" t="s">
        <v>252</v>
      </c>
      <c r="BX25" s="114"/>
      <c r="BY25" s="114"/>
      <c r="BZ25" s="114"/>
      <c r="CA25" s="114"/>
      <c r="CB25" s="114"/>
      <c r="CC25" s="114"/>
      <c r="CD25" s="114"/>
      <c r="CE25" s="114"/>
      <c r="CF25" s="114"/>
      <c r="CG25" s="114"/>
      <c r="CH25" s="114"/>
      <c r="CI25" s="112" t="b">
        <v>1</v>
      </c>
      <c r="CJ25" s="114"/>
      <c r="CK25" s="114"/>
      <c r="CL25" s="114"/>
      <c r="CM25" s="114"/>
      <c r="CN25" s="114"/>
    </row>
    <row r="26" spans="1:92" ht="26.25" customHeight="1">
      <c r="A26" s="76" t="s">
        <v>204</v>
      </c>
      <c r="B26" s="76" t="s">
        <v>253</v>
      </c>
      <c r="C26" s="81" t="s">
        <v>539</v>
      </c>
      <c r="D26" s="95" t="s">
        <v>540</v>
      </c>
      <c r="E26" s="109"/>
      <c r="F26" s="81" t="s">
        <v>276</v>
      </c>
      <c r="G26" s="81" t="s">
        <v>541</v>
      </c>
      <c r="H26" s="76" t="s">
        <v>524</v>
      </c>
      <c r="I26" s="81" t="s">
        <v>525</v>
      </c>
      <c r="J26" s="81" t="s">
        <v>526</v>
      </c>
      <c r="K26" s="114"/>
      <c r="L26" s="81" t="s">
        <v>527</v>
      </c>
      <c r="M26" s="76">
        <v>50.631587474430297</v>
      </c>
      <c r="N26" s="76">
        <v>-3.3123493407783</v>
      </c>
      <c r="O26" s="114"/>
      <c r="P26" s="76" t="s">
        <v>214</v>
      </c>
      <c r="Q26" s="112" t="b">
        <v>1</v>
      </c>
      <c r="R26" s="80" t="s">
        <v>261</v>
      </c>
      <c r="S26" s="80" t="s">
        <v>261</v>
      </c>
      <c r="T26" s="110" t="s">
        <v>215</v>
      </c>
      <c r="U26" s="110" t="s">
        <v>215</v>
      </c>
      <c r="V26" s="110" t="s">
        <v>215</v>
      </c>
      <c r="W26" s="110" t="s">
        <v>215</v>
      </c>
      <c r="X26" s="110" t="s">
        <v>215</v>
      </c>
      <c r="Y26" s="110" t="s">
        <v>215</v>
      </c>
      <c r="Z26" s="110" t="s">
        <v>215</v>
      </c>
      <c r="AA26" s="110" t="s">
        <v>215</v>
      </c>
      <c r="AB26" s="110" t="s">
        <v>215</v>
      </c>
      <c r="AC26" s="110" t="s">
        <v>215</v>
      </c>
      <c r="AD26" s="110" t="s">
        <v>215</v>
      </c>
      <c r="AE26" s="110" t="s">
        <v>215</v>
      </c>
      <c r="AF26" s="111" t="s">
        <v>215</v>
      </c>
      <c r="AG26" s="111" t="s">
        <v>215</v>
      </c>
      <c r="AH26" s="111" t="s">
        <v>215</v>
      </c>
      <c r="AI26" s="76" t="s">
        <v>262</v>
      </c>
      <c r="AJ26" s="112" t="b">
        <v>0</v>
      </c>
      <c r="AK26" s="112" t="b">
        <v>0</v>
      </c>
      <c r="AL26" s="114" t="s">
        <v>217</v>
      </c>
      <c r="AM26" s="114"/>
      <c r="AN26" s="67" t="s">
        <v>215</v>
      </c>
      <c r="AO26" s="67" t="s">
        <v>215</v>
      </c>
      <c r="AP26" s="67" t="s">
        <v>215</v>
      </c>
      <c r="AQ26" s="67" t="s">
        <v>215</v>
      </c>
      <c r="AR26" s="67" t="s">
        <v>215</v>
      </c>
      <c r="AS26" s="67" t="s">
        <v>215</v>
      </c>
      <c r="AT26" s="67" t="s">
        <v>215</v>
      </c>
      <c r="AU26" s="67" t="s">
        <v>215</v>
      </c>
      <c r="AV26" s="67" t="s">
        <v>215</v>
      </c>
      <c r="AW26" s="67" t="s">
        <v>215</v>
      </c>
      <c r="AX26" s="67" t="s">
        <v>215</v>
      </c>
      <c r="AY26" s="67" t="s">
        <v>215</v>
      </c>
      <c r="AZ26" s="67" t="s">
        <v>215</v>
      </c>
      <c r="BA26" s="67" t="s">
        <v>215</v>
      </c>
      <c r="BB26" s="76" t="s">
        <v>218</v>
      </c>
      <c r="BC26" s="114" t="s">
        <v>243</v>
      </c>
      <c r="BD26" s="76" t="s">
        <v>542</v>
      </c>
      <c r="BE26" s="76" t="s">
        <v>359</v>
      </c>
      <c r="BF26" s="76" t="s">
        <v>284</v>
      </c>
      <c r="BG26" s="112" t="b">
        <v>1</v>
      </c>
      <c r="BH26" s="112" t="b">
        <v>1</v>
      </c>
      <c r="BI26" s="112" t="b">
        <v>1</v>
      </c>
      <c r="BJ26" s="112" t="b">
        <v>1</v>
      </c>
      <c r="BK26" s="112" t="b">
        <v>1</v>
      </c>
      <c r="BL26" s="112" t="b">
        <v>1</v>
      </c>
      <c r="BM26" s="112" t="b">
        <v>1</v>
      </c>
      <c r="BN26" s="76" t="s">
        <v>223</v>
      </c>
      <c r="BO26" s="76" t="s">
        <v>285</v>
      </c>
      <c r="BP26" s="76" t="s">
        <v>286</v>
      </c>
      <c r="BQ26" s="81" t="s">
        <v>543</v>
      </c>
      <c r="BR26" s="76" t="s">
        <v>544</v>
      </c>
      <c r="BS26" s="76" t="s">
        <v>545</v>
      </c>
      <c r="BT26" s="81" t="s">
        <v>546</v>
      </c>
      <c r="BU26" s="81" t="s">
        <v>250</v>
      </c>
      <c r="BV26" s="81" t="s">
        <v>547</v>
      </c>
      <c r="BW26" s="76" t="s">
        <v>252</v>
      </c>
      <c r="BX26" s="114"/>
      <c r="BY26" s="114"/>
      <c r="BZ26" s="114"/>
      <c r="CA26" s="114"/>
      <c r="CB26" s="114"/>
      <c r="CC26" s="114"/>
      <c r="CD26" s="114"/>
      <c r="CE26" s="114"/>
      <c r="CF26" s="114"/>
      <c r="CG26" s="114"/>
      <c r="CH26" s="114"/>
      <c r="CI26" s="112" t="b">
        <v>1</v>
      </c>
      <c r="CJ26" s="114"/>
      <c r="CK26" s="114"/>
      <c r="CL26" s="114"/>
      <c r="CM26" s="114"/>
      <c r="CN26" s="114"/>
    </row>
    <row r="27" spans="1:92" ht="26.25" customHeight="1">
      <c r="A27" s="76" t="s">
        <v>204</v>
      </c>
      <c r="B27" s="76" t="s">
        <v>383</v>
      </c>
      <c r="C27" s="81" t="s">
        <v>548</v>
      </c>
      <c r="D27" s="117" t="s">
        <v>549</v>
      </c>
      <c r="E27" s="109"/>
      <c r="F27" s="81" t="s">
        <v>550</v>
      </c>
      <c r="G27" s="81" t="s">
        <v>551</v>
      </c>
      <c r="H27" s="81" t="s">
        <v>552</v>
      </c>
      <c r="I27" s="81" t="s">
        <v>553</v>
      </c>
      <c r="J27" s="81" t="s">
        <v>554</v>
      </c>
      <c r="K27" s="114"/>
      <c r="L27" s="81" t="s">
        <v>555</v>
      </c>
      <c r="M27" s="76">
        <v>50.704238421987299</v>
      </c>
      <c r="N27" s="76">
        <v>-3.39862966003786</v>
      </c>
      <c r="O27" s="114"/>
      <c r="P27" s="76" t="s">
        <v>214</v>
      </c>
      <c r="Q27" s="112" t="b">
        <v>1</v>
      </c>
      <c r="R27" s="80" t="s">
        <v>261</v>
      </c>
      <c r="S27" s="80" t="s">
        <v>261</v>
      </c>
      <c r="T27" s="113" t="s">
        <v>215</v>
      </c>
      <c r="U27" s="113" t="s">
        <v>215</v>
      </c>
      <c r="V27" s="113" t="s">
        <v>215</v>
      </c>
      <c r="W27" s="113" t="s">
        <v>215</v>
      </c>
      <c r="X27" s="113" t="s">
        <v>215</v>
      </c>
      <c r="Y27" s="113" t="s">
        <v>215</v>
      </c>
      <c r="Z27" s="113" t="s">
        <v>215</v>
      </c>
      <c r="AA27" s="113" t="s">
        <v>215</v>
      </c>
      <c r="AB27" s="113" t="s">
        <v>215</v>
      </c>
      <c r="AC27" s="113" t="s">
        <v>215</v>
      </c>
      <c r="AD27" s="113" t="s">
        <v>215</v>
      </c>
      <c r="AE27" s="113" t="s">
        <v>215</v>
      </c>
      <c r="AF27" s="76" t="s">
        <v>215</v>
      </c>
      <c r="AG27" s="76" t="s">
        <v>215</v>
      </c>
      <c r="AH27" s="81" t="s">
        <v>215</v>
      </c>
      <c r="AI27" s="76" t="s">
        <v>262</v>
      </c>
      <c r="AJ27" s="112" t="b">
        <v>0</v>
      </c>
      <c r="AK27" s="112" t="b">
        <v>0</v>
      </c>
      <c r="AL27" s="76" t="s">
        <v>217</v>
      </c>
      <c r="AM27" s="114"/>
      <c r="AN27" s="76" t="s">
        <v>215</v>
      </c>
      <c r="AO27" s="67" t="s">
        <v>215</v>
      </c>
      <c r="AP27" s="76" t="s">
        <v>215</v>
      </c>
      <c r="AQ27" s="67" t="s">
        <v>215</v>
      </c>
      <c r="AR27" s="76" t="s">
        <v>215</v>
      </c>
      <c r="AS27" s="67" t="s">
        <v>215</v>
      </c>
      <c r="AT27" s="76" t="s">
        <v>215</v>
      </c>
      <c r="AU27" s="67" t="s">
        <v>215</v>
      </c>
      <c r="AV27" s="76" t="s">
        <v>215</v>
      </c>
      <c r="AW27" s="67" t="s">
        <v>215</v>
      </c>
      <c r="AX27" s="76" t="s">
        <v>215</v>
      </c>
      <c r="AY27" s="67" t="s">
        <v>215</v>
      </c>
      <c r="AZ27" s="76" t="s">
        <v>215</v>
      </c>
      <c r="BA27" s="67" t="s">
        <v>215</v>
      </c>
      <c r="BB27" s="76" t="s">
        <v>416</v>
      </c>
      <c r="BC27" s="76" t="s">
        <v>556</v>
      </c>
      <c r="BD27" s="76" t="s">
        <v>557</v>
      </c>
      <c r="BE27" s="76" t="s">
        <v>558</v>
      </c>
      <c r="BF27" s="76" t="s">
        <v>284</v>
      </c>
      <c r="BG27" s="112" t="b">
        <v>1</v>
      </c>
      <c r="BH27" s="112" t="b">
        <v>1</v>
      </c>
      <c r="BI27" s="112" t="b">
        <v>1</v>
      </c>
      <c r="BJ27" s="112" t="b">
        <v>1</v>
      </c>
      <c r="BK27" s="112" t="b">
        <v>1</v>
      </c>
      <c r="BL27" s="112" t="b">
        <v>0</v>
      </c>
      <c r="BM27" s="112" t="b">
        <v>1</v>
      </c>
      <c r="BN27" s="76" t="s">
        <v>419</v>
      </c>
      <c r="BO27" s="76" t="s">
        <v>450</v>
      </c>
      <c r="BP27" s="76" t="s">
        <v>509</v>
      </c>
      <c r="BQ27" s="81" t="s">
        <v>559</v>
      </c>
      <c r="BR27" s="76" t="s">
        <v>560</v>
      </c>
      <c r="BS27" s="76" t="s">
        <v>561</v>
      </c>
      <c r="BT27" s="81" t="s">
        <v>562</v>
      </c>
      <c r="BU27" s="81" t="s">
        <v>455</v>
      </c>
      <c r="BV27" s="81" t="s">
        <v>563</v>
      </c>
      <c r="BW27" s="76" t="s">
        <v>252</v>
      </c>
      <c r="BX27" s="114"/>
      <c r="BY27" s="114"/>
      <c r="BZ27" s="114"/>
      <c r="CA27" s="114"/>
      <c r="CB27" s="114"/>
      <c r="CC27" s="114"/>
      <c r="CD27" s="114"/>
      <c r="CE27" s="114"/>
      <c r="CF27" s="114"/>
      <c r="CG27" s="114"/>
      <c r="CH27" s="114"/>
      <c r="CI27" s="112" t="b">
        <v>1</v>
      </c>
      <c r="CJ27" s="114"/>
      <c r="CK27" s="114"/>
      <c r="CL27" s="114"/>
      <c r="CM27" s="114"/>
      <c r="CN27" s="114"/>
    </row>
    <row r="28" spans="1:92" ht="26.25" customHeight="1">
      <c r="A28" s="76" t="s">
        <v>204</v>
      </c>
      <c r="B28" s="76" t="s">
        <v>441</v>
      </c>
      <c r="C28" s="81" t="s">
        <v>482</v>
      </c>
      <c r="D28" s="95" t="s">
        <v>564</v>
      </c>
      <c r="E28" s="109"/>
      <c r="F28" s="81" t="s">
        <v>565</v>
      </c>
      <c r="G28" s="81" t="s">
        <v>566</v>
      </c>
      <c r="H28" s="81" t="s">
        <v>567</v>
      </c>
      <c r="I28" s="114"/>
      <c r="J28" s="81" t="s">
        <v>568</v>
      </c>
      <c r="K28" s="114"/>
      <c r="L28" s="81" t="s">
        <v>569</v>
      </c>
      <c r="M28" s="76">
        <v>50.717330366966102</v>
      </c>
      <c r="N28" s="76">
        <v>-3.5501968312022401</v>
      </c>
      <c r="O28" s="114"/>
      <c r="P28" s="76" t="s">
        <v>570</v>
      </c>
      <c r="Q28" s="112" t="b">
        <v>0</v>
      </c>
      <c r="R28" s="113" t="s">
        <v>215</v>
      </c>
      <c r="S28" s="113" t="s">
        <v>215</v>
      </c>
      <c r="T28" s="63">
        <v>0.41666666666666669</v>
      </c>
      <c r="U28" s="63">
        <v>0.54166666666666663</v>
      </c>
      <c r="V28" s="63">
        <v>0.41666666666666669</v>
      </c>
      <c r="W28" s="63">
        <v>0.54166666666666663</v>
      </c>
      <c r="X28" s="63">
        <v>0.41666666666666669</v>
      </c>
      <c r="Y28" s="63">
        <v>0.54166666666666663</v>
      </c>
      <c r="Z28" s="63">
        <v>0.41666666666666669</v>
      </c>
      <c r="AA28" s="63">
        <v>0.54166666666666663</v>
      </c>
      <c r="AB28" s="63">
        <v>0.41666666666666669</v>
      </c>
      <c r="AC28" s="63">
        <v>0.5</v>
      </c>
      <c r="AD28" s="76" t="s">
        <v>215</v>
      </c>
      <c r="AE28" s="76" t="s">
        <v>215</v>
      </c>
      <c r="AF28" s="76" t="s">
        <v>215</v>
      </c>
      <c r="AG28" s="76" t="s">
        <v>215</v>
      </c>
      <c r="AH28" s="111" t="s">
        <v>571</v>
      </c>
      <c r="AI28" s="114"/>
      <c r="AJ28" s="112" t="b">
        <v>1</v>
      </c>
      <c r="AK28" s="112" t="b">
        <v>0</v>
      </c>
      <c r="AL28" s="76" t="s">
        <v>313</v>
      </c>
      <c r="AM28" s="76" t="s">
        <v>572</v>
      </c>
      <c r="AN28" s="76" t="s">
        <v>215</v>
      </c>
      <c r="AO28" s="67" t="s">
        <v>215</v>
      </c>
      <c r="AP28" s="76" t="s">
        <v>215</v>
      </c>
      <c r="AQ28" s="67" t="s">
        <v>215</v>
      </c>
      <c r="AR28" s="76" t="s">
        <v>215</v>
      </c>
      <c r="AS28" s="67" t="s">
        <v>215</v>
      </c>
      <c r="AT28" s="76" t="s">
        <v>215</v>
      </c>
      <c r="AU28" s="67" t="s">
        <v>215</v>
      </c>
      <c r="AV28" s="76" t="s">
        <v>215</v>
      </c>
      <c r="AW28" s="67" t="s">
        <v>215</v>
      </c>
      <c r="AX28" s="76" t="s">
        <v>573</v>
      </c>
      <c r="AY28" s="67" t="s">
        <v>574</v>
      </c>
      <c r="AZ28" s="81" t="s">
        <v>575</v>
      </c>
      <c r="BA28" s="67" t="s">
        <v>576</v>
      </c>
      <c r="BB28" s="76" t="s">
        <v>358</v>
      </c>
      <c r="BC28" s="76" t="s">
        <v>577</v>
      </c>
      <c r="BD28" s="76" t="s">
        <v>578</v>
      </c>
      <c r="BE28" s="76" t="s">
        <v>321</v>
      </c>
      <c r="BF28" s="114"/>
      <c r="BG28" s="112" t="b">
        <v>1</v>
      </c>
      <c r="BH28" s="112" t="b">
        <v>1</v>
      </c>
      <c r="BI28" s="112" t="b">
        <v>1</v>
      </c>
      <c r="BJ28" s="112" t="b">
        <v>1</v>
      </c>
      <c r="BK28" s="112" t="b">
        <v>0</v>
      </c>
      <c r="BL28" s="112" t="b">
        <v>0</v>
      </c>
      <c r="BM28" s="112" t="b">
        <v>1</v>
      </c>
      <c r="BN28" s="76" t="s">
        <v>244</v>
      </c>
      <c r="BO28" s="76" t="s">
        <v>437</v>
      </c>
      <c r="BP28" s="76" t="s">
        <v>579</v>
      </c>
      <c r="BQ28" s="81" t="s">
        <v>580</v>
      </c>
      <c r="BR28" s="114"/>
      <c r="BS28" s="114"/>
      <c r="BT28" s="81" t="s">
        <v>581</v>
      </c>
      <c r="BU28" s="81"/>
      <c r="BV28" s="81" t="s">
        <v>582</v>
      </c>
      <c r="BW28" s="114" t="s">
        <v>231</v>
      </c>
      <c r="BX28" s="114"/>
      <c r="BY28" s="114"/>
      <c r="BZ28" s="114"/>
      <c r="CA28" s="114"/>
      <c r="CB28" s="114"/>
      <c r="CC28" s="114"/>
      <c r="CD28" s="114"/>
      <c r="CE28" s="114"/>
      <c r="CF28" s="114"/>
      <c r="CG28" s="114"/>
      <c r="CH28" s="112"/>
      <c r="CI28" s="112" t="b">
        <v>1</v>
      </c>
      <c r="CJ28" s="112"/>
      <c r="CK28" s="77"/>
      <c r="CL28" s="116"/>
      <c r="CM28" s="76"/>
      <c r="CN28" s="76"/>
    </row>
    <row r="29" spans="1:92" ht="26.25" customHeight="1">
      <c r="A29" s="76" t="s">
        <v>204</v>
      </c>
      <c r="B29" s="76" t="s">
        <v>253</v>
      </c>
      <c r="C29" s="81" t="s">
        <v>539</v>
      </c>
      <c r="D29" s="95" t="s">
        <v>583</v>
      </c>
      <c r="E29" s="109"/>
      <c r="F29" s="81" t="s">
        <v>276</v>
      </c>
      <c r="G29" s="81" t="s">
        <v>584</v>
      </c>
      <c r="H29" s="76" t="s">
        <v>524</v>
      </c>
      <c r="I29" s="81" t="s">
        <v>525</v>
      </c>
      <c r="J29" s="81" t="s">
        <v>526</v>
      </c>
      <c r="K29" s="114"/>
      <c r="L29" s="81" t="s">
        <v>527</v>
      </c>
      <c r="M29" s="76">
        <v>50.629884810692403</v>
      </c>
      <c r="N29" s="76">
        <v>-3.3122250397453099</v>
      </c>
      <c r="O29" s="114"/>
      <c r="P29" s="76" t="s">
        <v>214</v>
      </c>
      <c r="Q29" s="112" t="b">
        <v>1</v>
      </c>
      <c r="R29" s="80" t="s">
        <v>261</v>
      </c>
      <c r="S29" s="80" t="s">
        <v>261</v>
      </c>
      <c r="T29" s="76" t="s">
        <v>215</v>
      </c>
      <c r="U29" s="76" t="s">
        <v>215</v>
      </c>
      <c r="V29" s="76" t="s">
        <v>215</v>
      </c>
      <c r="W29" s="76" t="s">
        <v>215</v>
      </c>
      <c r="X29" s="76" t="s">
        <v>215</v>
      </c>
      <c r="Y29" s="76" t="s">
        <v>215</v>
      </c>
      <c r="Z29" s="76" t="s">
        <v>215</v>
      </c>
      <c r="AA29" s="76" t="s">
        <v>215</v>
      </c>
      <c r="AB29" s="76" t="s">
        <v>215</v>
      </c>
      <c r="AC29" s="76" t="s">
        <v>215</v>
      </c>
      <c r="AD29" s="76" t="s">
        <v>215</v>
      </c>
      <c r="AE29" s="76" t="s">
        <v>215</v>
      </c>
      <c r="AF29" s="76" t="s">
        <v>215</v>
      </c>
      <c r="AG29" s="76" t="s">
        <v>215</v>
      </c>
      <c r="AH29" s="111" t="s">
        <v>215</v>
      </c>
      <c r="AI29" s="76" t="s">
        <v>262</v>
      </c>
      <c r="AJ29" s="112" t="b">
        <v>0</v>
      </c>
      <c r="AK29" s="112" t="b">
        <v>0</v>
      </c>
      <c r="AL29" s="76" t="s">
        <v>217</v>
      </c>
      <c r="AM29" s="114"/>
      <c r="AN29" s="76" t="s">
        <v>215</v>
      </c>
      <c r="AO29" s="67" t="s">
        <v>215</v>
      </c>
      <c r="AP29" s="76" t="s">
        <v>215</v>
      </c>
      <c r="AQ29" s="67" t="s">
        <v>215</v>
      </c>
      <c r="AR29" s="76" t="s">
        <v>215</v>
      </c>
      <c r="AS29" s="67" t="s">
        <v>215</v>
      </c>
      <c r="AT29" s="76" t="s">
        <v>215</v>
      </c>
      <c r="AU29" s="67" t="s">
        <v>215</v>
      </c>
      <c r="AV29" s="76" t="s">
        <v>215</v>
      </c>
      <c r="AW29" s="67" t="s">
        <v>215</v>
      </c>
      <c r="AX29" s="76" t="s">
        <v>215</v>
      </c>
      <c r="AY29" s="67" t="s">
        <v>215</v>
      </c>
      <c r="AZ29" s="76" t="s">
        <v>215</v>
      </c>
      <c r="BA29" s="67" t="s">
        <v>215</v>
      </c>
      <c r="BB29" s="76" t="s">
        <v>282</v>
      </c>
      <c r="BC29" s="76" t="s">
        <v>585</v>
      </c>
      <c r="BD29" s="76" t="s">
        <v>265</v>
      </c>
      <c r="BE29" s="76" t="s">
        <v>586</v>
      </c>
      <c r="BF29" s="76" t="s">
        <v>222</v>
      </c>
      <c r="BG29" s="112" t="b">
        <v>1</v>
      </c>
      <c r="BH29" s="112" t="b">
        <v>1</v>
      </c>
      <c r="BI29" s="112" t="b">
        <v>1</v>
      </c>
      <c r="BJ29" s="112" t="b">
        <v>1</v>
      </c>
      <c r="BK29" s="112" t="b">
        <v>1</v>
      </c>
      <c r="BL29" s="112" t="b">
        <v>1</v>
      </c>
      <c r="BM29" s="112" t="b">
        <v>1</v>
      </c>
      <c r="BN29" s="76" t="s">
        <v>223</v>
      </c>
      <c r="BO29" s="76" t="s">
        <v>285</v>
      </c>
      <c r="BP29" s="76" t="s">
        <v>286</v>
      </c>
      <c r="BQ29" s="81" t="s">
        <v>587</v>
      </c>
      <c r="BR29" s="76" t="s">
        <v>270</v>
      </c>
      <c r="BS29" s="76" t="s">
        <v>545</v>
      </c>
      <c r="BT29" s="81" t="s">
        <v>588</v>
      </c>
      <c r="BU29" s="81" t="s">
        <v>589</v>
      </c>
      <c r="BV29" s="81" t="s">
        <v>590</v>
      </c>
      <c r="BW29" s="76" t="s">
        <v>252</v>
      </c>
      <c r="BX29" s="114"/>
      <c r="BY29" s="114"/>
      <c r="BZ29" s="114"/>
      <c r="CA29" s="114"/>
      <c r="CB29" s="114"/>
      <c r="CC29" s="114"/>
      <c r="CD29" s="114"/>
      <c r="CE29" s="114"/>
      <c r="CF29" s="114"/>
      <c r="CG29" s="114"/>
      <c r="CH29" s="112"/>
      <c r="CI29" s="112" t="b">
        <v>1</v>
      </c>
      <c r="CJ29" s="112"/>
      <c r="CK29" s="114"/>
      <c r="CL29" s="114"/>
      <c r="CM29" s="114"/>
      <c r="CN29" s="114"/>
    </row>
    <row r="30" spans="1:92" ht="26.25" customHeight="1">
      <c r="A30" s="76" t="s">
        <v>204</v>
      </c>
      <c r="B30" s="76" t="s">
        <v>349</v>
      </c>
      <c r="C30" s="81" t="s">
        <v>364</v>
      </c>
      <c r="D30" s="95" t="s">
        <v>591</v>
      </c>
      <c r="E30" s="109"/>
      <c r="F30" s="81" t="s">
        <v>276</v>
      </c>
      <c r="G30" s="81" t="s">
        <v>592</v>
      </c>
      <c r="H30" s="81" t="s">
        <v>354</v>
      </c>
      <c r="I30" s="81" t="s">
        <v>355</v>
      </c>
      <c r="J30" s="81" t="s">
        <v>356</v>
      </c>
      <c r="K30" s="114"/>
      <c r="L30" s="81" t="s">
        <v>357</v>
      </c>
      <c r="M30" s="76">
        <v>50.604388613821797</v>
      </c>
      <c r="N30" s="76">
        <v>-3.59397210496908</v>
      </c>
      <c r="O30" s="114"/>
      <c r="P30" s="76" t="s">
        <v>214</v>
      </c>
      <c r="Q30" s="112" t="b">
        <v>1</v>
      </c>
      <c r="R30" s="80" t="s">
        <v>261</v>
      </c>
      <c r="S30" s="80" t="s">
        <v>261</v>
      </c>
      <c r="T30" s="76" t="s">
        <v>215</v>
      </c>
      <c r="U30" s="76" t="s">
        <v>215</v>
      </c>
      <c r="V30" s="76" t="s">
        <v>215</v>
      </c>
      <c r="W30" s="76" t="s">
        <v>215</v>
      </c>
      <c r="X30" s="76" t="s">
        <v>215</v>
      </c>
      <c r="Y30" s="76" t="s">
        <v>215</v>
      </c>
      <c r="Z30" s="76" t="s">
        <v>215</v>
      </c>
      <c r="AA30" s="76" t="s">
        <v>215</v>
      </c>
      <c r="AB30" s="76" t="s">
        <v>215</v>
      </c>
      <c r="AC30" s="76" t="s">
        <v>215</v>
      </c>
      <c r="AD30" s="76" t="s">
        <v>215</v>
      </c>
      <c r="AE30" s="76" t="s">
        <v>215</v>
      </c>
      <c r="AF30" s="76" t="s">
        <v>215</v>
      </c>
      <c r="AG30" s="76" t="s">
        <v>215</v>
      </c>
      <c r="AH30" s="111" t="s">
        <v>215</v>
      </c>
      <c r="AI30" s="114"/>
      <c r="AJ30" s="112" t="b">
        <v>0</v>
      </c>
      <c r="AK30" s="112" t="b">
        <v>0</v>
      </c>
      <c r="AL30" s="76" t="s">
        <v>217</v>
      </c>
      <c r="AM30" s="114"/>
      <c r="AN30" s="76" t="s">
        <v>215</v>
      </c>
      <c r="AO30" s="67" t="s">
        <v>215</v>
      </c>
      <c r="AP30" s="76" t="s">
        <v>215</v>
      </c>
      <c r="AQ30" s="67" t="s">
        <v>215</v>
      </c>
      <c r="AR30" s="76" t="s">
        <v>215</v>
      </c>
      <c r="AS30" s="67" t="s">
        <v>215</v>
      </c>
      <c r="AT30" s="76" t="s">
        <v>215</v>
      </c>
      <c r="AU30" s="67" t="s">
        <v>215</v>
      </c>
      <c r="AV30" s="76" t="s">
        <v>215</v>
      </c>
      <c r="AW30" s="67" t="s">
        <v>215</v>
      </c>
      <c r="AX30" s="76" t="s">
        <v>215</v>
      </c>
      <c r="AY30" s="67" t="s">
        <v>215</v>
      </c>
      <c r="AZ30" s="76" t="s">
        <v>215</v>
      </c>
      <c r="BA30" s="67" t="s">
        <v>215</v>
      </c>
      <c r="BB30" s="76" t="s">
        <v>358</v>
      </c>
      <c r="BC30" s="76" t="s">
        <v>298</v>
      </c>
      <c r="BD30" s="76" t="s">
        <v>370</v>
      </c>
      <c r="BE30" s="76" t="s">
        <v>359</v>
      </c>
      <c r="BF30" s="76" t="s">
        <v>284</v>
      </c>
      <c r="BG30" s="112" t="b">
        <v>0</v>
      </c>
      <c r="BH30" s="112" t="b">
        <v>0</v>
      </c>
      <c r="BI30" s="112" t="b">
        <v>1</v>
      </c>
      <c r="BJ30" s="112" t="b">
        <v>1</v>
      </c>
      <c r="BK30" s="112" t="b">
        <v>0</v>
      </c>
      <c r="BL30" s="112" t="b">
        <v>0</v>
      </c>
      <c r="BM30" s="112" t="b">
        <v>1</v>
      </c>
      <c r="BN30" s="76" t="s">
        <v>223</v>
      </c>
      <c r="BO30" s="76" t="s">
        <v>378</v>
      </c>
      <c r="BP30" s="76" t="s">
        <v>379</v>
      </c>
      <c r="BQ30" s="81" t="s">
        <v>593</v>
      </c>
      <c r="BR30" s="114"/>
      <c r="BS30" s="114"/>
      <c r="BT30" s="81" t="s">
        <v>594</v>
      </c>
      <c r="BU30" s="81"/>
      <c r="BV30" s="81" t="s">
        <v>595</v>
      </c>
      <c r="BW30" s="76" t="s">
        <v>252</v>
      </c>
      <c r="BX30" s="114"/>
      <c r="BY30" s="114"/>
      <c r="BZ30" s="114"/>
      <c r="CA30" s="114"/>
      <c r="CB30" s="114"/>
      <c r="CC30" s="114"/>
      <c r="CD30" s="114"/>
      <c r="CE30" s="114"/>
      <c r="CF30" s="114"/>
      <c r="CG30" s="114"/>
      <c r="CH30" s="112"/>
      <c r="CI30" s="112" t="b">
        <v>1</v>
      </c>
      <c r="CJ30" s="112"/>
      <c r="CK30" s="114"/>
      <c r="CL30" s="114"/>
      <c r="CM30" s="114"/>
      <c r="CN30" s="114"/>
    </row>
    <row r="31" spans="1:92" ht="26.25" customHeight="1">
      <c r="A31" s="76" t="s">
        <v>204</v>
      </c>
      <c r="B31" s="76" t="s">
        <v>304</v>
      </c>
      <c r="C31" s="81" t="s">
        <v>328</v>
      </c>
      <c r="D31" s="117" t="s">
        <v>596</v>
      </c>
      <c r="E31" s="109"/>
      <c r="F31" s="81" t="s">
        <v>307</v>
      </c>
      <c r="G31" s="81" t="s">
        <v>597</v>
      </c>
      <c r="H31" s="81" t="s">
        <v>598</v>
      </c>
      <c r="I31" s="81" t="s">
        <v>599</v>
      </c>
      <c r="J31" s="81" t="s">
        <v>600</v>
      </c>
      <c r="K31" s="114"/>
      <c r="L31" s="81" t="s">
        <v>601</v>
      </c>
      <c r="M31" s="76">
        <v>50.926539948239899</v>
      </c>
      <c r="N31" s="76">
        <v>-3.4809158311927799</v>
      </c>
      <c r="O31" s="114"/>
      <c r="P31" s="76" t="s">
        <v>214</v>
      </c>
      <c r="Q31" s="112" t="b">
        <v>1</v>
      </c>
      <c r="R31" s="63">
        <v>0.41666666666666669</v>
      </c>
      <c r="S31" s="63">
        <v>0.70833333333333337</v>
      </c>
      <c r="T31" s="76" t="s">
        <v>215</v>
      </c>
      <c r="U31" s="76" t="s">
        <v>215</v>
      </c>
      <c r="V31" s="76" t="s">
        <v>215</v>
      </c>
      <c r="W31" s="76" t="s">
        <v>215</v>
      </c>
      <c r="X31" s="76" t="s">
        <v>215</v>
      </c>
      <c r="Y31" s="76" t="s">
        <v>215</v>
      </c>
      <c r="Z31" s="76" t="s">
        <v>215</v>
      </c>
      <c r="AA31" s="76" t="s">
        <v>215</v>
      </c>
      <c r="AB31" s="76" t="s">
        <v>215</v>
      </c>
      <c r="AC31" s="76" t="s">
        <v>215</v>
      </c>
      <c r="AD31" s="76" t="s">
        <v>215</v>
      </c>
      <c r="AE31" s="76" t="s">
        <v>215</v>
      </c>
      <c r="AF31" s="76" t="s">
        <v>215</v>
      </c>
      <c r="AG31" s="76" t="s">
        <v>215</v>
      </c>
      <c r="AH31" s="111" t="s">
        <v>602</v>
      </c>
      <c r="AI31" s="76" t="s">
        <v>262</v>
      </c>
      <c r="AJ31" s="112" t="b">
        <v>1</v>
      </c>
      <c r="AK31" s="112" t="b">
        <v>1</v>
      </c>
      <c r="AL31" s="76" t="s">
        <v>603</v>
      </c>
      <c r="AM31" s="114"/>
      <c r="AN31" s="76" t="s">
        <v>337</v>
      </c>
      <c r="AO31" s="91">
        <v>0</v>
      </c>
      <c r="AP31" s="76" t="s">
        <v>338</v>
      </c>
      <c r="AQ31" s="91">
        <v>9</v>
      </c>
      <c r="AR31" s="76" t="s">
        <v>215</v>
      </c>
      <c r="AS31" s="67" t="s">
        <v>215</v>
      </c>
      <c r="AT31" s="76" t="s">
        <v>215</v>
      </c>
      <c r="AU31" s="67" t="s">
        <v>215</v>
      </c>
      <c r="AV31" s="76" t="s">
        <v>339</v>
      </c>
      <c r="AW31" s="91">
        <v>18</v>
      </c>
      <c r="AX31" s="76" t="s">
        <v>215</v>
      </c>
      <c r="AY31" s="67" t="s">
        <v>215</v>
      </c>
      <c r="AZ31" s="76" t="s">
        <v>604</v>
      </c>
      <c r="BA31" s="91">
        <v>45</v>
      </c>
      <c r="BB31" s="76" t="s">
        <v>605</v>
      </c>
      <c r="BC31" s="76" t="s">
        <v>606</v>
      </c>
      <c r="BD31" s="76" t="s">
        <v>534</v>
      </c>
      <c r="BE31" s="76" t="s">
        <v>607</v>
      </c>
      <c r="BF31" s="76" t="s">
        <v>284</v>
      </c>
      <c r="BG31" s="112" t="b">
        <v>1</v>
      </c>
      <c r="BH31" s="112" t="b">
        <v>1</v>
      </c>
      <c r="BI31" s="112" t="b">
        <v>1</v>
      </c>
      <c r="BJ31" s="112" t="b">
        <v>1</v>
      </c>
      <c r="BK31" s="112" t="b">
        <v>1</v>
      </c>
      <c r="BL31" s="112" t="b">
        <v>1</v>
      </c>
      <c r="BM31" s="112" t="b">
        <v>1</v>
      </c>
      <c r="BN31" s="76" t="s">
        <v>223</v>
      </c>
      <c r="BO31" s="76" t="s">
        <v>285</v>
      </c>
      <c r="BP31" s="76" t="s">
        <v>322</v>
      </c>
      <c r="BQ31" s="81" t="s">
        <v>608</v>
      </c>
      <c r="BR31" s="76" t="s">
        <v>324</v>
      </c>
      <c r="BS31" s="76" t="s">
        <v>609</v>
      </c>
      <c r="BT31" s="81" t="s">
        <v>610</v>
      </c>
      <c r="BU31" s="81"/>
      <c r="BV31" s="81" t="s">
        <v>611</v>
      </c>
      <c r="BW31" s="76" t="s">
        <v>252</v>
      </c>
      <c r="BX31" s="114"/>
      <c r="BY31" s="114"/>
      <c r="BZ31" s="114"/>
      <c r="CA31" s="114"/>
      <c r="CB31" s="114"/>
      <c r="CC31" s="114"/>
      <c r="CD31" s="114"/>
      <c r="CE31" s="114"/>
      <c r="CF31" s="114"/>
      <c r="CG31" s="114"/>
      <c r="CH31" s="112"/>
      <c r="CI31" s="112" t="b">
        <v>1</v>
      </c>
      <c r="CJ31" s="112"/>
      <c r="CK31" s="114"/>
      <c r="CL31" s="114"/>
      <c r="CM31" s="114"/>
      <c r="CN31" s="114"/>
    </row>
    <row r="32" spans="1:92" ht="26.25" customHeight="1">
      <c r="A32" s="76" t="s">
        <v>204</v>
      </c>
      <c r="B32" s="76" t="s">
        <v>304</v>
      </c>
      <c r="C32" s="81" t="s">
        <v>305</v>
      </c>
      <c r="D32" s="95" t="s">
        <v>612</v>
      </c>
      <c r="E32" s="109"/>
      <c r="F32" s="81" t="s">
        <v>613</v>
      </c>
      <c r="G32" s="81" t="s">
        <v>614</v>
      </c>
      <c r="H32" s="81" t="s">
        <v>612</v>
      </c>
      <c r="I32" s="81" t="s">
        <v>615</v>
      </c>
      <c r="J32" s="114"/>
      <c r="K32" s="114"/>
      <c r="L32" s="81" t="s">
        <v>616</v>
      </c>
      <c r="M32" s="76">
        <v>50.938319449697602</v>
      </c>
      <c r="N32" s="76">
        <v>-4.1376039735222196</v>
      </c>
      <c r="O32" s="114"/>
      <c r="P32" s="76" t="s">
        <v>214</v>
      </c>
      <c r="Q32" s="112" t="b">
        <v>1</v>
      </c>
      <c r="R32" s="63">
        <v>0.41666666666666669</v>
      </c>
      <c r="S32" s="63">
        <v>0.75</v>
      </c>
      <c r="T32" s="76" t="s">
        <v>215</v>
      </c>
      <c r="U32" s="76" t="s">
        <v>215</v>
      </c>
      <c r="V32" s="76" t="s">
        <v>215</v>
      </c>
      <c r="W32" s="76" t="s">
        <v>215</v>
      </c>
      <c r="X32" s="76" t="s">
        <v>215</v>
      </c>
      <c r="Y32" s="76" t="s">
        <v>215</v>
      </c>
      <c r="Z32" s="76" t="s">
        <v>215</v>
      </c>
      <c r="AA32" s="76" t="s">
        <v>215</v>
      </c>
      <c r="AB32" s="76" t="s">
        <v>215</v>
      </c>
      <c r="AC32" s="76" t="s">
        <v>215</v>
      </c>
      <c r="AD32" s="76" t="s">
        <v>215</v>
      </c>
      <c r="AE32" s="76" t="s">
        <v>215</v>
      </c>
      <c r="AF32" s="76" t="s">
        <v>215</v>
      </c>
      <c r="AG32" s="76" t="s">
        <v>215</v>
      </c>
      <c r="AH32" s="111" t="s">
        <v>617</v>
      </c>
      <c r="AI32" s="76" t="s">
        <v>262</v>
      </c>
      <c r="AJ32" s="112" t="b">
        <v>1</v>
      </c>
      <c r="AK32" s="112" t="b">
        <v>1</v>
      </c>
      <c r="AL32" s="76" t="s">
        <v>618</v>
      </c>
      <c r="AM32" s="76" t="s">
        <v>619</v>
      </c>
      <c r="AN32" s="76" t="s">
        <v>337</v>
      </c>
      <c r="AO32" s="91">
        <v>0</v>
      </c>
      <c r="AP32" s="76" t="s">
        <v>338</v>
      </c>
      <c r="AQ32" s="91">
        <v>5</v>
      </c>
      <c r="AR32" s="76" t="s">
        <v>215</v>
      </c>
      <c r="AS32" s="67" t="s">
        <v>215</v>
      </c>
      <c r="AT32" s="76" t="s">
        <v>215</v>
      </c>
      <c r="AU32" s="67" t="s">
        <v>215</v>
      </c>
      <c r="AV32" s="76" t="s">
        <v>339</v>
      </c>
      <c r="AW32" s="91">
        <v>17.399999999999999</v>
      </c>
      <c r="AX32" s="76" t="s">
        <v>215</v>
      </c>
      <c r="AY32" s="67" t="s">
        <v>215</v>
      </c>
      <c r="AZ32" s="76" t="s">
        <v>215</v>
      </c>
      <c r="BA32" s="67" t="s">
        <v>215</v>
      </c>
      <c r="BB32" s="76" t="s">
        <v>416</v>
      </c>
      <c r="BC32" s="76" t="s">
        <v>620</v>
      </c>
      <c r="BD32" s="76" t="s">
        <v>621</v>
      </c>
      <c r="BE32" s="76" t="s">
        <v>622</v>
      </c>
      <c r="BF32" s="114"/>
      <c r="BG32" s="112" t="b">
        <v>1</v>
      </c>
      <c r="BH32" s="112" t="b">
        <v>1</v>
      </c>
      <c r="BI32" s="112" t="b">
        <v>1</v>
      </c>
      <c r="BJ32" s="112" t="b">
        <v>1</v>
      </c>
      <c r="BK32" s="112" t="b">
        <v>1</v>
      </c>
      <c r="BL32" s="112" t="b">
        <v>1</v>
      </c>
      <c r="BM32" s="112" t="b">
        <v>1</v>
      </c>
      <c r="BN32" s="76" t="s">
        <v>223</v>
      </c>
      <c r="BO32" s="76" t="s">
        <v>623</v>
      </c>
      <c r="BP32" s="76" t="s">
        <v>322</v>
      </c>
      <c r="BQ32" s="81" t="s">
        <v>624</v>
      </c>
      <c r="BR32" s="76" t="s">
        <v>625</v>
      </c>
      <c r="BS32" s="76" t="s">
        <v>626</v>
      </c>
      <c r="BT32" s="81" t="s">
        <v>627</v>
      </c>
      <c r="BU32" s="81"/>
      <c r="BV32" s="81" t="s">
        <v>628</v>
      </c>
      <c r="BW32" s="76" t="s">
        <v>231</v>
      </c>
      <c r="BX32" s="114"/>
      <c r="BY32" s="114"/>
      <c r="BZ32" s="114"/>
      <c r="CA32" s="114"/>
      <c r="CB32" s="114"/>
      <c r="CC32" s="114"/>
      <c r="CD32" s="114"/>
      <c r="CE32" s="114"/>
      <c r="CF32" s="114"/>
      <c r="CG32" s="114"/>
      <c r="CH32" s="112"/>
      <c r="CI32" s="112" t="b">
        <v>1</v>
      </c>
      <c r="CJ32" s="112"/>
      <c r="CK32" s="114"/>
      <c r="CL32" s="114"/>
      <c r="CM32" s="114"/>
      <c r="CN32" s="114"/>
    </row>
    <row r="33" spans="1:92" ht="26.25" customHeight="1">
      <c r="A33" s="76" t="s">
        <v>204</v>
      </c>
      <c r="B33" s="76" t="s">
        <v>349</v>
      </c>
      <c r="C33" s="81" t="s">
        <v>629</v>
      </c>
      <c r="D33" s="117" t="s">
        <v>630</v>
      </c>
      <c r="E33" s="109"/>
      <c r="F33" s="81" t="s">
        <v>631</v>
      </c>
      <c r="G33" s="81" t="s">
        <v>632</v>
      </c>
      <c r="H33" s="81" t="s">
        <v>630</v>
      </c>
      <c r="I33" s="114"/>
      <c r="J33" s="81" t="s">
        <v>633</v>
      </c>
      <c r="K33" s="114"/>
      <c r="L33" s="81" t="s">
        <v>634</v>
      </c>
      <c r="M33" s="76">
        <v>50.517353231116402</v>
      </c>
      <c r="N33" s="76">
        <v>-3.7891462735412298</v>
      </c>
      <c r="O33" s="114"/>
      <c r="P33" s="76" t="s">
        <v>214</v>
      </c>
      <c r="Q33" s="112" t="b">
        <v>1</v>
      </c>
      <c r="R33" s="63">
        <v>0.375</v>
      </c>
      <c r="S33" s="63">
        <v>0.6875</v>
      </c>
      <c r="T33" s="76" t="s">
        <v>215</v>
      </c>
      <c r="U33" s="76" t="s">
        <v>215</v>
      </c>
      <c r="V33" s="76" t="s">
        <v>215</v>
      </c>
      <c r="W33" s="76" t="s">
        <v>215</v>
      </c>
      <c r="X33" s="76" t="s">
        <v>215</v>
      </c>
      <c r="Y33" s="76" t="s">
        <v>215</v>
      </c>
      <c r="Z33" s="76" t="s">
        <v>215</v>
      </c>
      <c r="AA33" s="76" t="s">
        <v>215</v>
      </c>
      <c r="AB33" s="76" t="s">
        <v>215</v>
      </c>
      <c r="AC33" s="76" t="s">
        <v>215</v>
      </c>
      <c r="AD33" s="76" t="s">
        <v>215</v>
      </c>
      <c r="AE33" s="76" t="s">
        <v>215</v>
      </c>
      <c r="AF33" s="76" t="s">
        <v>215</v>
      </c>
      <c r="AG33" s="76" t="s">
        <v>215</v>
      </c>
      <c r="AH33" s="114"/>
      <c r="AI33" s="76" t="s">
        <v>262</v>
      </c>
      <c r="AJ33" s="112" t="b">
        <v>1</v>
      </c>
      <c r="AK33" s="112" t="b">
        <v>1</v>
      </c>
      <c r="AL33" s="76" t="s">
        <v>635</v>
      </c>
      <c r="AM33" s="76" t="s">
        <v>636</v>
      </c>
      <c r="AN33" s="76" t="s">
        <v>637</v>
      </c>
      <c r="AO33" s="91">
        <v>0</v>
      </c>
      <c r="AP33" s="76" t="s">
        <v>215</v>
      </c>
      <c r="AQ33" s="67" t="s">
        <v>215</v>
      </c>
      <c r="AR33" s="118">
        <v>46115</v>
      </c>
      <c r="AS33" s="67" t="s">
        <v>638</v>
      </c>
      <c r="AT33" s="76" t="s">
        <v>338</v>
      </c>
      <c r="AU33" s="67" t="s">
        <v>639</v>
      </c>
      <c r="AV33" s="76" t="s">
        <v>339</v>
      </c>
      <c r="AW33" s="67" t="s">
        <v>639</v>
      </c>
      <c r="AX33" s="81" t="s">
        <v>640</v>
      </c>
      <c r="AY33" s="67" t="s">
        <v>641</v>
      </c>
      <c r="AZ33" s="76" t="s">
        <v>215</v>
      </c>
      <c r="BA33" s="67" t="s">
        <v>215</v>
      </c>
      <c r="BB33" s="76" t="s">
        <v>416</v>
      </c>
      <c r="BC33" s="76" t="s">
        <v>642</v>
      </c>
      <c r="BD33" s="76" t="s">
        <v>643</v>
      </c>
      <c r="BE33" s="76" t="s">
        <v>644</v>
      </c>
      <c r="BF33" s="76" t="s">
        <v>222</v>
      </c>
      <c r="BG33" s="112" t="b">
        <v>1</v>
      </c>
      <c r="BH33" s="112" t="b">
        <v>1</v>
      </c>
      <c r="BI33" s="112" t="b">
        <v>1</v>
      </c>
      <c r="BJ33" s="112" t="b">
        <v>1</v>
      </c>
      <c r="BK33" s="112" t="b">
        <v>1</v>
      </c>
      <c r="BL33" s="112" t="b">
        <v>1</v>
      </c>
      <c r="BM33" s="112" t="b">
        <v>1</v>
      </c>
      <c r="BN33" s="76" t="s">
        <v>223</v>
      </c>
      <c r="BO33" s="76" t="s">
        <v>645</v>
      </c>
      <c r="BP33" s="76" t="s">
        <v>646</v>
      </c>
      <c r="BQ33" s="81" t="s">
        <v>647</v>
      </c>
      <c r="BR33" s="76" t="s">
        <v>648</v>
      </c>
      <c r="BS33" s="76" t="s">
        <v>649</v>
      </c>
      <c r="BT33" s="81" t="s">
        <v>650</v>
      </c>
      <c r="BU33" s="81" t="s">
        <v>651</v>
      </c>
      <c r="BV33" s="81" t="s">
        <v>652</v>
      </c>
      <c r="BW33" s="76" t="s">
        <v>252</v>
      </c>
      <c r="BX33" s="114"/>
      <c r="BY33" s="114"/>
      <c r="BZ33" s="114"/>
      <c r="CA33" s="114"/>
      <c r="CB33" s="114"/>
      <c r="CC33" s="114"/>
      <c r="CD33" s="114"/>
      <c r="CE33" s="114"/>
      <c r="CF33" s="114"/>
      <c r="CG33" s="114"/>
      <c r="CH33" s="112"/>
      <c r="CI33" s="112" t="b">
        <v>1</v>
      </c>
      <c r="CJ33" s="112"/>
      <c r="CK33" s="114"/>
      <c r="CL33" s="114"/>
      <c r="CM33" s="114"/>
      <c r="CN33" s="114"/>
    </row>
    <row r="34" spans="1:92" ht="26.25" customHeight="1">
      <c r="A34" s="76" t="s">
        <v>204</v>
      </c>
      <c r="B34" s="76" t="s">
        <v>441</v>
      </c>
      <c r="C34" s="81" t="s">
        <v>653</v>
      </c>
      <c r="D34" s="117" t="s">
        <v>654</v>
      </c>
      <c r="E34" s="109"/>
      <c r="F34" s="81" t="s">
        <v>655</v>
      </c>
      <c r="G34" s="81" t="s">
        <v>656</v>
      </c>
      <c r="H34" s="81" t="s">
        <v>657</v>
      </c>
      <c r="I34" s="81" t="s">
        <v>238</v>
      </c>
      <c r="J34" s="81" t="s">
        <v>658</v>
      </c>
      <c r="K34" s="114"/>
      <c r="L34" s="81" t="s">
        <v>659</v>
      </c>
      <c r="M34" s="76">
        <v>50.6856901260321</v>
      </c>
      <c r="N34" s="76">
        <v>-3.4490157343144698</v>
      </c>
      <c r="O34" s="114"/>
      <c r="P34" s="76" t="s">
        <v>214</v>
      </c>
      <c r="Q34" s="112" t="b">
        <v>1</v>
      </c>
      <c r="R34" s="80" t="s">
        <v>261</v>
      </c>
      <c r="S34" s="80" t="s">
        <v>261</v>
      </c>
      <c r="T34" s="113" t="s">
        <v>215</v>
      </c>
      <c r="U34" s="113" t="s">
        <v>215</v>
      </c>
      <c r="V34" s="113" t="s">
        <v>215</v>
      </c>
      <c r="W34" s="113" t="s">
        <v>215</v>
      </c>
      <c r="X34" s="113" t="s">
        <v>215</v>
      </c>
      <c r="Y34" s="113" t="s">
        <v>215</v>
      </c>
      <c r="Z34" s="113" t="s">
        <v>215</v>
      </c>
      <c r="AA34" s="113" t="s">
        <v>215</v>
      </c>
      <c r="AB34" s="113" t="s">
        <v>215</v>
      </c>
      <c r="AC34" s="113" t="s">
        <v>215</v>
      </c>
      <c r="AD34" s="113" t="s">
        <v>215</v>
      </c>
      <c r="AE34" s="113" t="s">
        <v>215</v>
      </c>
      <c r="AF34" s="76" t="s">
        <v>215</v>
      </c>
      <c r="AG34" s="76" t="s">
        <v>215</v>
      </c>
      <c r="AH34" s="81" t="s">
        <v>215</v>
      </c>
      <c r="AI34" s="76" t="s">
        <v>262</v>
      </c>
      <c r="AJ34" s="112" t="b">
        <v>0</v>
      </c>
      <c r="AK34" s="112" t="b">
        <v>0</v>
      </c>
      <c r="AL34" s="76" t="s">
        <v>217</v>
      </c>
      <c r="AM34" s="114"/>
      <c r="AN34" s="76" t="s">
        <v>215</v>
      </c>
      <c r="AO34" s="67" t="s">
        <v>215</v>
      </c>
      <c r="AP34" s="76" t="s">
        <v>215</v>
      </c>
      <c r="AQ34" s="67" t="s">
        <v>215</v>
      </c>
      <c r="AR34" s="76" t="s">
        <v>215</v>
      </c>
      <c r="AS34" s="67" t="s">
        <v>215</v>
      </c>
      <c r="AT34" s="76" t="s">
        <v>215</v>
      </c>
      <c r="AU34" s="67" t="s">
        <v>215</v>
      </c>
      <c r="AV34" s="76" t="s">
        <v>215</v>
      </c>
      <c r="AW34" s="67" t="s">
        <v>215</v>
      </c>
      <c r="AX34" s="76" t="s">
        <v>215</v>
      </c>
      <c r="AY34" s="67" t="s">
        <v>215</v>
      </c>
      <c r="AZ34" s="76" t="s">
        <v>215</v>
      </c>
      <c r="BA34" s="67" t="s">
        <v>215</v>
      </c>
      <c r="BB34" s="76" t="s">
        <v>416</v>
      </c>
      <c r="BC34" s="76" t="s">
        <v>660</v>
      </c>
      <c r="BD34" s="76" t="s">
        <v>661</v>
      </c>
      <c r="BE34" s="76" t="s">
        <v>662</v>
      </c>
      <c r="BF34" s="76" t="s">
        <v>284</v>
      </c>
      <c r="BG34" s="112" t="b">
        <v>1</v>
      </c>
      <c r="BH34" s="112" t="b">
        <v>1</v>
      </c>
      <c r="BI34" s="112" t="b">
        <v>1</v>
      </c>
      <c r="BJ34" s="112" t="b">
        <v>1</v>
      </c>
      <c r="BK34" s="112" t="b">
        <v>1</v>
      </c>
      <c r="BL34" s="112" t="b">
        <v>1</v>
      </c>
      <c r="BM34" s="112" t="b">
        <v>1</v>
      </c>
      <c r="BN34" s="76" t="s">
        <v>419</v>
      </c>
      <c r="BO34" s="76" t="s">
        <v>450</v>
      </c>
      <c r="BP34" s="76" t="s">
        <v>509</v>
      </c>
      <c r="BQ34" s="81" t="s">
        <v>663</v>
      </c>
      <c r="BR34" s="76" t="s">
        <v>560</v>
      </c>
      <c r="BS34" s="76" t="s">
        <v>561</v>
      </c>
      <c r="BT34" s="81" t="s">
        <v>664</v>
      </c>
      <c r="BU34" s="81"/>
      <c r="BV34" s="81" t="s">
        <v>665</v>
      </c>
      <c r="BW34" s="76" t="s">
        <v>252</v>
      </c>
      <c r="BX34" s="114"/>
      <c r="BY34" s="114"/>
      <c r="BZ34" s="114"/>
      <c r="CA34" s="114"/>
      <c r="CB34" s="114"/>
      <c r="CC34" s="114"/>
      <c r="CD34" s="114"/>
      <c r="CE34" s="114"/>
      <c r="CF34" s="114"/>
      <c r="CG34" s="114"/>
      <c r="CH34" s="112"/>
      <c r="CI34" s="112" t="b">
        <v>1</v>
      </c>
      <c r="CJ34" s="112"/>
      <c r="CK34" s="77"/>
      <c r="CL34" s="114"/>
      <c r="CM34" s="114"/>
      <c r="CN34" s="114"/>
    </row>
    <row r="35" spans="1:92" ht="26.25" customHeight="1">
      <c r="A35" s="76" t="s">
        <v>204</v>
      </c>
      <c r="B35" s="76" t="s">
        <v>513</v>
      </c>
      <c r="C35" s="81" t="s">
        <v>514</v>
      </c>
      <c r="D35" s="95" t="s">
        <v>666</v>
      </c>
      <c r="E35" s="109"/>
      <c r="F35" s="81" t="s">
        <v>667</v>
      </c>
      <c r="G35" s="81" t="s">
        <v>668</v>
      </c>
      <c r="H35" s="81" t="s">
        <v>669</v>
      </c>
      <c r="I35" s="114"/>
      <c r="J35" s="81" t="s">
        <v>670</v>
      </c>
      <c r="K35" s="114"/>
      <c r="L35" s="81" t="s">
        <v>671</v>
      </c>
      <c r="M35" s="76">
        <v>50.752928457713601</v>
      </c>
      <c r="N35" s="76">
        <v>-3.40331573948386</v>
      </c>
      <c r="O35" s="114"/>
      <c r="P35" s="76" t="s">
        <v>214</v>
      </c>
      <c r="Q35" s="112" t="b">
        <v>1</v>
      </c>
      <c r="R35" s="80" t="s">
        <v>261</v>
      </c>
      <c r="S35" s="80" t="s">
        <v>261</v>
      </c>
      <c r="T35" s="113" t="s">
        <v>215</v>
      </c>
      <c r="U35" s="113" t="s">
        <v>215</v>
      </c>
      <c r="V35" s="113" t="s">
        <v>215</v>
      </c>
      <c r="W35" s="113" t="s">
        <v>215</v>
      </c>
      <c r="X35" s="113" t="s">
        <v>215</v>
      </c>
      <c r="Y35" s="113" t="s">
        <v>215</v>
      </c>
      <c r="Z35" s="113" t="s">
        <v>215</v>
      </c>
      <c r="AA35" s="113" t="s">
        <v>215</v>
      </c>
      <c r="AB35" s="113" t="s">
        <v>215</v>
      </c>
      <c r="AC35" s="113" t="s">
        <v>215</v>
      </c>
      <c r="AD35" s="113" t="s">
        <v>215</v>
      </c>
      <c r="AE35" s="113" t="s">
        <v>215</v>
      </c>
      <c r="AF35" s="76" t="s">
        <v>215</v>
      </c>
      <c r="AG35" s="76" t="s">
        <v>215</v>
      </c>
      <c r="AH35" s="81" t="s">
        <v>215</v>
      </c>
      <c r="AI35" s="76" t="s">
        <v>262</v>
      </c>
      <c r="AJ35" s="112" t="b">
        <v>0</v>
      </c>
      <c r="AK35" s="112" t="b">
        <v>0</v>
      </c>
      <c r="AL35" s="76" t="s">
        <v>217</v>
      </c>
      <c r="AM35" s="114"/>
      <c r="AN35" s="76" t="s">
        <v>215</v>
      </c>
      <c r="AO35" s="67" t="s">
        <v>215</v>
      </c>
      <c r="AP35" s="76" t="s">
        <v>215</v>
      </c>
      <c r="AQ35" s="67" t="s">
        <v>215</v>
      </c>
      <c r="AR35" s="76" t="s">
        <v>215</v>
      </c>
      <c r="AS35" s="67" t="s">
        <v>215</v>
      </c>
      <c r="AT35" s="76" t="s">
        <v>215</v>
      </c>
      <c r="AU35" s="67" t="s">
        <v>215</v>
      </c>
      <c r="AV35" s="76" t="s">
        <v>215</v>
      </c>
      <c r="AW35" s="67" t="s">
        <v>215</v>
      </c>
      <c r="AX35" s="76" t="s">
        <v>215</v>
      </c>
      <c r="AY35" s="67" t="s">
        <v>215</v>
      </c>
      <c r="AZ35" s="76" t="s">
        <v>215</v>
      </c>
      <c r="BA35" s="67" t="s">
        <v>215</v>
      </c>
      <c r="BB35" s="76" t="s">
        <v>358</v>
      </c>
      <c r="BC35" s="76" t="s">
        <v>672</v>
      </c>
      <c r="BD35" s="114"/>
      <c r="BE35" s="76" t="s">
        <v>359</v>
      </c>
      <c r="BF35" s="114"/>
      <c r="BG35" s="112" t="b">
        <v>0</v>
      </c>
      <c r="BH35" s="112" t="b">
        <v>0</v>
      </c>
      <c r="BI35" s="112" t="b">
        <v>1</v>
      </c>
      <c r="BJ35" s="112" t="b">
        <v>1</v>
      </c>
      <c r="BK35" s="112" t="b">
        <v>1</v>
      </c>
      <c r="BL35" s="112" t="b">
        <v>1</v>
      </c>
      <c r="BM35" s="112" t="b">
        <v>1</v>
      </c>
      <c r="BN35" s="76" t="s">
        <v>223</v>
      </c>
      <c r="BO35" s="76" t="s">
        <v>673</v>
      </c>
      <c r="BP35" s="76" t="s">
        <v>509</v>
      </c>
      <c r="BQ35" s="81" t="s">
        <v>674</v>
      </c>
      <c r="BR35" s="114"/>
      <c r="BS35" s="114"/>
      <c r="BT35" s="81" t="s">
        <v>675</v>
      </c>
      <c r="BU35" s="81"/>
      <c r="BV35" s="81" t="s">
        <v>676</v>
      </c>
      <c r="BW35" s="114" t="s">
        <v>252</v>
      </c>
      <c r="BX35" s="114"/>
      <c r="BY35" s="114"/>
      <c r="BZ35" s="114"/>
      <c r="CA35" s="114"/>
      <c r="CB35" s="114"/>
      <c r="CC35" s="114"/>
      <c r="CD35" s="114"/>
      <c r="CE35" s="114"/>
      <c r="CF35" s="114"/>
      <c r="CG35" s="114"/>
      <c r="CH35" s="112"/>
      <c r="CI35" s="112" t="b">
        <v>1</v>
      </c>
      <c r="CJ35" s="112"/>
      <c r="CK35" s="114"/>
      <c r="CL35" s="114"/>
      <c r="CM35" s="114"/>
      <c r="CN35" s="114"/>
    </row>
    <row r="36" spans="1:92" ht="26.25" customHeight="1">
      <c r="A36" s="76" t="s">
        <v>204</v>
      </c>
      <c r="B36" s="76" t="s">
        <v>253</v>
      </c>
      <c r="C36" s="81" t="s">
        <v>274</v>
      </c>
      <c r="D36" s="95" t="s">
        <v>677</v>
      </c>
      <c r="E36" s="109"/>
      <c r="F36" s="81" t="s">
        <v>276</v>
      </c>
      <c r="G36" s="81" t="s">
        <v>678</v>
      </c>
      <c r="H36" s="81" t="s">
        <v>679</v>
      </c>
      <c r="I36" s="114"/>
      <c r="J36" s="81" t="s">
        <v>280</v>
      </c>
      <c r="K36" s="114"/>
      <c r="L36" s="81" t="s">
        <v>680</v>
      </c>
      <c r="M36" s="76">
        <v>50.676836571547199</v>
      </c>
      <c r="N36" s="76">
        <v>-3.2410458674193698</v>
      </c>
      <c r="O36" s="114"/>
      <c r="P36" s="76" t="s">
        <v>214</v>
      </c>
      <c r="Q36" s="112" t="b">
        <v>1</v>
      </c>
      <c r="R36" s="80" t="s">
        <v>261</v>
      </c>
      <c r="S36" s="80" t="s">
        <v>261</v>
      </c>
      <c r="T36" s="113" t="s">
        <v>215</v>
      </c>
      <c r="U36" s="113" t="s">
        <v>215</v>
      </c>
      <c r="V36" s="113" t="s">
        <v>215</v>
      </c>
      <c r="W36" s="113" t="s">
        <v>215</v>
      </c>
      <c r="X36" s="113" t="s">
        <v>215</v>
      </c>
      <c r="Y36" s="113" t="s">
        <v>215</v>
      </c>
      <c r="Z36" s="113" t="s">
        <v>215</v>
      </c>
      <c r="AA36" s="113" t="s">
        <v>215</v>
      </c>
      <c r="AB36" s="113" t="s">
        <v>215</v>
      </c>
      <c r="AC36" s="113" t="s">
        <v>215</v>
      </c>
      <c r="AD36" s="113" t="s">
        <v>215</v>
      </c>
      <c r="AE36" s="113" t="s">
        <v>215</v>
      </c>
      <c r="AF36" s="76" t="s">
        <v>215</v>
      </c>
      <c r="AG36" s="76" t="s">
        <v>215</v>
      </c>
      <c r="AH36" s="81" t="s">
        <v>215</v>
      </c>
      <c r="AI36" s="76" t="s">
        <v>262</v>
      </c>
      <c r="AJ36" s="112" t="b">
        <v>0</v>
      </c>
      <c r="AK36" s="112" t="b">
        <v>0</v>
      </c>
      <c r="AL36" s="76" t="s">
        <v>217</v>
      </c>
      <c r="AM36" s="114"/>
      <c r="AN36" s="76" t="s">
        <v>215</v>
      </c>
      <c r="AO36" s="67" t="s">
        <v>215</v>
      </c>
      <c r="AP36" s="76" t="s">
        <v>215</v>
      </c>
      <c r="AQ36" s="67" t="s">
        <v>215</v>
      </c>
      <c r="AR36" s="76" t="s">
        <v>215</v>
      </c>
      <c r="AS36" s="67" t="s">
        <v>215</v>
      </c>
      <c r="AT36" s="76" t="s">
        <v>215</v>
      </c>
      <c r="AU36" s="67" t="s">
        <v>215</v>
      </c>
      <c r="AV36" s="76" t="s">
        <v>215</v>
      </c>
      <c r="AW36" s="67" t="s">
        <v>215</v>
      </c>
      <c r="AX36" s="76" t="s">
        <v>215</v>
      </c>
      <c r="AY36" s="67" t="s">
        <v>215</v>
      </c>
      <c r="AZ36" s="76" t="s">
        <v>215</v>
      </c>
      <c r="BA36" s="67" t="s">
        <v>215</v>
      </c>
      <c r="BB36" s="76" t="s">
        <v>218</v>
      </c>
      <c r="BC36" s="76" t="s">
        <v>681</v>
      </c>
      <c r="BD36" s="114"/>
      <c r="BE36" s="76" t="s">
        <v>682</v>
      </c>
      <c r="BF36" s="76" t="s">
        <v>284</v>
      </c>
      <c r="BG36" s="112" t="b">
        <v>1</v>
      </c>
      <c r="BH36" s="112" t="b">
        <v>1</v>
      </c>
      <c r="BI36" s="112" t="b">
        <v>1</v>
      </c>
      <c r="BJ36" s="112" t="b">
        <v>1</v>
      </c>
      <c r="BK36" s="112" t="b">
        <v>1</v>
      </c>
      <c r="BL36" s="112" t="b">
        <v>1</v>
      </c>
      <c r="BM36" s="112" t="b">
        <v>1</v>
      </c>
      <c r="BN36" s="76" t="s">
        <v>223</v>
      </c>
      <c r="BO36" s="76" t="s">
        <v>285</v>
      </c>
      <c r="BP36" s="76" t="s">
        <v>286</v>
      </c>
      <c r="BQ36" s="81" t="s">
        <v>683</v>
      </c>
      <c r="BR36" s="76" t="s">
        <v>270</v>
      </c>
      <c r="BS36" s="114"/>
      <c r="BT36" s="81" t="s">
        <v>684</v>
      </c>
      <c r="BU36" s="81" t="s">
        <v>302</v>
      </c>
      <c r="BV36" s="81" t="s">
        <v>685</v>
      </c>
      <c r="BW36" s="114" t="s">
        <v>252</v>
      </c>
      <c r="BX36" s="114"/>
      <c r="BY36" s="114"/>
      <c r="BZ36" s="114"/>
      <c r="CA36" s="114"/>
      <c r="CB36" s="114"/>
      <c r="CC36" s="114"/>
      <c r="CD36" s="114"/>
      <c r="CE36" s="114"/>
      <c r="CF36" s="114"/>
      <c r="CG36" s="114"/>
      <c r="CH36" s="114"/>
      <c r="CI36" s="112" t="b">
        <v>1</v>
      </c>
      <c r="CJ36" s="114"/>
      <c r="CK36" s="114"/>
      <c r="CL36" s="114"/>
      <c r="CM36" s="114"/>
      <c r="CN36" s="114"/>
    </row>
    <row r="37" spans="1:92" ht="26.25" customHeight="1">
      <c r="A37" s="76" t="s">
        <v>204</v>
      </c>
      <c r="B37" s="76" t="s">
        <v>374</v>
      </c>
      <c r="C37" s="81" t="s">
        <v>426</v>
      </c>
      <c r="D37" s="117" t="s">
        <v>686</v>
      </c>
      <c r="E37" s="109"/>
      <c r="F37" s="81" t="s">
        <v>687</v>
      </c>
      <c r="G37" s="81" t="s">
        <v>688</v>
      </c>
      <c r="H37" s="81" t="s">
        <v>429</v>
      </c>
      <c r="I37" s="114"/>
      <c r="J37" s="81" t="s">
        <v>212</v>
      </c>
      <c r="K37" s="114"/>
      <c r="L37" s="81" t="s">
        <v>430</v>
      </c>
      <c r="M37" s="76">
        <v>50.716847053964301</v>
      </c>
      <c r="N37" s="76">
        <v>-3.5308949792783402</v>
      </c>
      <c r="O37" s="114"/>
      <c r="P37" s="76" t="s">
        <v>214</v>
      </c>
      <c r="Q37" s="112" t="b">
        <v>0</v>
      </c>
      <c r="R37" s="119"/>
      <c r="S37" s="119"/>
      <c r="T37" s="63">
        <v>0.41666666666666669</v>
      </c>
      <c r="U37" s="63">
        <v>0.91666666666666663</v>
      </c>
      <c r="V37" s="63">
        <v>0.41666666666666669</v>
      </c>
      <c r="W37" s="63">
        <v>0.91666666666666663</v>
      </c>
      <c r="X37" s="63">
        <v>0.41666666666666669</v>
      </c>
      <c r="Y37" s="63">
        <v>0.91666666666666663</v>
      </c>
      <c r="Z37" s="63">
        <v>0.41666666666666669</v>
      </c>
      <c r="AA37" s="63">
        <v>0.91666666666666663</v>
      </c>
      <c r="AB37" s="63">
        <v>0.41666666666666669</v>
      </c>
      <c r="AC37" s="63">
        <v>0.91666666666666663</v>
      </c>
      <c r="AD37" s="63">
        <v>0.375</v>
      </c>
      <c r="AE37" s="63">
        <v>0.83333333333333337</v>
      </c>
      <c r="AF37" s="63">
        <v>0.375</v>
      </c>
      <c r="AG37" s="63">
        <v>0.83333333333333337</v>
      </c>
      <c r="AH37" s="111" t="s">
        <v>431</v>
      </c>
      <c r="AI37" s="76" t="s">
        <v>689</v>
      </c>
      <c r="AJ37" s="112" t="b">
        <v>1</v>
      </c>
      <c r="AK37" s="112" t="b">
        <v>1</v>
      </c>
      <c r="AL37" s="76" t="s">
        <v>690</v>
      </c>
      <c r="AM37" s="76" t="s">
        <v>691</v>
      </c>
      <c r="AN37" s="76" t="s">
        <v>215</v>
      </c>
      <c r="AO37" s="67" t="s">
        <v>215</v>
      </c>
      <c r="AP37" s="76" t="s">
        <v>338</v>
      </c>
      <c r="AQ37" s="67" t="s">
        <v>692</v>
      </c>
      <c r="AR37" s="76" t="s">
        <v>215</v>
      </c>
      <c r="AS37" s="67" t="s">
        <v>215</v>
      </c>
      <c r="AT37" s="76" t="s">
        <v>215</v>
      </c>
      <c r="AU37" s="67" t="s">
        <v>215</v>
      </c>
      <c r="AV37" s="76" t="s">
        <v>339</v>
      </c>
      <c r="AW37" s="67" t="s">
        <v>693</v>
      </c>
      <c r="AX37" s="114"/>
      <c r="AY37" s="67" t="s">
        <v>694</v>
      </c>
      <c r="AZ37" s="76" t="s">
        <v>215</v>
      </c>
      <c r="BA37" s="67" t="s">
        <v>215</v>
      </c>
      <c r="BB37" s="76" t="s">
        <v>218</v>
      </c>
      <c r="BC37" s="76" t="s">
        <v>695</v>
      </c>
      <c r="BD37" s="114"/>
      <c r="BE37" s="76" t="s">
        <v>321</v>
      </c>
      <c r="BF37" s="114"/>
      <c r="BG37" s="112" t="b">
        <v>0</v>
      </c>
      <c r="BH37" s="112" t="b">
        <v>0</v>
      </c>
      <c r="BI37" s="112" t="b">
        <v>0</v>
      </c>
      <c r="BJ37" s="112" t="b">
        <v>1</v>
      </c>
      <c r="BK37" s="112" t="b">
        <v>1</v>
      </c>
      <c r="BL37" s="112" t="b">
        <v>1</v>
      </c>
      <c r="BM37" s="112" t="b">
        <v>1</v>
      </c>
      <c r="BN37" s="76" t="s">
        <v>244</v>
      </c>
      <c r="BO37" s="76" t="s">
        <v>437</v>
      </c>
      <c r="BP37" s="76" t="s">
        <v>322</v>
      </c>
      <c r="BQ37" s="81" t="s">
        <v>696</v>
      </c>
      <c r="BR37" s="114"/>
      <c r="BS37" s="114"/>
      <c r="BT37" s="81" t="s">
        <v>697</v>
      </c>
      <c r="BU37" s="81" t="s">
        <v>698</v>
      </c>
      <c r="BV37" s="81" t="s">
        <v>699</v>
      </c>
      <c r="BW37" s="76" t="s">
        <v>252</v>
      </c>
      <c r="BX37" s="114"/>
      <c r="BY37" s="114"/>
      <c r="BZ37" s="114"/>
      <c r="CA37" s="114"/>
      <c r="CB37" s="114"/>
      <c r="CC37" s="114"/>
      <c r="CD37" s="114"/>
      <c r="CE37" s="114"/>
      <c r="CF37" s="114"/>
      <c r="CG37" s="114"/>
      <c r="CH37" s="112"/>
      <c r="CI37" s="112" t="b">
        <v>1</v>
      </c>
      <c r="CJ37" s="112"/>
      <c r="CK37" s="114"/>
      <c r="CL37" s="114"/>
      <c r="CM37" s="114"/>
      <c r="CN37" s="114"/>
    </row>
    <row r="38" spans="1:92" ht="26.25" customHeight="1">
      <c r="A38" s="76" t="s">
        <v>204</v>
      </c>
      <c r="B38" s="76" t="s">
        <v>374</v>
      </c>
      <c r="C38" s="81" t="s">
        <v>426</v>
      </c>
      <c r="D38" s="117" t="s">
        <v>700</v>
      </c>
      <c r="E38" s="109"/>
      <c r="F38" s="81" t="s">
        <v>687</v>
      </c>
      <c r="G38" s="81" t="s">
        <v>701</v>
      </c>
      <c r="H38" s="81" t="s">
        <v>700</v>
      </c>
      <c r="I38" s="81" t="s">
        <v>702</v>
      </c>
      <c r="J38" s="81" t="s">
        <v>212</v>
      </c>
      <c r="K38" s="114"/>
      <c r="L38" s="81" t="s">
        <v>703</v>
      </c>
      <c r="M38" s="76">
        <v>50.720148784936299</v>
      </c>
      <c r="N38" s="76">
        <v>-3.5378607465421799</v>
      </c>
      <c r="O38" s="114"/>
      <c r="P38" s="76" t="s">
        <v>214</v>
      </c>
      <c r="Q38" s="112" t="b">
        <v>0</v>
      </c>
      <c r="R38" s="113" t="s">
        <v>215</v>
      </c>
      <c r="S38" s="113" t="s">
        <v>215</v>
      </c>
      <c r="T38" s="63">
        <v>0.41666666666666669</v>
      </c>
      <c r="U38" s="63">
        <v>0.91666666666666663</v>
      </c>
      <c r="V38" s="63">
        <v>0.41666666666666669</v>
      </c>
      <c r="W38" s="63">
        <v>0.91666666666666663</v>
      </c>
      <c r="X38" s="63">
        <v>0.41666666666666669</v>
      </c>
      <c r="Y38" s="63">
        <v>0.91666666666666663</v>
      </c>
      <c r="Z38" s="63">
        <v>0.41666666666666669</v>
      </c>
      <c r="AA38" s="63">
        <v>0.91666666666666663</v>
      </c>
      <c r="AB38" s="63">
        <v>0.41666666666666669</v>
      </c>
      <c r="AC38" s="63">
        <v>0.91666666666666663</v>
      </c>
      <c r="AD38" s="63">
        <v>0.375</v>
      </c>
      <c r="AE38" s="63">
        <v>0.79166666666666663</v>
      </c>
      <c r="AF38" s="63">
        <v>0.375</v>
      </c>
      <c r="AG38" s="63">
        <v>0.79166666666666663</v>
      </c>
      <c r="AH38" s="111" t="s">
        <v>431</v>
      </c>
      <c r="AI38" s="76" t="s">
        <v>704</v>
      </c>
      <c r="AJ38" s="112" t="b">
        <v>1</v>
      </c>
      <c r="AK38" s="112" t="b">
        <v>1</v>
      </c>
      <c r="AL38" s="76" t="s">
        <v>705</v>
      </c>
      <c r="AM38" s="76" t="s">
        <v>691</v>
      </c>
      <c r="AN38" s="76" t="s">
        <v>215</v>
      </c>
      <c r="AO38" s="67" t="s">
        <v>215</v>
      </c>
      <c r="AP38" s="76" t="s">
        <v>706</v>
      </c>
      <c r="AQ38" s="91">
        <v>12</v>
      </c>
      <c r="AR38" s="76" t="s">
        <v>215</v>
      </c>
      <c r="AS38" s="67" t="s">
        <v>215</v>
      </c>
      <c r="AT38" s="76" t="s">
        <v>215</v>
      </c>
      <c r="AU38" s="67" t="s">
        <v>215</v>
      </c>
      <c r="AV38" s="76" t="s">
        <v>339</v>
      </c>
      <c r="AW38" s="91">
        <v>14</v>
      </c>
      <c r="AX38" s="81" t="s">
        <v>707</v>
      </c>
      <c r="AY38" s="91">
        <v>12</v>
      </c>
      <c r="AZ38" s="76" t="s">
        <v>215</v>
      </c>
      <c r="BA38" s="67" t="s">
        <v>215</v>
      </c>
      <c r="BB38" s="76" t="s">
        <v>218</v>
      </c>
      <c r="BC38" s="76" t="s">
        <v>708</v>
      </c>
      <c r="BD38" s="114"/>
      <c r="BE38" s="76" t="s">
        <v>709</v>
      </c>
      <c r="BF38" s="114"/>
      <c r="BG38" s="112" t="b">
        <v>0</v>
      </c>
      <c r="BH38" s="112" t="b">
        <v>0</v>
      </c>
      <c r="BI38" s="112" t="b">
        <v>0</v>
      </c>
      <c r="BJ38" s="112" t="b">
        <v>1</v>
      </c>
      <c r="BK38" s="112" t="b">
        <v>1</v>
      </c>
      <c r="BL38" s="112" t="b">
        <v>1</v>
      </c>
      <c r="BM38" s="112" t="b">
        <v>1</v>
      </c>
      <c r="BN38" s="76" t="s">
        <v>244</v>
      </c>
      <c r="BO38" s="76" t="s">
        <v>437</v>
      </c>
      <c r="BP38" s="76" t="s">
        <v>579</v>
      </c>
      <c r="BQ38" s="81" t="s">
        <v>710</v>
      </c>
      <c r="BR38" s="114"/>
      <c r="BS38" s="114"/>
      <c r="BT38" s="81" t="s">
        <v>697</v>
      </c>
      <c r="BU38" s="81" t="s">
        <v>698</v>
      </c>
      <c r="BV38" s="81" t="s">
        <v>711</v>
      </c>
      <c r="BW38" s="76" t="s">
        <v>252</v>
      </c>
      <c r="BX38" s="114"/>
      <c r="BY38" s="114"/>
      <c r="BZ38" s="114"/>
      <c r="CA38" s="114"/>
      <c r="CB38" s="114"/>
      <c r="CC38" s="114"/>
      <c r="CD38" s="114"/>
      <c r="CE38" s="114"/>
      <c r="CF38" s="114"/>
      <c r="CG38" s="114"/>
      <c r="CH38" s="112"/>
      <c r="CI38" s="112" t="b">
        <v>1</v>
      </c>
      <c r="CJ38" s="112"/>
      <c r="CK38" s="114"/>
      <c r="CL38" s="114"/>
      <c r="CM38" s="114"/>
      <c r="CN38" s="114"/>
    </row>
    <row r="39" spans="1:92" ht="26.25" customHeight="1">
      <c r="A39" s="114" t="s">
        <v>204</v>
      </c>
      <c r="B39" s="76" t="s">
        <v>712</v>
      </c>
      <c r="C39" s="81" t="s">
        <v>713</v>
      </c>
      <c r="D39" s="95" t="s">
        <v>714</v>
      </c>
      <c r="E39" s="109"/>
      <c r="F39" s="81" t="s">
        <v>715</v>
      </c>
      <c r="G39" s="81" t="s">
        <v>716</v>
      </c>
      <c r="H39" s="76" t="s">
        <v>717</v>
      </c>
      <c r="I39" s="81" t="s">
        <v>294</v>
      </c>
      <c r="J39" s="81" t="s">
        <v>295</v>
      </c>
      <c r="K39" s="114"/>
      <c r="L39" s="81" t="s">
        <v>296</v>
      </c>
      <c r="M39" s="76">
        <v>50.647655532257801</v>
      </c>
      <c r="N39" s="76">
        <v>-3.43161567353537</v>
      </c>
      <c r="O39" s="114"/>
      <c r="P39" s="76" t="s">
        <v>718</v>
      </c>
      <c r="Q39" s="112" t="b">
        <v>0</v>
      </c>
      <c r="R39" s="113" t="s">
        <v>215</v>
      </c>
      <c r="S39" s="113" t="s">
        <v>215</v>
      </c>
      <c r="T39" s="113" t="s">
        <v>215</v>
      </c>
      <c r="U39" s="113" t="s">
        <v>215</v>
      </c>
      <c r="V39" s="63">
        <v>0.41666666666666669</v>
      </c>
      <c r="W39" s="63">
        <v>0.70833333333333337</v>
      </c>
      <c r="X39" s="63">
        <v>0.375</v>
      </c>
      <c r="Y39" s="63">
        <v>0.70833333333333337</v>
      </c>
      <c r="Z39" s="63">
        <v>0.375</v>
      </c>
      <c r="AA39" s="63">
        <v>0.70833333333333337</v>
      </c>
      <c r="AB39" s="63">
        <v>0.375</v>
      </c>
      <c r="AC39" s="63">
        <v>0.70833333333333337</v>
      </c>
      <c r="AD39" s="63">
        <v>0.375</v>
      </c>
      <c r="AE39" s="63">
        <v>0.70833333333333337</v>
      </c>
      <c r="AF39" s="63">
        <v>0.41666666666666669</v>
      </c>
      <c r="AG39" s="63">
        <v>0.66666666666666663</v>
      </c>
      <c r="AH39" s="111" t="s">
        <v>719</v>
      </c>
      <c r="AI39" s="114"/>
      <c r="AJ39" s="112" t="b">
        <v>0</v>
      </c>
      <c r="AK39" s="112" t="b">
        <v>0</v>
      </c>
      <c r="AL39" s="114"/>
      <c r="AM39" s="114"/>
      <c r="AN39" s="76" t="s">
        <v>215</v>
      </c>
      <c r="AO39" s="67" t="s">
        <v>215</v>
      </c>
      <c r="AP39" s="76" t="s">
        <v>215</v>
      </c>
      <c r="AQ39" s="67" t="s">
        <v>215</v>
      </c>
      <c r="AR39" s="76" t="s">
        <v>215</v>
      </c>
      <c r="AS39" s="67" t="s">
        <v>215</v>
      </c>
      <c r="AT39" s="76" t="s">
        <v>215</v>
      </c>
      <c r="AU39" s="67" t="s">
        <v>215</v>
      </c>
      <c r="AV39" s="76" t="s">
        <v>215</v>
      </c>
      <c r="AW39" s="67" t="s">
        <v>215</v>
      </c>
      <c r="AX39" s="76" t="s">
        <v>215</v>
      </c>
      <c r="AY39" s="67" t="s">
        <v>215</v>
      </c>
      <c r="AZ39" s="76" t="s">
        <v>215</v>
      </c>
      <c r="BA39" s="67" t="s">
        <v>215</v>
      </c>
      <c r="BB39" s="76" t="s">
        <v>720</v>
      </c>
      <c r="BC39" s="76" t="s">
        <v>721</v>
      </c>
      <c r="BD39" s="76" t="s">
        <v>722</v>
      </c>
      <c r="BE39" s="76" t="s">
        <v>723</v>
      </c>
      <c r="BF39" s="114"/>
      <c r="BG39" s="112" t="b">
        <v>0</v>
      </c>
      <c r="BH39" s="112" t="b">
        <v>0</v>
      </c>
      <c r="BI39" s="112" t="b">
        <v>0</v>
      </c>
      <c r="BJ39" s="112" t="b">
        <v>1</v>
      </c>
      <c r="BK39" s="112" t="b">
        <v>1</v>
      </c>
      <c r="BL39" s="112" t="b">
        <v>1</v>
      </c>
      <c r="BM39" s="112" t="b">
        <v>1</v>
      </c>
      <c r="BN39" s="76" t="s">
        <v>244</v>
      </c>
      <c r="BO39" s="76" t="s">
        <v>724</v>
      </c>
      <c r="BP39" s="76" t="s">
        <v>451</v>
      </c>
      <c r="BQ39" s="81" t="s">
        <v>725</v>
      </c>
      <c r="BR39" s="114"/>
      <c r="BS39" s="114"/>
      <c r="BT39" s="81" t="s">
        <v>726</v>
      </c>
      <c r="BU39" s="81"/>
      <c r="BV39" s="81" t="s">
        <v>727</v>
      </c>
      <c r="BW39" s="114" t="s">
        <v>252</v>
      </c>
      <c r="BX39" s="114"/>
      <c r="BY39" s="114"/>
      <c r="BZ39" s="114"/>
      <c r="CA39" s="114"/>
      <c r="CB39" s="114"/>
      <c r="CC39" s="114"/>
      <c r="CD39" s="114"/>
      <c r="CE39" s="114"/>
      <c r="CF39" s="114"/>
      <c r="CG39" s="114"/>
      <c r="CH39" s="112"/>
      <c r="CI39" s="112" t="b">
        <v>1</v>
      </c>
      <c r="CJ39" s="112"/>
      <c r="CK39" s="114"/>
      <c r="CL39" s="114"/>
      <c r="CM39" s="114"/>
      <c r="CN39" s="114"/>
    </row>
    <row r="40" spans="1:92" ht="26.25" customHeight="1">
      <c r="A40" s="76" t="s">
        <v>204</v>
      </c>
      <c r="B40" s="76" t="s">
        <v>349</v>
      </c>
      <c r="C40" s="81" t="s">
        <v>350</v>
      </c>
      <c r="D40" s="95" t="s">
        <v>728</v>
      </c>
      <c r="E40" s="109"/>
      <c r="F40" s="81" t="s">
        <v>256</v>
      </c>
      <c r="G40" s="81" t="s">
        <v>729</v>
      </c>
      <c r="H40" s="81" t="s">
        <v>368</v>
      </c>
      <c r="I40" s="114"/>
      <c r="J40" s="81" t="s">
        <v>280</v>
      </c>
      <c r="K40" s="114"/>
      <c r="L40" s="81" t="s">
        <v>369</v>
      </c>
      <c r="M40" s="76">
        <v>50.693941419754097</v>
      </c>
      <c r="N40" s="76">
        <v>-3.23806221023142</v>
      </c>
      <c r="O40" s="114"/>
      <c r="P40" s="76" t="s">
        <v>214</v>
      </c>
      <c r="Q40" s="112" t="b">
        <v>1</v>
      </c>
      <c r="R40" s="80" t="s">
        <v>730</v>
      </c>
      <c r="S40" s="80" t="s">
        <v>261</v>
      </c>
      <c r="T40" s="113" t="s">
        <v>215</v>
      </c>
      <c r="U40" s="113" t="s">
        <v>215</v>
      </c>
      <c r="V40" s="113" t="s">
        <v>215</v>
      </c>
      <c r="W40" s="113" t="s">
        <v>215</v>
      </c>
      <c r="X40" s="113" t="s">
        <v>215</v>
      </c>
      <c r="Y40" s="113" t="s">
        <v>215</v>
      </c>
      <c r="Z40" s="113" t="s">
        <v>215</v>
      </c>
      <c r="AA40" s="113" t="s">
        <v>215</v>
      </c>
      <c r="AB40" s="113" t="s">
        <v>215</v>
      </c>
      <c r="AC40" s="113" t="s">
        <v>215</v>
      </c>
      <c r="AD40" s="113" t="s">
        <v>215</v>
      </c>
      <c r="AE40" s="113" t="s">
        <v>215</v>
      </c>
      <c r="AF40" s="113" t="s">
        <v>215</v>
      </c>
      <c r="AG40" s="113" t="s">
        <v>215</v>
      </c>
      <c r="AH40" s="76" t="s">
        <v>215</v>
      </c>
      <c r="AI40" s="76" t="s">
        <v>262</v>
      </c>
      <c r="AJ40" s="112" t="b">
        <v>0</v>
      </c>
      <c r="AK40" s="112" t="b">
        <v>0</v>
      </c>
      <c r="AL40" s="76" t="s">
        <v>217</v>
      </c>
      <c r="AM40" s="114"/>
      <c r="AN40" s="76" t="s">
        <v>215</v>
      </c>
      <c r="AO40" s="67" t="s">
        <v>215</v>
      </c>
      <c r="AP40" s="76" t="s">
        <v>215</v>
      </c>
      <c r="AQ40" s="67" t="s">
        <v>215</v>
      </c>
      <c r="AR40" s="76" t="s">
        <v>215</v>
      </c>
      <c r="AS40" s="67" t="s">
        <v>215</v>
      </c>
      <c r="AT40" s="76" t="s">
        <v>215</v>
      </c>
      <c r="AU40" s="67" t="s">
        <v>215</v>
      </c>
      <c r="AV40" s="76" t="s">
        <v>215</v>
      </c>
      <c r="AW40" s="67" t="s">
        <v>215</v>
      </c>
      <c r="AX40" s="76" t="s">
        <v>215</v>
      </c>
      <c r="AY40" s="67" t="s">
        <v>215</v>
      </c>
      <c r="AZ40" s="76" t="s">
        <v>215</v>
      </c>
      <c r="BA40" s="67" t="s">
        <v>215</v>
      </c>
      <c r="BB40" s="76" t="s">
        <v>358</v>
      </c>
      <c r="BC40" s="76" t="s">
        <v>585</v>
      </c>
      <c r="BD40" s="114"/>
      <c r="BE40" s="76" t="s">
        <v>359</v>
      </c>
      <c r="BF40" s="76" t="s">
        <v>731</v>
      </c>
      <c r="BG40" s="112" t="b">
        <v>0</v>
      </c>
      <c r="BH40" s="112" t="b">
        <v>0</v>
      </c>
      <c r="BI40" s="112" t="b">
        <v>1</v>
      </c>
      <c r="BJ40" s="112" t="b">
        <v>1</v>
      </c>
      <c r="BK40" s="112" t="b">
        <v>1</v>
      </c>
      <c r="BL40" s="112" t="b">
        <v>1</v>
      </c>
      <c r="BM40" s="112" t="b">
        <v>1</v>
      </c>
      <c r="BN40" s="76" t="s">
        <v>223</v>
      </c>
      <c r="BO40" s="76" t="s">
        <v>732</v>
      </c>
      <c r="BP40" s="76" t="s">
        <v>286</v>
      </c>
      <c r="BQ40" s="81" t="s">
        <v>733</v>
      </c>
      <c r="BR40" s="114"/>
      <c r="BS40" s="114"/>
      <c r="BT40" s="81" t="s">
        <v>734</v>
      </c>
      <c r="BU40" s="81"/>
      <c r="BV40" s="81" t="s">
        <v>735</v>
      </c>
      <c r="BW40" s="76" t="s">
        <v>252</v>
      </c>
      <c r="BX40" s="114"/>
      <c r="BY40" s="114"/>
      <c r="BZ40" s="114"/>
      <c r="CA40" s="114"/>
      <c r="CB40" s="114"/>
      <c r="CC40" s="114"/>
      <c r="CD40" s="114"/>
      <c r="CE40" s="114"/>
      <c r="CF40" s="114"/>
      <c r="CG40" s="114"/>
      <c r="CH40" s="112"/>
      <c r="CI40" s="112" t="b">
        <v>1</v>
      </c>
      <c r="CJ40" s="112"/>
      <c r="CK40" s="114"/>
      <c r="CL40" s="114"/>
      <c r="CM40" s="114"/>
      <c r="CN40" s="114"/>
    </row>
    <row r="41" spans="1:92" ht="26.25" customHeight="1">
      <c r="A41" s="76" t="s">
        <v>204</v>
      </c>
      <c r="B41" s="76" t="s">
        <v>349</v>
      </c>
      <c r="C41" s="81" t="s">
        <v>364</v>
      </c>
      <c r="D41" s="95" t="s">
        <v>736</v>
      </c>
      <c r="E41" s="109"/>
      <c r="F41" s="81" t="s">
        <v>276</v>
      </c>
      <c r="G41" s="81" t="s">
        <v>737</v>
      </c>
      <c r="H41" s="81" t="s">
        <v>738</v>
      </c>
      <c r="I41" s="81" t="s">
        <v>739</v>
      </c>
      <c r="J41" s="81" t="s">
        <v>212</v>
      </c>
      <c r="K41" s="114"/>
      <c r="L41" s="81" t="s">
        <v>740</v>
      </c>
      <c r="M41" s="76">
        <v>50.675895740308803</v>
      </c>
      <c r="N41" s="76">
        <v>-3.4036220539183302</v>
      </c>
      <c r="O41" s="114"/>
      <c r="P41" s="76" t="s">
        <v>741</v>
      </c>
      <c r="Q41" s="112" t="b">
        <v>1</v>
      </c>
      <c r="R41" s="80" t="s">
        <v>730</v>
      </c>
      <c r="S41" s="80" t="s">
        <v>261</v>
      </c>
      <c r="T41" s="113" t="s">
        <v>215</v>
      </c>
      <c r="U41" s="113" t="s">
        <v>215</v>
      </c>
      <c r="V41" s="113" t="s">
        <v>215</v>
      </c>
      <c r="W41" s="113" t="s">
        <v>215</v>
      </c>
      <c r="X41" s="113" t="s">
        <v>215</v>
      </c>
      <c r="Y41" s="113" t="s">
        <v>215</v>
      </c>
      <c r="Z41" s="113" t="s">
        <v>215</v>
      </c>
      <c r="AA41" s="113" t="s">
        <v>215</v>
      </c>
      <c r="AB41" s="113" t="s">
        <v>215</v>
      </c>
      <c r="AC41" s="113" t="s">
        <v>215</v>
      </c>
      <c r="AD41" s="113" t="s">
        <v>215</v>
      </c>
      <c r="AE41" s="113" t="s">
        <v>215</v>
      </c>
      <c r="AF41" s="113" t="s">
        <v>215</v>
      </c>
      <c r="AG41" s="113" t="s">
        <v>215</v>
      </c>
      <c r="AH41" s="76" t="s">
        <v>215</v>
      </c>
      <c r="AI41" s="76" t="s">
        <v>262</v>
      </c>
      <c r="AJ41" s="112" t="b">
        <v>0</v>
      </c>
      <c r="AK41" s="112" t="b">
        <v>0</v>
      </c>
      <c r="AL41" s="76" t="s">
        <v>217</v>
      </c>
      <c r="AM41" s="114"/>
      <c r="AN41" s="76" t="s">
        <v>215</v>
      </c>
      <c r="AO41" s="67" t="s">
        <v>215</v>
      </c>
      <c r="AP41" s="76" t="s">
        <v>215</v>
      </c>
      <c r="AQ41" s="67" t="s">
        <v>215</v>
      </c>
      <c r="AR41" s="76" t="s">
        <v>215</v>
      </c>
      <c r="AS41" s="67" t="s">
        <v>215</v>
      </c>
      <c r="AT41" s="76" t="s">
        <v>215</v>
      </c>
      <c r="AU41" s="67" t="s">
        <v>215</v>
      </c>
      <c r="AV41" s="76" t="s">
        <v>215</v>
      </c>
      <c r="AW41" s="67" t="s">
        <v>215</v>
      </c>
      <c r="AX41" s="76" t="s">
        <v>215</v>
      </c>
      <c r="AY41" s="67" t="s">
        <v>215</v>
      </c>
      <c r="AZ41" s="76" t="s">
        <v>215</v>
      </c>
      <c r="BA41" s="67" t="s">
        <v>215</v>
      </c>
      <c r="BB41" s="76" t="s">
        <v>358</v>
      </c>
      <c r="BC41" s="76" t="s">
        <v>243</v>
      </c>
      <c r="BD41" s="76" t="s">
        <v>742</v>
      </c>
      <c r="BE41" s="76" t="s">
        <v>359</v>
      </c>
      <c r="BF41" s="76" t="s">
        <v>731</v>
      </c>
      <c r="BG41" s="112" t="b">
        <v>0</v>
      </c>
      <c r="BH41" s="112" t="b">
        <v>1</v>
      </c>
      <c r="BI41" s="112" t="b">
        <v>1</v>
      </c>
      <c r="BJ41" s="112" t="b">
        <v>0</v>
      </c>
      <c r="BK41" s="112" t="b">
        <v>0</v>
      </c>
      <c r="BL41" s="112" t="b">
        <v>0</v>
      </c>
      <c r="BM41" s="112" t="b">
        <v>0</v>
      </c>
      <c r="BN41" s="76" t="s">
        <v>223</v>
      </c>
      <c r="BO41" s="76" t="s">
        <v>285</v>
      </c>
      <c r="BP41" s="76" t="s">
        <v>246</v>
      </c>
      <c r="BQ41" s="81" t="s">
        <v>743</v>
      </c>
      <c r="BR41" s="114"/>
      <c r="BS41" s="114"/>
      <c r="BT41" s="81" t="s">
        <v>744</v>
      </c>
      <c r="BU41" s="81"/>
      <c r="BV41" s="81" t="s">
        <v>745</v>
      </c>
      <c r="BW41" s="114" t="s">
        <v>252</v>
      </c>
      <c r="BX41" s="114"/>
      <c r="BY41" s="114"/>
      <c r="BZ41" s="114"/>
      <c r="CA41" s="114"/>
      <c r="CB41" s="114"/>
      <c r="CC41" s="114"/>
      <c r="CD41" s="114"/>
      <c r="CE41" s="114"/>
      <c r="CF41" s="114"/>
      <c r="CG41" s="114"/>
      <c r="CH41" s="112"/>
      <c r="CI41" s="112" t="b">
        <v>1</v>
      </c>
      <c r="CJ41" s="112"/>
      <c r="CK41" s="77"/>
      <c r="CL41" s="114"/>
      <c r="CM41" s="76" t="s">
        <v>746</v>
      </c>
      <c r="CN41" s="76"/>
    </row>
    <row r="42" spans="1:92" ht="26.25" customHeight="1">
      <c r="A42" s="76"/>
      <c r="B42" s="76" t="s">
        <v>349</v>
      </c>
      <c r="C42" s="81" t="s">
        <v>364</v>
      </c>
      <c r="D42" s="95" t="s">
        <v>747</v>
      </c>
      <c r="E42" s="109"/>
      <c r="F42" s="81" t="s">
        <v>748</v>
      </c>
      <c r="G42" s="81" t="s">
        <v>749</v>
      </c>
      <c r="H42" s="81" t="s">
        <v>750</v>
      </c>
      <c r="I42" s="81" t="s">
        <v>751</v>
      </c>
      <c r="J42" s="81" t="s">
        <v>212</v>
      </c>
      <c r="K42" s="114"/>
      <c r="L42" s="81" t="s">
        <v>752</v>
      </c>
      <c r="M42" s="76">
        <v>50.690990248851399</v>
      </c>
      <c r="N42" s="76">
        <v>-3.3965226016821402</v>
      </c>
      <c r="O42" s="114"/>
      <c r="P42" s="76" t="s">
        <v>741</v>
      </c>
      <c r="Q42" s="112" t="b">
        <v>1</v>
      </c>
      <c r="R42" s="80" t="s">
        <v>730</v>
      </c>
      <c r="S42" s="80" t="s">
        <v>261</v>
      </c>
      <c r="T42" s="113" t="s">
        <v>215</v>
      </c>
      <c r="U42" s="113" t="s">
        <v>215</v>
      </c>
      <c r="V42" s="113" t="s">
        <v>215</v>
      </c>
      <c r="W42" s="113" t="s">
        <v>215</v>
      </c>
      <c r="X42" s="113" t="s">
        <v>215</v>
      </c>
      <c r="Y42" s="113" t="s">
        <v>215</v>
      </c>
      <c r="Z42" s="113" t="s">
        <v>215</v>
      </c>
      <c r="AA42" s="113" t="s">
        <v>215</v>
      </c>
      <c r="AB42" s="113" t="s">
        <v>215</v>
      </c>
      <c r="AC42" s="113" t="s">
        <v>215</v>
      </c>
      <c r="AD42" s="113" t="s">
        <v>215</v>
      </c>
      <c r="AE42" s="113" t="s">
        <v>215</v>
      </c>
      <c r="AF42" s="113" t="s">
        <v>215</v>
      </c>
      <c r="AG42" s="113" t="s">
        <v>215</v>
      </c>
      <c r="AH42" s="76" t="s">
        <v>215</v>
      </c>
      <c r="AI42" s="76" t="s">
        <v>262</v>
      </c>
      <c r="AJ42" s="112" t="b">
        <v>0</v>
      </c>
      <c r="AK42" s="112" t="b">
        <v>0</v>
      </c>
      <c r="AL42" s="76" t="s">
        <v>217</v>
      </c>
      <c r="AM42" s="114"/>
      <c r="AN42" s="76" t="s">
        <v>215</v>
      </c>
      <c r="AO42" s="67" t="s">
        <v>215</v>
      </c>
      <c r="AP42" s="76" t="s">
        <v>215</v>
      </c>
      <c r="AQ42" s="67" t="s">
        <v>215</v>
      </c>
      <c r="AR42" s="76" t="s">
        <v>215</v>
      </c>
      <c r="AS42" s="67" t="s">
        <v>215</v>
      </c>
      <c r="AT42" s="76" t="s">
        <v>215</v>
      </c>
      <c r="AU42" s="67" t="s">
        <v>215</v>
      </c>
      <c r="AV42" s="76" t="s">
        <v>215</v>
      </c>
      <c r="AW42" s="67" t="s">
        <v>215</v>
      </c>
      <c r="AX42" s="76" t="s">
        <v>215</v>
      </c>
      <c r="AY42" s="67" t="s">
        <v>215</v>
      </c>
      <c r="AZ42" s="76" t="s">
        <v>215</v>
      </c>
      <c r="BA42" s="67" t="s">
        <v>215</v>
      </c>
      <c r="BB42" s="76" t="s">
        <v>358</v>
      </c>
      <c r="BC42" s="76" t="s">
        <v>243</v>
      </c>
      <c r="BD42" s="76" t="s">
        <v>753</v>
      </c>
      <c r="BE42" s="76" t="s">
        <v>359</v>
      </c>
      <c r="BF42" s="76" t="s">
        <v>731</v>
      </c>
      <c r="BG42" s="112" t="b">
        <v>0</v>
      </c>
      <c r="BH42" s="112" t="b">
        <v>0</v>
      </c>
      <c r="BI42" s="112" t="b">
        <v>1</v>
      </c>
      <c r="BJ42" s="112" t="b">
        <v>1</v>
      </c>
      <c r="BK42" s="112" t="b">
        <v>1</v>
      </c>
      <c r="BL42" s="112" t="b">
        <v>0</v>
      </c>
      <c r="BM42" s="112" t="b">
        <v>0</v>
      </c>
      <c r="BN42" s="76" t="s">
        <v>223</v>
      </c>
      <c r="BO42" s="76" t="s">
        <v>285</v>
      </c>
      <c r="BP42" s="76" t="s">
        <v>754</v>
      </c>
      <c r="BQ42" s="81" t="s">
        <v>755</v>
      </c>
      <c r="BR42" s="114"/>
      <c r="BS42" s="114"/>
      <c r="BT42" s="81" t="s">
        <v>756</v>
      </c>
      <c r="BU42" s="81"/>
      <c r="BV42" s="81" t="s">
        <v>757</v>
      </c>
      <c r="BW42" s="114" t="s">
        <v>252</v>
      </c>
      <c r="BX42" s="114"/>
      <c r="BY42" s="114"/>
      <c r="BZ42" s="114"/>
      <c r="CA42" s="114"/>
      <c r="CB42" s="114"/>
      <c r="CC42" s="114"/>
      <c r="CD42" s="114"/>
      <c r="CE42" s="114"/>
      <c r="CF42" s="114"/>
      <c r="CG42" s="114"/>
      <c r="CH42" s="112"/>
      <c r="CI42" s="112" t="b">
        <v>1</v>
      </c>
      <c r="CJ42" s="112"/>
      <c r="CK42" s="77"/>
      <c r="CL42" s="114"/>
      <c r="CM42" s="76"/>
      <c r="CN42" s="76"/>
    </row>
    <row r="43" spans="1:92" ht="26.25" customHeight="1">
      <c r="A43" s="121" t="s">
        <v>204</v>
      </c>
      <c r="B43" s="81" t="s">
        <v>758</v>
      </c>
      <c r="C43" s="81" t="s">
        <v>759</v>
      </c>
      <c r="D43" s="117" t="s">
        <v>760</v>
      </c>
      <c r="E43" s="120"/>
      <c r="F43" s="81" t="s">
        <v>104</v>
      </c>
      <c r="G43" s="81" t="s">
        <v>761</v>
      </c>
      <c r="H43" s="81" t="s">
        <v>762</v>
      </c>
      <c r="I43" s="81" t="s">
        <v>258</v>
      </c>
      <c r="J43" s="81" t="s">
        <v>259</v>
      </c>
      <c r="K43" s="121"/>
      <c r="L43" s="81" t="s">
        <v>260</v>
      </c>
      <c r="M43" s="81">
        <v>50.613722470519598</v>
      </c>
      <c r="N43" s="81">
        <v>-3.4103541559549302</v>
      </c>
      <c r="O43" s="121"/>
      <c r="P43" s="81" t="s">
        <v>214</v>
      </c>
      <c r="Q43" s="127" t="b">
        <v>0</v>
      </c>
      <c r="R43" s="122" t="s">
        <v>215</v>
      </c>
      <c r="S43" s="122" t="s">
        <v>215</v>
      </c>
      <c r="T43" s="123">
        <v>0.375</v>
      </c>
      <c r="U43" s="123">
        <v>0.63541666666666663</v>
      </c>
      <c r="V43" s="123">
        <v>0.375</v>
      </c>
      <c r="W43" s="123">
        <v>0.63541666666666663</v>
      </c>
      <c r="X43" s="123">
        <v>0.375</v>
      </c>
      <c r="Y43" s="123">
        <v>0.63541666666666663</v>
      </c>
      <c r="Z43" s="123">
        <v>0.375</v>
      </c>
      <c r="AA43" s="123">
        <v>0.63541666666666663</v>
      </c>
      <c r="AB43" s="123">
        <v>0.375</v>
      </c>
      <c r="AC43" s="123">
        <v>0.63541666666666663</v>
      </c>
      <c r="AD43" s="123">
        <v>0.375</v>
      </c>
      <c r="AE43" s="123">
        <v>0.77083333333333337</v>
      </c>
      <c r="AF43" s="123">
        <v>0.375</v>
      </c>
      <c r="AG43" s="123">
        <v>0.72916666666666663</v>
      </c>
      <c r="AH43" s="121"/>
      <c r="AI43" s="121"/>
      <c r="AJ43" s="127" t="b">
        <v>1</v>
      </c>
      <c r="AK43" s="127" t="b">
        <v>0</v>
      </c>
      <c r="AL43" s="81" t="s">
        <v>763</v>
      </c>
      <c r="AM43" s="81" t="s">
        <v>764</v>
      </c>
      <c r="AN43" s="81" t="s">
        <v>765</v>
      </c>
      <c r="AO43" s="124">
        <v>1.5</v>
      </c>
      <c r="AP43" s="81" t="s">
        <v>215</v>
      </c>
      <c r="AQ43" s="125" t="s">
        <v>215</v>
      </c>
      <c r="AR43" s="126">
        <v>46082</v>
      </c>
      <c r="AS43" s="124">
        <v>5.95</v>
      </c>
      <c r="AT43" s="126">
        <v>46330</v>
      </c>
      <c r="AU43" s="124">
        <v>6.95</v>
      </c>
      <c r="AV43" s="81" t="s">
        <v>339</v>
      </c>
      <c r="AW43" s="124">
        <v>2</v>
      </c>
      <c r="AX43" s="81" t="s">
        <v>215</v>
      </c>
      <c r="AY43" s="125" t="s">
        <v>215</v>
      </c>
      <c r="AZ43" s="81" t="s">
        <v>215</v>
      </c>
      <c r="BA43" s="125" t="s">
        <v>215</v>
      </c>
      <c r="BB43" s="81" t="s">
        <v>218</v>
      </c>
      <c r="BC43" s="81" t="s">
        <v>766</v>
      </c>
      <c r="BD43" s="81" t="s">
        <v>767</v>
      </c>
      <c r="BE43" s="81" t="s">
        <v>768</v>
      </c>
      <c r="BF43" s="121"/>
      <c r="BG43" s="127" t="b">
        <v>1</v>
      </c>
      <c r="BH43" s="127" t="b">
        <v>1</v>
      </c>
      <c r="BI43" s="127" t="b">
        <v>1</v>
      </c>
      <c r="BJ43" s="127" t="b">
        <v>1</v>
      </c>
      <c r="BK43" s="127" t="b">
        <v>1</v>
      </c>
      <c r="BL43" s="127" t="b">
        <v>0</v>
      </c>
      <c r="BM43" s="127" t="b">
        <v>1</v>
      </c>
      <c r="BN43" s="81" t="s">
        <v>244</v>
      </c>
      <c r="BO43" s="81" t="s">
        <v>437</v>
      </c>
      <c r="BP43" s="81" t="s">
        <v>322</v>
      </c>
      <c r="BQ43" s="81" t="s">
        <v>769</v>
      </c>
      <c r="BR43" s="121"/>
      <c r="BS43" s="121"/>
      <c r="BT43" s="81" t="s">
        <v>770</v>
      </c>
      <c r="BU43" s="81"/>
      <c r="BV43" s="81" t="s">
        <v>771</v>
      </c>
      <c r="BW43" s="121" t="s">
        <v>252</v>
      </c>
      <c r="BX43" s="121"/>
      <c r="BY43" s="121"/>
      <c r="BZ43" s="121"/>
      <c r="CA43" s="121"/>
      <c r="CB43" s="121"/>
      <c r="CC43" s="121"/>
      <c r="CD43" s="121"/>
      <c r="CE43" s="121"/>
      <c r="CF43" s="121"/>
      <c r="CG43" s="121"/>
      <c r="CH43" s="127"/>
      <c r="CI43" s="127" t="b">
        <v>1</v>
      </c>
      <c r="CJ43" s="127"/>
      <c r="CK43" s="121"/>
      <c r="CL43" s="121"/>
      <c r="CM43" s="121"/>
      <c r="CN43" s="121"/>
    </row>
    <row r="44" spans="1:92" ht="26.25" customHeight="1">
      <c r="A44" s="114" t="s">
        <v>204</v>
      </c>
      <c r="B44" s="76" t="s">
        <v>253</v>
      </c>
      <c r="C44" s="81" t="s">
        <v>772</v>
      </c>
      <c r="D44" s="95" t="s">
        <v>773</v>
      </c>
      <c r="E44" s="109"/>
      <c r="F44" s="81" t="s">
        <v>774</v>
      </c>
      <c r="G44" s="81" t="s">
        <v>775</v>
      </c>
      <c r="H44" s="81" t="s">
        <v>294</v>
      </c>
      <c r="I44" s="81" t="s">
        <v>295</v>
      </c>
      <c r="J44" s="81" t="s">
        <v>259</v>
      </c>
      <c r="K44" s="114"/>
      <c r="L44" s="81" t="s">
        <v>776</v>
      </c>
      <c r="M44" s="76">
        <v>50.648134726539404</v>
      </c>
      <c r="N44" s="76">
        <v>-3.43193582536234</v>
      </c>
      <c r="O44" s="114"/>
      <c r="P44" s="76" t="s">
        <v>214</v>
      </c>
      <c r="Q44" s="112" t="b">
        <v>1</v>
      </c>
      <c r="R44" s="80" t="s">
        <v>730</v>
      </c>
      <c r="S44" s="80" t="s">
        <v>261</v>
      </c>
      <c r="T44" s="113" t="s">
        <v>215</v>
      </c>
      <c r="U44" s="113" t="s">
        <v>215</v>
      </c>
      <c r="V44" s="113" t="s">
        <v>215</v>
      </c>
      <c r="W44" s="113" t="s">
        <v>215</v>
      </c>
      <c r="X44" s="113" t="s">
        <v>215</v>
      </c>
      <c r="Y44" s="113" t="s">
        <v>215</v>
      </c>
      <c r="Z44" s="113" t="s">
        <v>215</v>
      </c>
      <c r="AA44" s="113" t="s">
        <v>215</v>
      </c>
      <c r="AB44" s="113" t="s">
        <v>215</v>
      </c>
      <c r="AC44" s="113" t="s">
        <v>215</v>
      </c>
      <c r="AD44" s="113" t="s">
        <v>215</v>
      </c>
      <c r="AE44" s="113" t="s">
        <v>215</v>
      </c>
      <c r="AF44" s="113" t="s">
        <v>215</v>
      </c>
      <c r="AG44" s="113" t="s">
        <v>215</v>
      </c>
      <c r="AH44" s="111" t="s">
        <v>215</v>
      </c>
      <c r="AI44" s="76" t="s">
        <v>262</v>
      </c>
      <c r="AJ44" s="112" t="b">
        <v>0</v>
      </c>
      <c r="AK44" s="112" t="b">
        <v>0</v>
      </c>
      <c r="AL44" s="76" t="s">
        <v>217</v>
      </c>
      <c r="AM44" s="114"/>
      <c r="AN44" s="76" t="s">
        <v>215</v>
      </c>
      <c r="AO44" s="67" t="s">
        <v>215</v>
      </c>
      <c r="AP44" s="76" t="s">
        <v>215</v>
      </c>
      <c r="AQ44" s="67" t="s">
        <v>215</v>
      </c>
      <c r="AR44" s="76" t="s">
        <v>215</v>
      </c>
      <c r="AS44" s="67" t="s">
        <v>215</v>
      </c>
      <c r="AT44" s="76" t="s">
        <v>215</v>
      </c>
      <c r="AU44" s="67" t="s">
        <v>215</v>
      </c>
      <c r="AV44" s="76" t="s">
        <v>215</v>
      </c>
      <c r="AW44" s="67" t="s">
        <v>215</v>
      </c>
      <c r="AX44" s="76" t="s">
        <v>215</v>
      </c>
      <c r="AY44" s="67" t="s">
        <v>215</v>
      </c>
      <c r="AZ44" s="76" t="s">
        <v>215</v>
      </c>
      <c r="BA44" s="67" t="s">
        <v>215</v>
      </c>
      <c r="BB44" s="76" t="s">
        <v>720</v>
      </c>
      <c r="BC44" s="76" t="s">
        <v>777</v>
      </c>
      <c r="BD44" s="114"/>
      <c r="BE44" s="76"/>
      <c r="BF44" s="114"/>
      <c r="BG44" s="112"/>
      <c r="BH44" s="112"/>
      <c r="BI44" s="112" t="b">
        <v>1</v>
      </c>
      <c r="BJ44" s="112" t="b">
        <v>1</v>
      </c>
      <c r="BK44" s="112" t="b">
        <v>1</v>
      </c>
      <c r="BL44" s="112"/>
      <c r="BM44" s="112"/>
      <c r="BN44" s="76" t="s">
        <v>223</v>
      </c>
      <c r="BO44" s="76" t="s">
        <v>778</v>
      </c>
      <c r="BP44" s="76" t="s">
        <v>379</v>
      </c>
      <c r="BQ44" s="81" t="s">
        <v>779</v>
      </c>
      <c r="BR44" s="114"/>
      <c r="BS44" s="114"/>
      <c r="BT44" s="81" t="s">
        <v>780</v>
      </c>
      <c r="BU44" s="81" t="s">
        <v>781</v>
      </c>
      <c r="BV44" s="81" t="s">
        <v>782</v>
      </c>
      <c r="BW44" s="114" t="s">
        <v>783</v>
      </c>
      <c r="BX44" s="114"/>
      <c r="BY44" s="114"/>
      <c r="BZ44" s="114"/>
      <c r="CA44" s="114"/>
      <c r="CB44" s="114"/>
      <c r="CC44" s="114"/>
      <c r="CD44" s="114"/>
      <c r="CE44" s="114"/>
      <c r="CF44" s="114"/>
      <c r="CG44" s="114"/>
      <c r="CH44" s="112"/>
      <c r="CI44" s="112" t="b">
        <v>1</v>
      </c>
      <c r="CJ44" s="112"/>
      <c r="CK44" s="114"/>
      <c r="CL44" s="114"/>
      <c r="CM44" s="114"/>
      <c r="CN44" s="114"/>
    </row>
    <row r="45" spans="1:92" ht="26.25" customHeight="1">
      <c r="A45" s="114" t="s">
        <v>204</v>
      </c>
      <c r="B45" s="76" t="s">
        <v>441</v>
      </c>
      <c r="C45" s="81" t="s">
        <v>784</v>
      </c>
      <c r="D45" s="95" t="s">
        <v>785</v>
      </c>
      <c r="E45" s="109"/>
      <c r="F45" s="81" t="s">
        <v>550</v>
      </c>
      <c r="G45" s="81" t="s">
        <v>786</v>
      </c>
      <c r="H45" s="81" t="s">
        <v>787</v>
      </c>
      <c r="I45" s="81" t="s">
        <v>389</v>
      </c>
      <c r="J45" s="81" t="s">
        <v>473</v>
      </c>
      <c r="K45" s="114"/>
      <c r="L45" s="81" t="s">
        <v>788</v>
      </c>
      <c r="M45" s="76">
        <v>50.796450356515798</v>
      </c>
      <c r="N45" s="76">
        <v>-3.2179991483838002</v>
      </c>
      <c r="O45" s="114"/>
      <c r="P45" s="76" t="s">
        <v>789</v>
      </c>
      <c r="Q45" s="112" t="b">
        <v>1</v>
      </c>
      <c r="R45" s="63">
        <v>0.375</v>
      </c>
      <c r="S45" s="63">
        <v>0.66666666666666663</v>
      </c>
      <c r="T45" s="113" t="s">
        <v>215</v>
      </c>
      <c r="U45" s="113" t="s">
        <v>215</v>
      </c>
      <c r="V45" s="113" t="s">
        <v>215</v>
      </c>
      <c r="W45" s="113" t="s">
        <v>215</v>
      </c>
      <c r="X45" s="113" t="s">
        <v>215</v>
      </c>
      <c r="Y45" s="113" t="s">
        <v>215</v>
      </c>
      <c r="Z45" s="113" t="s">
        <v>215</v>
      </c>
      <c r="AA45" s="113" t="s">
        <v>215</v>
      </c>
      <c r="AB45" s="113" t="s">
        <v>215</v>
      </c>
      <c r="AC45" s="113" t="s">
        <v>215</v>
      </c>
      <c r="AD45" s="113" t="s">
        <v>215</v>
      </c>
      <c r="AE45" s="113" t="s">
        <v>215</v>
      </c>
      <c r="AF45" s="113" t="s">
        <v>215</v>
      </c>
      <c r="AG45" s="113" t="s">
        <v>215</v>
      </c>
      <c r="AH45" s="111" t="s">
        <v>215</v>
      </c>
      <c r="AI45" s="76" t="s">
        <v>262</v>
      </c>
      <c r="AJ45" s="112" t="b">
        <v>0</v>
      </c>
      <c r="AK45" s="112" t="b">
        <v>0</v>
      </c>
      <c r="AL45" s="76" t="s">
        <v>217</v>
      </c>
      <c r="AM45" s="114"/>
      <c r="AN45" s="76" t="s">
        <v>215</v>
      </c>
      <c r="AO45" s="67" t="s">
        <v>215</v>
      </c>
      <c r="AP45" s="76" t="s">
        <v>215</v>
      </c>
      <c r="AQ45" s="67" t="s">
        <v>215</v>
      </c>
      <c r="AR45" s="76" t="s">
        <v>215</v>
      </c>
      <c r="AS45" s="67" t="s">
        <v>215</v>
      </c>
      <c r="AT45" s="76" t="s">
        <v>215</v>
      </c>
      <c r="AU45" s="67" t="s">
        <v>215</v>
      </c>
      <c r="AV45" s="76" t="s">
        <v>215</v>
      </c>
      <c r="AW45" s="67" t="s">
        <v>215</v>
      </c>
      <c r="AX45" s="76" t="s">
        <v>215</v>
      </c>
      <c r="AY45" s="67" t="s">
        <v>215</v>
      </c>
      <c r="AZ45" s="76" t="s">
        <v>215</v>
      </c>
      <c r="BA45" s="67" t="s">
        <v>215</v>
      </c>
      <c r="BB45" s="76" t="s">
        <v>416</v>
      </c>
      <c r="BC45" s="76" t="s">
        <v>790</v>
      </c>
      <c r="BD45" s="76" t="s">
        <v>791</v>
      </c>
      <c r="BE45" s="76" t="s">
        <v>792</v>
      </c>
      <c r="BF45" s="76" t="s">
        <v>284</v>
      </c>
      <c r="BG45" s="112" t="b">
        <v>1</v>
      </c>
      <c r="BH45" s="112" t="b">
        <v>1</v>
      </c>
      <c r="BI45" s="112" t="b">
        <v>1</v>
      </c>
      <c r="BJ45" s="112" t="b">
        <v>1</v>
      </c>
      <c r="BK45" s="112" t="b">
        <v>1</v>
      </c>
      <c r="BL45" s="112" t="b">
        <v>1</v>
      </c>
      <c r="BM45" s="112" t="b">
        <v>1</v>
      </c>
      <c r="BN45" s="76" t="s">
        <v>419</v>
      </c>
      <c r="BO45" s="76" t="s">
        <v>793</v>
      </c>
      <c r="BP45" s="76" t="s">
        <v>794</v>
      </c>
      <c r="BQ45" s="81" t="s">
        <v>795</v>
      </c>
      <c r="BR45" s="114"/>
      <c r="BS45" s="114"/>
      <c r="BT45" s="81" t="s">
        <v>796</v>
      </c>
      <c r="BU45" s="81"/>
      <c r="BV45" s="81" t="s">
        <v>797</v>
      </c>
      <c r="BW45" s="114" t="s">
        <v>252</v>
      </c>
      <c r="BX45" s="114"/>
      <c r="BY45" s="114"/>
      <c r="BZ45" s="114"/>
      <c r="CA45" s="114"/>
      <c r="CB45" s="114"/>
      <c r="CC45" s="114"/>
      <c r="CD45" s="114"/>
      <c r="CE45" s="114"/>
      <c r="CF45" s="114"/>
      <c r="CG45" s="114"/>
      <c r="CH45" s="112"/>
      <c r="CI45" s="112" t="b">
        <v>1</v>
      </c>
      <c r="CJ45" s="112"/>
      <c r="CK45" s="77"/>
      <c r="CL45" s="114"/>
      <c r="CM45" s="114"/>
      <c r="CN45" s="114"/>
    </row>
    <row r="46" spans="1:92" ht="26.25" customHeight="1">
      <c r="A46" s="114" t="s">
        <v>204</v>
      </c>
      <c r="B46" s="76" t="s">
        <v>205</v>
      </c>
      <c r="C46" s="81" t="s">
        <v>206</v>
      </c>
      <c r="D46" s="95" t="s">
        <v>798</v>
      </c>
      <c r="E46" s="109"/>
      <c r="F46" s="81" t="s">
        <v>208</v>
      </c>
      <c r="G46" s="81" t="s">
        <v>799</v>
      </c>
      <c r="H46" s="81" t="s">
        <v>800</v>
      </c>
      <c r="I46" s="81" t="s">
        <v>670</v>
      </c>
      <c r="J46" s="81" t="s">
        <v>212</v>
      </c>
      <c r="K46" s="114"/>
      <c r="L46" s="81" t="s">
        <v>801</v>
      </c>
      <c r="M46" s="76">
        <v>50.751185013996597</v>
      </c>
      <c r="N46" s="76">
        <v>-3.41023920120691</v>
      </c>
      <c r="O46" s="114"/>
      <c r="P46" s="76" t="s">
        <v>214</v>
      </c>
      <c r="Q46" s="112" t="b">
        <v>1</v>
      </c>
      <c r="R46" s="63">
        <v>0</v>
      </c>
      <c r="S46" s="128">
        <v>1</v>
      </c>
      <c r="T46" s="113" t="s">
        <v>215</v>
      </c>
      <c r="U46" s="113" t="s">
        <v>215</v>
      </c>
      <c r="V46" s="113" t="s">
        <v>215</v>
      </c>
      <c r="W46" s="113" t="s">
        <v>215</v>
      </c>
      <c r="X46" s="113" t="s">
        <v>215</v>
      </c>
      <c r="Y46" s="113" t="s">
        <v>215</v>
      </c>
      <c r="Z46" s="113" t="s">
        <v>215</v>
      </c>
      <c r="AA46" s="113" t="s">
        <v>215</v>
      </c>
      <c r="AB46" s="113" t="s">
        <v>215</v>
      </c>
      <c r="AC46" s="113" t="s">
        <v>215</v>
      </c>
      <c r="AD46" s="113" t="s">
        <v>215</v>
      </c>
      <c r="AE46" s="113" t="s">
        <v>215</v>
      </c>
      <c r="AF46" s="113" t="s">
        <v>215</v>
      </c>
      <c r="AG46" s="113" t="s">
        <v>215</v>
      </c>
      <c r="AH46" s="111" t="s">
        <v>215</v>
      </c>
      <c r="AI46" s="76" t="s">
        <v>262</v>
      </c>
      <c r="AJ46" s="112" t="b">
        <v>0</v>
      </c>
      <c r="AK46" s="112" t="b">
        <v>0</v>
      </c>
      <c r="AL46" s="76" t="s">
        <v>217</v>
      </c>
      <c r="AM46" s="114"/>
      <c r="AN46" s="76" t="s">
        <v>215</v>
      </c>
      <c r="AO46" s="67" t="s">
        <v>215</v>
      </c>
      <c r="AP46" s="76" t="s">
        <v>215</v>
      </c>
      <c r="AQ46" s="67" t="s">
        <v>215</v>
      </c>
      <c r="AR46" s="76" t="s">
        <v>215</v>
      </c>
      <c r="AS46" s="67" t="s">
        <v>215</v>
      </c>
      <c r="AT46" s="76" t="s">
        <v>215</v>
      </c>
      <c r="AU46" s="67" t="s">
        <v>215</v>
      </c>
      <c r="AV46" s="76" t="s">
        <v>215</v>
      </c>
      <c r="AW46" s="67" t="s">
        <v>215</v>
      </c>
      <c r="AX46" s="76" t="s">
        <v>215</v>
      </c>
      <c r="AY46" s="67" t="s">
        <v>215</v>
      </c>
      <c r="AZ46" s="76" t="s">
        <v>215</v>
      </c>
      <c r="BA46" s="67" t="s">
        <v>215</v>
      </c>
      <c r="BB46" s="76" t="s">
        <v>802</v>
      </c>
      <c r="BC46" s="114"/>
      <c r="BD46" s="114"/>
      <c r="BE46" s="76" t="s">
        <v>359</v>
      </c>
      <c r="BF46" s="76" t="s">
        <v>803</v>
      </c>
      <c r="BG46" s="112" t="b">
        <v>1</v>
      </c>
      <c r="BH46" s="112" t="b">
        <v>1</v>
      </c>
      <c r="BI46" s="112" t="b">
        <v>1</v>
      </c>
      <c r="BJ46" s="112" t="b">
        <v>1</v>
      </c>
      <c r="BK46" s="112" t="b">
        <v>1</v>
      </c>
      <c r="BL46" s="112" t="b">
        <v>1</v>
      </c>
      <c r="BM46" s="112" t="b">
        <v>1</v>
      </c>
      <c r="BN46" s="76" t="s">
        <v>223</v>
      </c>
      <c r="BO46" s="76" t="s">
        <v>804</v>
      </c>
      <c r="BP46" s="76" t="s">
        <v>794</v>
      </c>
      <c r="BQ46" s="81" t="s">
        <v>805</v>
      </c>
      <c r="BR46" s="76" t="s">
        <v>806</v>
      </c>
      <c r="BS46" s="76" t="s">
        <v>807</v>
      </c>
      <c r="BT46" s="81" t="s">
        <v>808</v>
      </c>
      <c r="BU46" s="81" t="s">
        <v>809</v>
      </c>
      <c r="BV46" s="81" t="s">
        <v>810</v>
      </c>
      <c r="BW46" s="114" t="s">
        <v>252</v>
      </c>
      <c r="BX46" s="114"/>
      <c r="BY46" s="114"/>
      <c r="BZ46" s="114"/>
      <c r="CA46" s="114"/>
      <c r="CB46" s="114"/>
      <c r="CC46" s="114"/>
      <c r="CD46" s="114"/>
      <c r="CE46" s="114"/>
      <c r="CF46" s="114"/>
      <c r="CG46" s="114"/>
      <c r="CH46" s="112"/>
      <c r="CI46" s="112" t="b">
        <v>1</v>
      </c>
      <c r="CJ46" s="112"/>
      <c r="CK46" s="77"/>
      <c r="CL46" s="114"/>
      <c r="CM46" s="114"/>
      <c r="CN46" s="114"/>
    </row>
    <row r="47" spans="1:92" ht="26.25" customHeight="1">
      <c r="A47" s="129"/>
      <c r="B47" s="76" t="s">
        <v>811</v>
      </c>
      <c r="C47" s="81" t="s">
        <v>812</v>
      </c>
      <c r="D47" s="95" t="s">
        <v>813</v>
      </c>
      <c r="E47" s="109"/>
      <c r="F47" s="81" t="s">
        <v>814</v>
      </c>
      <c r="G47" s="81" t="s">
        <v>815</v>
      </c>
      <c r="H47" s="81" t="s">
        <v>762</v>
      </c>
      <c r="I47" s="81" t="s">
        <v>258</v>
      </c>
      <c r="J47" s="81" t="s">
        <v>259</v>
      </c>
      <c r="K47" s="114"/>
      <c r="L47" s="81" t="s">
        <v>260</v>
      </c>
      <c r="M47" s="76">
        <v>50.613722470519598</v>
      </c>
      <c r="N47" s="76">
        <v>-3.4103541559549302</v>
      </c>
      <c r="O47" s="114"/>
      <c r="P47" s="76" t="s">
        <v>214</v>
      </c>
      <c r="Q47" s="112" t="b">
        <v>0</v>
      </c>
      <c r="R47" s="113" t="s">
        <v>215</v>
      </c>
      <c r="S47" s="130" t="s">
        <v>215</v>
      </c>
      <c r="T47" s="63">
        <v>0.41666666666666669</v>
      </c>
      <c r="U47" s="63">
        <v>0.875</v>
      </c>
      <c r="V47" s="63">
        <v>0.41666666666666669</v>
      </c>
      <c r="W47" s="63">
        <v>0.875</v>
      </c>
      <c r="X47" s="63">
        <v>0.41666666666666669</v>
      </c>
      <c r="Y47" s="63">
        <v>0.875</v>
      </c>
      <c r="Z47" s="63">
        <v>0.41666666666666669</v>
      </c>
      <c r="AA47" s="63">
        <v>0.875</v>
      </c>
      <c r="AB47" s="63">
        <v>0.41666666666666669</v>
      </c>
      <c r="AC47" s="63">
        <v>0.875</v>
      </c>
      <c r="AD47" s="63">
        <v>0.41666666666666669</v>
      </c>
      <c r="AE47" s="63">
        <v>0.875</v>
      </c>
      <c r="AF47" s="63">
        <v>0.41666666666666669</v>
      </c>
      <c r="AG47" s="63">
        <v>0.875</v>
      </c>
      <c r="AH47" s="114"/>
      <c r="AI47" s="114"/>
      <c r="AJ47" s="112" t="b">
        <v>1</v>
      </c>
      <c r="AK47" s="112" t="b">
        <v>0</v>
      </c>
      <c r="AL47" s="76" t="s">
        <v>763</v>
      </c>
      <c r="AM47" s="76" t="s">
        <v>816</v>
      </c>
      <c r="AN47" s="76" t="s">
        <v>215</v>
      </c>
      <c r="AO47" s="67" t="s">
        <v>215</v>
      </c>
      <c r="AP47" s="76" t="s">
        <v>817</v>
      </c>
      <c r="AQ47" s="67" t="s">
        <v>818</v>
      </c>
      <c r="AR47" s="76" t="s">
        <v>215</v>
      </c>
      <c r="AS47" s="67" t="s">
        <v>215</v>
      </c>
      <c r="AT47" s="76" t="s">
        <v>215</v>
      </c>
      <c r="AU47" s="67" t="s">
        <v>215</v>
      </c>
      <c r="AV47" s="76" t="s">
        <v>316</v>
      </c>
      <c r="AW47" s="125" t="s">
        <v>819</v>
      </c>
      <c r="AX47" s="81" t="s">
        <v>820</v>
      </c>
      <c r="AY47" s="67" t="s">
        <v>821</v>
      </c>
      <c r="AZ47" s="76" t="s">
        <v>215</v>
      </c>
      <c r="BA47" s="67" t="s">
        <v>215</v>
      </c>
      <c r="BB47" s="76" t="s">
        <v>218</v>
      </c>
      <c r="BC47" s="76" t="s">
        <v>766</v>
      </c>
      <c r="BD47" s="76" t="s">
        <v>822</v>
      </c>
      <c r="BE47" s="76" t="s">
        <v>768</v>
      </c>
      <c r="BF47" s="114"/>
      <c r="BG47" s="112" t="b">
        <v>0</v>
      </c>
      <c r="BH47" s="112" t="b">
        <v>0</v>
      </c>
      <c r="BI47" s="112" t="b">
        <v>1</v>
      </c>
      <c r="BJ47" s="112" t="b">
        <v>1</v>
      </c>
      <c r="BK47" s="112" t="b">
        <v>1</v>
      </c>
      <c r="BL47" s="112" t="b">
        <v>1</v>
      </c>
      <c r="BM47" s="112" t="b">
        <v>1</v>
      </c>
      <c r="BN47" s="76" t="s">
        <v>244</v>
      </c>
      <c r="BO47" s="76" t="s">
        <v>437</v>
      </c>
      <c r="BP47" s="76" t="s">
        <v>579</v>
      </c>
      <c r="BQ47" s="81" t="s">
        <v>823</v>
      </c>
      <c r="BR47" s="114"/>
      <c r="BS47" s="114"/>
      <c r="BT47" s="81" t="s">
        <v>812</v>
      </c>
      <c r="BU47" s="81"/>
      <c r="BV47" s="81" t="s">
        <v>824</v>
      </c>
      <c r="BW47" s="114" t="s">
        <v>252</v>
      </c>
      <c r="BX47" s="114"/>
      <c r="BY47" s="114"/>
      <c r="BZ47" s="114"/>
      <c r="CA47" s="114"/>
      <c r="CB47" s="114"/>
      <c r="CC47" s="114"/>
      <c r="CD47" s="114"/>
      <c r="CE47" s="114"/>
      <c r="CF47" s="114"/>
      <c r="CG47" s="114"/>
      <c r="CH47" s="112"/>
      <c r="CI47" s="112" t="b">
        <v>1</v>
      </c>
      <c r="CJ47" s="112"/>
      <c r="CK47" s="114"/>
      <c r="CL47" s="114"/>
      <c r="CM47" s="114"/>
      <c r="CN47" s="114"/>
    </row>
    <row r="48" spans="1:92" ht="26.25" customHeight="1">
      <c r="A48" s="76" t="s">
        <v>204</v>
      </c>
      <c r="B48" s="76" t="s">
        <v>383</v>
      </c>
      <c r="C48" s="81" t="s">
        <v>403</v>
      </c>
      <c r="D48" s="117" t="s">
        <v>825</v>
      </c>
      <c r="E48" s="109"/>
      <c r="F48" s="81" t="s">
        <v>106</v>
      </c>
      <c r="G48" s="81" t="s">
        <v>826</v>
      </c>
      <c r="H48" s="81" t="s">
        <v>825</v>
      </c>
      <c r="I48" s="81" t="s">
        <v>827</v>
      </c>
      <c r="J48" s="81" t="s">
        <v>828</v>
      </c>
      <c r="K48" s="114"/>
      <c r="L48" s="81" t="s">
        <v>829</v>
      </c>
      <c r="M48" s="76">
        <v>50.4594090740637</v>
      </c>
      <c r="N48" s="76">
        <v>-3.7773626582038</v>
      </c>
      <c r="O48" s="114"/>
      <c r="P48" s="76" t="s">
        <v>830</v>
      </c>
      <c r="Q48" s="112" t="b">
        <v>1</v>
      </c>
      <c r="R48" s="63">
        <v>0.375</v>
      </c>
      <c r="S48" s="63">
        <v>0.66666666666666663</v>
      </c>
      <c r="T48" s="113" t="s">
        <v>215</v>
      </c>
      <c r="U48" s="113" t="s">
        <v>215</v>
      </c>
      <c r="V48" s="113" t="s">
        <v>215</v>
      </c>
      <c r="W48" s="113" t="s">
        <v>215</v>
      </c>
      <c r="X48" s="113" t="s">
        <v>215</v>
      </c>
      <c r="Y48" s="113" t="s">
        <v>215</v>
      </c>
      <c r="Z48" s="113" t="s">
        <v>215</v>
      </c>
      <c r="AA48" s="113" t="s">
        <v>215</v>
      </c>
      <c r="AB48" s="113" t="s">
        <v>215</v>
      </c>
      <c r="AC48" s="113" t="s">
        <v>215</v>
      </c>
      <c r="AD48" s="113" t="s">
        <v>215</v>
      </c>
      <c r="AE48" s="113" t="s">
        <v>215</v>
      </c>
      <c r="AF48" s="113" t="s">
        <v>215</v>
      </c>
      <c r="AG48" s="113" t="s">
        <v>215</v>
      </c>
      <c r="AH48" s="114"/>
      <c r="AI48" s="114"/>
      <c r="AJ48" s="112" t="b">
        <v>1</v>
      </c>
      <c r="AK48" s="112" t="b">
        <v>1</v>
      </c>
      <c r="AL48" s="76" t="s">
        <v>635</v>
      </c>
      <c r="AM48" s="76" t="s">
        <v>831</v>
      </c>
      <c r="AN48" s="114"/>
      <c r="AO48" s="131"/>
      <c r="AP48" s="114"/>
      <c r="AQ48" s="131"/>
      <c r="AR48" s="76" t="s">
        <v>832</v>
      </c>
      <c r="AS48" s="91">
        <v>0</v>
      </c>
      <c r="AT48" s="76" t="s">
        <v>833</v>
      </c>
      <c r="AU48" s="91">
        <v>19.95</v>
      </c>
      <c r="AV48" s="76" t="s">
        <v>339</v>
      </c>
      <c r="AW48" s="91">
        <v>24.95</v>
      </c>
      <c r="AX48" s="76" t="s">
        <v>834</v>
      </c>
      <c r="AY48" s="91">
        <v>21.95</v>
      </c>
      <c r="AZ48" s="114"/>
      <c r="BA48" s="131"/>
      <c r="BB48" s="76" t="s">
        <v>416</v>
      </c>
      <c r="BC48" s="76" t="s">
        <v>835</v>
      </c>
      <c r="BD48" s="76" t="s">
        <v>836</v>
      </c>
      <c r="BE48" s="76" t="s">
        <v>837</v>
      </c>
      <c r="BF48" s="114" t="s">
        <v>838</v>
      </c>
      <c r="BG48" s="112" t="b">
        <v>1</v>
      </c>
      <c r="BH48" s="112" t="b">
        <v>1</v>
      </c>
      <c r="BI48" s="112" t="b">
        <v>1</v>
      </c>
      <c r="BJ48" s="112" t="b">
        <v>1</v>
      </c>
      <c r="BK48" s="112" t="b">
        <v>1</v>
      </c>
      <c r="BL48" s="112" t="b">
        <v>1</v>
      </c>
      <c r="BM48" s="112" t="b">
        <v>1</v>
      </c>
      <c r="BN48" s="76" t="s">
        <v>419</v>
      </c>
      <c r="BO48" s="76" t="s">
        <v>839</v>
      </c>
      <c r="BP48" s="76" t="s">
        <v>840</v>
      </c>
      <c r="BQ48" s="81" t="s">
        <v>841</v>
      </c>
      <c r="BR48" s="76" t="s">
        <v>842</v>
      </c>
      <c r="BS48" s="114"/>
      <c r="BT48" s="81" t="s">
        <v>843</v>
      </c>
      <c r="BU48" s="81" t="s">
        <v>347</v>
      </c>
      <c r="BV48" s="81" t="s">
        <v>844</v>
      </c>
      <c r="BW48" s="76" t="s">
        <v>845</v>
      </c>
      <c r="BX48" s="114"/>
      <c r="BY48" s="114"/>
      <c r="BZ48" s="114"/>
      <c r="CA48" s="114"/>
      <c r="CB48" s="114"/>
      <c r="CC48" s="114"/>
      <c r="CD48" s="114"/>
      <c r="CE48" s="114"/>
      <c r="CF48" s="114"/>
      <c r="CG48" s="114"/>
      <c r="CH48" s="112"/>
      <c r="CI48" s="112" t="b">
        <v>1</v>
      </c>
      <c r="CJ48" s="112"/>
      <c r="CK48" s="114"/>
      <c r="CL48" s="114"/>
      <c r="CM48" s="76" t="s">
        <v>846</v>
      </c>
      <c r="CN48" s="76"/>
    </row>
    <row r="49" spans="1:92" ht="26.25" customHeight="1">
      <c r="A49" s="132" t="s">
        <v>204</v>
      </c>
      <c r="B49" s="76" t="s">
        <v>847</v>
      </c>
      <c r="C49" s="81" t="s">
        <v>848</v>
      </c>
      <c r="D49" s="117" t="s">
        <v>849</v>
      </c>
      <c r="E49" s="109"/>
      <c r="F49" s="81" t="s">
        <v>106</v>
      </c>
      <c r="G49" s="81" t="s">
        <v>850</v>
      </c>
      <c r="H49" s="81" t="s">
        <v>851</v>
      </c>
      <c r="I49" s="81" t="s">
        <v>852</v>
      </c>
      <c r="J49" s="81" t="s">
        <v>853</v>
      </c>
      <c r="K49" s="114"/>
      <c r="L49" s="81" t="s">
        <v>854</v>
      </c>
      <c r="M49" s="76">
        <v>50.619148389453201</v>
      </c>
      <c r="N49" s="76">
        <v>-3.3657142174979602</v>
      </c>
      <c r="O49" s="114"/>
      <c r="P49" s="76" t="s">
        <v>214</v>
      </c>
      <c r="Q49" s="112" t="b">
        <v>1</v>
      </c>
      <c r="R49" s="63">
        <v>0.41666666666666669</v>
      </c>
      <c r="S49" s="63">
        <v>0.70833333333333337</v>
      </c>
      <c r="T49" s="113" t="s">
        <v>215</v>
      </c>
      <c r="U49" s="113" t="s">
        <v>215</v>
      </c>
      <c r="V49" s="113" t="s">
        <v>215</v>
      </c>
      <c r="W49" s="113" t="s">
        <v>215</v>
      </c>
      <c r="X49" s="113" t="s">
        <v>215</v>
      </c>
      <c r="Y49" s="113" t="s">
        <v>215</v>
      </c>
      <c r="Z49" s="113" t="s">
        <v>215</v>
      </c>
      <c r="AA49" s="113" t="s">
        <v>215</v>
      </c>
      <c r="AB49" s="113" t="s">
        <v>215</v>
      </c>
      <c r="AC49" s="113" t="s">
        <v>215</v>
      </c>
      <c r="AD49" s="113" t="s">
        <v>215</v>
      </c>
      <c r="AE49" s="113" t="s">
        <v>215</v>
      </c>
      <c r="AF49" s="113" t="s">
        <v>215</v>
      </c>
      <c r="AG49" s="113" t="s">
        <v>215</v>
      </c>
      <c r="AH49" s="111" t="s">
        <v>855</v>
      </c>
      <c r="AI49" s="114"/>
      <c r="AJ49" s="112" t="b">
        <v>1</v>
      </c>
      <c r="AK49" s="112" t="b">
        <v>1</v>
      </c>
      <c r="AL49" s="76" t="s">
        <v>635</v>
      </c>
      <c r="AM49" s="76" t="s">
        <v>856</v>
      </c>
      <c r="AN49" s="114"/>
      <c r="AO49" s="131"/>
      <c r="AP49" s="114"/>
      <c r="AQ49" s="131"/>
      <c r="AR49" s="76" t="s">
        <v>857</v>
      </c>
      <c r="AS49" s="91">
        <v>0</v>
      </c>
      <c r="AT49" s="76" t="s">
        <v>858</v>
      </c>
      <c r="AU49" s="91">
        <v>17.25</v>
      </c>
      <c r="AV49" s="76" t="s">
        <v>339</v>
      </c>
      <c r="AW49" s="133">
        <v>21</v>
      </c>
      <c r="AX49" s="76" t="s">
        <v>859</v>
      </c>
      <c r="AY49" s="91">
        <v>16.5</v>
      </c>
      <c r="AZ49" s="76" t="s">
        <v>860</v>
      </c>
      <c r="BA49" s="91">
        <v>70.8</v>
      </c>
      <c r="BB49" s="76" t="s">
        <v>416</v>
      </c>
      <c r="BC49" s="76" t="s">
        <v>861</v>
      </c>
      <c r="BD49" s="76" t="s">
        <v>862</v>
      </c>
      <c r="BE49" s="76" t="s">
        <v>863</v>
      </c>
      <c r="BF49" s="114"/>
      <c r="BG49" s="112" t="b">
        <v>1</v>
      </c>
      <c r="BH49" s="112" t="b">
        <v>1</v>
      </c>
      <c r="BI49" s="112" t="b">
        <v>1</v>
      </c>
      <c r="BJ49" s="112" t="b">
        <v>1</v>
      </c>
      <c r="BK49" s="112" t="b">
        <v>1</v>
      </c>
      <c r="BL49" s="112" t="b">
        <v>1</v>
      </c>
      <c r="BM49" s="112" t="b">
        <v>1</v>
      </c>
      <c r="BN49" s="76" t="s">
        <v>419</v>
      </c>
      <c r="BO49" s="76" t="s">
        <v>285</v>
      </c>
      <c r="BP49" s="76" t="s">
        <v>864</v>
      </c>
      <c r="BQ49" s="81" t="s">
        <v>865</v>
      </c>
      <c r="BR49" s="114"/>
      <c r="BS49" s="114"/>
      <c r="BT49" s="81" t="s">
        <v>866</v>
      </c>
      <c r="BU49" s="81"/>
      <c r="BV49" s="81" t="s">
        <v>867</v>
      </c>
      <c r="BW49" s="76" t="s">
        <v>845</v>
      </c>
      <c r="BX49" s="114"/>
      <c r="BY49" s="114"/>
      <c r="BZ49" s="114"/>
      <c r="CA49" s="114"/>
      <c r="CB49" s="114"/>
      <c r="CC49" s="114"/>
      <c r="CD49" s="114"/>
      <c r="CE49" s="114"/>
      <c r="CF49" s="114"/>
      <c r="CG49" s="114"/>
      <c r="CH49" s="112"/>
      <c r="CI49" s="112" t="b">
        <v>1</v>
      </c>
      <c r="CJ49" s="112"/>
      <c r="CK49" s="114"/>
      <c r="CL49" s="114"/>
      <c r="CM49" s="114"/>
      <c r="CN49" s="114"/>
    </row>
    <row r="50" spans="1:92" ht="26.25" customHeight="1">
      <c r="A50" s="132" t="s">
        <v>204</v>
      </c>
      <c r="B50" s="76" t="s">
        <v>253</v>
      </c>
      <c r="C50" s="81" t="s">
        <v>539</v>
      </c>
      <c r="D50" s="95" t="s">
        <v>868</v>
      </c>
      <c r="E50" s="109"/>
      <c r="F50" s="81" t="s">
        <v>105</v>
      </c>
      <c r="G50" s="81" t="s">
        <v>869</v>
      </c>
      <c r="H50" s="81" t="s">
        <v>870</v>
      </c>
      <c r="I50" s="81" t="s">
        <v>871</v>
      </c>
      <c r="J50" s="81" t="s">
        <v>872</v>
      </c>
      <c r="K50" s="114"/>
      <c r="L50" s="81" t="s">
        <v>873</v>
      </c>
      <c r="M50" s="76">
        <v>50.696398049697201</v>
      </c>
      <c r="N50" s="76">
        <v>-3.0910296771164001</v>
      </c>
      <c r="O50" s="114"/>
      <c r="P50" s="76" t="s">
        <v>214</v>
      </c>
      <c r="Q50" s="112" t="b">
        <v>1</v>
      </c>
      <c r="R50" s="80" t="s">
        <v>730</v>
      </c>
      <c r="S50" s="80" t="s">
        <v>261</v>
      </c>
      <c r="T50" s="113" t="s">
        <v>215</v>
      </c>
      <c r="U50" s="113" t="s">
        <v>215</v>
      </c>
      <c r="V50" s="113" t="s">
        <v>215</v>
      </c>
      <c r="W50" s="113" t="s">
        <v>215</v>
      </c>
      <c r="X50" s="113" t="s">
        <v>215</v>
      </c>
      <c r="Y50" s="113" t="s">
        <v>215</v>
      </c>
      <c r="Z50" s="113" t="s">
        <v>215</v>
      </c>
      <c r="AA50" s="113" t="s">
        <v>215</v>
      </c>
      <c r="AB50" s="113" t="s">
        <v>215</v>
      </c>
      <c r="AC50" s="113" t="s">
        <v>215</v>
      </c>
      <c r="AD50" s="113" t="s">
        <v>215</v>
      </c>
      <c r="AE50" s="113" t="s">
        <v>215</v>
      </c>
      <c r="AF50" s="113" t="s">
        <v>215</v>
      </c>
      <c r="AG50" s="113" t="s">
        <v>215</v>
      </c>
      <c r="AH50" s="76" t="s">
        <v>215</v>
      </c>
      <c r="AI50" s="76" t="s">
        <v>262</v>
      </c>
      <c r="AJ50" s="112" t="b">
        <v>0</v>
      </c>
      <c r="AK50" s="112" t="b">
        <v>0</v>
      </c>
      <c r="AL50" s="76" t="s">
        <v>217</v>
      </c>
      <c r="AM50" s="114"/>
      <c r="AN50" s="76" t="s">
        <v>215</v>
      </c>
      <c r="AO50" s="67" t="s">
        <v>215</v>
      </c>
      <c r="AP50" s="76" t="s">
        <v>215</v>
      </c>
      <c r="AQ50" s="67" t="s">
        <v>215</v>
      </c>
      <c r="AR50" s="76" t="s">
        <v>215</v>
      </c>
      <c r="AS50" s="67" t="s">
        <v>215</v>
      </c>
      <c r="AT50" s="76" t="s">
        <v>215</v>
      </c>
      <c r="AU50" s="67" t="s">
        <v>215</v>
      </c>
      <c r="AV50" s="76" t="s">
        <v>215</v>
      </c>
      <c r="AW50" s="67" t="s">
        <v>215</v>
      </c>
      <c r="AX50" s="76" t="s">
        <v>215</v>
      </c>
      <c r="AY50" s="67" t="s">
        <v>215</v>
      </c>
      <c r="AZ50" s="76" t="s">
        <v>215</v>
      </c>
      <c r="BA50" s="67" t="s">
        <v>215</v>
      </c>
      <c r="BB50" s="76" t="s">
        <v>358</v>
      </c>
      <c r="BC50" s="76" t="s">
        <v>874</v>
      </c>
      <c r="BD50" s="114"/>
      <c r="BE50" s="114" t="s">
        <v>359</v>
      </c>
      <c r="BF50" s="114"/>
      <c r="BG50" s="112" t="b">
        <v>1</v>
      </c>
      <c r="BH50" s="112" t="b">
        <v>1</v>
      </c>
      <c r="BI50" s="112" t="b">
        <v>1</v>
      </c>
      <c r="BJ50" s="112" t="b">
        <v>1</v>
      </c>
      <c r="BK50" s="112" t="b">
        <v>1</v>
      </c>
      <c r="BL50" s="112" t="b">
        <v>1</v>
      </c>
      <c r="BM50" s="112" t="b">
        <v>1</v>
      </c>
      <c r="BN50" s="76" t="s">
        <v>223</v>
      </c>
      <c r="BO50" s="76" t="s">
        <v>285</v>
      </c>
      <c r="BP50" s="76" t="s">
        <v>286</v>
      </c>
      <c r="BQ50" s="81" t="s">
        <v>875</v>
      </c>
      <c r="BR50" s="76" t="s">
        <v>270</v>
      </c>
      <c r="BS50" s="114"/>
      <c r="BT50" s="81" t="s">
        <v>876</v>
      </c>
      <c r="BU50" s="81" t="s">
        <v>877</v>
      </c>
      <c r="BV50" s="81" t="s">
        <v>878</v>
      </c>
      <c r="BW50" s="76" t="s">
        <v>231</v>
      </c>
      <c r="BX50" s="114"/>
      <c r="BY50" s="114"/>
      <c r="BZ50" s="114"/>
      <c r="CA50" s="114"/>
      <c r="CB50" s="114"/>
      <c r="CC50" s="114"/>
      <c r="CD50" s="114"/>
      <c r="CE50" s="114"/>
      <c r="CF50" s="114"/>
      <c r="CG50" s="114"/>
      <c r="CH50" s="112"/>
      <c r="CI50" s="112" t="b">
        <v>1</v>
      </c>
      <c r="CJ50" s="112"/>
      <c r="CK50" s="114"/>
      <c r="CL50" s="114"/>
      <c r="CM50" s="114"/>
      <c r="CN50" s="114"/>
    </row>
    <row r="51" spans="1:92" ht="26.25" customHeight="1">
      <c r="A51" s="132" t="s">
        <v>204</v>
      </c>
      <c r="B51" s="76" t="s">
        <v>253</v>
      </c>
      <c r="C51" s="81" t="s">
        <v>879</v>
      </c>
      <c r="D51" s="95" t="s">
        <v>880</v>
      </c>
      <c r="E51" s="109"/>
      <c r="F51" s="81" t="s">
        <v>105</v>
      </c>
      <c r="G51" s="81" t="s">
        <v>881</v>
      </c>
      <c r="H51" s="81" t="s">
        <v>882</v>
      </c>
      <c r="I51" s="114"/>
      <c r="J51" s="81" t="s">
        <v>883</v>
      </c>
      <c r="K51" s="114"/>
      <c r="L51" s="81" t="s">
        <v>884</v>
      </c>
      <c r="M51" s="76">
        <v>50.540210042364897</v>
      </c>
      <c r="N51" s="76">
        <v>-3.50282327325047</v>
      </c>
      <c r="O51" s="114"/>
      <c r="P51" s="76" t="s">
        <v>885</v>
      </c>
      <c r="Q51" s="112" t="b">
        <v>1</v>
      </c>
      <c r="R51" s="134" t="s">
        <v>730</v>
      </c>
      <c r="S51" s="134" t="s">
        <v>261</v>
      </c>
      <c r="T51" s="113" t="s">
        <v>215</v>
      </c>
      <c r="U51" s="113" t="s">
        <v>215</v>
      </c>
      <c r="V51" s="113" t="s">
        <v>215</v>
      </c>
      <c r="W51" s="113" t="s">
        <v>215</v>
      </c>
      <c r="X51" s="113" t="s">
        <v>215</v>
      </c>
      <c r="Y51" s="113" t="s">
        <v>215</v>
      </c>
      <c r="Z51" s="113" t="s">
        <v>215</v>
      </c>
      <c r="AA51" s="113" t="s">
        <v>215</v>
      </c>
      <c r="AB51" s="113" t="s">
        <v>215</v>
      </c>
      <c r="AC51" s="113" t="s">
        <v>215</v>
      </c>
      <c r="AD51" s="113" t="s">
        <v>215</v>
      </c>
      <c r="AE51" s="113" t="s">
        <v>215</v>
      </c>
      <c r="AF51" s="113" t="s">
        <v>215</v>
      </c>
      <c r="AG51" s="113" t="s">
        <v>215</v>
      </c>
      <c r="AH51" s="76" t="s">
        <v>215</v>
      </c>
      <c r="AI51" s="76" t="s">
        <v>262</v>
      </c>
      <c r="AJ51" s="112" t="b">
        <v>0</v>
      </c>
      <c r="AK51" s="112" t="b">
        <v>0</v>
      </c>
      <c r="AL51" s="76" t="s">
        <v>217</v>
      </c>
      <c r="AM51" s="114"/>
      <c r="AN51" s="76" t="s">
        <v>215</v>
      </c>
      <c r="AO51" s="67" t="s">
        <v>215</v>
      </c>
      <c r="AP51" s="76" t="s">
        <v>215</v>
      </c>
      <c r="AQ51" s="67" t="s">
        <v>215</v>
      </c>
      <c r="AR51" s="76" t="s">
        <v>215</v>
      </c>
      <c r="AS51" s="67" t="s">
        <v>215</v>
      </c>
      <c r="AT51" s="76" t="s">
        <v>215</v>
      </c>
      <c r="AU51" s="67" t="s">
        <v>215</v>
      </c>
      <c r="AV51" s="76" t="s">
        <v>215</v>
      </c>
      <c r="AW51" s="67" t="s">
        <v>215</v>
      </c>
      <c r="AX51" s="76" t="s">
        <v>215</v>
      </c>
      <c r="AY51" s="67" t="s">
        <v>215</v>
      </c>
      <c r="AZ51" s="76" t="s">
        <v>215</v>
      </c>
      <c r="BA51" s="67" t="s">
        <v>215</v>
      </c>
      <c r="BB51" s="76" t="s">
        <v>358</v>
      </c>
      <c r="BC51" s="114"/>
      <c r="BD51" s="114"/>
      <c r="BE51" s="76" t="s">
        <v>359</v>
      </c>
      <c r="BF51" s="76" t="s">
        <v>284</v>
      </c>
      <c r="BG51" s="112" t="b">
        <v>1</v>
      </c>
      <c r="BH51" s="112" t="b">
        <v>1</v>
      </c>
      <c r="BI51" s="112" t="b">
        <v>1</v>
      </c>
      <c r="BJ51" s="112" t="b">
        <v>1</v>
      </c>
      <c r="BK51" s="112" t="b">
        <v>1</v>
      </c>
      <c r="BL51" s="112" t="b">
        <v>1</v>
      </c>
      <c r="BM51" s="112" t="b">
        <v>1</v>
      </c>
      <c r="BN51" s="76" t="s">
        <v>223</v>
      </c>
      <c r="BO51" s="76" t="s">
        <v>285</v>
      </c>
      <c r="BP51" s="76" t="s">
        <v>886</v>
      </c>
      <c r="BQ51" s="81" t="s">
        <v>887</v>
      </c>
      <c r="BR51" s="76" t="s">
        <v>270</v>
      </c>
      <c r="BS51" s="114"/>
      <c r="BT51" s="81" t="s">
        <v>888</v>
      </c>
      <c r="BU51" s="81" t="s">
        <v>889</v>
      </c>
      <c r="BV51" s="76" t="s">
        <v>890</v>
      </c>
      <c r="BW51" s="76" t="s">
        <v>231</v>
      </c>
      <c r="BX51" s="114"/>
      <c r="BY51" s="114"/>
      <c r="BZ51" s="114"/>
      <c r="CA51" s="114"/>
      <c r="CB51" s="114"/>
      <c r="CC51" s="114"/>
      <c r="CD51" s="114"/>
      <c r="CE51" s="114"/>
      <c r="CF51" s="114"/>
      <c r="CG51" s="114"/>
      <c r="CH51" s="112"/>
      <c r="CI51" s="112" t="b">
        <v>1</v>
      </c>
      <c r="CJ51" s="112"/>
      <c r="CK51" s="114"/>
      <c r="CL51" s="114"/>
      <c r="CM51" s="114"/>
      <c r="CN51" s="114"/>
    </row>
    <row r="52" spans="1:92" ht="26.25" customHeight="1">
      <c r="A52" s="135"/>
      <c r="B52" s="76" t="s">
        <v>349</v>
      </c>
      <c r="C52" s="81" t="s">
        <v>350</v>
      </c>
      <c r="D52" s="95" t="s">
        <v>891</v>
      </c>
      <c r="E52" s="109"/>
      <c r="F52" s="81" t="s">
        <v>892</v>
      </c>
      <c r="G52" s="81" t="s">
        <v>893</v>
      </c>
      <c r="H52" s="81" t="s">
        <v>894</v>
      </c>
      <c r="I52" s="114"/>
      <c r="J52" s="81" t="s">
        <v>853</v>
      </c>
      <c r="K52" s="114"/>
      <c r="L52" s="81" t="s">
        <v>895</v>
      </c>
      <c r="M52" s="76">
        <v>50.625989782181797</v>
      </c>
      <c r="N52" s="76">
        <v>-3.4034844438859699</v>
      </c>
      <c r="O52" s="114"/>
      <c r="P52" s="76" t="s">
        <v>214</v>
      </c>
      <c r="Q52" s="112" t="b">
        <v>1</v>
      </c>
      <c r="R52" s="63">
        <v>0</v>
      </c>
      <c r="S52" s="128">
        <v>1</v>
      </c>
      <c r="T52" s="113" t="s">
        <v>215</v>
      </c>
      <c r="U52" s="113" t="s">
        <v>215</v>
      </c>
      <c r="V52" s="113" t="s">
        <v>215</v>
      </c>
      <c r="W52" s="113" t="s">
        <v>215</v>
      </c>
      <c r="X52" s="113" t="s">
        <v>215</v>
      </c>
      <c r="Y52" s="113" t="s">
        <v>215</v>
      </c>
      <c r="Z52" s="113" t="s">
        <v>215</v>
      </c>
      <c r="AA52" s="113" t="s">
        <v>215</v>
      </c>
      <c r="AB52" s="113" t="s">
        <v>215</v>
      </c>
      <c r="AC52" s="113" t="s">
        <v>215</v>
      </c>
      <c r="AD52" s="113" t="s">
        <v>215</v>
      </c>
      <c r="AE52" s="113" t="s">
        <v>215</v>
      </c>
      <c r="AF52" s="113" t="s">
        <v>215</v>
      </c>
      <c r="AG52" s="113" t="s">
        <v>215</v>
      </c>
      <c r="AH52" s="111" t="s">
        <v>215</v>
      </c>
      <c r="AI52" s="76" t="s">
        <v>262</v>
      </c>
      <c r="AJ52" s="112" t="b">
        <v>0</v>
      </c>
      <c r="AK52" s="112" t="b">
        <v>0</v>
      </c>
      <c r="AL52" s="76" t="s">
        <v>217</v>
      </c>
      <c r="AM52" s="114"/>
      <c r="AN52" s="76" t="s">
        <v>215</v>
      </c>
      <c r="AO52" s="67" t="s">
        <v>215</v>
      </c>
      <c r="AP52" s="76" t="s">
        <v>215</v>
      </c>
      <c r="AQ52" s="67" t="s">
        <v>215</v>
      </c>
      <c r="AR52" s="76" t="s">
        <v>215</v>
      </c>
      <c r="AS52" s="67" t="s">
        <v>215</v>
      </c>
      <c r="AT52" s="76" t="s">
        <v>215</v>
      </c>
      <c r="AU52" s="67" t="s">
        <v>215</v>
      </c>
      <c r="AV52" s="76" t="s">
        <v>215</v>
      </c>
      <c r="AW52" s="67" t="s">
        <v>215</v>
      </c>
      <c r="AX52" s="76" t="s">
        <v>215</v>
      </c>
      <c r="AY52" s="67" t="s">
        <v>215</v>
      </c>
      <c r="AZ52" s="76" t="s">
        <v>215</v>
      </c>
      <c r="BA52" s="67" t="s">
        <v>215</v>
      </c>
      <c r="BB52" s="76" t="s">
        <v>282</v>
      </c>
      <c r="BC52" s="76" t="s">
        <v>896</v>
      </c>
      <c r="BD52" s="114"/>
      <c r="BE52" s="76" t="s">
        <v>359</v>
      </c>
      <c r="BF52" s="76" t="s">
        <v>222</v>
      </c>
      <c r="BG52" s="112" t="b">
        <v>0</v>
      </c>
      <c r="BH52" s="112" t="b">
        <v>0</v>
      </c>
      <c r="BI52" s="112" t="b">
        <v>0</v>
      </c>
      <c r="BJ52" s="112" t="b">
        <v>1</v>
      </c>
      <c r="BK52" s="112" t="b">
        <v>1</v>
      </c>
      <c r="BL52" s="112" t="b">
        <v>1</v>
      </c>
      <c r="BM52" s="112" t="b">
        <v>1</v>
      </c>
      <c r="BN52" s="76" t="s">
        <v>223</v>
      </c>
      <c r="BO52" s="76" t="s">
        <v>897</v>
      </c>
      <c r="BP52" s="76" t="s">
        <v>535</v>
      </c>
      <c r="BQ52" s="81" t="s">
        <v>898</v>
      </c>
      <c r="BR52" s="114"/>
      <c r="BS52" s="114"/>
      <c r="BT52" s="81" t="s">
        <v>734</v>
      </c>
      <c r="BU52" s="81"/>
      <c r="BV52" s="81" t="s">
        <v>899</v>
      </c>
      <c r="BW52" s="76" t="s">
        <v>252</v>
      </c>
      <c r="BX52" s="114"/>
      <c r="BY52" s="114"/>
      <c r="BZ52" s="114"/>
      <c r="CA52" s="114"/>
      <c r="CB52" s="114"/>
      <c r="CC52" s="114"/>
      <c r="CD52" s="114"/>
      <c r="CE52" s="114"/>
      <c r="CF52" s="114"/>
      <c r="CG52" s="114"/>
      <c r="CH52" s="112" t="b">
        <v>0</v>
      </c>
      <c r="CI52" s="112" t="b">
        <v>1</v>
      </c>
      <c r="CJ52" s="112"/>
      <c r="CK52" s="114"/>
      <c r="CL52" s="114"/>
      <c r="CM52" s="114"/>
      <c r="CN52" s="114"/>
    </row>
    <row r="53" spans="1:92" ht="26.25" customHeight="1">
      <c r="A53" s="76" t="s">
        <v>204</v>
      </c>
      <c r="B53" s="76" t="s">
        <v>441</v>
      </c>
      <c r="C53" s="81" t="s">
        <v>900</v>
      </c>
      <c r="D53" s="117" t="s">
        <v>901</v>
      </c>
      <c r="E53" s="109"/>
      <c r="F53" s="81" t="s">
        <v>235</v>
      </c>
      <c r="G53" s="81" t="s">
        <v>902</v>
      </c>
      <c r="H53" s="81" t="s">
        <v>903</v>
      </c>
      <c r="I53" s="81" t="s">
        <v>904</v>
      </c>
      <c r="J53" s="81" t="s">
        <v>905</v>
      </c>
      <c r="K53" s="114"/>
      <c r="L53" s="81" t="s">
        <v>906</v>
      </c>
      <c r="M53" s="76">
        <v>50.6596767922506</v>
      </c>
      <c r="N53" s="76">
        <v>-3.3035339888748299</v>
      </c>
      <c r="O53" s="114"/>
      <c r="P53" s="76" t="s">
        <v>334</v>
      </c>
      <c r="Q53" s="112" t="b">
        <v>1</v>
      </c>
      <c r="R53" s="63">
        <v>0.39583333333333331</v>
      </c>
      <c r="S53" s="63">
        <v>0.66666666666666663</v>
      </c>
      <c r="T53" s="113" t="s">
        <v>215</v>
      </c>
      <c r="U53" s="113" t="s">
        <v>215</v>
      </c>
      <c r="V53" s="113" t="s">
        <v>215</v>
      </c>
      <c r="W53" s="113" t="s">
        <v>215</v>
      </c>
      <c r="X53" s="113" t="s">
        <v>215</v>
      </c>
      <c r="Y53" s="113" t="s">
        <v>215</v>
      </c>
      <c r="Z53" s="113" t="s">
        <v>215</v>
      </c>
      <c r="AA53" s="113" t="s">
        <v>215</v>
      </c>
      <c r="AB53" s="113" t="s">
        <v>215</v>
      </c>
      <c r="AC53" s="113" t="s">
        <v>215</v>
      </c>
      <c r="AD53" s="113" t="s">
        <v>215</v>
      </c>
      <c r="AE53" s="113" t="s">
        <v>215</v>
      </c>
      <c r="AF53" s="113" t="s">
        <v>215</v>
      </c>
      <c r="AG53" s="113" t="s">
        <v>215</v>
      </c>
      <c r="AH53" s="114"/>
      <c r="AI53" s="114"/>
      <c r="AJ53" s="112" t="b">
        <v>0</v>
      </c>
      <c r="AK53" s="112" t="b">
        <v>0</v>
      </c>
      <c r="AL53" s="76" t="s">
        <v>217</v>
      </c>
      <c r="AM53" s="114"/>
      <c r="AN53" s="76" t="s">
        <v>215</v>
      </c>
      <c r="AO53" s="67" t="s">
        <v>215</v>
      </c>
      <c r="AP53" s="76" t="s">
        <v>215</v>
      </c>
      <c r="AQ53" s="67" t="s">
        <v>215</v>
      </c>
      <c r="AR53" s="76" t="s">
        <v>215</v>
      </c>
      <c r="AS53" s="67" t="s">
        <v>215</v>
      </c>
      <c r="AT53" s="76" t="s">
        <v>215</v>
      </c>
      <c r="AU53" s="67" t="s">
        <v>215</v>
      </c>
      <c r="AV53" s="76" t="s">
        <v>215</v>
      </c>
      <c r="AW53" s="67" t="s">
        <v>215</v>
      </c>
      <c r="AX53" s="76" t="s">
        <v>215</v>
      </c>
      <c r="AY53" s="67" t="s">
        <v>215</v>
      </c>
      <c r="AZ53" s="76" t="s">
        <v>215</v>
      </c>
      <c r="BA53" s="67" t="s">
        <v>215</v>
      </c>
      <c r="BB53" s="76" t="s">
        <v>416</v>
      </c>
      <c r="BC53" s="76" t="s">
        <v>907</v>
      </c>
      <c r="BD53" s="114"/>
      <c r="BE53" s="76" t="s">
        <v>908</v>
      </c>
      <c r="BF53" s="76" t="s">
        <v>284</v>
      </c>
      <c r="BG53" s="112" t="b">
        <v>1</v>
      </c>
      <c r="BH53" s="112" t="b">
        <v>1</v>
      </c>
      <c r="BI53" s="112" t="b">
        <v>1</v>
      </c>
      <c r="BJ53" s="112" t="b">
        <v>1</v>
      </c>
      <c r="BK53" s="112" t="b">
        <v>1</v>
      </c>
      <c r="BL53" s="112" t="b">
        <v>1</v>
      </c>
      <c r="BM53" s="112" t="b">
        <v>1</v>
      </c>
      <c r="BN53" s="76" t="s">
        <v>244</v>
      </c>
      <c r="BO53" s="76" t="s">
        <v>450</v>
      </c>
      <c r="BP53" s="76" t="s">
        <v>909</v>
      </c>
      <c r="BQ53" s="81" t="s">
        <v>910</v>
      </c>
      <c r="BR53" s="114"/>
      <c r="BS53" s="114"/>
      <c r="BT53" s="81" t="s">
        <v>911</v>
      </c>
      <c r="BU53" s="81"/>
      <c r="BV53" s="81" t="s">
        <v>912</v>
      </c>
      <c r="BW53" s="76" t="s">
        <v>252</v>
      </c>
      <c r="BX53" s="114"/>
      <c r="BY53" s="114"/>
      <c r="BZ53" s="114"/>
      <c r="CA53" s="114"/>
      <c r="CB53" s="114"/>
      <c r="CC53" s="114"/>
      <c r="CD53" s="114"/>
      <c r="CE53" s="114"/>
      <c r="CF53" s="114"/>
      <c r="CG53" s="114"/>
      <c r="CH53" s="114"/>
      <c r="CI53" s="112" t="b">
        <v>0</v>
      </c>
      <c r="CJ53" s="114"/>
      <c r="CK53" s="114"/>
      <c r="CL53" s="114"/>
      <c r="CM53" s="114"/>
      <c r="CN53" s="114"/>
    </row>
    <row r="54" spans="1:92" ht="26.25" customHeight="1">
      <c r="A54" s="68"/>
      <c r="B54" s="96" t="s">
        <v>253</v>
      </c>
      <c r="C54" s="102" t="s">
        <v>913</v>
      </c>
      <c r="D54" s="139" t="s">
        <v>914</v>
      </c>
      <c r="E54" s="136"/>
      <c r="F54" s="102" t="s">
        <v>104</v>
      </c>
      <c r="G54" s="102" t="s">
        <v>915</v>
      </c>
      <c r="H54" s="96" t="s">
        <v>914</v>
      </c>
      <c r="I54" s="78"/>
      <c r="J54" s="102" t="s">
        <v>853</v>
      </c>
      <c r="K54" s="78"/>
      <c r="L54" s="102" t="s">
        <v>916</v>
      </c>
      <c r="M54" s="76">
        <v>50.607415857613702</v>
      </c>
      <c r="N54" s="76">
        <v>-3.3851680312072001</v>
      </c>
      <c r="O54" s="78"/>
      <c r="P54" s="96" t="s">
        <v>214</v>
      </c>
      <c r="Q54" s="105" t="b">
        <v>1</v>
      </c>
      <c r="R54" s="181">
        <v>0</v>
      </c>
      <c r="S54" s="182">
        <v>1</v>
      </c>
      <c r="T54" s="150" t="s">
        <v>215</v>
      </c>
      <c r="U54" s="150" t="s">
        <v>215</v>
      </c>
      <c r="V54" s="150" t="s">
        <v>215</v>
      </c>
      <c r="W54" s="150" t="s">
        <v>215</v>
      </c>
      <c r="X54" s="150" t="s">
        <v>215</v>
      </c>
      <c r="Y54" s="150" t="s">
        <v>215</v>
      </c>
      <c r="Z54" s="150" t="s">
        <v>215</v>
      </c>
      <c r="AA54" s="150" t="s">
        <v>215</v>
      </c>
      <c r="AB54" s="150" t="s">
        <v>215</v>
      </c>
      <c r="AC54" s="150" t="s">
        <v>215</v>
      </c>
      <c r="AD54" s="150" t="s">
        <v>215</v>
      </c>
      <c r="AE54" s="150" t="s">
        <v>215</v>
      </c>
      <c r="AF54" s="150" t="s">
        <v>215</v>
      </c>
      <c r="AG54" s="150" t="s">
        <v>215</v>
      </c>
      <c r="AH54" s="137" t="s">
        <v>215</v>
      </c>
      <c r="AI54" s="96" t="s">
        <v>215</v>
      </c>
      <c r="AJ54" s="105" t="b">
        <v>0</v>
      </c>
      <c r="AK54" s="105" t="b">
        <v>0</v>
      </c>
      <c r="AL54" s="78"/>
      <c r="AM54" s="78"/>
      <c r="AN54" s="102" t="s">
        <v>215</v>
      </c>
      <c r="AO54" s="188" t="s">
        <v>215</v>
      </c>
      <c r="AP54" s="102" t="s">
        <v>215</v>
      </c>
      <c r="AQ54" s="188" t="s">
        <v>215</v>
      </c>
      <c r="AR54" s="102" t="s">
        <v>215</v>
      </c>
      <c r="AS54" s="188" t="s">
        <v>215</v>
      </c>
      <c r="AT54" s="102" t="s">
        <v>215</v>
      </c>
      <c r="AU54" s="188" t="s">
        <v>215</v>
      </c>
      <c r="AV54" s="102" t="s">
        <v>215</v>
      </c>
      <c r="AW54" s="188" t="s">
        <v>215</v>
      </c>
      <c r="AX54" s="102" t="s">
        <v>215</v>
      </c>
      <c r="AY54" s="188" t="s">
        <v>215</v>
      </c>
      <c r="AZ54" s="102" t="s">
        <v>215</v>
      </c>
      <c r="BA54" s="188" t="s">
        <v>215</v>
      </c>
      <c r="BB54" s="96" t="s">
        <v>917</v>
      </c>
      <c r="BC54" s="96" t="s">
        <v>672</v>
      </c>
      <c r="BD54" s="78"/>
      <c r="BE54" s="78"/>
      <c r="BF54" s="78"/>
      <c r="BG54" s="105" t="b">
        <v>1</v>
      </c>
      <c r="BH54" s="105" t="b">
        <v>1</v>
      </c>
      <c r="BI54" s="105" t="b">
        <v>1</v>
      </c>
      <c r="BJ54" s="105" t="b">
        <v>1</v>
      </c>
      <c r="BK54" s="105" t="b">
        <v>1</v>
      </c>
      <c r="BL54" s="105" t="b">
        <v>1</v>
      </c>
      <c r="BM54" s="105" t="b">
        <v>1</v>
      </c>
      <c r="BN54" s="96" t="s">
        <v>223</v>
      </c>
      <c r="BO54" s="96" t="s">
        <v>623</v>
      </c>
      <c r="BP54" s="96" t="s">
        <v>918</v>
      </c>
      <c r="BQ54" s="102" t="s">
        <v>919</v>
      </c>
      <c r="BR54" s="78"/>
      <c r="BS54" s="78"/>
      <c r="BT54" s="102" t="s">
        <v>920</v>
      </c>
      <c r="BU54" s="102" t="s">
        <v>921</v>
      </c>
      <c r="BV54" s="102" t="s">
        <v>922</v>
      </c>
      <c r="BW54" s="96" t="s">
        <v>783</v>
      </c>
      <c r="BX54" s="78"/>
      <c r="BY54" s="78"/>
      <c r="BZ54" s="78"/>
      <c r="CA54" s="78"/>
      <c r="CB54" s="78"/>
      <c r="CC54" s="78"/>
      <c r="CD54" s="78"/>
      <c r="CE54" s="78"/>
      <c r="CF54" s="78"/>
      <c r="CG54" s="78"/>
      <c r="CH54" s="105" t="b">
        <v>0</v>
      </c>
      <c r="CI54" s="105" t="b">
        <v>0</v>
      </c>
      <c r="CJ54" s="105"/>
      <c r="CK54" s="78"/>
      <c r="CL54" s="78"/>
      <c r="CM54" s="78"/>
      <c r="CN54" s="78"/>
    </row>
    <row r="55" spans="1:92" ht="26.25" customHeight="1">
      <c r="A55" s="68"/>
      <c r="B55" s="96" t="s">
        <v>847</v>
      </c>
      <c r="C55" s="102" t="s">
        <v>848</v>
      </c>
      <c r="D55" s="138" t="s">
        <v>923</v>
      </c>
      <c r="E55" s="136"/>
      <c r="F55" s="102" t="s">
        <v>106</v>
      </c>
      <c r="G55" s="102" t="s">
        <v>924</v>
      </c>
      <c r="H55" s="102" t="s">
        <v>923</v>
      </c>
      <c r="I55" s="185" t="s">
        <v>925</v>
      </c>
      <c r="J55" s="185" t="s">
        <v>212</v>
      </c>
      <c r="K55" s="136"/>
      <c r="L55" s="185" t="s">
        <v>926</v>
      </c>
      <c r="M55" s="76">
        <v>50.631370806415099</v>
      </c>
      <c r="N55" s="76">
        <v>-3.6476135312061202</v>
      </c>
      <c r="O55" s="78"/>
      <c r="P55" s="96" t="s">
        <v>214</v>
      </c>
      <c r="Q55" s="105" t="b">
        <v>1</v>
      </c>
      <c r="R55" s="181">
        <v>0.41666666666666669</v>
      </c>
      <c r="S55" s="181">
        <v>0.66666666666666663</v>
      </c>
      <c r="T55" s="150" t="s">
        <v>215</v>
      </c>
      <c r="U55" s="150" t="s">
        <v>215</v>
      </c>
      <c r="V55" s="150" t="s">
        <v>215</v>
      </c>
      <c r="W55" s="150" t="s">
        <v>215</v>
      </c>
      <c r="X55" s="150" t="s">
        <v>215</v>
      </c>
      <c r="Y55" s="150" t="s">
        <v>215</v>
      </c>
      <c r="Z55" s="150" t="s">
        <v>215</v>
      </c>
      <c r="AA55" s="150" t="s">
        <v>215</v>
      </c>
      <c r="AB55" s="150" t="s">
        <v>215</v>
      </c>
      <c r="AC55" s="150" t="s">
        <v>215</v>
      </c>
      <c r="AD55" s="150" t="s">
        <v>215</v>
      </c>
      <c r="AE55" s="150" t="s">
        <v>215</v>
      </c>
      <c r="AF55" s="150" t="s">
        <v>215</v>
      </c>
      <c r="AG55" s="150" t="s">
        <v>215</v>
      </c>
      <c r="AH55" s="96" t="s">
        <v>927</v>
      </c>
      <c r="AI55" s="96" t="s">
        <v>262</v>
      </c>
      <c r="AJ55" s="105" t="b">
        <v>1</v>
      </c>
      <c r="AK55" s="105" t="b">
        <v>1</v>
      </c>
      <c r="AL55" s="96" t="s">
        <v>635</v>
      </c>
      <c r="AM55" s="96" t="s">
        <v>928</v>
      </c>
      <c r="AN55" s="102" t="s">
        <v>857</v>
      </c>
      <c r="AO55" s="187">
        <v>0</v>
      </c>
      <c r="AP55" s="102" t="s">
        <v>929</v>
      </c>
      <c r="AQ55" s="187">
        <v>7.65</v>
      </c>
      <c r="AR55" s="188" t="s">
        <v>215</v>
      </c>
      <c r="AS55" s="188" t="s">
        <v>215</v>
      </c>
      <c r="AT55" s="102" t="s">
        <v>215</v>
      </c>
      <c r="AU55" s="188" t="s">
        <v>215</v>
      </c>
      <c r="AV55" s="102" t="s">
        <v>316</v>
      </c>
      <c r="AW55" s="187">
        <v>14.55</v>
      </c>
      <c r="AX55" s="102" t="s">
        <v>930</v>
      </c>
      <c r="AY55" s="187">
        <v>13.55</v>
      </c>
      <c r="AZ55" s="102" t="s">
        <v>931</v>
      </c>
      <c r="BA55" s="187">
        <v>42.45</v>
      </c>
      <c r="BB55" s="96" t="s">
        <v>416</v>
      </c>
      <c r="BC55" s="96" t="s">
        <v>932</v>
      </c>
      <c r="BD55" s="96" t="s">
        <v>933</v>
      </c>
      <c r="BE55" s="96" t="s">
        <v>934</v>
      </c>
      <c r="BF55" s="96" t="s">
        <v>284</v>
      </c>
      <c r="BG55" s="105" t="b">
        <v>1</v>
      </c>
      <c r="BH55" s="105" t="b">
        <v>1</v>
      </c>
      <c r="BI55" s="105" t="b">
        <v>1</v>
      </c>
      <c r="BJ55" s="105" t="b">
        <v>1</v>
      </c>
      <c r="BK55" s="105" t="b">
        <v>1</v>
      </c>
      <c r="BL55" s="105" t="b">
        <v>1</v>
      </c>
      <c r="BM55" s="105" t="b">
        <v>1</v>
      </c>
      <c r="BN55" s="96" t="s">
        <v>419</v>
      </c>
      <c r="BO55" s="96" t="s">
        <v>935</v>
      </c>
      <c r="BP55" s="96" t="s">
        <v>646</v>
      </c>
      <c r="BQ55" s="102" t="s">
        <v>936</v>
      </c>
      <c r="BR55" s="96" t="s">
        <v>399</v>
      </c>
      <c r="BS55" s="96" t="s">
        <v>937</v>
      </c>
      <c r="BT55" s="102" t="s">
        <v>938</v>
      </c>
      <c r="BU55" s="102" t="s">
        <v>939</v>
      </c>
      <c r="BV55" s="102" t="s">
        <v>940</v>
      </c>
      <c r="BW55" s="96" t="s">
        <v>845</v>
      </c>
      <c r="BX55" s="78"/>
      <c r="BY55" s="78"/>
      <c r="BZ55" s="78"/>
      <c r="CA55" s="78"/>
      <c r="CB55" s="78"/>
      <c r="CC55" s="78"/>
      <c r="CD55" s="78"/>
      <c r="CE55" s="78"/>
      <c r="CF55" s="78"/>
      <c r="CG55" s="78"/>
      <c r="CH55" s="105" t="b">
        <v>1</v>
      </c>
      <c r="CI55" s="105" t="b">
        <v>0</v>
      </c>
      <c r="CJ55" s="105"/>
      <c r="CK55" s="78"/>
      <c r="CL55" s="96"/>
      <c r="CM55" s="78"/>
      <c r="CN55" s="78"/>
    </row>
    <row r="56" spans="1:92" ht="26.25" customHeight="1">
      <c r="A56" s="68"/>
      <c r="B56" s="96" t="s">
        <v>441</v>
      </c>
      <c r="C56" s="102" t="s">
        <v>941</v>
      </c>
      <c r="D56" s="139" t="s">
        <v>942</v>
      </c>
      <c r="E56" s="136"/>
      <c r="F56" s="102" t="s">
        <v>105</v>
      </c>
      <c r="G56" s="102" t="s">
        <v>943</v>
      </c>
      <c r="H56" s="96" t="s">
        <v>717</v>
      </c>
      <c r="I56" s="102" t="s">
        <v>294</v>
      </c>
      <c r="J56" s="102" t="s">
        <v>295</v>
      </c>
      <c r="K56" s="78"/>
      <c r="L56" s="102" t="s">
        <v>296</v>
      </c>
      <c r="M56" s="76">
        <v>50.647655532257801</v>
      </c>
      <c r="N56" s="76">
        <v>-3.43161567353537</v>
      </c>
      <c r="O56" s="78"/>
      <c r="P56" s="96" t="s">
        <v>718</v>
      </c>
      <c r="Q56" s="105" t="b">
        <v>0</v>
      </c>
      <c r="R56" s="150" t="s">
        <v>215</v>
      </c>
      <c r="S56" s="150" t="s">
        <v>215</v>
      </c>
      <c r="T56" s="150" t="s">
        <v>215</v>
      </c>
      <c r="U56" s="150" t="s">
        <v>215</v>
      </c>
      <c r="V56" s="181">
        <v>0.41666666666666669</v>
      </c>
      <c r="W56" s="181">
        <v>0.70833333333333337</v>
      </c>
      <c r="X56" s="181">
        <v>0.375</v>
      </c>
      <c r="Y56" s="181">
        <v>0.70833333333333337</v>
      </c>
      <c r="Z56" s="181">
        <v>0.375</v>
      </c>
      <c r="AA56" s="181">
        <v>0.70833333333333337</v>
      </c>
      <c r="AB56" s="181">
        <v>0.375</v>
      </c>
      <c r="AC56" s="181">
        <v>0.70833333333333337</v>
      </c>
      <c r="AD56" s="181">
        <v>0.375</v>
      </c>
      <c r="AE56" s="181">
        <v>0.70833333333333337</v>
      </c>
      <c r="AF56" s="181">
        <v>0.41666666666666669</v>
      </c>
      <c r="AG56" s="181">
        <v>0.66666666666666663</v>
      </c>
      <c r="AH56" s="137" t="s">
        <v>719</v>
      </c>
      <c r="AI56" s="78"/>
      <c r="AJ56" s="105" t="b">
        <v>0</v>
      </c>
      <c r="AK56" s="105" t="b">
        <v>0</v>
      </c>
      <c r="AL56" s="78"/>
      <c r="AM56" s="78"/>
      <c r="AN56" s="102" t="s">
        <v>215</v>
      </c>
      <c r="AO56" s="188" t="s">
        <v>215</v>
      </c>
      <c r="AP56" s="102" t="s">
        <v>215</v>
      </c>
      <c r="AQ56" s="188" t="s">
        <v>215</v>
      </c>
      <c r="AR56" s="102" t="s">
        <v>215</v>
      </c>
      <c r="AS56" s="188" t="s">
        <v>215</v>
      </c>
      <c r="AT56" s="102" t="s">
        <v>215</v>
      </c>
      <c r="AU56" s="188" t="s">
        <v>215</v>
      </c>
      <c r="AV56" s="102" t="s">
        <v>215</v>
      </c>
      <c r="AW56" s="188" t="s">
        <v>215</v>
      </c>
      <c r="AX56" s="102" t="s">
        <v>215</v>
      </c>
      <c r="AY56" s="188" t="s">
        <v>215</v>
      </c>
      <c r="AZ56" s="102" t="s">
        <v>215</v>
      </c>
      <c r="BA56" s="188" t="s">
        <v>215</v>
      </c>
      <c r="BB56" s="96" t="s">
        <v>720</v>
      </c>
      <c r="BC56" s="96" t="s">
        <v>721</v>
      </c>
      <c r="BD56" s="96" t="s">
        <v>944</v>
      </c>
      <c r="BE56" s="96" t="s">
        <v>945</v>
      </c>
      <c r="BF56" s="96" t="s">
        <v>284</v>
      </c>
      <c r="BG56" s="105" t="b">
        <v>1</v>
      </c>
      <c r="BH56" s="105" t="b">
        <v>1</v>
      </c>
      <c r="BI56" s="105" t="b">
        <v>1</v>
      </c>
      <c r="BJ56" s="105" t="b">
        <v>1</v>
      </c>
      <c r="BK56" s="105" t="b">
        <v>1</v>
      </c>
      <c r="BL56" s="105" t="b">
        <v>1</v>
      </c>
      <c r="BM56" s="105" t="b">
        <v>1</v>
      </c>
      <c r="BN56" s="96" t="s">
        <v>244</v>
      </c>
      <c r="BO56" s="96" t="s">
        <v>437</v>
      </c>
      <c r="BP56" s="96" t="s">
        <v>286</v>
      </c>
      <c r="BQ56" s="102" t="s">
        <v>946</v>
      </c>
      <c r="BR56" s="78"/>
      <c r="BS56" s="78"/>
      <c r="BT56" s="102" t="s">
        <v>947</v>
      </c>
      <c r="BU56" s="102"/>
      <c r="BV56" s="102" t="s">
        <v>948</v>
      </c>
      <c r="BW56" s="96" t="s">
        <v>252</v>
      </c>
      <c r="BX56" s="78"/>
      <c r="BY56" s="78"/>
      <c r="BZ56" s="78"/>
      <c r="CA56" s="78"/>
      <c r="CB56" s="78"/>
      <c r="CC56" s="78"/>
      <c r="CD56" s="78"/>
      <c r="CE56" s="78"/>
      <c r="CF56" s="78"/>
      <c r="CG56" s="78"/>
      <c r="CH56" s="105" t="b">
        <v>0</v>
      </c>
      <c r="CI56" s="105" t="b">
        <v>0</v>
      </c>
      <c r="CJ56" s="105"/>
      <c r="CK56" s="78"/>
      <c r="CL56" s="78"/>
      <c r="CM56" s="78"/>
      <c r="CN56" s="78"/>
    </row>
    <row r="57" spans="1:92" ht="26.25" customHeight="1">
      <c r="A57" s="140"/>
      <c r="B57" s="96" t="s">
        <v>441</v>
      </c>
      <c r="C57" s="96" t="s">
        <v>949</v>
      </c>
      <c r="D57" s="185" t="s">
        <v>950</v>
      </c>
      <c r="E57" s="139"/>
      <c r="F57" s="96" t="s">
        <v>715</v>
      </c>
      <c r="G57" s="102" t="s">
        <v>951</v>
      </c>
      <c r="H57" s="102" t="s">
        <v>952</v>
      </c>
      <c r="I57" s="102" t="s">
        <v>259</v>
      </c>
      <c r="J57" s="102" t="s">
        <v>953</v>
      </c>
      <c r="K57" s="96"/>
      <c r="L57" s="102" t="s">
        <v>954</v>
      </c>
      <c r="M57" s="76">
        <v>50.621920493233702</v>
      </c>
      <c r="N57" s="76">
        <v>-3.4109117158665199</v>
      </c>
      <c r="O57" s="96"/>
      <c r="P57" s="96" t="s">
        <v>955</v>
      </c>
      <c r="Q57" s="105" t="b">
        <v>0</v>
      </c>
      <c r="R57" s="150" t="s">
        <v>215</v>
      </c>
      <c r="S57" s="150" t="s">
        <v>215</v>
      </c>
      <c r="T57" s="181">
        <v>0.375</v>
      </c>
      <c r="U57" s="181">
        <v>0.70833333333333337</v>
      </c>
      <c r="V57" s="181">
        <v>0.375</v>
      </c>
      <c r="W57" s="181">
        <v>0.70833333333333337</v>
      </c>
      <c r="X57" s="150" t="s">
        <v>215</v>
      </c>
      <c r="Y57" s="150" t="s">
        <v>215</v>
      </c>
      <c r="Z57" s="181">
        <v>0.375</v>
      </c>
      <c r="AA57" s="181">
        <v>0.70833333333333337</v>
      </c>
      <c r="AB57" s="181">
        <v>0.375</v>
      </c>
      <c r="AC57" s="181">
        <v>0.70833333333333337</v>
      </c>
      <c r="AD57" s="181">
        <v>0.375</v>
      </c>
      <c r="AE57" s="181">
        <v>0.54166666666666663</v>
      </c>
      <c r="AF57" s="150" t="s">
        <v>215</v>
      </c>
      <c r="AG57" s="150" t="s">
        <v>215</v>
      </c>
      <c r="AH57" s="96" t="s">
        <v>956</v>
      </c>
      <c r="AI57" s="96" t="s">
        <v>957</v>
      </c>
      <c r="AJ57" s="105" t="b">
        <v>0</v>
      </c>
      <c r="AK57" s="105" t="b">
        <v>0</v>
      </c>
      <c r="AL57" s="96" t="s">
        <v>217</v>
      </c>
      <c r="AM57" s="96"/>
      <c r="AN57" s="102" t="s">
        <v>215</v>
      </c>
      <c r="AO57" s="188" t="s">
        <v>215</v>
      </c>
      <c r="AP57" s="102" t="s">
        <v>215</v>
      </c>
      <c r="AQ57" s="188" t="s">
        <v>215</v>
      </c>
      <c r="AR57" s="102" t="s">
        <v>215</v>
      </c>
      <c r="AS57" s="188" t="s">
        <v>215</v>
      </c>
      <c r="AT57" s="102" t="s">
        <v>215</v>
      </c>
      <c r="AU57" s="188" t="s">
        <v>215</v>
      </c>
      <c r="AV57" s="102" t="s">
        <v>215</v>
      </c>
      <c r="AW57" s="188" t="s">
        <v>215</v>
      </c>
      <c r="AX57" s="102" t="s">
        <v>215</v>
      </c>
      <c r="AY57" s="188" t="s">
        <v>215</v>
      </c>
      <c r="AZ57" s="102" t="s">
        <v>215</v>
      </c>
      <c r="BA57" s="188" t="s">
        <v>215</v>
      </c>
      <c r="BB57" s="96" t="s">
        <v>958</v>
      </c>
      <c r="BC57" s="96" t="s">
        <v>959</v>
      </c>
      <c r="BD57" s="96" t="s">
        <v>960</v>
      </c>
      <c r="BE57" s="96" t="s">
        <v>961</v>
      </c>
      <c r="BF57" s="96"/>
      <c r="BG57" s="105" t="b">
        <v>0</v>
      </c>
      <c r="BH57" s="105" t="b">
        <v>1</v>
      </c>
      <c r="BI57" s="105" t="b">
        <v>1</v>
      </c>
      <c r="BJ57" s="105" t="b">
        <v>1</v>
      </c>
      <c r="BK57" s="105" t="b">
        <v>1</v>
      </c>
      <c r="BL57" s="105" t="b">
        <v>1</v>
      </c>
      <c r="BM57" s="105" t="b">
        <v>1</v>
      </c>
      <c r="BN57" s="96" t="s">
        <v>244</v>
      </c>
      <c r="BO57" s="96" t="s">
        <v>962</v>
      </c>
      <c r="BP57" s="96" t="s">
        <v>286</v>
      </c>
      <c r="BQ57" s="102" t="s">
        <v>963</v>
      </c>
      <c r="BR57" s="96"/>
      <c r="BS57" s="96"/>
      <c r="BT57" s="102" t="s">
        <v>964</v>
      </c>
      <c r="BU57" s="102"/>
      <c r="BV57" s="102" t="s">
        <v>965</v>
      </c>
      <c r="BW57" s="96" t="s">
        <v>252</v>
      </c>
      <c r="BX57" s="96"/>
      <c r="BY57" s="96"/>
      <c r="BZ57" s="96"/>
      <c r="CA57" s="96"/>
      <c r="CB57" s="96"/>
      <c r="CC57" s="96"/>
      <c r="CD57" s="96"/>
      <c r="CE57" s="96"/>
      <c r="CF57" s="96"/>
      <c r="CG57" s="96"/>
      <c r="CH57" s="105" t="b">
        <v>0</v>
      </c>
      <c r="CI57" s="105" t="b">
        <v>1</v>
      </c>
      <c r="CJ57" s="105"/>
      <c r="CK57" s="96"/>
      <c r="CL57" s="96"/>
      <c r="CM57" s="96"/>
      <c r="CN57" s="96"/>
    </row>
    <row r="58" spans="1:92" ht="26.25" customHeight="1">
      <c r="A58" s="140"/>
      <c r="B58" s="96" t="s">
        <v>205</v>
      </c>
      <c r="C58" s="96" t="s">
        <v>966</v>
      </c>
      <c r="D58" s="185" t="s">
        <v>967</v>
      </c>
      <c r="E58" s="139"/>
      <c r="F58" s="96" t="s">
        <v>307</v>
      </c>
      <c r="G58" s="102" t="s">
        <v>968</v>
      </c>
      <c r="H58" s="102" t="s">
        <v>967</v>
      </c>
      <c r="I58" s="102" t="s">
        <v>969</v>
      </c>
      <c r="J58" s="102" t="s">
        <v>259</v>
      </c>
      <c r="K58" s="96"/>
      <c r="L58" s="102" t="s">
        <v>895</v>
      </c>
      <c r="M58" s="76">
        <v>50.624905253261403</v>
      </c>
      <c r="N58" s="76">
        <v>-3.4040576452274398</v>
      </c>
      <c r="O58" s="96"/>
      <c r="P58" s="96" t="s">
        <v>214</v>
      </c>
      <c r="Q58" s="105" t="b">
        <v>1</v>
      </c>
      <c r="R58" s="181">
        <v>0</v>
      </c>
      <c r="S58" s="182">
        <v>1</v>
      </c>
      <c r="T58" s="150" t="s">
        <v>215</v>
      </c>
      <c r="U58" s="150" t="s">
        <v>215</v>
      </c>
      <c r="V58" s="150" t="s">
        <v>215</v>
      </c>
      <c r="W58" s="150" t="s">
        <v>215</v>
      </c>
      <c r="X58" s="150" t="s">
        <v>215</v>
      </c>
      <c r="Y58" s="150" t="s">
        <v>215</v>
      </c>
      <c r="Z58" s="150" t="s">
        <v>215</v>
      </c>
      <c r="AA58" s="150" t="s">
        <v>215</v>
      </c>
      <c r="AB58" s="150" t="s">
        <v>215</v>
      </c>
      <c r="AC58" s="150" t="s">
        <v>215</v>
      </c>
      <c r="AD58" s="150" t="s">
        <v>215</v>
      </c>
      <c r="AE58" s="150" t="s">
        <v>215</v>
      </c>
      <c r="AF58" s="150" t="s">
        <v>215</v>
      </c>
      <c r="AG58" s="150" t="s">
        <v>215</v>
      </c>
      <c r="AH58" s="96" t="s">
        <v>215</v>
      </c>
      <c r="AI58" s="96" t="s">
        <v>262</v>
      </c>
      <c r="AJ58" s="105" t="b">
        <v>0</v>
      </c>
      <c r="AK58" s="105" t="b">
        <v>0</v>
      </c>
      <c r="AL58" s="96" t="s">
        <v>217</v>
      </c>
      <c r="AM58" s="96"/>
      <c r="AN58" s="102" t="s">
        <v>215</v>
      </c>
      <c r="AO58" s="188" t="s">
        <v>215</v>
      </c>
      <c r="AP58" s="102" t="s">
        <v>215</v>
      </c>
      <c r="AQ58" s="188" t="s">
        <v>215</v>
      </c>
      <c r="AR58" s="102" t="s">
        <v>215</v>
      </c>
      <c r="AS58" s="188" t="s">
        <v>215</v>
      </c>
      <c r="AT58" s="102" t="s">
        <v>215</v>
      </c>
      <c r="AU58" s="188" t="s">
        <v>215</v>
      </c>
      <c r="AV58" s="102" t="s">
        <v>215</v>
      </c>
      <c r="AW58" s="188" t="s">
        <v>215</v>
      </c>
      <c r="AX58" s="102" t="s">
        <v>215</v>
      </c>
      <c r="AY58" s="188" t="s">
        <v>215</v>
      </c>
      <c r="AZ58" s="102" t="s">
        <v>215</v>
      </c>
      <c r="BA58" s="188" t="s">
        <v>215</v>
      </c>
      <c r="BB58" s="96" t="s">
        <v>970</v>
      </c>
      <c r="BC58" s="96" t="s">
        <v>777</v>
      </c>
      <c r="BD58" s="96" t="s">
        <v>753</v>
      </c>
      <c r="BE58" s="96" t="s">
        <v>359</v>
      </c>
      <c r="BF58" s="96"/>
      <c r="BG58" s="105" t="b">
        <v>1</v>
      </c>
      <c r="BH58" s="105" t="b">
        <v>1</v>
      </c>
      <c r="BI58" s="105" t="b">
        <v>1</v>
      </c>
      <c r="BJ58" s="105" t="b">
        <v>1</v>
      </c>
      <c r="BK58" s="105" t="b">
        <v>1</v>
      </c>
      <c r="BL58" s="105" t="b">
        <v>1</v>
      </c>
      <c r="BM58" s="105" t="b">
        <v>1</v>
      </c>
      <c r="BN58" s="96" t="s">
        <v>223</v>
      </c>
      <c r="BO58" s="96" t="s">
        <v>623</v>
      </c>
      <c r="BP58" s="96" t="s">
        <v>886</v>
      </c>
      <c r="BQ58" s="102" t="s">
        <v>971</v>
      </c>
      <c r="BR58" s="96"/>
      <c r="BS58" s="96"/>
      <c r="BT58" s="102" t="s">
        <v>972</v>
      </c>
      <c r="BU58" s="102"/>
      <c r="BV58" s="102" t="s">
        <v>973</v>
      </c>
      <c r="BW58" s="96" t="s">
        <v>252</v>
      </c>
      <c r="BX58" s="96"/>
      <c r="BY58" s="96"/>
      <c r="BZ58" s="96"/>
      <c r="CA58" s="96"/>
      <c r="CB58" s="96"/>
      <c r="CC58" s="96"/>
      <c r="CD58" s="96"/>
      <c r="CE58" s="96"/>
      <c r="CF58" s="96"/>
      <c r="CG58" s="96"/>
      <c r="CH58" s="105" t="b">
        <v>0</v>
      </c>
      <c r="CI58" s="105" t="b">
        <v>1</v>
      </c>
      <c r="CJ58" s="105"/>
      <c r="CK58" s="96"/>
      <c r="CL58" s="96"/>
      <c r="CM58" s="96"/>
      <c r="CN58" s="96"/>
    </row>
    <row r="59" spans="1:92" ht="26.25" customHeight="1">
      <c r="A59" s="140"/>
      <c r="B59" s="96" t="s">
        <v>349</v>
      </c>
      <c r="C59" s="96" t="s">
        <v>364</v>
      </c>
      <c r="D59" s="185" t="s">
        <v>974</v>
      </c>
      <c r="E59" s="139"/>
      <c r="F59" s="96" t="s">
        <v>975</v>
      </c>
      <c r="G59" s="102" t="s">
        <v>976</v>
      </c>
      <c r="H59" s="102" t="s">
        <v>967</v>
      </c>
      <c r="I59" s="102" t="s">
        <v>969</v>
      </c>
      <c r="J59" s="102" t="s">
        <v>259</v>
      </c>
      <c r="K59" s="96"/>
      <c r="L59" s="102" t="s">
        <v>895</v>
      </c>
      <c r="M59" s="76">
        <v>50.624905253261403</v>
      </c>
      <c r="N59" s="76">
        <v>-3.4040576452274398</v>
      </c>
      <c r="O59" s="96"/>
      <c r="P59" s="96" t="s">
        <v>214</v>
      </c>
      <c r="Q59" s="105" t="b">
        <v>1</v>
      </c>
      <c r="R59" s="181">
        <v>0</v>
      </c>
      <c r="S59" s="182">
        <v>1</v>
      </c>
      <c r="T59" s="150" t="s">
        <v>215</v>
      </c>
      <c r="U59" s="150" t="s">
        <v>215</v>
      </c>
      <c r="V59" s="150" t="s">
        <v>215</v>
      </c>
      <c r="W59" s="150" t="s">
        <v>215</v>
      </c>
      <c r="X59" s="150" t="s">
        <v>215</v>
      </c>
      <c r="Y59" s="150" t="s">
        <v>215</v>
      </c>
      <c r="Z59" s="150" t="s">
        <v>215</v>
      </c>
      <c r="AA59" s="150" t="s">
        <v>215</v>
      </c>
      <c r="AB59" s="150" t="s">
        <v>215</v>
      </c>
      <c r="AC59" s="150" t="s">
        <v>215</v>
      </c>
      <c r="AD59" s="150" t="s">
        <v>215</v>
      </c>
      <c r="AE59" s="150" t="s">
        <v>215</v>
      </c>
      <c r="AF59" s="150"/>
      <c r="AG59" s="150"/>
      <c r="AH59" s="96"/>
      <c r="AI59" s="96"/>
      <c r="AJ59" s="105"/>
      <c r="AK59" s="105"/>
      <c r="AL59" s="96" t="s">
        <v>217</v>
      </c>
      <c r="AM59" s="96"/>
      <c r="AN59" s="102" t="s">
        <v>215</v>
      </c>
      <c r="AO59" s="188" t="s">
        <v>215</v>
      </c>
      <c r="AP59" s="102" t="s">
        <v>215</v>
      </c>
      <c r="AQ59" s="188" t="s">
        <v>215</v>
      </c>
      <c r="AR59" s="102" t="s">
        <v>215</v>
      </c>
      <c r="AS59" s="188" t="s">
        <v>215</v>
      </c>
      <c r="AT59" s="102" t="s">
        <v>215</v>
      </c>
      <c r="AU59" s="188" t="s">
        <v>215</v>
      </c>
      <c r="AV59" s="102" t="s">
        <v>215</v>
      </c>
      <c r="AW59" s="188" t="s">
        <v>215</v>
      </c>
      <c r="AX59" s="102" t="s">
        <v>215</v>
      </c>
      <c r="AY59" s="188" t="s">
        <v>215</v>
      </c>
      <c r="AZ59" s="102" t="s">
        <v>215</v>
      </c>
      <c r="BA59" s="188" t="s">
        <v>215</v>
      </c>
      <c r="BB59" s="96" t="s">
        <v>970</v>
      </c>
      <c r="BC59" s="96" t="s">
        <v>777</v>
      </c>
      <c r="BD59" s="96" t="s">
        <v>753</v>
      </c>
      <c r="BE59" s="96" t="s">
        <v>359</v>
      </c>
      <c r="BF59" s="96"/>
      <c r="BG59" s="105" t="b">
        <v>1</v>
      </c>
      <c r="BH59" s="105" t="b">
        <v>1</v>
      </c>
      <c r="BI59" s="105" t="b">
        <v>1</v>
      </c>
      <c r="BJ59" s="105" t="b">
        <v>1</v>
      </c>
      <c r="BK59" s="105" t="b">
        <v>1</v>
      </c>
      <c r="BL59" s="105"/>
      <c r="BM59" s="105"/>
      <c r="BN59" s="96" t="s">
        <v>223</v>
      </c>
      <c r="BO59" s="96" t="s">
        <v>623</v>
      </c>
      <c r="BP59" s="96" t="s">
        <v>886</v>
      </c>
      <c r="BQ59" s="102" t="s">
        <v>977</v>
      </c>
      <c r="BR59" s="96"/>
      <c r="BS59" s="96"/>
      <c r="BT59" s="102" t="s">
        <v>978</v>
      </c>
      <c r="BU59" s="102"/>
      <c r="BV59" s="102" t="s">
        <v>979</v>
      </c>
      <c r="BW59" s="96" t="s">
        <v>252</v>
      </c>
      <c r="BX59" s="96"/>
      <c r="BY59" s="96"/>
      <c r="BZ59" s="96"/>
      <c r="CA59" s="96"/>
      <c r="CB59" s="96"/>
      <c r="CC59" s="96"/>
      <c r="CD59" s="96"/>
      <c r="CE59" s="96"/>
      <c r="CF59" s="96"/>
      <c r="CG59" s="96"/>
      <c r="CH59" s="105" t="b">
        <v>0</v>
      </c>
      <c r="CI59" s="105" t="b">
        <v>1</v>
      </c>
      <c r="CJ59" s="105"/>
      <c r="CK59" s="96"/>
      <c r="CL59" s="96"/>
      <c r="CM59" s="96"/>
      <c r="CN59" s="96"/>
    </row>
    <row r="60" spans="1:92" ht="26.25" customHeight="1">
      <c r="A60" s="140"/>
      <c r="B60" s="96" t="s">
        <v>374</v>
      </c>
      <c r="C60" s="96" t="s">
        <v>375</v>
      </c>
      <c r="D60" s="185" t="s">
        <v>980</v>
      </c>
      <c r="E60" s="139"/>
      <c r="F60" s="96" t="s">
        <v>208</v>
      </c>
      <c r="G60" s="102" t="s">
        <v>981</v>
      </c>
      <c r="H60" s="102" t="s">
        <v>967</v>
      </c>
      <c r="I60" s="102" t="s">
        <v>969</v>
      </c>
      <c r="J60" s="102" t="s">
        <v>259</v>
      </c>
      <c r="K60" s="96"/>
      <c r="L60" s="102" t="s">
        <v>895</v>
      </c>
      <c r="M60" s="76">
        <v>50.624905253261403</v>
      </c>
      <c r="N60" s="76">
        <v>-3.4040576452274398</v>
      </c>
      <c r="O60" s="96"/>
      <c r="P60" s="96" t="s">
        <v>214</v>
      </c>
      <c r="Q60" s="105" t="b">
        <v>1</v>
      </c>
      <c r="R60" s="181">
        <v>0</v>
      </c>
      <c r="S60" s="182">
        <v>1</v>
      </c>
      <c r="T60" s="150" t="s">
        <v>215</v>
      </c>
      <c r="U60" s="150" t="s">
        <v>215</v>
      </c>
      <c r="V60" s="150" t="s">
        <v>215</v>
      </c>
      <c r="W60" s="150" t="s">
        <v>215</v>
      </c>
      <c r="X60" s="150" t="s">
        <v>215</v>
      </c>
      <c r="Y60" s="150" t="s">
        <v>215</v>
      </c>
      <c r="Z60" s="150" t="s">
        <v>215</v>
      </c>
      <c r="AA60" s="150" t="s">
        <v>215</v>
      </c>
      <c r="AB60" s="150" t="s">
        <v>215</v>
      </c>
      <c r="AC60" s="150" t="s">
        <v>215</v>
      </c>
      <c r="AD60" s="150" t="s">
        <v>215</v>
      </c>
      <c r="AE60" s="150" t="s">
        <v>215</v>
      </c>
      <c r="AF60" s="150"/>
      <c r="AG60" s="150"/>
      <c r="AH60" s="96"/>
      <c r="AI60" s="96"/>
      <c r="AJ60" s="105"/>
      <c r="AK60" s="105"/>
      <c r="AL60" s="96" t="s">
        <v>217</v>
      </c>
      <c r="AM60" s="96"/>
      <c r="AN60" s="102" t="s">
        <v>215</v>
      </c>
      <c r="AO60" s="188" t="s">
        <v>215</v>
      </c>
      <c r="AP60" s="102" t="s">
        <v>215</v>
      </c>
      <c r="AQ60" s="188" t="s">
        <v>215</v>
      </c>
      <c r="AR60" s="102" t="s">
        <v>215</v>
      </c>
      <c r="AS60" s="188" t="s">
        <v>215</v>
      </c>
      <c r="AT60" s="102" t="s">
        <v>215</v>
      </c>
      <c r="AU60" s="188" t="s">
        <v>215</v>
      </c>
      <c r="AV60" s="102" t="s">
        <v>215</v>
      </c>
      <c r="AW60" s="188" t="s">
        <v>215</v>
      </c>
      <c r="AX60" s="102" t="s">
        <v>215</v>
      </c>
      <c r="AY60" s="188" t="s">
        <v>215</v>
      </c>
      <c r="AZ60" s="102" t="s">
        <v>215</v>
      </c>
      <c r="BA60" s="188" t="s">
        <v>215</v>
      </c>
      <c r="BB60" s="96" t="s">
        <v>970</v>
      </c>
      <c r="BC60" s="96" t="s">
        <v>777</v>
      </c>
      <c r="BD60" s="96" t="s">
        <v>753</v>
      </c>
      <c r="BE60" s="96" t="s">
        <v>359</v>
      </c>
      <c r="BF60" s="96"/>
      <c r="BG60" s="105"/>
      <c r="BH60" s="105"/>
      <c r="BI60" s="105" t="b">
        <v>1</v>
      </c>
      <c r="BJ60" s="105" t="b">
        <v>1</v>
      </c>
      <c r="BK60" s="105" t="b">
        <v>1</v>
      </c>
      <c r="BL60" s="105" t="b">
        <v>1</v>
      </c>
      <c r="BM60" s="105" t="b">
        <v>1</v>
      </c>
      <c r="BN60" s="96" t="s">
        <v>223</v>
      </c>
      <c r="BO60" s="96" t="s">
        <v>623</v>
      </c>
      <c r="BP60" s="96" t="s">
        <v>886</v>
      </c>
      <c r="BQ60" s="102" t="s">
        <v>380</v>
      </c>
      <c r="BR60" s="96"/>
      <c r="BS60" s="96"/>
      <c r="BT60" s="102" t="s">
        <v>982</v>
      </c>
      <c r="BU60" s="102"/>
      <c r="BV60" s="102" t="s">
        <v>983</v>
      </c>
      <c r="BW60" s="96" t="s">
        <v>252</v>
      </c>
      <c r="BX60" s="96"/>
      <c r="BY60" s="96"/>
      <c r="BZ60" s="96"/>
      <c r="CA60" s="96"/>
      <c r="CB60" s="96"/>
      <c r="CC60" s="96"/>
      <c r="CD60" s="96"/>
      <c r="CE60" s="96"/>
      <c r="CF60" s="96"/>
      <c r="CG60" s="96"/>
      <c r="CH60" s="105" t="b">
        <v>0</v>
      </c>
      <c r="CI60" s="105" t="b">
        <v>1</v>
      </c>
      <c r="CJ60" s="105"/>
      <c r="CK60" s="96"/>
      <c r="CL60" s="96"/>
      <c r="CM60" s="96"/>
      <c r="CN60" s="96"/>
    </row>
    <row r="61" spans="1:92" ht="26.25" customHeight="1">
      <c r="A61" s="140"/>
      <c r="B61" s="96" t="s">
        <v>232</v>
      </c>
      <c r="C61" s="96" t="s">
        <v>984</v>
      </c>
      <c r="D61" s="185" t="s">
        <v>985</v>
      </c>
      <c r="E61" s="139"/>
      <c r="F61" s="96" t="s">
        <v>276</v>
      </c>
      <c r="G61" s="102" t="s">
        <v>986</v>
      </c>
      <c r="H61" s="102" t="s">
        <v>987</v>
      </c>
      <c r="I61" s="102" t="s">
        <v>988</v>
      </c>
      <c r="J61" s="102" t="s">
        <v>259</v>
      </c>
      <c r="K61" s="96"/>
      <c r="L61" s="102" t="s">
        <v>989</v>
      </c>
      <c r="M61" s="76">
        <v>50.612259259229504</v>
      </c>
      <c r="N61" s="76">
        <v>-3.40783603305209</v>
      </c>
      <c r="O61" s="96"/>
      <c r="P61" s="96" t="s">
        <v>214</v>
      </c>
      <c r="Q61" s="96" t="b">
        <v>1</v>
      </c>
      <c r="R61" s="181">
        <v>0</v>
      </c>
      <c r="S61" s="182">
        <v>1</v>
      </c>
      <c r="T61" s="150" t="s">
        <v>215</v>
      </c>
      <c r="U61" s="150" t="s">
        <v>215</v>
      </c>
      <c r="V61" s="150" t="s">
        <v>215</v>
      </c>
      <c r="W61" s="150" t="s">
        <v>215</v>
      </c>
      <c r="X61" s="150" t="s">
        <v>215</v>
      </c>
      <c r="Y61" s="150" t="s">
        <v>215</v>
      </c>
      <c r="Z61" s="150" t="s">
        <v>215</v>
      </c>
      <c r="AA61" s="150" t="s">
        <v>215</v>
      </c>
      <c r="AB61" s="150" t="s">
        <v>215</v>
      </c>
      <c r="AC61" s="150" t="s">
        <v>215</v>
      </c>
      <c r="AD61" s="150" t="s">
        <v>215</v>
      </c>
      <c r="AE61" s="150" t="s">
        <v>215</v>
      </c>
      <c r="AF61" s="150" t="s">
        <v>215</v>
      </c>
      <c r="AG61" s="150" t="s">
        <v>215</v>
      </c>
      <c r="AH61" s="96" t="s">
        <v>215</v>
      </c>
      <c r="AI61" s="96" t="s">
        <v>262</v>
      </c>
      <c r="AJ61" s="105" t="b">
        <v>0</v>
      </c>
      <c r="AK61" s="105" t="b">
        <v>0</v>
      </c>
      <c r="AL61" s="96" t="s">
        <v>217</v>
      </c>
      <c r="AM61" s="96"/>
      <c r="AN61" s="102" t="s">
        <v>215</v>
      </c>
      <c r="AO61" s="188" t="s">
        <v>215</v>
      </c>
      <c r="AP61" s="102" t="s">
        <v>215</v>
      </c>
      <c r="AQ61" s="188" t="s">
        <v>215</v>
      </c>
      <c r="AR61" s="102" t="s">
        <v>215</v>
      </c>
      <c r="AS61" s="188" t="s">
        <v>215</v>
      </c>
      <c r="AT61" s="102" t="s">
        <v>215</v>
      </c>
      <c r="AU61" s="188" t="s">
        <v>215</v>
      </c>
      <c r="AV61" s="102" t="s">
        <v>215</v>
      </c>
      <c r="AW61" s="188" t="s">
        <v>215</v>
      </c>
      <c r="AX61" s="102" t="s">
        <v>215</v>
      </c>
      <c r="AY61" s="188" t="s">
        <v>215</v>
      </c>
      <c r="AZ61" s="102" t="s">
        <v>215</v>
      </c>
      <c r="BA61" s="188" t="s">
        <v>215</v>
      </c>
      <c r="BB61" s="96" t="s">
        <v>263</v>
      </c>
      <c r="BC61" s="96"/>
      <c r="BD61" s="96" t="s">
        <v>990</v>
      </c>
      <c r="BE61" s="96" t="s">
        <v>991</v>
      </c>
      <c r="BF61" s="96" t="s">
        <v>284</v>
      </c>
      <c r="BG61" s="105" t="b">
        <v>1</v>
      </c>
      <c r="BH61" s="105" t="b">
        <v>1</v>
      </c>
      <c r="BI61" s="105" t="b">
        <v>1</v>
      </c>
      <c r="BJ61" s="105" t="b">
        <v>1</v>
      </c>
      <c r="BK61" s="105" t="b">
        <v>1</v>
      </c>
      <c r="BL61" s="105" t="b">
        <v>0</v>
      </c>
      <c r="BM61" s="96"/>
      <c r="BN61" s="96" t="s">
        <v>223</v>
      </c>
      <c r="BO61" s="96" t="s">
        <v>992</v>
      </c>
      <c r="BP61" s="96" t="s">
        <v>886</v>
      </c>
      <c r="BQ61" s="102" t="s">
        <v>993</v>
      </c>
      <c r="BR61" s="96"/>
      <c r="BS61" s="96"/>
      <c r="BT61" s="102" t="s">
        <v>994</v>
      </c>
      <c r="BU61" s="102"/>
      <c r="BV61" s="102" t="s">
        <v>995</v>
      </c>
      <c r="BW61" s="96" t="s">
        <v>252</v>
      </c>
      <c r="BX61" s="96"/>
      <c r="BY61" s="96"/>
      <c r="BZ61" s="96"/>
      <c r="CA61" s="96"/>
      <c r="CB61" s="96"/>
      <c r="CC61" s="96"/>
      <c r="CD61" s="96"/>
      <c r="CE61" s="96"/>
      <c r="CF61" s="96"/>
      <c r="CG61" s="96"/>
      <c r="CH61" s="96"/>
      <c r="CI61" s="105" t="b">
        <v>1</v>
      </c>
      <c r="CJ61" s="96"/>
      <c r="CK61" s="96"/>
      <c r="CL61" s="96"/>
      <c r="CM61" s="96"/>
      <c r="CN61" s="96"/>
    </row>
    <row r="62" spans="1:92" ht="26.25" customHeight="1">
      <c r="A62" s="140"/>
      <c r="B62" s="96" t="s">
        <v>349</v>
      </c>
      <c r="C62" s="102" t="s">
        <v>364</v>
      </c>
      <c r="D62" s="185" t="s">
        <v>996</v>
      </c>
      <c r="E62" s="139"/>
      <c r="F62" s="96" t="s">
        <v>307</v>
      </c>
      <c r="G62" s="102" t="s">
        <v>997</v>
      </c>
      <c r="H62" s="81" t="s">
        <v>998</v>
      </c>
      <c r="I62" s="96" t="s">
        <v>999</v>
      </c>
      <c r="J62" s="96" t="s">
        <v>259</v>
      </c>
      <c r="K62" s="96"/>
      <c r="L62" s="96" t="s">
        <v>1000</v>
      </c>
      <c r="M62" s="76">
        <v>50.627609190298003</v>
      </c>
      <c r="N62" s="76">
        <v>-3.4142100177113499</v>
      </c>
      <c r="O62" s="96"/>
      <c r="P62" s="96" t="s">
        <v>214</v>
      </c>
      <c r="Q62" s="105" t="b">
        <v>1</v>
      </c>
      <c r="R62" s="181">
        <v>0</v>
      </c>
      <c r="S62" s="182">
        <v>1</v>
      </c>
      <c r="T62" s="150" t="s">
        <v>215</v>
      </c>
      <c r="U62" s="150" t="s">
        <v>215</v>
      </c>
      <c r="V62" s="150" t="s">
        <v>215</v>
      </c>
      <c r="W62" s="150" t="s">
        <v>215</v>
      </c>
      <c r="X62" s="150" t="s">
        <v>215</v>
      </c>
      <c r="Y62" s="150" t="s">
        <v>215</v>
      </c>
      <c r="Z62" s="150" t="s">
        <v>215</v>
      </c>
      <c r="AA62" s="150" t="s">
        <v>215</v>
      </c>
      <c r="AB62" s="150" t="s">
        <v>215</v>
      </c>
      <c r="AC62" s="150" t="s">
        <v>215</v>
      </c>
      <c r="AD62" s="150" t="s">
        <v>215</v>
      </c>
      <c r="AE62" s="150" t="s">
        <v>215</v>
      </c>
      <c r="AF62" s="150" t="s">
        <v>215</v>
      </c>
      <c r="AG62" s="150" t="s">
        <v>215</v>
      </c>
      <c r="AH62" s="96" t="s">
        <v>215</v>
      </c>
      <c r="AI62" s="96" t="s">
        <v>262</v>
      </c>
      <c r="AJ62" s="105" t="b">
        <v>0</v>
      </c>
      <c r="AK62" s="105" t="b">
        <v>0</v>
      </c>
      <c r="AL62" s="96" t="s">
        <v>217</v>
      </c>
      <c r="AM62" s="96"/>
      <c r="AN62" s="102" t="s">
        <v>215</v>
      </c>
      <c r="AO62" s="188" t="s">
        <v>215</v>
      </c>
      <c r="AP62" s="102" t="s">
        <v>215</v>
      </c>
      <c r="AQ62" s="188" t="s">
        <v>215</v>
      </c>
      <c r="AR62" s="102" t="s">
        <v>215</v>
      </c>
      <c r="AS62" s="188" t="s">
        <v>215</v>
      </c>
      <c r="AT62" s="102" t="s">
        <v>215</v>
      </c>
      <c r="AU62" s="188" t="s">
        <v>215</v>
      </c>
      <c r="AV62" s="102" t="s">
        <v>215</v>
      </c>
      <c r="AW62" s="188" t="s">
        <v>215</v>
      </c>
      <c r="AX62" s="102" t="s">
        <v>215</v>
      </c>
      <c r="AY62" s="188" t="s">
        <v>215</v>
      </c>
      <c r="AZ62" s="102" t="s">
        <v>215</v>
      </c>
      <c r="BA62" s="188" t="s">
        <v>215</v>
      </c>
      <c r="BB62" s="96" t="s">
        <v>358</v>
      </c>
      <c r="BC62" s="96" t="s">
        <v>1001</v>
      </c>
      <c r="BD62" s="96" t="s">
        <v>742</v>
      </c>
      <c r="BE62" s="96" t="s">
        <v>359</v>
      </c>
      <c r="BF62" s="96" t="s">
        <v>222</v>
      </c>
      <c r="BG62" s="105" t="b">
        <v>0</v>
      </c>
      <c r="BH62" s="105" t="b">
        <v>1</v>
      </c>
      <c r="BI62" s="105" t="b">
        <v>1</v>
      </c>
      <c r="BJ62" s="105" t="b">
        <v>1</v>
      </c>
      <c r="BK62" s="105" t="b">
        <v>0</v>
      </c>
      <c r="BL62" s="105" t="b">
        <v>0</v>
      </c>
      <c r="BM62" s="105" t="b">
        <v>0</v>
      </c>
      <c r="BN62" s="96" t="s">
        <v>223</v>
      </c>
      <c r="BO62" s="96" t="s">
        <v>623</v>
      </c>
      <c r="BP62" s="96" t="s">
        <v>379</v>
      </c>
      <c r="BQ62" s="102" t="s">
        <v>1002</v>
      </c>
      <c r="BR62" s="96"/>
      <c r="BS62" s="96"/>
      <c r="BT62" s="102" t="s">
        <v>1003</v>
      </c>
      <c r="BU62" s="102"/>
      <c r="BV62" s="102" t="s">
        <v>1004</v>
      </c>
      <c r="BW62" s="96" t="s">
        <v>252</v>
      </c>
      <c r="BX62" s="96"/>
      <c r="BY62" s="96"/>
      <c r="BZ62" s="96"/>
      <c r="CA62" s="96"/>
      <c r="CB62" s="96"/>
      <c r="CC62" s="96"/>
      <c r="CD62" s="96"/>
      <c r="CE62" s="96"/>
      <c r="CF62" s="96"/>
      <c r="CG62" s="96"/>
      <c r="CH62" s="105" t="b">
        <v>0</v>
      </c>
      <c r="CI62" s="105" t="b">
        <v>1</v>
      </c>
      <c r="CJ62" s="105"/>
      <c r="CK62" s="96"/>
      <c r="CL62" s="96"/>
      <c r="CM62" s="96"/>
      <c r="CN62" s="96"/>
    </row>
    <row r="63" spans="1:92" ht="26.25" customHeight="1">
      <c r="A63" s="141"/>
      <c r="B63" s="96" t="s">
        <v>349</v>
      </c>
      <c r="C63" s="102" t="s">
        <v>364</v>
      </c>
      <c r="D63" s="138" t="s">
        <v>1005</v>
      </c>
      <c r="E63" s="136"/>
      <c r="F63" s="102" t="s">
        <v>208</v>
      </c>
      <c r="G63" s="102" t="s">
        <v>1006</v>
      </c>
      <c r="H63" s="102" t="s">
        <v>1007</v>
      </c>
      <c r="I63" s="136"/>
      <c r="J63" s="185" t="s">
        <v>1008</v>
      </c>
      <c r="K63" s="136"/>
      <c r="L63" s="185" t="s">
        <v>1009</v>
      </c>
      <c r="M63" s="76">
        <v>50.436123593289302</v>
      </c>
      <c r="N63" s="76">
        <v>-3.5598166182993598</v>
      </c>
      <c r="O63" s="78"/>
      <c r="P63" s="96" t="s">
        <v>214</v>
      </c>
      <c r="Q63" s="105" t="b">
        <v>1</v>
      </c>
      <c r="R63" s="181">
        <v>0</v>
      </c>
      <c r="S63" s="182">
        <v>1</v>
      </c>
      <c r="T63" s="142" t="s">
        <v>215</v>
      </c>
      <c r="U63" s="142" t="s">
        <v>215</v>
      </c>
      <c r="V63" s="142" t="s">
        <v>215</v>
      </c>
      <c r="W63" s="142" t="s">
        <v>215</v>
      </c>
      <c r="X63" s="142" t="s">
        <v>215</v>
      </c>
      <c r="Y63" s="142" t="s">
        <v>215</v>
      </c>
      <c r="Z63" s="142" t="s">
        <v>215</v>
      </c>
      <c r="AA63" s="142" t="s">
        <v>215</v>
      </c>
      <c r="AB63" s="142" t="s">
        <v>215</v>
      </c>
      <c r="AC63" s="142" t="s">
        <v>215</v>
      </c>
      <c r="AD63" s="142" t="s">
        <v>215</v>
      </c>
      <c r="AE63" s="142" t="s">
        <v>215</v>
      </c>
      <c r="AF63" s="142" t="s">
        <v>215</v>
      </c>
      <c r="AG63" s="142" t="s">
        <v>215</v>
      </c>
      <c r="AH63" s="96" t="s">
        <v>215</v>
      </c>
      <c r="AI63" s="96" t="s">
        <v>262</v>
      </c>
      <c r="AJ63" s="105" t="b">
        <v>0</v>
      </c>
      <c r="AK63" s="105" t="b">
        <v>0</v>
      </c>
      <c r="AL63" s="96" t="s">
        <v>217</v>
      </c>
      <c r="AM63" s="78"/>
      <c r="AN63" s="102" t="s">
        <v>215</v>
      </c>
      <c r="AO63" s="188" t="s">
        <v>215</v>
      </c>
      <c r="AP63" s="102" t="s">
        <v>215</v>
      </c>
      <c r="AQ63" s="188" t="s">
        <v>215</v>
      </c>
      <c r="AR63" s="102" t="s">
        <v>215</v>
      </c>
      <c r="AS63" s="188" t="s">
        <v>215</v>
      </c>
      <c r="AT63" s="102" t="s">
        <v>215</v>
      </c>
      <c r="AU63" s="188" t="s">
        <v>215</v>
      </c>
      <c r="AV63" s="102" t="s">
        <v>215</v>
      </c>
      <c r="AW63" s="188" t="s">
        <v>215</v>
      </c>
      <c r="AX63" s="102" t="s">
        <v>215</v>
      </c>
      <c r="AY63" s="188" t="s">
        <v>215</v>
      </c>
      <c r="AZ63" s="102" t="s">
        <v>215</v>
      </c>
      <c r="BA63" s="188" t="s">
        <v>215</v>
      </c>
      <c r="BB63" s="96" t="s">
        <v>1010</v>
      </c>
      <c r="BC63" s="78"/>
      <c r="BD63" s="78"/>
      <c r="BE63" s="96" t="s">
        <v>586</v>
      </c>
      <c r="BF63" s="96" t="s">
        <v>284</v>
      </c>
      <c r="BG63" s="105" t="b">
        <v>1</v>
      </c>
      <c r="BH63" s="105" t="b">
        <v>1</v>
      </c>
      <c r="BI63" s="105" t="b">
        <v>1</v>
      </c>
      <c r="BJ63" s="105" t="b">
        <v>1</v>
      </c>
      <c r="BK63" s="105" t="b">
        <v>1</v>
      </c>
      <c r="BL63" s="105" t="b">
        <v>0</v>
      </c>
      <c r="BM63" s="105" t="b">
        <v>0</v>
      </c>
      <c r="BN63" s="78" t="s">
        <v>223</v>
      </c>
      <c r="BO63" s="96" t="s">
        <v>623</v>
      </c>
      <c r="BP63" s="96" t="s">
        <v>909</v>
      </c>
      <c r="BQ63" s="102" t="s">
        <v>1011</v>
      </c>
      <c r="BR63" s="78"/>
      <c r="BS63" s="78"/>
      <c r="BT63" s="102" t="s">
        <v>1012</v>
      </c>
      <c r="BU63" s="102"/>
      <c r="BV63" s="102" t="s">
        <v>1013</v>
      </c>
      <c r="BW63" s="78" t="s">
        <v>845</v>
      </c>
      <c r="BX63" s="78"/>
      <c r="BY63" s="78"/>
      <c r="BZ63" s="78"/>
      <c r="CA63" s="78"/>
      <c r="CB63" s="78"/>
      <c r="CC63" s="78"/>
      <c r="CD63" s="78"/>
      <c r="CE63" s="78"/>
      <c r="CF63" s="78"/>
      <c r="CG63" s="78"/>
      <c r="CH63" s="105" t="b">
        <v>0</v>
      </c>
      <c r="CI63" s="105" t="b">
        <v>1</v>
      </c>
      <c r="CJ63" s="105"/>
      <c r="CK63" s="78"/>
      <c r="CL63" s="78"/>
      <c r="CM63" s="78"/>
      <c r="CN63" s="78"/>
    </row>
    <row r="64" spans="1:92" ht="26.25" customHeight="1">
      <c r="A64" s="143"/>
      <c r="B64" s="96" t="s">
        <v>1014</v>
      </c>
      <c r="C64" s="102" t="s">
        <v>1015</v>
      </c>
      <c r="D64" s="138" t="s">
        <v>1016</v>
      </c>
      <c r="E64" s="139"/>
      <c r="F64" s="102" t="s">
        <v>276</v>
      </c>
      <c r="G64" s="102" t="s">
        <v>1017</v>
      </c>
      <c r="H64" s="185" t="s">
        <v>1018</v>
      </c>
      <c r="I64" s="102" t="s">
        <v>1019</v>
      </c>
      <c r="J64" s="185" t="s">
        <v>461</v>
      </c>
      <c r="K64" s="139"/>
      <c r="L64" s="185" t="s">
        <v>1020</v>
      </c>
      <c r="M64" s="76">
        <v>50.582194721607699</v>
      </c>
      <c r="N64" s="76">
        <v>-3.6745775600433701</v>
      </c>
      <c r="O64" s="96"/>
      <c r="P64" s="96" t="s">
        <v>214</v>
      </c>
      <c r="Q64" s="105" t="b">
        <v>0</v>
      </c>
      <c r="R64" s="150" t="s">
        <v>215</v>
      </c>
      <c r="S64" s="150" t="s">
        <v>215</v>
      </c>
      <c r="T64" s="181">
        <v>0.375</v>
      </c>
      <c r="U64" s="181">
        <v>0.70833333333333337</v>
      </c>
      <c r="V64" s="181">
        <v>0.375</v>
      </c>
      <c r="W64" s="181">
        <v>0.70833333333333337</v>
      </c>
      <c r="X64" s="181">
        <v>0.375</v>
      </c>
      <c r="Y64" s="181">
        <v>0.70833333333333337</v>
      </c>
      <c r="Z64" s="181">
        <v>0.375</v>
      </c>
      <c r="AA64" s="181">
        <v>0.70833333333333337</v>
      </c>
      <c r="AB64" s="181">
        <v>0.375</v>
      </c>
      <c r="AC64" s="181">
        <v>0.70833333333333337</v>
      </c>
      <c r="AD64" s="181">
        <v>0.375</v>
      </c>
      <c r="AE64" s="181">
        <v>0.70833333333333337</v>
      </c>
      <c r="AF64" s="181">
        <v>0.41666666666666669</v>
      </c>
      <c r="AG64" s="181">
        <v>0.70833333333333337</v>
      </c>
      <c r="AH64" s="102" t="s">
        <v>1021</v>
      </c>
      <c r="AI64" s="96" t="s">
        <v>1022</v>
      </c>
      <c r="AJ64" s="105" t="b">
        <v>0</v>
      </c>
      <c r="AK64" s="105" t="b">
        <v>0</v>
      </c>
      <c r="AL64" s="96" t="s">
        <v>217</v>
      </c>
      <c r="AM64" s="96"/>
      <c r="AN64" s="102" t="s">
        <v>215</v>
      </c>
      <c r="AO64" s="188" t="s">
        <v>215</v>
      </c>
      <c r="AP64" s="102" t="s">
        <v>215</v>
      </c>
      <c r="AQ64" s="188" t="s">
        <v>215</v>
      </c>
      <c r="AR64" s="102" t="s">
        <v>215</v>
      </c>
      <c r="AS64" s="188" t="s">
        <v>215</v>
      </c>
      <c r="AT64" s="102" t="s">
        <v>215</v>
      </c>
      <c r="AU64" s="188" t="s">
        <v>215</v>
      </c>
      <c r="AV64" s="102" t="s">
        <v>215</v>
      </c>
      <c r="AW64" s="188" t="s">
        <v>215</v>
      </c>
      <c r="AX64" s="102" t="s">
        <v>215</v>
      </c>
      <c r="AY64" s="188" t="s">
        <v>215</v>
      </c>
      <c r="AZ64" s="102" t="s">
        <v>215</v>
      </c>
      <c r="BA64" s="188" t="s">
        <v>215</v>
      </c>
      <c r="BB64" s="96" t="s">
        <v>416</v>
      </c>
      <c r="BC64" s="96" t="s">
        <v>1023</v>
      </c>
      <c r="BD64" s="96" t="s">
        <v>1024</v>
      </c>
      <c r="BE64" s="96" t="s">
        <v>465</v>
      </c>
      <c r="BF64" s="96"/>
      <c r="BG64" s="105" t="b">
        <v>0</v>
      </c>
      <c r="BH64" s="105" t="b">
        <v>0</v>
      </c>
      <c r="BI64" s="105" t="b">
        <v>1</v>
      </c>
      <c r="BJ64" s="105" t="b">
        <v>1</v>
      </c>
      <c r="BK64" s="105" t="b">
        <v>1</v>
      </c>
      <c r="BL64" s="105" t="b">
        <v>0</v>
      </c>
      <c r="BM64" s="105" t="b">
        <v>1</v>
      </c>
      <c r="BN64" s="96" t="s">
        <v>244</v>
      </c>
      <c r="BO64" s="96" t="s">
        <v>437</v>
      </c>
      <c r="BP64" s="96" t="s">
        <v>1025</v>
      </c>
      <c r="BQ64" s="102" t="s">
        <v>1026</v>
      </c>
      <c r="BR64" s="96"/>
      <c r="BS64" s="96"/>
      <c r="BT64" s="102" t="s">
        <v>1027</v>
      </c>
      <c r="BU64" s="102"/>
      <c r="BV64" s="102" t="s">
        <v>1028</v>
      </c>
      <c r="BW64" s="96" t="s">
        <v>845</v>
      </c>
      <c r="BX64" s="96"/>
      <c r="BY64" s="96"/>
      <c r="BZ64" s="96"/>
      <c r="CA64" s="96"/>
      <c r="CB64" s="96"/>
      <c r="CC64" s="96"/>
      <c r="CD64" s="96"/>
      <c r="CE64" s="96"/>
      <c r="CF64" s="96"/>
      <c r="CG64" s="96"/>
      <c r="CH64" s="105" t="b">
        <v>0</v>
      </c>
      <c r="CI64" s="105" t="b">
        <v>1</v>
      </c>
      <c r="CJ64" s="105"/>
      <c r="CK64" s="96"/>
      <c r="CL64" s="96"/>
      <c r="CM64" s="96"/>
      <c r="CN64" s="96"/>
    </row>
    <row r="65" spans="1:92" ht="26.25" customHeight="1">
      <c r="A65" s="141"/>
      <c r="B65" s="96" t="s">
        <v>205</v>
      </c>
      <c r="C65" s="102" t="s">
        <v>206</v>
      </c>
      <c r="D65" s="138" t="s">
        <v>1029</v>
      </c>
      <c r="E65" s="136"/>
      <c r="F65" s="102" t="s">
        <v>208</v>
      </c>
      <c r="G65" s="102" t="s">
        <v>1030</v>
      </c>
      <c r="H65" s="102" t="s">
        <v>1031</v>
      </c>
      <c r="I65" s="136"/>
      <c r="J65" s="185" t="s">
        <v>356</v>
      </c>
      <c r="K65" s="136"/>
      <c r="L65" s="185" t="s">
        <v>1032</v>
      </c>
      <c r="M65" s="76">
        <v>50.562418136133502</v>
      </c>
      <c r="N65" s="76">
        <v>-3.6501071127592701</v>
      </c>
      <c r="O65" s="78"/>
      <c r="P65" s="96" t="s">
        <v>214</v>
      </c>
      <c r="Q65" s="105" t="b">
        <v>1</v>
      </c>
      <c r="R65" s="144">
        <v>0.375</v>
      </c>
      <c r="S65" s="144">
        <v>0.70833333333333337</v>
      </c>
      <c r="T65" s="142" t="s">
        <v>215</v>
      </c>
      <c r="U65" s="142" t="s">
        <v>215</v>
      </c>
      <c r="V65" s="142" t="s">
        <v>215</v>
      </c>
      <c r="W65" s="142" t="s">
        <v>215</v>
      </c>
      <c r="X65" s="142" t="s">
        <v>215</v>
      </c>
      <c r="Y65" s="142" t="s">
        <v>215</v>
      </c>
      <c r="Z65" s="142" t="s">
        <v>215</v>
      </c>
      <c r="AA65" s="142" t="s">
        <v>215</v>
      </c>
      <c r="AB65" s="142" t="s">
        <v>215</v>
      </c>
      <c r="AC65" s="142" t="s">
        <v>215</v>
      </c>
      <c r="AD65" s="142" t="s">
        <v>215</v>
      </c>
      <c r="AE65" s="142" t="s">
        <v>215</v>
      </c>
      <c r="AF65" s="142" t="s">
        <v>215</v>
      </c>
      <c r="AG65" s="142" t="s">
        <v>215</v>
      </c>
      <c r="AH65" s="78"/>
      <c r="AI65" s="78" t="s">
        <v>262</v>
      </c>
      <c r="AJ65" s="105" t="b">
        <v>0</v>
      </c>
      <c r="AK65" s="105" t="b">
        <v>0</v>
      </c>
      <c r="AL65" s="96" t="s">
        <v>217</v>
      </c>
      <c r="AM65" s="78"/>
      <c r="AN65" s="102" t="s">
        <v>215</v>
      </c>
      <c r="AO65" s="188" t="s">
        <v>215</v>
      </c>
      <c r="AP65" s="102" t="s">
        <v>215</v>
      </c>
      <c r="AQ65" s="188" t="s">
        <v>215</v>
      </c>
      <c r="AR65" s="102" t="s">
        <v>215</v>
      </c>
      <c r="AS65" s="188" t="s">
        <v>215</v>
      </c>
      <c r="AT65" s="102" t="s">
        <v>215</v>
      </c>
      <c r="AU65" s="188" t="s">
        <v>215</v>
      </c>
      <c r="AV65" s="102" t="s">
        <v>215</v>
      </c>
      <c r="AW65" s="188" t="s">
        <v>215</v>
      </c>
      <c r="AX65" s="102" t="s">
        <v>215</v>
      </c>
      <c r="AY65" s="188" t="s">
        <v>215</v>
      </c>
      <c r="AZ65" s="102" t="s">
        <v>215</v>
      </c>
      <c r="BA65" s="188" t="s">
        <v>215</v>
      </c>
      <c r="BB65" s="96" t="s">
        <v>218</v>
      </c>
      <c r="BC65" s="96" t="s">
        <v>1033</v>
      </c>
      <c r="BD65" s="78"/>
      <c r="BE65" s="96" t="s">
        <v>359</v>
      </c>
      <c r="BF65" s="96" t="s">
        <v>222</v>
      </c>
      <c r="BG65" s="105" t="b">
        <v>1</v>
      </c>
      <c r="BH65" s="105" t="b">
        <v>1</v>
      </c>
      <c r="BI65" s="105" t="b">
        <v>1</v>
      </c>
      <c r="BJ65" s="105" t="b">
        <v>1</v>
      </c>
      <c r="BK65" s="105" t="b">
        <v>1</v>
      </c>
      <c r="BL65" s="105" t="b">
        <v>0</v>
      </c>
      <c r="BM65" s="105" t="b">
        <v>1</v>
      </c>
      <c r="BN65" s="96" t="s">
        <v>223</v>
      </c>
      <c r="BO65" s="96" t="s">
        <v>623</v>
      </c>
      <c r="BP65" s="96" t="s">
        <v>1034</v>
      </c>
      <c r="BQ65" s="102" t="s">
        <v>1035</v>
      </c>
      <c r="BR65" s="96" t="s">
        <v>422</v>
      </c>
      <c r="BS65" s="78"/>
      <c r="BT65" s="102" t="s">
        <v>1036</v>
      </c>
      <c r="BU65" s="102" t="s">
        <v>1037</v>
      </c>
      <c r="BV65" s="102" t="s">
        <v>1038</v>
      </c>
      <c r="BW65" s="78" t="s">
        <v>845</v>
      </c>
      <c r="BX65" s="78"/>
      <c r="BY65" s="78"/>
      <c r="BZ65" s="78"/>
      <c r="CA65" s="78"/>
      <c r="CB65" s="78"/>
      <c r="CC65" s="78"/>
      <c r="CD65" s="78"/>
      <c r="CE65" s="78"/>
      <c r="CF65" s="78"/>
      <c r="CG65" s="78"/>
      <c r="CH65" s="105" t="b">
        <v>0</v>
      </c>
      <c r="CI65" s="105" t="b">
        <v>1</v>
      </c>
      <c r="CJ65" s="105"/>
      <c r="CK65" s="102"/>
      <c r="CL65" s="96"/>
      <c r="CM65" s="78"/>
      <c r="CN65" s="78"/>
    </row>
    <row r="66" spans="1:92" ht="26.25" customHeight="1">
      <c r="A66" s="145"/>
      <c r="B66" s="96" t="s">
        <v>847</v>
      </c>
      <c r="C66" s="102" t="s">
        <v>1039</v>
      </c>
      <c r="D66" s="138" t="s">
        <v>1040</v>
      </c>
      <c r="E66" s="139"/>
      <c r="F66" s="102" t="s">
        <v>405</v>
      </c>
      <c r="G66" s="102" t="s">
        <v>1041</v>
      </c>
      <c r="H66" s="102" t="s">
        <v>1042</v>
      </c>
      <c r="I66" s="139"/>
      <c r="J66" s="185" t="s">
        <v>1043</v>
      </c>
      <c r="K66" s="139"/>
      <c r="L66" s="185" t="s">
        <v>1044</v>
      </c>
      <c r="M66" s="96">
        <v>50.5975125349946</v>
      </c>
      <c r="N66" s="96">
        <v>-3.4431484133363002</v>
      </c>
      <c r="O66" s="96"/>
      <c r="P66" s="96" t="s">
        <v>214</v>
      </c>
      <c r="Q66" s="105" t="b">
        <v>1</v>
      </c>
      <c r="R66" s="181">
        <v>0.41666666666666669</v>
      </c>
      <c r="S66" s="181">
        <v>0.83333333333333337</v>
      </c>
      <c r="T66" s="150" t="s">
        <v>215</v>
      </c>
      <c r="U66" s="150" t="s">
        <v>215</v>
      </c>
      <c r="V66" s="150" t="s">
        <v>215</v>
      </c>
      <c r="W66" s="150" t="s">
        <v>215</v>
      </c>
      <c r="X66" s="150" t="s">
        <v>215</v>
      </c>
      <c r="Y66" s="150" t="s">
        <v>215</v>
      </c>
      <c r="Z66" s="150" t="s">
        <v>215</v>
      </c>
      <c r="AA66" s="150" t="s">
        <v>215</v>
      </c>
      <c r="AB66" s="150" t="s">
        <v>215</v>
      </c>
      <c r="AC66" s="150" t="s">
        <v>215</v>
      </c>
      <c r="AD66" s="150" t="s">
        <v>215</v>
      </c>
      <c r="AE66" s="150" t="s">
        <v>215</v>
      </c>
      <c r="AF66" s="150" t="s">
        <v>215</v>
      </c>
      <c r="AG66" s="150" t="s">
        <v>215</v>
      </c>
      <c r="AH66" s="96"/>
      <c r="AI66" s="96"/>
      <c r="AJ66" s="105" t="b">
        <v>0</v>
      </c>
      <c r="AK66" s="105" t="b">
        <v>0</v>
      </c>
      <c r="AL66" s="96" t="s">
        <v>217</v>
      </c>
      <c r="AM66" s="96"/>
      <c r="AN66" s="102" t="s">
        <v>215</v>
      </c>
      <c r="AO66" s="188" t="s">
        <v>215</v>
      </c>
      <c r="AP66" s="102" t="s">
        <v>215</v>
      </c>
      <c r="AQ66" s="188" t="s">
        <v>215</v>
      </c>
      <c r="AR66" s="102" t="s">
        <v>215</v>
      </c>
      <c r="AS66" s="188" t="s">
        <v>215</v>
      </c>
      <c r="AT66" s="102" t="s">
        <v>215</v>
      </c>
      <c r="AU66" s="188" t="s">
        <v>215</v>
      </c>
      <c r="AV66" s="102" t="s">
        <v>215</v>
      </c>
      <c r="AW66" s="188" t="s">
        <v>215</v>
      </c>
      <c r="AX66" s="102" t="s">
        <v>215</v>
      </c>
      <c r="AY66" s="188" t="s">
        <v>215</v>
      </c>
      <c r="AZ66" s="102" t="s">
        <v>215</v>
      </c>
      <c r="BA66" s="188" t="s">
        <v>215</v>
      </c>
      <c r="BB66" s="96"/>
      <c r="BC66" s="96"/>
      <c r="BD66" s="96"/>
      <c r="BE66" s="96"/>
      <c r="BF66" s="96"/>
      <c r="BG66" s="105" t="b">
        <v>0</v>
      </c>
      <c r="BH66" s="105" t="b">
        <v>0</v>
      </c>
      <c r="BI66" s="105" t="b">
        <v>1</v>
      </c>
      <c r="BJ66" s="105" t="b">
        <v>1</v>
      </c>
      <c r="BK66" s="105" t="b">
        <v>1</v>
      </c>
      <c r="BL66" s="105" t="b">
        <v>0</v>
      </c>
      <c r="BM66" s="105" t="b">
        <v>0</v>
      </c>
      <c r="BN66" s="96" t="s">
        <v>223</v>
      </c>
      <c r="BO66" s="96" t="s">
        <v>285</v>
      </c>
      <c r="BP66" s="96" t="s">
        <v>535</v>
      </c>
      <c r="BQ66" s="102" t="s">
        <v>1045</v>
      </c>
      <c r="BR66" s="96" t="s">
        <v>270</v>
      </c>
      <c r="BS66" s="96"/>
      <c r="BT66" s="102" t="s">
        <v>1046</v>
      </c>
      <c r="BU66" s="102"/>
      <c r="BV66" s="102" t="s">
        <v>1047</v>
      </c>
      <c r="BW66" s="96" t="s">
        <v>845</v>
      </c>
      <c r="BX66" s="96"/>
      <c r="BY66" s="96"/>
      <c r="BZ66" s="96"/>
      <c r="CA66" s="96"/>
      <c r="CB66" s="96"/>
      <c r="CC66" s="96"/>
      <c r="CD66" s="96"/>
      <c r="CE66" s="96"/>
      <c r="CF66" s="96"/>
      <c r="CG66" s="96"/>
      <c r="CH66" s="105" t="b">
        <v>0</v>
      </c>
      <c r="CI66" s="105" t="b">
        <v>1</v>
      </c>
      <c r="CJ66" s="105"/>
      <c r="CK66" s="96"/>
      <c r="CL66" s="96"/>
      <c r="CM66" s="96"/>
      <c r="CN66" s="96"/>
    </row>
    <row r="67" spans="1:92" ht="26.25" customHeight="1">
      <c r="A67" s="96"/>
      <c r="B67" s="96" t="s">
        <v>232</v>
      </c>
      <c r="C67" s="96" t="s">
        <v>1048</v>
      </c>
      <c r="D67" s="185" t="s">
        <v>1049</v>
      </c>
      <c r="E67" s="139"/>
      <c r="F67" s="96" t="s">
        <v>105</v>
      </c>
      <c r="G67" s="102" t="s">
        <v>1050</v>
      </c>
      <c r="H67" s="96" t="s">
        <v>1049</v>
      </c>
      <c r="I67" s="96"/>
      <c r="J67" s="96" t="s">
        <v>259</v>
      </c>
      <c r="K67" s="96"/>
      <c r="L67" s="96" t="s">
        <v>1051</v>
      </c>
      <c r="M67" s="96">
        <v>50.650549356558898</v>
      </c>
      <c r="N67" s="96">
        <v>-3.3675497162383099</v>
      </c>
      <c r="O67" s="96"/>
      <c r="P67" s="96" t="s">
        <v>214</v>
      </c>
      <c r="Q67" s="105" t="b">
        <v>1</v>
      </c>
      <c r="R67" s="181">
        <v>0</v>
      </c>
      <c r="S67" s="182">
        <v>1</v>
      </c>
      <c r="T67" s="150" t="s">
        <v>215</v>
      </c>
      <c r="U67" s="150" t="s">
        <v>215</v>
      </c>
      <c r="V67" s="150" t="s">
        <v>215</v>
      </c>
      <c r="W67" s="150" t="s">
        <v>215</v>
      </c>
      <c r="X67" s="150" t="s">
        <v>215</v>
      </c>
      <c r="Y67" s="150" t="s">
        <v>215</v>
      </c>
      <c r="Z67" s="150" t="s">
        <v>215</v>
      </c>
      <c r="AA67" s="150" t="s">
        <v>215</v>
      </c>
      <c r="AB67" s="150" t="s">
        <v>215</v>
      </c>
      <c r="AC67" s="150" t="s">
        <v>215</v>
      </c>
      <c r="AD67" s="150" t="s">
        <v>215</v>
      </c>
      <c r="AE67" s="150" t="s">
        <v>215</v>
      </c>
      <c r="AF67" s="150" t="s">
        <v>215</v>
      </c>
      <c r="AG67" s="150" t="s">
        <v>215</v>
      </c>
      <c r="AH67" s="96" t="s">
        <v>215</v>
      </c>
      <c r="AI67" s="96" t="s">
        <v>262</v>
      </c>
      <c r="AJ67" s="105" t="b">
        <v>0</v>
      </c>
      <c r="AK67" s="105" t="b">
        <v>0</v>
      </c>
      <c r="AL67" s="96" t="s">
        <v>217</v>
      </c>
      <c r="AM67" s="96"/>
      <c r="AN67" s="102" t="s">
        <v>215</v>
      </c>
      <c r="AO67" s="188" t="s">
        <v>215</v>
      </c>
      <c r="AP67" s="102" t="s">
        <v>215</v>
      </c>
      <c r="AQ67" s="188" t="s">
        <v>215</v>
      </c>
      <c r="AR67" s="102" t="s">
        <v>215</v>
      </c>
      <c r="AS67" s="188" t="s">
        <v>215</v>
      </c>
      <c r="AT67" s="102" t="s">
        <v>215</v>
      </c>
      <c r="AU67" s="188" t="s">
        <v>215</v>
      </c>
      <c r="AV67" s="102" t="s">
        <v>215</v>
      </c>
      <c r="AW67" s="188" t="s">
        <v>215</v>
      </c>
      <c r="AX67" s="102" t="s">
        <v>215</v>
      </c>
      <c r="AY67" s="188" t="s">
        <v>215</v>
      </c>
      <c r="AZ67" s="102" t="s">
        <v>215</v>
      </c>
      <c r="BA67" s="188" t="s">
        <v>215</v>
      </c>
      <c r="BB67" s="96" t="s">
        <v>416</v>
      </c>
      <c r="BC67" s="96" t="s">
        <v>672</v>
      </c>
      <c r="BD67" s="96"/>
      <c r="BE67" s="96" t="s">
        <v>359</v>
      </c>
      <c r="BF67" s="96" t="s">
        <v>284</v>
      </c>
      <c r="BG67" s="105" t="b">
        <v>1</v>
      </c>
      <c r="BH67" s="105" t="b">
        <v>1</v>
      </c>
      <c r="BI67" s="105" t="b">
        <v>1</v>
      </c>
      <c r="BJ67" s="105" t="b">
        <v>1</v>
      </c>
      <c r="BK67" s="105" t="b">
        <v>1</v>
      </c>
      <c r="BL67" s="105" t="b">
        <v>1</v>
      </c>
      <c r="BM67" s="105" t="b">
        <v>1</v>
      </c>
      <c r="BN67" s="96" t="s">
        <v>223</v>
      </c>
      <c r="BO67" s="96" t="s">
        <v>285</v>
      </c>
      <c r="BP67" s="96" t="s">
        <v>379</v>
      </c>
      <c r="BQ67" s="102" t="s">
        <v>1052</v>
      </c>
      <c r="BR67" s="96"/>
      <c r="BS67" s="96"/>
      <c r="BT67" s="102" t="s">
        <v>1053</v>
      </c>
      <c r="BU67" s="102" t="s">
        <v>347</v>
      </c>
      <c r="BV67" s="102" t="s">
        <v>1054</v>
      </c>
      <c r="BW67" s="96" t="s">
        <v>273</v>
      </c>
      <c r="BX67" s="96"/>
      <c r="BY67" s="96"/>
      <c r="BZ67" s="96"/>
      <c r="CA67" s="96"/>
      <c r="CB67" s="96"/>
      <c r="CC67" s="96"/>
      <c r="CD67" s="96"/>
      <c r="CE67" s="96"/>
      <c r="CF67" s="96"/>
      <c r="CG67" s="96"/>
      <c r="CH67" s="96"/>
      <c r="CI67" s="105" t="b">
        <v>1</v>
      </c>
      <c r="CJ67" s="96"/>
      <c r="CK67" s="96"/>
      <c r="CL67" s="96"/>
      <c r="CM67" s="96"/>
      <c r="CN67" s="96"/>
    </row>
    <row r="68" spans="1:92" ht="26.25" customHeight="1">
      <c r="A68" s="96" t="s">
        <v>204</v>
      </c>
      <c r="B68" s="96" t="s">
        <v>1055</v>
      </c>
      <c r="C68" s="102" t="s">
        <v>1056</v>
      </c>
      <c r="D68" s="139" t="s">
        <v>1057</v>
      </c>
      <c r="E68" s="139"/>
      <c r="F68" s="102" t="s">
        <v>1058</v>
      </c>
      <c r="G68" s="102" t="s">
        <v>1059</v>
      </c>
      <c r="H68" s="96" t="s">
        <v>1060</v>
      </c>
      <c r="I68" s="96"/>
      <c r="J68" s="96" t="s">
        <v>280</v>
      </c>
      <c r="K68" s="96"/>
      <c r="L68" s="96" t="s">
        <v>1061</v>
      </c>
      <c r="M68" s="96">
        <v>50.722371582796498</v>
      </c>
      <c r="N68" s="96">
        <v>-3.2892652690062101</v>
      </c>
      <c r="O68" s="96"/>
      <c r="P68" s="96" t="s">
        <v>214</v>
      </c>
      <c r="Q68" s="105" t="b">
        <v>0</v>
      </c>
      <c r="R68" s="150" t="s">
        <v>215</v>
      </c>
      <c r="S68" s="150" t="s">
        <v>215</v>
      </c>
      <c r="T68" s="96" t="s">
        <v>215</v>
      </c>
      <c r="U68" s="96" t="s">
        <v>215</v>
      </c>
      <c r="V68" s="96" t="s">
        <v>215</v>
      </c>
      <c r="W68" s="96" t="s">
        <v>215</v>
      </c>
      <c r="X68" s="96" t="s">
        <v>215</v>
      </c>
      <c r="Y68" s="96" t="s">
        <v>215</v>
      </c>
      <c r="Z68" s="96" t="s">
        <v>215</v>
      </c>
      <c r="AA68" s="96" t="s">
        <v>215</v>
      </c>
      <c r="AB68" s="96" t="s">
        <v>215</v>
      </c>
      <c r="AC68" s="96" t="s">
        <v>215</v>
      </c>
      <c r="AD68" s="96" t="s">
        <v>215</v>
      </c>
      <c r="AE68" s="96" t="s">
        <v>215</v>
      </c>
      <c r="AF68" s="96" t="s">
        <v>215</v>
      </c>
      <c r="AG68" s="96" t="s">
        <v>215</v>
      </c>
      <c r="AH68" s="102" t="s">
        <v>215</v>
      </c>
      <c r="AI68" s="96" t="s">
        <v>215</v>
      </c>
      <c r="AJ68" s="105" t="b">
        <v>0</v>
      </c>
      <c r="AK68" s="105" t="b">
        <v>0</v>
      </c>
      <c r="AL68" s="96" t="s">
        <v>217</v>
      </c>
      <c r="AM68" s="96"/>
      <c r="AN68" s="96" t="s">
        <v>215</v>
      </c>
      <c r="AO68" s="106" t="s">
        <v>215</v>
      </c>
      <c r="AP68" s="96" t="s">
        <v>215</v>
      </c>
      <c r="AQ68" s="106" t="s">
        <v>215</v>
      </c>
      <c r="AR68" s="96" t="s">
        <v>215</v>
      </c>
      <c r="AS68" s="106" t="s">
        <v>215</v>
      </c>
      <c r="AT68" s="96" t="s">
        <v>215</v>
      </c>
      <c r="AU68" s="106" t="s">
        <v>215</v>
      </c>
      <c r="AV68" s="96" t="s">
        <v>215</v>
      </c>
      <c r="AW68" s="106" t="s">
        <v>215</v>
      </c>
      <c r="AX68" s="96" t="s">
        <v>215</v>
      </c>
      <c r="AY68" s="106" t="s">
        <v>215</v>
      </c>
      <c r="AZ68" s="96" t="s">
        <v>215</v>
      </c>
      <c r="BA68" s="106" t="s">
        <v>215</v>
      </c>
      <c r="BB68" s="96" t="s">
        <v>1062</v>
      </c>
      <c r="BC68" s="96" t="s">
        <v>672</v>
      </c>
      <c r="BD68" s="96"/>
      <c r="BE68" s="96"/>
      <c r="BF68" s="96" t="s">
        <v>284</v>
      </c>
      <c r="BG68" s="105" t="b">
        <v>1</v>
      </c>
      <c r="BH68" s="105" t="b">
        <v>1</v>
      </c>
      <c r="BI68" s="105" t="b">
        <v>1</v>
      </c>
      <c r="BJ68" s="105" t="b">
        <v>1</v>
      </c>
      <c r="BK68" s="105" t="b">
        <v>1</v>
      </c>
      <c r="BL68" s="105" t="b">
        <v>1</v>
      </c>
      <c r="BM68" s="105" t="b">
        <v>1</v>
      </c>
      <c r="BN68" s="96" t="s">
        <v>223</v>
      </c>
      <c r="BO68" s="96" t="s">
        <v>1063</v>
      </c>
      <c r="BP68" s="96" t="s">
        <v>535</v>
      </c>
      <c r="BQ68" s="102" t="s">
        <v>1064</v>
      </c>
      <c r="BR68" s="96"/>
      <c r="BS68" s="96"/>
      <c r="BT68" s="102" t="s">
        <v>1065</v>
      </c>
      <c r="BU68" s="102" t="s">
        <v>1066</v>
      </c>
      <c r="BV68" s="102" t="s">
        <v>1067</v>
      </c>
      <c r="BW68" s="96" t="s">
        <v>252</v>
      </c>
      <c r="BX68" s="96"/>
      <c r="BY68" s="96"/>
      <c r="BZ68" s="96"/>
      <c r="CA68" s="96"/>
      <c r="CB68" s="96"/>
      <c r="CC68" s="96"/>
      <c r="CD68" s="96"/>
      <c r="CE68" s="96"/>
      <c r="CF68" s="96"/>
      <c r="CG68" s="96"/>
      <c r="CH68" s="105"/>
      <c r="CI68" s="105" t="b">
        <v>1</v>
      </c>
      <c r="CJ68" s="96"/>
      <c r="CK68" s="96"/>
      <c r="CL68" s="96"/>
      <c r="CM68" s="96"/>
      <c r="CN68" s="96"/>
    </row>
    <row r="69" spans="1:92" ht="26.25" customHeight="1">
      <c r="A69" s="96" t="s">
        <v>204</v>
      </c>
      <c r="B69" s="96" t="s">
        <v>1055</v>
      </c>
      <c r="C69" s="102" t="s">
        <v>1056</v>
      </c>
      <c r="D69" s="139" t="s">
        <v>1068</v>
      </c>
      <c r="E69" s="139"/>
      <c r="F69" s="102" t="s">
        <v>1058</v>
      </c>
      <c r="G69" s="102" t="s">
        <v>1069</v>
      </c>
      <c r="H69" s="96" t="s">
        <v>1070</v>
      </c>
      <c r="I69" s="96"/>
      <c r="J69" s="96" t="s">
        <v>356</v>
      </c>
      <c r="K69" s="96"/>
      <c r="L69" s="96" t="s">
        <v>1071</v>
      </c>
      <c r="M69" s="96">
        <v>50.5946564358849</v>
      </c>
      <c r="N69" s="96">
        <v>-3.68837512266875</v>
      </c>
      <c r="O69" s="96"/>
      <c r="P69" s="96" t="s">
        <v>214</v>
      </c>
      <c r="Q69" s="105" t="b">
        <v>0</v>
      </c>
      <c r="R69" s="150" t="s">
        <v>215</v>
      </c>
      <c r="S69" s="150" t="s">
        <v>215</v>
      </c>
      <c r="T69" s="96" t="s">
        <v>215</v>
      </c>
      <c r="U69" s="96" t="s">
        <v>215</v>
      </c>
      <c r="V69" s="96" t="s">
        <v>215</v>
      </c>
      <c r="W69" s="96" t="s">
        <v>215</v>
      </c>
      <c r="X69" s="96" t="s">
        <v>215</v>
      </c>
      <c r="Y69" s="96" t="s">
        <v>215</v>
      </c>
      <c r="Z69" s="96" t="s">
        <v>215</v>
      </c>
      <c r="AA69" s="96" t="s">
        <v>215</v>
      </c>
      <c r="AB69" s="96" t="s">
        <v>215</v>
      </c>
      <c r="AC69" s="96" t="s">
        <v>215</v>
      </c>
      <c r="AD69" s="96" t="s">
        <v>215</v>
      </c>
      <c r="AE69" s="96" t="s">
        <v>215</v>
      </c>
      <c r="AF69" s="96" t="s">
        <v>215</v>
      </c>
      <c r="AG69" s="96" t="s">
        <v>215</v>
      </c>
      <c r="AH69" s="102" t="s">
        <v>215</v>
      </c>
      <c r="AI69" s="96" t="s">
        <v>215</v>
      </c>
      <c r="AJ69" s="105" t="b">
        <v>0</v>
      </c>
      <c r="AK69" s="105" t="b">
        <v>0</v>
      </c>
      <c r="AL69" s="96" t="s">
        <v>217</v>
      </c>
      <c r="AM69" s="96"/>
      <c r="AN69" s="96" t="s">
        <v>215</v>
      </c>
      <c r="AO69" s="106" t="s">
        <v>215</v>
      </c>
      <c r="AP69" s="96" t="s">
        <v>215</v>
      </c>
      <c r="AQ69" s="106" t="s">
        <v>215</v>
      </c>
      <c r="AR69" s="96" t="s">
        <v>215</v>
      </c>
      <c r="AS69" s="106" t="s">
        <v>215</v>
      </c>
      <c r="AT69" s="96" t="s">
        <v>215</v>
      </c>
      <c r="AU69" s="106" t="s">
        <v>215</v>
      </c>
      <c r="AV69" s="96" t="s">
        <v>215</v>
      </c>
      <c r="AW69" s="106" t="s">
        <v>215</v>
      </c>
      <c r="AX69" s="96" t="s">
        <v>215</v>
      </c>
      <c r="AY69" s="106" t="s">
        <v>215</v>
      </c>
      <c r="AZ69" s="96" t="s">
        <v>215</v>
      </c>
      <c r="BA69" s="106" t="s">
        <v>215</v>
      </c>
      <c r="BB69" s="96" t="s">
        <v>218</v>
      </c>
      <c r="BC69" s="96" t="s">
        <v>672</v>
      </c>
      <c r="BD69" s="102" t="s">
        <v>1072</v>
      </c>
      <c r="BE69" s="96" t="s">
        <v>1073</v>
      </c>
      <c r="BF69" s="96"/>
      <c r="BG69" s="105" t="b">
        <v>1</v>
      </c>
      <c r="BH69" s="105" t="b">
        <v>1</v>
      </c>
      <c r="BI69" s="105" t="b">
        <v>1</v>
      </c>
      <c r="BJ69" s="105" t="b">
        <v>1</v>
      </c>
      <c r="BK69" s="105" t="b">
        <v>1</v>
      </c>
      <c r="BL69" s="105" t="b">
        <v>1</v>
      </c>
      <c r="BM69" s="105" t="b">
        <v>1</v>
      </c>
      <c r="BN69" s="96" t="s">
        <v>223</v>
      </c>
      <c r="BO69" s="96" t="s">
        <v>1063</v>
      </c>
      <c r="BP69" s="96" t="s">
        <v>535</v>
      </c>
      <c r="BQ69" s="102" t="s">
        <v>1074</v>
      </c>
      <c r="BR69" s="96"/>
      <c r="BS69" s="96" t="s">
        <v>227</v>
      </c>
      <c r="BT69" s="102" t="s">
        <v>1075</v>
      </c>
      <c r="BU69" s="102" t="s">
        <v>1076</v>
      </c>
      <c r="BV69" s="102" t="s">
        <v>1077</v>
      </c>
      <c r="BW69" s="96" t="s">
        <v>252</v>
      </c>
      <c r="BX69" s="96"/>
      <c r="BY69" s="96"/>
      <c r="BZ69" s="96"/>
      <c r="CA69" s="96"/>
      <c r="CB69" s="96"/>
      <c r="CC69" s="96"/>
      <c r="CD69" s="96"/>
      <c r="CE69" s="96"/>
      <c r="CF69" s="96"/>
      <c r="CG69" s="96"/>
      <c r="CH69" s="105"/>
      <c r="CI69" s="105" t="b">
        <v>1</v>
      </c>
      <c r="CJ69" s="96"/>
      <c r="CK69" s="96"/>
      <c r="CL69" s="96"/>
      <c r="CM69" s="96"/>
      <c r="CN69" s="96"/>
    </row>
    <row r="70" spans="1:92" ht="26.25" customHeight="1">
      <c r="A70" s="96" t="s">
        <v>204</v>
      </c>
      <c r="B70" s="96" t="s">
        <v>1014</v>
      </c>
      <c r="C70" s="102" t="s">
        <v>1078</v>
      </c>
      <c r="D70" s="185" t="s">
        <v>1079</v>
      </c>
      <c r="E70" s="139"/>
      <c r="F70" s="102" t="s">
        <v>276</v>
      </c>
      <c r="G70" s="102" t="s">
        <v>1080</v>
      </c>
      <c r="H70" s="102" t="s">
        <v>1081</v>
      </c>
      <c r="I70" s="102" t="s">
        <v>1082</v>
      </c>
      <c r="J70" s="102" t="s">
        <v>212</v>
      </c>
      <c r="K70" s="96"/>
      <c r="L70" s="102" t="s">
        <v>1083</v>
      </c>
      <c r="M70" s="96">
        <v>50.725191274854801</v>
      </c>
      <c r="N70" s="96">
        <v>-3.5322309599477202</v>
      </c>
      <c r="O70" s="96"/>
      <c r="P70" s="96" t="s">
        <v>718</v>
      </c>
      <c r="Q70" s="105" t="b">
        <v>0</v>
      </c>
      <c r="R70" s="150" t="s">
        <v>215</v>
      </c>
      <c r="S70" s="150" t="s">
        <v>215</v>
      </c>
      <c r="T70" s="150" t="s">
        <v>215</v>
      </c>
      <c r="U70" s="150" t="s">
        <v>215</v>
      </c>
      <c r="V70" s="181">
        <v>0.4375</v>
      </c>
      <c r="W70" s="181">
        <v>0.70833333333333337</v>
      </c>
      <c r="X70" s="181">
        <v>0.41666666666666669</v>
      </c>
      <c r="Y70" s="181">
        <v>0.70833333333333337</v>
      </c>
      <c r="Z70" s="181">
        <v>0.41666666666666669</v>
      </c>
      <c r="AA70" s="181">
        <v>0.70833333333333337</v>
      </c>
      <c r="AB70" s="181">
        <v>0.41666666666666669</v>
      </c>
      <c r="AC70" s="181">
        <v>0.70833333333333337</v>
      </c>
      <c r="AD70" s="181">
        <v>0.41666666666666669</v>
      </c>
      <c r="AE70" s="181">
        <v>0.70833333333333337</v>
      </c>
      <c r="AF70" s="181">
        <v>0.41666666666666669</v>
      </c>
      <c r="AG70" s="181">
        <v>0.70833333333333337</v>
      </c>
      <c r="AH70" s="96"/>
      <c r="AI70" s="96"/>
      <c r="AJ70" s="105" t="b">
        <v>0</v>
      </c>
      <c r="AK70" s="105" t="b">
        <v>0</v>
      </c>
      <c r="AL70" s="96" t="s">
        <v>217</v>
      </c>
      <c r="AM70" s="96"/>
      <c r="AN70" s="96" t="s">
        <v>215</v>
      </c>
      <c r="AO70" s="106" t="s">
        <v>215</v>
      </c>
      <c r="AP70" s="96" t="s">
        <v>215</v>
      </c>
      <c r="AQ70" s="106" t="s">
        <v>215</v>
      </c>
      <c r="AR70" s="96" t="s">
        <v>215</v>
      </c>
      <c r="AS70" s="106" t="s">
        <v>215</v>
      </c>
      <c r="AT70" s="96" t="s">
        <v>215</v>
      </c>
      <c r="AU70" s="106" t="s">
        <v>215</v>
      </c>
      <c r="AV70" s="96" t="s">
        <v>215</v>
      </c>
      <c r="AW70" s="106" t="s">
        <v>215</v>
      </c>
      <c r="AX70" s="96" t="s">
        <v>215</v>
      </c>
      <c r="AY70" s="106" t="s">
        <v>215</v>
      </c>
      <c r="AZ70" s="96" t="s">
        <v>215</v>
      </c>
      <c r="BA70" s="106" t="s">
        <v>215</v>
      </c>
      <c r="BB70" s="96" t="s">
        <v>218</v>
      </c>
      <c r="BC70" s="96" t="s">
        <v>1084</v>
      </c>
      <c r="BD70" s="96" t="s">
        <v>542</v>
      </c>
      <c r="BE70" s="96" t="s">
        <v>1085</v>
      </c>
      <c r="BF70" s="96"/>
      <c r="BG70" s="105" t="b">
        <v>0</v>
      </c>
      <c r="BH70" s="105" t="b">
        <v>0</v>
      </c>
      <c r="BI70" s="105" t="b">
        <v>0</v>
      </c>
      <c r="BJ70" s="105" t="b">
        <v>1</v>
      </c>
      <c r="BK70" s="105" t="b">
        <v>1</v>
      </c>
      <c r="BL70" s="105" t="b">
        <v>1</v>
      </c>
      <c r="BM70" s="105" t="b">
        <v>1</v>
      </c>
      <c r="BN70" s="96" t="s">
        <v>244</v>
      </c>
      <c r="BO70" s="96" t="s">
        <v>1086</v>
      </c>
      <c r="BP70" s="96" t="s">
        <v>909</v>
      </c>
      <c r="BQ70" s="102" t="s">
        <v>1087</v>
      </c>
      <c r="BR70" s="96"/>
      <c r="BS70" s="96"/>
      <c r="BT70" s="102" t="s">
        <v>1088</v>
      </c>
      <c r="BU70" s="96"/>
      <c r="BV70" s="96" t="s">
        <v>1089</v>
      </c>
      <c r="BW70" s="96" t="s">
        <v>252</v>
      </c>
      <c r="BX70" s="96"/>
      <c r="BY70" s="96"/>
      <c r="BZ70" s="96"/>
      <c r="CA70" s="96"/>
      <c r="CB70" s="96"/>
      <c r="CC70" s="96"/>
      <c r="CD70" s="96"/>
      <c r="CE70" s="96"/>
      <c r="CF70" s="96"/>
      <c r="CG70" s="96"/>
      <c r="CH70" s="96"/>
      <c r="CI70" s="105" t="b">
        <v>0</v>
      </c>
      <c r="CJ70" s="105" t="b">
        <v>0</v>
      </c>
      <c r="CK70" s="148" t="s">
        <v>1090</v>
      </c>
      <c r="CL70" s="96"/>
      <c r="CM70" s="96"/>
      <c r="CN70" s="96"/>
    </row>
    <row r="71" spans="1:92" ht="26.25" customHeight="1">
      <c r="A71" s="149" t="s">
        <v>204</v>
      </c>
      <c r="B71" s="96" t="s">
        <v>441</v>
      </c>
      <c r="C71" s="102" t="s">
        <v>442</v>
      </c>
      <c r="D71" s="185" t="s">
        <v>1091</v>
      </c>
      <c r="E71" s="139"/>
      <c r="F71" s="102" t="s">
        <v>458</v>
      </c>
      <c r="G71" s="102" t="s">
        <v>1092</v>
      </c>
      <c r="H71" s="102" t="s">
        <v>1093</v>
      </c>
      <c r="I71" s="102" t="s">
        <v>1094</v>
      </c>
      <c r="J71" s="102" t="s">
        <v>1095</v>
      </c>
      <c r="K71" s="96"/>
      <c r="L71" s="102" t="s">
        <v>1096</v>
      </c>
      <c r="M71" s="96">
        <v>50.832662124482603</v>
      </c>
      <c r="N71" s="96">
        <v>-3.59320654459738</v>
      </c>
      <c r="O71" s="96"/>
      <c r="P71" s="96" t="s">
        <v>214</v>
      </c>
      <c r="Q71" s="105"/>
      <c r="R71" s="90" t="s">
        <v>215</v>
      </c>
      <c r="S71" s="90" t="s">
        <v>215</v>
      </c>
      <c r="T71" s="150">
        <v>0.375</v>
      </c>
      <c r="U71" s="150">
        <v>0.70833333333333337</v>
      </c>
      <c r="V71" s="150">
        <v>0.375</v>
      </c>
      <c r="W71" s="150">
        <v>0.70833333333333337</v>
      </c>
      <c r="X71" s="150">
        <v>0.375</v>
      </c>
      <c r="Y71" s="150">
        <v>0.70833333333333337</v>
      </c>
      <c r="Z71" s="150">
        <v>0.375</v>
      </c>
      <c r="AA71" s="150">
        <v>0.70833333333333337</v>
      </c>
      <c r="AB71" s="150">
        <v>0.375</v>
      </c>
      <c r="AC71" s="150">
        <v>0.70833333333333337</v>
      </c>
      <c r="AD71" s="150">
        <v>0.375</v>
      </c>
      <c r="AE71" s="150">
        <v>0.70833333333333337</v>
      </c>
      <c r="AF71" s="150">
        <v>0.41666666666666669</v>
      </c>
      <c r="AG71" s="150">
        <v>0.66666666666666663</v>
      </c>
      <c r="AH71" s="96"/>
      <c r="AI71" s="96"/>
      <c r="AJ71" s="105"/>
      <c r="AK71" s="151"/>
      <c r="AL71" s="96" t="s">
        <v>217</v>
      </c>
      <c r="AM71" s="96"/>
      <c r="AN71" s="96" t="s">
        <v>215</v>
      </c>
      <c r="AO71" s="106" t="s">
        <v>215</v>
      </c>
      <c r="AP71" s="96" t="s">
        <v>215</v>
      </c>
      <c r="AQ71" s="106" t="s">
        <v>215</v>
      </c>
      <c r="AR71" s="96" t="s">
        <v>215</v>
      </c>
      <c r="AS71" s="106" t="s">
        <v>215</v>
      </c>
      <c r="AT71" s="96" t="s">
        <v>215</v>
      </c>
      <c r="AU71" s="106" t="s">
        <v>215</v>
      </c>
      <c r="AV71" s="96" t="s">
        <v>215</v>
      </c>
      <c r="AW71" s="106" t="s">
        <v>215</v>
      </c>
      <c r="AX71" s="96" t="s">
        <v>215</v>
      </c>
      <c r="AY71" s="106" t="s">
        <v>215</v>
      </c>
      <c r="AZ71" s="96" t="s">
        <v>215</v>
      </c>
      <c r="BA71" s="106" t="s">
        <v>215</v>
      </c>
      <c r="BB71" s="96" t="s">
        <v>416</v>
      </c>
      <c r="BC71" s="96" t="s">
        <v>1097</v>
      </c>
      <c r="BD71" s="96" t="s">
        <v>1098</v>
      </c>
      <c r="BE71" s="96" t="s">
        <v>1099</v>
      </c>
      <c r="BF71" s="96" t="s">
        <v>284</v>
      </c>
      <c r="BG71" s="105" t="b">
        <v>1</v>
      </c>
      <c r="BH71" s="105" t="b">
        <v>1</v>
      </c>
      <c r="BI71" s="105" t="b">
        <v>1</v>
      </c>
      <c r="BJ71" s="105" t="b">
        <v>1</v>
      </c>
      <c r="BK71" s="105" t="b">
        <v>1</v>
      </c>
      <c r="BL71" s="105" t="b">
        <v>1</v>
      </c>
      <c r="BM71" s="105" t="b">
        <v>1</v>
      </c>
      <c r="BN71" s="96" t="s">
        <v>244</v>
      </c>
      <c r="BO71" s="96" t="s">
        <v>450</v>
      </c>
      <c r="BP71" s="96" t="s">
        <v>451</v>
      </c>
      <c r="BQ71" s="102" t="s">
        <v>1100</v>
      </c>
      <c r="BR71" s="96" t="s">
        <v>270</v>
      </c>
      <c r="BS71" s="96" t="s">
        <v>1101</v>
      </c>
      <c r="BT71" s="102" t="s">
        <v>1102</v>
      </c>
      <c r="BU71" s="96"/>
      <c r="BV71" s="96" t="s">
        <v>1103</v>
      </c>
      <c r="BW71" s="96" t="s">
        <v>252</v>
      </c>
      <c r="BX71" s="96"/>
      <c r="BY71" s="96"/>
      <c r="BZ71" s="96"/>
      <c r="CA71" s="96"/>
      <c r="CB71" s="96"/>
      <c r="CC71" s="96"/>
      <c r="CD71" s="96"/>
      <c r="CE71" s="96"/>
      <c r="CF71" s="96"/>
      <c r="CG71" s="96"/>
      <c r="CH71" s="105" t="b">
        <v>0</v>
      </c>
      <c r="CI71" s="105" t="b">
        <v>0</v>
      </c>
      <c r="CJ71" s="105" t="b">
        <v>0</v>
      </c>
      <c r="CK71" s="148" t="s">
        <v>1104</v>
      </c>
      <c r="CL71" s="96"/>
      <c r="CM71" s="96"/>
      <c r="CN71" s="96"/>
    </row>
    <row r="72" spans="1:92" ht="26.25" customHeight="1">
      <c r="A72" s="96"/>
      <c r="B72" s="96" t="s">
        <v>383</v>
      </c>
      <c r="C72" s="102" t="s">
        <v>403</v>
      </c>
      <c r="D72" s="138" t="s">
        <v>1105</v>
      </c>
      <c r="E72" s="139"/>
      <c r="F72" s="102" t="s">
        <v>106</v>
      </c>
      <c r="G72" s="102" t="s">
        <v>1106</v>
      </c>
      <c r="H72" s="102" t="s">
        <v>1105</v>
      </c>
      <c r="I72" s="185" t="s">
        <v>1107</v>
      </c>
      <c r="J72" s="185" t="s">
        <v>1008</v>
      </c>
      <c r="K72" s="139"/>
      <c r="L72" s="185" t="s">
        <v>1108</v>
      </c>
      <c r="M72" s="96">
        <v>50.426636221239598</v>
      </c>
      <c r="N72" s="96">
        <v>-3.5798365157787599</v>
      </c>
      <c r="O72" s="96"/>
      <c r="P72" s="96" t="s">
        <v>214</v>
      </c>
      <c r="Q72" s="105" t="b">
        <v>1</v>
      </c>
      <c r="R72" s="181">
        <v>0.41666666666666669</v>
      </c>
      <c r="S72" s="181">
        <v>0.75</v>
      </c>
      <c r="T72" s="150" t="s">
        <v>215</v>
      </c>
      <c r="U72" s="150" t="s">
        <v>215</v>
      </c>
      <c r="V72" s="150" t="s">
        <v>215</v>
      </c>
      <c r="W72" s="150" t="s">
        <v>215</v>
      </c>
      <c r="X72" s="150" t="s">
        <v>215</v>
      </c>
      <c r="Y72" s="150" t="s">
        <v>215</v>
      </c>
      <c r="Z72" s="150" t="s">
        <v>215</v>
      </c>
      <c r="AA72" s="150" t="s">
        <v>215</v>
      </c>
      <c r="AB72" s="150" t="s">
        <v>215</v>
      </c>
      <c r="AC72" s="150" t="s">
        <v>215</v>
      </c>
      <c r="AD72" s="150" t="s">
        <v>215</v>
      </c>
      <c r="AE72" s="150" t="s">
        <v>215</v>
      </c>
      <c r="AF72" s="150" t="s">
        <v>215</v>
      </c>
      <c r="AG72" s="150" t="s">
        <v>215</v>
      </c>
      <c r="AH72" s="96"/>
      <c r="AI72" s="96"/>
      <c r="AJ72" s="105" t="b">
        <v>1</v>
      </c>
      <c r="AK72" s="105" t="b">
        <v>1</v>
      </c>
      <c r="AL72" s="96" t="s">
        <v>1109</v>
      </c>
      <c r="AM72" s="96"/>
      <c r="AN72" s="102" t="s">
        <v>1110</v>
      </c>
      <c r="AO72" s="187">
        <v>0</v>
      </c>
      <c r="AP72" s="96"/>
      <c r="AQ72" s="106"/>
      <c r="AR72" s="86">
        <v>46054</v>
      </c>
      <c r="AS72" s="187">
        <v>2.75</v>
      </c>
      <c r="AT72" s="102" t="s">
        <v>817</v>
      </c>
      <c r="AU72" s="187">
        <v>19.75</v>
      </c>
      <c r="AV72" s="102" t="s">
        <v>316</v>
      </c>
      <c r="AW72" s="187">
        <v>26.35</v>
      </c>
      <c r="AX72" s="102" t="s">
        <v>1111</v>
      </c>
      <c r="AY72" s="187">
        <v>0</v>
      </c>
      <c r="AZ72" s="96"/>
      <c r="BA72" s="106"/>
      <c r="BB72" s="96" t="s">
        <v>319</v>
      </c>
      <c r="BC72" s="96" t="s">
        <v>1112</v>
      </c>
      <c r="BD72" s="96" t="s">
        <v>1113</v>
      </c>
      <c r="BE72" s="96" t="s">
        <v>1114</v>
      </c>
      <c r="BF72" s="96"/>
      <c r="BG72" s="105" t="b">
        <v>1</v>
      </c>
      <c r="BH72" s="105" t="b">
        <v>1</v>
      </c>
      <c r="BI72" s="105" t="b">
        <v>1</v>
      </c>
      <c r="BJ72" s="105" t="b">
        <v>1</v>
      </c>
      <c r="BK72" s="105" t="b">
        <v>1</v>
      </c>
      <c r="BL72" s="105" t="b">
        <v>1</v>
      </c>
      <c r="BM72" s="105" t="b">
        <v>1</v>
      </c>
      <c r="BN72" s="96" t="s">
        <v>223</v>
      </c>
      <c r="BO72" s="96" t="s">
        <v>508</v>
      </c>
      <c r="BP72" s="96" t="s">
        <v>864</v>
      </c>
      <c r="BQ72" s="102" t="s">
        <v>1115</v>
      </c>
      <c r="BR72" s="96"/>
      <c r="BS72" s="96"/>
      <c r="BT72" s="96" t="s">
        <v>1116</v>
      </c>
      <c r="BU72" s="96"/>
      <c r="BV72" s="102" t="s">
        <v>1117</v>
      </c>
      <c r="BW72" s="96" t="s">
        <v>845</v>
      </c>
      <c r="BX72" s="96"/>
      <c r="BY72" s="96"/>
      <c r="BZ72" s="96"/>
      <c r="CA72" s="96"/>
      <c r="CB72" s="96"/>
      <c r="CC72" s="96"/>
      <c r="CD72" s="96"/>
      <c r="CE72" s="96"/>
      <c r="CF72" s="96"/>
      <c r="CG72" s="96"/>
      <c r="CH72" s="105" t="b">
        <v>0</v>
      </c>
      <c r="CI72" s="105" t="b">
        <v>1</v>
      </c>
      <c r="CJ72" s="105" t="b">
        <v>0</v>
      </c>
      <c r="CK72" s="96"/>
      <c r="CL72" s="96"/>
      <c r="CM72" s="96"/>
      <c r="CN72" s="96"/>
    </row>
    <row r="73" spans="1:92" ht="26.25" customHeight="1">
      <c r="A73" s="96"/>
      <c r="B73" s="96" t="s">
        <v>1118</v>
      </c>
      <c r="C73" s="102" t="s">
        <v>1119</v>
      </c>
      <c r="D73" s="138" t="s">
        <v>1120</v>
      </c>
      <c r="E73" s="139"/>
      <c r="F73" s="102" t="s">
        <v>1121</v>
      </c>
      <c r="G73" s="102" t="s">
        <v>1122</v>
      </c>
      <c r="H73" s="185" t="s">
        <v>1123</v>
      </c>
      <c r="I73" s="185" t="s">
        <v>1124</v>
      </c>
      <c r="J73" s="102" t="s">
        <v>1125</v>
      </c>
      <c r="K73" s="139"/>
      <c r="L73" s="185" t="s">
        <v>1126</v>
      </c>
      <c r="M73" s="96">
        <v>50.482843550881697</v>
      </c>
      <c r="N73" s="96">
        <v>-3.52062463297659</v>
      </c>
      <c r="O73" s="96"/>
      <c r="P73" s="96" t="s">
        <v>214</v>
      </c>
      <c r="Q73" s="105" t="b">
        <v>0</v>
      </c>
      <c r="R73" s="96" t="s">
        <v>215</v>
      </c>
      <c r="S73" s="96" t="s">
        <v>215</v>
      </c>
      <c r="T73" s="181">
        <v>0.41666666666666669</v>
      </c>
      <c r="U73" s="181">
        <v>0.72916666666666663</v>
      </c>
      <c r="V73" s="181">
        <v>0.41666666666666669</v>
      </c>
      <c r="W73" s="181">
        <v>0.85416666666666663</v>
      </c>
      <c r="X73" s="181">
        <v>0.41666666666666669</v>
      </c>
      <c r="Y73" s="181">
        <v>0.85416666666666663</v>
      </c>
      <c r="Z73" s="181">
        <v>0.41666666666666669</v>
      </c>
      <c r="AA73" s="181">
        <v>0.85416666666666663</v>
      </c>
      <c r="AB73" s="181">
        <v>0.41666666666666669</v>
      </c>
      <c r="AC73" s="181">
        <v>0.72916666666666663</v>
      </c>
      <c r="AD73" s="181">
        <v>0.41666666666666669</v>
      </c>
      <c r="AE73" s="181">
        <v>0.72916666666666663</v>
      </c>
      <c r="AF73" s="181">
        <v>0.41666666666666669</v>
      </c>
      <c r="AG73" s="181">
        <v>0.72916666666666663</v>
      </c>
      <c r="AH73" s="96" t="s">
        <v>1127</v>
      </c>
      <c r="AI73" s="96"/>
      <c r="AJ73" s="105" t="b">
        <v>1</v>
      </c>
      <c r="AK73" s="105" t="b">
        <v>1</v>
      </c>
      <c r="AL73" s="96" t="s">
        <v>313</v>
      </c>
      <c r="AM73" s="96"/>
      <c r="AN73" s="96"/>
      <c r="AO73" s="106"/>
      <c r="AP73" s="102" t="s">
        <v>817</v>
      </c>
      <c r="AQ73" s="187">
        <v>17.95</v>
      </c>
      <c r="AR73" s="96"/>
      <c r="AS73" s="106"/>
      <c r="AT73" s="96"/>
      <c r="AU73" s="106"/>
      <c r="AV73" s="102" t="s">
        <v>316</v>
      </c>
      <c r="AW73" s="187">
        <v>21.95</v>
      </c>
      <c r="AX73" s="102" t="s">
        <v>1128</v>
      </c>
      <c r="AY73" s="188" t="s">
        <v>1129</v>
      </c>
      <c r="AZ73" s="96"/>
      <c r="BA73" s="106"/>
      <c r="BB73" s="96" t="s">
        <v>358</v>
      </c>
      <c r="BC73" s="96" t="s">
        <v>1130</v>
      </c>
      <c r="BD73" s="96"/>
      <c r="BE73" s="96" t="s">
        <v>1131</v>
      </c>
      <c r="BF73" s="96" t="s">
        <v>222</v>
      </c>
      <c r="BG73" s="105" t="b">
        <v>1</v>
      </c>
      <c r="BH73" s="105" t="b">
        <v>1</v>
      </c>
      <c r="BI73" s="105" t="b">
        <v>1</v>
      </c>
      <c r="BJ73" s="105" t="b">
        <v>1</v>
      </c>
      <c r="BK73" s="105" t="b">
        <v>1</v>
      </c>
      <c r="BL73" s="105" t="b">
        <v>1</v>
      </c>
      <c r="BM73" s="105" t="b">
        <v>1</v>
      </c>
      <c r="BN73" s="96" t="s">
        <v>223</v>
      </c>
      <c r="BO73" s="96" t="s">
        <v>1132</v>
      </c>
      <c r="BP73" s="96" t="s">
        <v>466</v>
      </c>
      <c r="BQ73" s="102" t="s">
        <v>1133</v>
      </c>
      <c r="BR73" s="96"/>
      <c r="BS73" s="96"/>
      <c r="BT73" s="96" t="s">
        <v>1134</v>
      </c>
      <c r="BU73" s="96"/>
      <c r="BV73" s="153" t="s">
        <v>1135</v>
      </c>
      <c r="BW73" s="96" t="s">
        <v>845</v>
      </c>
      <c r="BX73" s="96"/>
      <c r="BY73" s="96"/>
      <c r="BZ73" s="96"/>
      <c r="CA73" s="96"/>
      <c r="CB73" s="96"/>
      <c r="CC73" s="96"/>
      <c r="CD73" s="96"/>
      <c r="CE73" s="96"/>
      <c r="CF73" s="96"/>
      <c r="CG73" s="96"/>
      <c r="CH73" s="105" t="b">
        <v>0</v>
      </c>
      <c r="CI73" s="105" t="b">
        <v>1</v>
      </c>
      <c r="CJ73" s="105" t="b">
        <v>0</v>
      </c>
      <c r="CK73" s="96"/>
      <c r="CL73" s="96"/>
      <c r="CM73" s="96"/>
      <c r="CN73" s="96"/>
    </row>
    <row r="74" spans="1:92" ht="26.25" customHeight="1">
      <c r="A74" s="96"/>
      <c r="B74" s="96" t="s">
        <v>383</v>
      </c>
      <c r="C74" s="102" t="s">
        <v>403</v>
      </c>
      <c r="D74" s="138" t="s">
        <v>1136</v>
      </c>
      <c r="E74" s="139"/>
      <c r="F74" s="102" t="s">
        <v>106</v>
      </c>
      <c r="G74" s="102" t="s">
        <v>1137</v>
      </c>
      <c r="H74" s="102" t="s">
        <v>1136</v>
      </c>
      <c r="I74" s="185" t="s">
        <v>1138</v>
      </c>
      <c r="J74" s="185" t="s">
        <v>1139</v>
      </c>
      <c r="K74" s="139"/>
      <c r="L74" s="185" t="s">
        <v>1140</v>
      </c>
      <c r="M74" s="96">
        <v>50.4096227203623</v>
      </c>
      <c r="N74" s="96">
        <v>-3.9988339599614098</v>
      </c>
      <c r="O74" s="96"/>
      <c r="P74" s="96" t="s">
        <v>214</v>
      </c>
      <c r="Q74" s="105" t="b">
        <v>1</v>
      </c>
      <c r="R74" s="181">
        <v>0.41666666666666669</v>
      </c>
      <c r="S74" s="181">
        <v>0.66666666666666663</v>
      </c>
      <c r="T74" s="150" t="s">
        <v>215</v>
      </c>
      <c r="U74" s="150" t="s">
        <v>215</v>
      </c>
      <c r="V74" s="150" t="s">
        <v>215</v>
      </c>
      <c r="W74" s="150" t="s">
        <v>215</v>
      </c>
      <c r="X74" s="150" t="s">
        <v>215</v>
      </c>
      <c r="Y74" s="150" t="s">
        <v>215</v>
      </c>
      <c r="Z74" s="150" t="s">
        <v>215</v>
      </c>
      <c r="AA74" s="150" t="s">
        <v>215</v>
      </c>
      <c r="AB74" s="150" t="s">
        <v>215</v>
      </c>
      <c r="AC74" s="150" t="s">
        <v>215</v>
      </c>
      <c r="AD74" s="150" t="s">
        <v>215</v>
      </c>
      <c r="AE74" s="150" t="s">
        <v>215</v>
      </c>
      <c r="AF74" s="150" t="s">
        <v>215</v>
      </c>
      <c r="AG74" s="150" t="s">
        <v>215</v>
      </c>
      <c r="AH74" s="96"/>
      <c r="AI74" s="96"/>
      <c r="AJ74" s="105" t="b">
        <v>1</v>
      </c>
      <c r="AK74" s="105" t="b">
        <v>1</v>
      </c>
      <c r="AL74" s="96" t="s">
        <v>1109</v>
      </c>
      <c r="AM74" s="96"/>
      <c r="AN74" s="102" t="s">
        <v>637</v>
      </c>
      <c r="AO74" s="187">
        <v>0</v>
      </c>
      <c r="AP74" s="102" t="s">
        <v>817</v>
      </c>
      <c r="AQ74" s="187">
        <v>16.95</v>
      </c>
      <c r="AR74" s="96"/>
      <c r="AS74" s="106"/>
      <c r="AT74" s="96"/>
      <c r="AU74" s="106"/>
      <c r="AV74" s="102" t="s">
        <v>316</v>
      </c>
      <c r="AW74" s="187">
        <v>22.95</v>
      </c>
      <c r="AX74" s="102" t="s">
        <v>1141</v>
      </c>
      <c r="AY74" s="187">
        <v>20.95</v>
      </c>
      <c r="AZ74" s="102" t="s">
        <v>1142</v>
      </c>
      <c r="BA74" s="187">
        <v>67.95</v>
      </c>
      <c r="BB74" s="96" t="s">
        <v>416</v>
      </c>
      <c r="BC74" s="96" t="s">
        <v>1143</v>
      </c>
      <c r="BD74" s="96" t="s">
        <v>534</v>
      </c>
      <c r="BE74" s="96" t="s">
        <v>465</v>
      </c>
      <c r="BF74" s="96"/>
      <c r="BG74" s="105" t="b">
        <v>1</v>
      </c>
      <c r="BH74" s="105" t="b">
        <v>1</v>
      </c>
      <c r="BI74" s="105" t="b">
        <v>1</v>
      </c>
      <c r="BJ74" s="105" t="b">
        <v>1</v>
      </c>
      <c r="BK74" s="105" t="b">
        <v>1</v>
      </c>
      <c r="BL74" s="105" t="b">
        <v>1</v>
      </c>
      <c r="BM74" s="105" t="b">
        <v>1</v>
      </c>
      <c r="BN74" s="96" t="s">
        <v>223</v>
      </c>
      <c r="BO74" s="96" t="s">
        <v>1132</v>
      </c>
      <c r="BP74" s="96" t="s">
        <v>1144</v>
      </c>
      <c r="BQ74" s="102" t="s">
        <v>1145</v>
      </c>
      <c r="BR74" s="96"/>
      <c r="BS74" s="96"/>
      <c r="BT74" s="96" t="s">
        <v>1146</v>
      </c>
      <c r="BU74" s="96"/>
      <c r="BV74" s="102" t="s">
        <v>1147</v>
      </c>
      <c r="BW74" s="96" t="s">
        <v>845</v>
      </c>
      <c r="BX74" s="96"/>
      <c r="BY74" s="96"/>
      <c r="BZ74" s="96"/>
      <c r="CA74" s="96"/>
      <c r="CB74" s="96"/>
      <c r="CC74" s="96"/>
      <c r="CD74" s="96"/>
      <c r="CE74" s="96"/>
      <c r="CF74" s="96"/>
      <c r="CG74" s="96"/>
      <c r="CH74" s="105" t="b">
        <v>0</v>
      </c>
      <c r="CI74" s="105" t="b">
        <v>1</v>
      </c>
      <c r="CJ74" s="105" t="b">
        <v>0</v>
      </c>
      <c r="CK74" s="96"/>
      <c r="CL74" s="96"/>
      <c r="CM74" s="96"/>
      <c r="CN74" s="96"/>
    </row>
    <row r="75" spans="1:92" ht="26.25" customHeight="1">
      <c r="A75" s="96"/>
      <c r="B75" s="96" t="s">
        <v>383</v>
      </c>
      <c r="C75" s="102" t="s">
        <v>1148</v>
      </c>
      <c r="D75" s="139" t="s">
        <v>1149</v>
      </c>
      <c r="E75" s="139"/>
      <c r="F75" s="102" t="s">
        <v>1150</v>
      </c>
      <c r="G75" s="102" t="s">
        <v>1151</v>
      </c>
      <c r="H75" s="102" t="s">
        <v>1152</v>
      </c>
      <c r="I75" s="185" t="s">
        <v>1153</v>
      </c>
      <c r="J75" s="185" t="s">
        <v>1139</v>
      </c>
      <c r="K75" s="139"/>
      <c r="L75" s="185" t="s">
        <v>1154</v>
      </c>
      <c r="M75" s="96">
        <v>50.366822038503997</v>
      </c>
      <c r="N75" s="96">
        <v>-4.1309378427630099</v>
      </c>
      <c r="O75" s="96"/>
      <c r="P75" s="96" t="s">
        <v>214</v>
      </c>
      <c r="Q75" s="105" t="b">
        <v>1</v>
      </c>
      <c r="R75" s="181">
        <v>0.41666666666666669</v>
      </c>
      <c r="S75" s="181">
        <v>0.70833333333333337</v>
      </c>
      <c r="T75" s="150" t="s">
        <v>215</v>
      </c>
      <c r="U75" s="150" t="s">
        <v>215</v>
      </c>
      <c r="V75" s="150" t="s">
        <v>215</v>
      </c>
      <c r="W75" s="150" t="s">
        <v>215</v>
      </c>
      <c r="X75" s="150" t="s">
        <v>215</v>
      </c>
      <c r="Y75" s="150" t="s">
        <v>215</v>
      </c>
      <c r="Z75" s="150" t="s">
        <v>215</v>
      </c>
      <c r="AA75" s="150" t="s">
        <v>215</v>
      </c>
      <c r="AB75" s="150" t="s">
        <v>215</v>
      </c>
      <c r="AC75" s="150" t="s">
        <v>215</v>
      </c>
      <c r="AD75" s="150" t="s">
        <v>215</v>
      </c>
      <c r="AE75" s="150" t="s">
        <v>215</v>
      </c>
      <c r="AF75" s="150" t="s">
        <v>215</v>
      </c>
      <c r="AG75" s="150" t="s">
        <v>215</v>
      </c>
      <c r="AH75" s="96"/>
      <c r="AI75" s="96"/>
      <c r="AJ75" s="105" t="b">
        <v>1</v>
      </c>
      <c r="AK75" s="105" t="b">
        <v>1</v>
      </c>
      <c r="AL75" s="96" t="s">
        <v>1155</v>
      </c>
      <c r="AM75" s="96"/>
      <c r="AN75" s="102" t="s">
        <v>637</v>
      </c>
      <c r="AO75" s="187">
        <v>0</v>
      </c>
      <c r="AP75" s="102" t="s">
        <v>817</v>
      </c>
      <c r="AQ75" s="187">
        <v>16</v>
      </c>
      <c r="AR75" s="96"/>
      <c r="AS75" s="106"/>
      <c r="AT75" s="96"/>
      <c r="AU75" s="106"/>
      <c r="AV75" s="102" t="s">
        <v>316</v>
      </c>
      <c r="AW75" s="187">
        <v>26</v>
      </c>
      <c r="AX75" s="102" t="s">
        <v>1156</v>
      </c>
      <c r="AY75" s="187">
        <v>23</v>
      </c>
      <c r="AZ75" s="96"/>
      <c r="BA75" s="106"/>
      <c r="BB75" s="96" t="s">
        <v>358</v>
      </c>
      <c r="BC75" s="96" t="s">
        <v>1157</v>
      </c>
      <c r="BD75" s="96" t="s">
        <v>1158</v>
      </c>
      <c r="BE75" s="96" t="s">
        <v>1159</v>
      </c>
      <c r="BF75" s="96"/>
      <c r="BG75" s="105" t="b">
        <v>1</v>
      </c>
      <c r="BH75" s="105" t="b">
        <v>1</v>
      </c>
      <c r="BI75" s="105" t="b">
        <v>1</v>
      </c>
      <c r="BJ75" s="105" t="b">
        <v>1</v>
      </c>
      <c r="BK75" s="105" t="b">
        <v>1</v>
      </c>
      <c r="BL75" s="105" t="b">
        <v>1</v>
      </c>
      <c r="BM75" s="105" t="b">
        <v>1</v>
      </c>
      <c r="BN75" s="96" t="s">
        <v>244</v>
      </c>
      <c r="BO75" s="96" t="s">
        <v>1086</v>
      </c>
      <c r="BP75" s="96" t="s">
        <v>1144</v>
      </c>
      <c r="BQ75" s="102" t="s">
        <v>1160</v>
      </c>
      <c r="BR75" s="96"/>
      <c r="BS75" s="96"/>
      <c r="BT75" s="96" t="s">
        <v>1161</v>
      </c>
      <c r="BU75" s="96"/>
      <c r="BV75" s="102" t="s">
        <v>1162</v>
      </c>
      <c r="BW75" s="96" t="s">
        <v>845</v>
      </c>
      <c r="BX75" s="96"/>
      <c r="BY75" s="96"/>
      <c r="BZ75" s="96"/>
      <c r="CA75" s="96"/>
      <c r="CB75" s="96"/>
      <c r="CC75" s="96"/>
      <c r="CD75" s="96"/>
      <c r="CE75" s="96"/>
      <c r="CF75" s="96"/>
      <c r="CG75" s="96"/>
      <c r="CH75" s="105" t="b">
        <v>0</v>
      </c>
      <c r="CI75" s="105" t="b">
        <v>1</v>
      </c>
      <c r="CJ75" s="105" t="b">
        <v>0</v>
      </c>
      <c r="CK75" s="96"/>
      <c r="CL75" s="96"/>
      <c r="CM75" s="96"/>
      <c r="CN75" s="96"/>
    </row>
    <row r="76" spans="1:92" ht="26.25" customHeight="1">
      <c r="A76" s="96"/>
      <c r="B76" s="96" t="s">
        <v>1163</v>
      </c>
      <c r="C76" s="102" t="s">
        <v>1164</v>
      </c>
      <c r="D76" s="138" t="s">
        <v>1165</v>
      </c>
      <c r="E76" s="139"/>
      <c r="F76" s="102" t="s">
        <v>106</v>
      </c>
      <c r="G76" s="102" t="s">
        <v>1166</v>
      </c>
      <c r="H76" s="102" t="s">
        <v>1167</v>
      </c>
      <c r="I76" s="139"/>
      <c r="J76" s="185" t="s">
        <v>212</v>
      </c>
      <c r="K76" s="139"/>
      <c r="L76" s="185" t="s">
        <v>1168</v>
      </c>
      <c r="M76" s="96">
        <v>50.725266090994197</v>
      </c>
      <c r="N76" s="96">
        <v>-3.52702230412965</v>
      </c>
      <c r="O76" s="96"/>
      <c r="P76" s="96" t="s">
        <v>1169</v>
      </c>
      <c r="Q76" s="105" t="b">
        <v>0</v>
      </c>
      <c r="R76" s="96" t="s">
        <v>215</v>
      </c>
      <c r="S76" s="96" t="s">
        <v>215</v>
      </c>
      <c r="T76" s="150" t="s">
        <v>215</v>
      </c>
      <c r="U76" s="150" t="s">
        <v>215</v>
      </c>
      <c r="V76" s="150" t="s">
        <v>215</v>
      </c>
      <c r="W76" s="150" t="s">
        <v>215</v>
      </c>
      <c r="X76" s="150" t="s">
        <v>215</v>
      </c>
      <c r="Y76" s="150" t="s">
        <v>215</v>
      </c>
      <c r="Z76" s="181">
        <v>0.45833333333333331</v>
      </c>
      <c r="AA76" s="181">
        <v>0.66666666666666663</v>
      </c>
      <c r="AB76" s="181">
        <v>0.45833333333333331</v>
      </c>
      <c r="AC76" s="181">
        <v>0.66666666666666663</v>
      </c>
      <c r="AD76" s="181">
        <v>0.45833333333333331</v>
      </c>
      <c r="AE76" s="181">
        <v>0.66666666666666663</v>
      </c>
      <c r="AF76" s="181">
        <v>0.45833333333333331</v>
      </c>
      <c r="AG76" s="181">
        <v>0.66666666666666663</v>
      </c>
      <c r="AH76" s="96"/>
      <c r="AI76" s="96"/>
      <c r="AJ76" s="105" t="b">
        <v>1</v>
      </c>
      <c r="AK76" s="105" t="b">
        <v>1</v>
      </c>
      <c r="AL76" s="96" t="s">
        <v>763</v>
      </c>
      <c r="AM76" s="96"/>
      <c r="AN76" s="102" t="s">
        <v>1170</v>
      </c>
      <c r="AO76" s="106"/>
      <c r="AP76" s="102" t="s">
        <v>338</v>
      </c>
      <c r="AQ76" s="187">
        <v>6</v>
      </c>
      <c r="AR76" s="96"/>
      <c r="AS76" s="106"/>
      <c r="AT76" s="96"/>
      <c r="AU76" s="106"/>
      <c r="AV76" s="102" t="s">
        <v>339</v>
      </c>
      <c r="AW76" s="187">
        <v>9</v>
      </c>
      <c r="AX76" s="102" t="s">
        <v>1156</v>
      </c>
      <c r="AY76" s="187">
        <v>7</v>
      </c>
      <c r="AZ76" s="102" t="s">
        <v>1171</v>
      </c>
      <c r="BA76" s="187">
        <v>25</v>
      </c>
      <c r="BB76" s="96" t="s">
        <v>358</v>
      </c>
      <c r="BC76" s="96" t="s">
        <v>1172</v>
      </c>
      <c r="BD76" s="96"/>
      <c r="BE76" s="96"/>
      <c r="BF76" s="96"/>
      <c r="BG76" s="105" t="b">
        <v>0</v>
      </c>
      <c r="BH76" s="105" t="b">
        <v>0</v>
      </c>
      <c r="BI76" s="105" t="b">
        <v>0</v>
      </c>
      <c r="BJ76" s="105" t="b">
        <v>1</v>
      </c>
      <c r="BK76" s="105" t="b">
        <v>1</v>
      </c>
      <c r="BL76" s="105" t="b">
        <v>1</v>
      </c>
      <c r="BM76" s="105" t="b">
        <v>1</v>
      </c>
      <c r="BN76" s="96" t="s">
        <v>244</v>
      </c>
      <c r="BO76" s="96" t="s">
        <v>1086</v>
      </c>
      <c r="BP76" s="96" t="s">
        <v>322</v>
      </c>
      <c r="BQ76" s="102" t="s">
        <v>1173</v>
      </c>
      <c r="BR76" s="96"/>
      <c r="BS76" s="96"/>
      <c r="BT76" s="96" t="s">
        <v>1174</v>
      </c>
      <c r="BU76" s="96"/>
      <c r="BV76" s="102" t="s">
        <v>1175</v>
      </c>
      <c r="BW76" s="96" t="s">
        <v>845</v>
      </c>
      <c r="BX76" s="96"/>
      <c r="BY76" s="96"/>
      <c r="BZ76" s="96"/>
      <c r="CA76" s="96"/>
      <c r="CB76" s="96"/>
      <c r="CC76" s="96"/>
      <c r="CD76" s="96"/>
      <c r="CE76" s="96"/>
      <c r="CF76" s="96"/>
      <c r="CG76" s="96"/>
      <c r="CH76" s="105" t="b">
        <v>0</v>
      </c>
      <c r="CI76" s="105" t="b">
        <v>1</v>
      </c>
      <c r="CJ76" s="105" t="b">
        <v>0</v>
      </c>
      <c r="CK76" s="96"/>
      <c r="CL76" s="96"/>
      <c r="CM76" s="96"/>
      <c r="CN76" s="96"/>
    </row>
    <row r="77" spans="1:92" ht="26.25" customHeight="1">
      <c r="A77" s="96"/>
      <c r="B77" s="96" t="s">
        <v>1163</v>
      </c>
      <c r="C77" s="102" t="s">
        <v>1176</v>
      </c>
      <c r="D77" s="138" t="s">
        <v>1177</v>
      </c>
      <c r="E77" s="139"/>
      <c r="F77" s="102" t="s">
        <v>307</v>
      </c>
      <c r="G77" s="102" t="s">
        <v>1178</v>
      </c>
      <c r="H77" s="102" t="s">
        <v>1179</v>
      </c>
      <c r="I77" s="96"/>
      <c r="J77" s="185" t="s">
        <v>1180</v>
      </c>
      <c r="K77" s="139"/>
      <c r="L77" s="185" t="s">
        <v>1181</v>
      </c>
      <c r="M77" s="96">
        <v>50.730835840066298</v>
      </c>
      <c r="N77" s="96">
        <v>-4.0083310122113396</v>
      </c>
      <c r="O77" s="96"/>
      <c r="P77" s="96" t="s">
        <v>1182</v>
      </c>
      <c r="Q77" s="105" t="b">
        <v>0</v>
      </c>
      <c r="R77" s="96" t="s">
        <v>215</v>
      </c>
      <c r="S77" s="96" t="s">
        <v>215</v>
      </c>
      <c r="T77" s="150"/>
      <c r="U77" s="150"/>
      <c r="V77" s="150"/>
      <c r="W77" s="150"/>
      <c r="X77" s="181">
        <v>0.41666666666666669</v>
      </c>
      <c r="Y77" s="181">
        <v>0.66666666666666663</v>
      </c>
      <c r="Z77" s="181">
        <v>0.41666666666666669</v>
      </c>
      <c r="AA77" s="181">
        <v>0.66666666666666663</v>
      </c>
      <c r="AB77" s="181">
        <v>0.41666666666666669</v>
      </c>
      <c r="AC77" s="181">
        <v>0.66666666666666663</v>
      </c>
      <c r="AD77" s="181">
        <v>0.41666666666666669</v>
      </c>
      <c r="AE77" s="181">
        <v>0.66666666666666663</v>
      </c>
      <c r="AF77" s="181">
        <v>0.41666666666666669</v>
      </c>
      <c r="AG77" s="181">
        <v>0.66666666666666663</v>
      </c>
      <c r="AH77" s="96" t="s">
        <v>1183</v>
      </c>
      <c r="AI77" s="96"/>
      <c r="AJ77" s="105" t="b">
        <v>0</v>
      </c>
      <c r="AK77" s="105" t="b">
        <v>0</v>
      </c>
      <c r="AL77" s="96" t="s">
        <v>217</v>
      </c>
      <c r="AM77" s="96"/>
      <c r="AN77" s="102" t="s">
        <v>215</v>
      </c>
      <c r="AO77" s="188" t="s">
        <v>215</v>
      </c>
      <c r="AP77" s="102" t="s">
        <v>215</v>
      </c>
      <c r="AQ77" s="188" t="s">
        <v>215</v>
      </c>
      <c r="AR77" s="102" t="s">
        <v>215</v>
      </c>
      <c r="AS77" s="188" t="s">
        <v>215</v>
      </c>
      <c r="AT77" s="102" t="s">
        <v>215</v>
      </c>
      <c r="AU77" s="188" t="s">
        <v>215</v>
      </c>
      <c r="AV77" s="188" t="s">
        <v>215</v>
      </c>
      <c r="AW77" s="188" t="s">
        <v>215</v>
      </c>
      <c r="AX77" s="102" t="s">
        <v>215</v>
      </c>
      <c r="AY77" s="188" t="s">
        <v>215</v>
      </c>
      <c r="AZ77" s="102" t="s">
        <v>215</v>
      </c>
      <c r="BA77" s="188" t="s">
        <v>215</v>
      </c>
      <c r="BB77" s="96" t="s">
        <v>358</v>
      </c>
      <c r="BC77" s="96" t="s">
        <v>1184</v>
      </c>
      <c r="BD77" s="96"/>
      <c r="BE77" s="96"/>
      <c r="BF77" s="96" t="s">
        <v>284</v>
      </c>
      <c r="BG77" s="105" t="b">
        <v>1</v>
      </c>
      <c r="BH77" s="105" t="b">
        <v>1</v>
      </c>
      <c r="BI77" s="105" t="b">
        <v>1</v>
      </c>
      <c r="BJ77" s="105" t="b">
        <v>1</v>
      </c>
      <c r="BK77" s="105" t="b">
        <v>1</v>
      </c>
      <c r="BL77" s="105" t="b">
        <v>1</v>
      </c>
      <c r="BM77" s="105" t="b">
        <v>1</v>
      </c>
      <c r="BN77" s="96" t="s">
        <v>223</v>
      </c>
      <c r="BO77" s="96" t="s">
        <v>1185</v>
      </c>
      <c r="BP77" s="96" t="s">
        <v>886</v>
      </c>
      <c r="BQ77" s="102" t="s">
        <v>1186</v>
      </c>
      <c r="BR77" s="96"/>
      <c r="BS77" s="96"/>
      <c r="BT77" s="96" t="s">
        <v>1187</v>
      </c>
      <c r="BU77" s="96"/>
      <c r="BV77" s="153" t="s">
        <v>1188</v>
      </c>
      <c r="BW77" s="96" t="s">
        <v>845</v>
      </c>
      <c r="BX77" s="96"/>
      <c r="BY77" s="96"/>
      <c r="BZ77" s="96"/>
      <c r="CA77" s="96"/>
      <c r="CB77" s="96"/>
      <c r="CC77" s="96"/>
      <c r="CD77" s="96"/>
      <c r="CE77" s="96"/>
      <c r="CF77" s="96"/>
      <c r="CG77" s="96"/>
      <c r="CH77" s="105" t="b">
        <v>0</v>
      </c>
      <c r="CI77" s="105" t="b">
        <v>1</v>
      </c>
      <c r="CJ77" s="105" t="b">
        <v>0</v>
      </c>
      <c r="CK77" s="96"/>
      <c r="CL77" s="96"/>
      <c r="CM77" s="96"/>
      <c r="CN77" s="96"/>
    </row>
    <row r="78" spans="1:92" ht="26.25" customHeight="1">
      <c r="A78" s="96"/>
      <c r="B78" s="96" t="s">
        <v>374</v>
      </c>
      <c r="C78" s="102" t="s">
        <v>1189</v>
      </c>
      <c r="D78" s="138" t="s">
        <v>1190</v>
      </c>
      <c r="E78" s="139"/>
      <c r="F78" s="102" t="s">
        <v>687</v>
      </c>
      <c r="G78" s="102" t="s">
        <v>1191</v>
      </c>
      <c r="H78" s="102" t="s">
        <v>1192</v>
      </c>
      <c r="I78" s="139"/>
      <c r="J78" s="185" t="s">
        <v>212</v>
      </c>
      <c r="K78" s="139"/>
      <c r="L78" s="185" t="s">
        <v>1193</v>
      </c>
      <c r="M78" s="96">
        <v>50.671134863901301</v>
      </c>
      <c r="N78" s="96">
        <v>-3.49374447344085</v>
      </c>
      <c r="O78" s="96"/>
      <c r="P78" s="96" t="s">
        <v>214</v>
      </c>
      <c r="Q78" s="105" t="b">
        <v>0</v>
      </c>
      <c r="R78" s="96" t="s">
        <v>215</v>
      </c>
      <c r="S78" s="96" t="s">
        <v>215</v>
      </c>
      <c r="T78" s="181">
        <v>0.33333333333333331</v>
      </c>
      <c r="U78" s="181">
        <v>0.875</v>
      </c>
      <c r="V78" s="181">
        <v>0.33333333333333331</v>
      </c>
      <c r="W78" s="181">
        <v>0.875</v>
      </c>
      <c r="X78" s="181">
        <v>0.33333333333333331</v>
      </c>
      <c r="Y78" s="181">
        <v>0.875</v>
      </c>
      <c r="Z78" s="181">
        <v>0.33333333333333331</v>
      </c>
      <c r="AA78" s="181">
        <v>0.875</v>
      </c>
      <c r="AB78" s="181">
        <v>0.33333333333333331</v>
      </c>
      <c r="AC78" s="181">
        <v>0.875</v>
      </c>
      <c r="AD78" s="181">
        <v>0.33333333333333331</v>
      </c>
      <c r="AE78" s="181">
        <v>0.75</v>
      </c>
      <c r="AF78" s="181">
        <v>0.33333333333333331</v>
      </c>
      <c r="AG78" s="181">
        <v>0.75</v>
      </c>
      <c r="AH78" s="96"/>
      <c r="AI78" s="96"/>
      <c r="AJ78" s="105" t="b">
        <v>1</v>
      </c>
      <c r="AK78" s="105" t="b">
        <v>0</v>
      </c>
      <c r="AL78" s="96" t="s">
        <v>1155</v>
      </c>
      <c r="AM78" s="96"/>
      <c r="AN78" s="96"/>
      <c r="AO78" s="106"/>
      <c r="AP78" s="188" t="s">
        <v>338</v>
      </c>
      <c r="AQ78" s="188" t="s">
        <v>1194</v>
      </c>
      <c r="AR78" s="96"/>
      <c r="AS78" s="106"/>
      <c r="AT78" s="96"/>
      <c r="AU78" s="106"/>
      <c r="AV78" s="188" t="s">
        <v>339</v>
      </c>
      <c r="AW78" s="188" t="s">
        <v>1194</v>
      </c>
      <c r="AX78" s="96"/>
      <c r="AY78" s="106"/>
      <c r="AZ78" s="96"/>
      <c r="BA78" s="106"/>
      <c r="BB78" s="96" t="s">
        <v>416</v>
      </c>
      <c r="BC78" s="96" t="s">
        <v>577</v>
      </c>
      <c r="BD78" s="96"/>
      <c r="BE78" s="96" t="s">
        <v>1195</v>
      </c>
      <c r="BF78" s="96"/>
      <c r="BG78" s="105" t="b">
        <v>0</v>
      </c>
      <c r="BH78" s="105" t="b">
        <v>0</v>
      </c>
      <c r="BI78" s="105" t="b">
        <v>0</v>
      </c>
      <c r="BJ78" s="105" t="b">
        <v>1</v>
      </c>
      <c r="BK78" s="105" t="b">
        <v>1</v>
      </c>
      <c r="BL78" s="105" t="b">
        <v>1</v>
      </c>
      <c r="BM78" s="105" t="b">
        <v>1</v>
      </c>
      <c r="BN78" s="96" t="s">
        <v>244</v>
      </c>
      <c r="BO78" s="96" t="s">
        <v>1196</v>
      </c>
      <c r="BP78" s="96" t="s">
        <v>451</v>
      </c>
      <c r="BQ78" s="102" t="s">
        <v>1197</v>
      </c>
      <c r="BR78" s="96"/>
      <c r="BS78" s="96"/>
      <c r="BT78" s="96" t="s">
        <v>1198</v>
      </c>
      <c r="BU78" s="96"/>
      <c r="BV78" s="153" t="s">
        <v>1199</v>
      </c>
      <c r="BW78" s="96" t="s">
        <v>845</v>
      </c>
      <c r="BX78" s="96"/>
      <c r="BY78" s="96"/>
      <c r="BZ78" s="96"/>
      <c r="CA78" s="96"/>
      <c r="CB78" s="96"/>
      <c r="CC78" s="96"/>
      <c r="CD78" s="96"/>
      <c r="CE78" s="96"/>
      <c r="CF78" s="96"/>
      <c r="CG78" s="96"/>
      <c r="CH78" s="105" t="b">
        <v>0</v>
      </c>
      <c r="CI78" s="105" t="b">
        <v>1</v>
      </c>
      <c r="CJ78" s="105" t="b">
        <v>0</v>
      </c>
      <c r="CK78" s="96"/>
      <c r="CL78" s="96"/>
      <c r="CM78" s="96"/>
      <c r="CN78" s="96"/>
    </row>
    <row r="79" spans="1:92" ht="26.25" customHeight="1">
      <c r="A79" s="96"/>
      <c r="B79" s="96" t="s">
        <v>811</v>
      </c>
      <c r="C79" s="102" t="s">
        <v>1200</v>
      </c>
      <c r="D79" s="138" t="s">
        <v>1201</v>
      </c>
      <c r="E79" s="139"/>
      <c r="F79" s="102" t="s">
        <v>106</v>
      </c>
      <c r="G79" s="102" t="s">
        <v>1202</v>
      </c>
      <c r="H79" s="96" t="s">
        <v>1203</v>
      </c>
      <c r="I79" s="185" t="s">
        <v>1204</v>
      </c>
      <c r="J79" s="185" t="s">
        <v>212</v>
      </c>
      <c r="K79" s="139"/>
      <c r="L79" s="185" t="s">
        <v>1205</v>
      </c>
      <c r="M79" s="96">
        <v>50.716277571394301</v>
      </c>
      <c r="N79" s="96">
        <v>-3.5310741599480999</v>
      </c>
      <c r="O79" s="96"/>
      <c r="P79" s="96" t="s">
        <v>214</v>
      </c>
      <c r="Q79" s="105" t="b">
        <v>1</v>
      </c>
      <c r="R79" s="181">
        <v>0.41666666666666669</v>
      </c>
      <c r="S79" s="181">
        <v>0.91666666666666663</v>
      </c>
      <c r="T79" s="150" t="s">
        <v>215</v>
      </c>
      <c r="U79" s="150" t="s">
        <v>215</v>
      </c>
      <c r="V79" s="150" t="s">
        <v>215</v>
      </c>
      <c r="W79" s="150" t="s">
        <v>215</v>
      </c>
      <c r="X79" s="150" t="s">
        <v>215</v>
      </c>
      <c r="Y79" s="150" t="s">
        <v>215</v>
      </c>
      <c r="Z79" s="150" t="s">
        <v>215</v>
      </c>
      <c r="AA79" s="150" t="s">
        <v>215</v>
      </c>
      <c r="AB79" s="150" t="s">
        <v>215</v>
      </c>
      <c r="AC79" s="150" t="s">
        <v>215</v>
      </c>
      <c r="AD79" s="150" t="s">
        <v>215</v>
      </c>
      <c r="AE79" s="150" t="s">
        <v>215</v>
      </c>
      <c r="AF79" s="150" t="s">
        <v>215</v>
      </c>
      <c r="AG79" s="150" t="s">
        <v>215</v>
      </c>
      <c r="AH79" s="96"/>
      <c r="AI79" s="96"/>
      <c r="AJ79" s="105" t="b">
        <v>1</v>
      </c>
      <c r="AK79" s="105" t="b">
        <v>1</v>
      </c>
      <c r="AL79" s="96" t="s">
        <v>763</v>
      </c>
      <c r="AM79" s="96" t="s">
        <v>763</v>
      </c>
      <c r="AN79" s="96"/>
      <c r="AO79" s="106"/>
      <c r="AP79" s="106"/>
      <c r="AQ79" s="106"/>
      <c r="AR79" s="102" t="s">
        <v>1206</v>
      </c>
      <c r="AS79" s="187">
        <v>0</v>
      </c>
      <c r="AT79" s="102" t="s">
        <v>1207</v>
      </c>
      <c r="AU79" s="187">
        <v>30</v>
      </c>
      <c r="AV79" s="188" t="s">
        <v>339</v>
      </c>
      <c r="AW79" s="187">
        <v>30</v>
      </c>
      <c r="AX79" s="96"/>
      <c r="AY79" s="106"/>
      <c r="AZ79" s="102" t="s">
        <v>1208</v>
      </c>
      <c r="BA79" s="188" t="s">
        <v>1209</v>
      </c>
      <c r="BB79" s="96" t="s">
        <v>218</v>
      </c>
      <c r="BC79" s="96" t="s">
        <v>1210</v>
      </c>
      <c r="BD79" s="96"/>
      <c r="BE79" s="96" t="s">
        <v>1211</v>
      </c>
      <c r="BF79" s="96"/>
      <c r="BG79" s="105" t="b">
        <v>0</v>
      </c>
      <c r="BH79" s="105" t="b">
        <v>0</v>
      </c>
      <c r="BI79" s="105" t="b">
        <v>0</v>
      </c>
      <c r="BJ79" s="105" t="b">
        <v>1</v>
      </c>
      <c r="BK79" s="105" t="b">
        <v>1</v>
      </c>
      <c r="BL79" s="105" t="b">
        <v>1</v>
      </c>
      <c r="BM79" s="105" t="b">
        <v>1</v>
      </c>
      <c r="BN79" s="96" t="s">
        <v>244</v>
      </c>
      <c r="BO79" s="96" t="s">
        <v>1086</v>
      </c>
      <c r="BP79" s="96" t="s">
        <v>451</v>
      </c>
      <c r="BQ79" s="102" t="s">
        <v>1212</v>
      </c>
      <c r="BR79" s="96"/>
      <c r="BS79" s="96"/>
      <c r="BT79" s="96" t="s">
        <v>1200</v>
      </c>
      <c r="BU79" s="96"/>
      <c r="BV79" s="102" t="s">
        <v>1213</v>
      </c>
      <c r="BW79" s="96" t="s">
        <v>783</v>
      </c>
      <c r="BX79" s="96"/>
      <c r="BY79" s="96"/>
      <c r="BZ79" s="96"/>
      <c r="CA79" s="96"/>
      <c r="CB79" s="96"/>
      <c r="CC79" s="96"/>
      <c r="CD79" s="96"/>
      <c r="CE79" s="96"/>
      <c r="CF79" s="96"/>
      <c r="CG79" s="96"/>
      <c r="CH79" s="105" t="b">
        <v>0</v>
      </c>
      <c r="CI79" s="105" t="b">
        <v>1</v>
      </c>
      <c r="CJ79" s="105" t="b">
        <v>0</v>
      </c>
      <c r="CK79" s="96"/>
      <c r="CL79" s="96"/>
      <c r="CM79" s="96"/>
      <c r="CN79" s="96"/>
    </row>
    <row r="80" spans="1:92" ht="26.25" customHeight="1">
      <c r="A80" s="156"/>
      <c r="B80" s="96" t="s">
        <v>349</v>
      </c>
      <c r="C80" s="96" t="s">
        <v>364</v>
      </c>
      <c r="D80" s="185" t="s">
        <v>1214</v>
      </c>
      <c r="E80" s="139"/>
      <c r="F80" s="96" t="s">
        <v>208</v>
      </c>
      <c r="G80" s="102" t="s">
        <v>1215</v>
      </c>
      <c r="H80" s="102" t="s">
        <v>1216</v>
      </c>
      <c r="I80" s="139" t="s">
        <v>1217</v>
      </c>
      <c r="J80" s="139" t="s">
        <v>1218</v>
      </c>
      <c r="K80" s="139"/>
      <c r="L80" s="139" t="s">
        <v>1219</v>
      </c>
      <c r="M80" s="96">
        <v>50.752429407276999</v>
      </c>
      <c r="N80" s="96">
        <v>-3.28374411576453</v>
      </c>
      <c r="O80" s="96"/>
      <c r="P80" s="96" t="s">
        <v>214</v>
      </c>
      <c r="Q80" s="105" t="b">
        <v>1</v>
      </c>
      <c r="R80" s="181">
        <v>0</v>
      </c>
      <c r="S80" s="182">
        <v>1</v>
      </c>
      <c r="T80" s="150" t="s">
        <v>215</v>
      </c>
      <c r="U80" s="150" t="s">
        <v>215</v>
      </c>
      <c r="V80" s="150" t="s">
        <v>215</v>
      </c>
      <c r="W80" s="150" t="s">
        <v>215</v>
      </c>
      <c r="X80" s="150" t="s">
        <v>215</v>
      </c>
      <c r="Y80" s="150" t="s">
        <v>215</v>
      </c>
      <c r="Z80" s="150" t="s">
        <v>215</v>
      </c>
      <c r="AA80" s="150" t="s">
        <v>215</v>
      </c>
      <c r="AB80" s="150" t="s">
        <v>215</v>
      </c>
      <c r="AC80" s="150" t="s">
        <v>215</v>
      </c>
      <c r="AD80" s="150" t="s">
        <v>215</v>
      </c>
      <c r="AE80" s="150" t="s">
        <v>215</v>
      </c>
      <c r="AF80" s="150" t="s">
        <v>215</v>
      </c>
      <c r="AG80" s="150" t="s">
        <v>215</v>
      </c>
      <c r="AH80" s="96" t="s">
        <v>215</v>
      </c>
      <c r="AI80" s="96" t="s">
        <v>262</v>
      </c>
      <c r="AJ80" s="105" t="b">
        <v>0</v>
      </c>
      <c r="AK80" s="105" t="b">
        <v>0</v>
      </c>
      <c r="AL80" s="96" t="s">
        <v>217</v>
      </c>
      <c r="AM80" s="96"/>
      <c r="AN80" s="102" t="s">
        <v>215</v>
      </c>
      <c r="AO80" s="188" t="s">
        <v>215</v>
      </c>
      <c r="AP80" s="188" t="s">
        <v>215</v>
      </c>
      <c r="AQ80" s="188" t="s">
        <v>215</v>
      </c>
      <c r="AR80" s="102" t="s">
        <v>215</v>
      </c>
      <c r="AS80" s="188" t="s">
        <v>215</v>
      </c>
      <c r="AT80" s="102" t="s">
        <v>215</v>
      </c>
      <c r="AU80" s="188" t="s">
        <v>215</v>
      </c>
      <c r="AV80" s="188" t="s">
        <v>215</v>
      </c>
      <c r="AW80" s="188" t="s">
        <v>215</v>
      </c>
      <c r="AX80" s="102" t="s">
        <v>215</v>
      </c>
      <c r="AY80" s="188" t="s">
        <v>215</v>
      </c>
      <c r="AZ80" s="102" t="s">
        <v>215</v>
      </c>
      <c r="BA80" s="188" t="s">
        <v>215</v>
      </c>
      <c r="BB80" s="96" t="s">
        <v>358</v>
      </c>
      <c r="BC80" s="96"/>
      <c r="BD80" s="96" t="s">
        <v>742</v>
      </c>
      <c r="BE80" s="96" t="s">
        <v>359</v>
      </c>
      <c r="BF80" s="96"/>
      <c r="BG80" s="105" t="b">
        <v>0</v>
      </c>
      <c r="BH80" s="105" t="b">
        <v>1</v>
      </c>
      <c r="BI80" s="105" t="b">
        <v>1</v>
      </c>
      <c r="BJ80" s="105" t="b">
        <v>1</v>
      </c>
      <c r="BK80" s="105" t="b">
        <v>1</v>
      </c>
      <c r="BL80" s="105" t="b">
        <v>0</v>
      </c>
      <c r="BM80" s="105" t="b">
        <v>0</v>
      </c>
      <c r="BN80" s="96" t="s">
        <v>223</v>
      </c>
      <c r="BO80" s="96" t="s">
        <v>285</v>
      </c>
      <c r="BP80" s="96" t="s">
        <v>379</v>
      </c>
      <c r="BQ80" s="102" t="s">
        <v>1220</v>
      </c>
      <c r="BR80" s="96"/>
      <c r="BS80" s="96"/>
      <c r="BT80" s="96" t="s">
        <v>1221</v>
      </c>
      <c r="BU80" s="96"/>
      <c r="BV80" s="102" t="s">
        <v>1222</v>
      </c>
      <c r="BW80" s="96" t="s">
        <v>273</v>
      </c>
      <c r="BX80" s="96"/>
      <c r="BY80" s="96"/>
      <c r="BZ80" s="96"/>
      <c r="CA80" s="96"/>
      <c r="CB80" s="96"/>
      <c r="CC80" s="96"/>
      <c r="CD80" s="96"/>
      <c r="CE80" s="96"/>
      <c r="CF80" s="96"/>
      <c r="CG80" s="96"/>
      <c r="CH80" s="96"/>
      <c r="CI80" s="105" t="b">
        <v>1</v>
      </c>
      <c r="CJ80" s="96"/>
      <c r="CK80" s="96"/>
      <c r="CL80" s="96"/>
      <c r="CM80" s="96"/>
      <c r="CN80" s="96"/>
    </row>
    <row r="81" spans="1:92" ht="26.25" customHeight="1">
      <c r="A81" s="156"/>
      <c r="B81" s="96" t="s">
        <v>253</v>
      </c>
      <c r="C81" s="96" t="s">
        <v>1223</v>
      </c>
      <c r="D81" s="185" t="s">
        <v>1224</v>
      </c>
      <c r="E81" s="139"/>
      <c r="F81" s="96" t="s">
        <v>1058</v>
      </c>
      <c r="G81" s="102" t="s">
        <v>1225</v>
      </c>
      <c r="H81" s="102" t="s">
        <v>1224</v>
      </c>
      <c r="I81" s="139"/>
      <c r="J81" s="139" t="s">
        <v>259</v>
      </c>
      <c r="K81" s="139"/>
      <c r="L81" s="139" t="s">
        <v>1226</v>
      </c>
      <c r="M81" s="96">
        <v>50.619519675650899</v>
      </c>
      <c r="N81" s="96">
        <v>-3.4256739527373998</v>
      </c>
      <c r="O81" s="96"/>
      <c r="P81" s="96" t="s">
        <v>214</v>
      </c>
      <c r="Q81" s="105" t="b">
        <v>1</v>
      </c>
      <c r="R81" s="181">
        <v>0</v>
      </c>
      <c r="S81" s="182">
        <v>1</v>
      </c>
      <c r="T81" s="150" t="s">
        <v>215</v>
      </c>
      <c r="U81" s="150" t="s">
        <v>215</v>
      </c>
      <c r="V81" s="150" t="s">
        <v>215</v>
      </c>
      <c r="W81" s="150" t="s">
        <v>215</v>
      </c>
      <c r="X81" s="150" t="s">
        <v>215</v>
      </c>
      <c r="Y81" s="150" t="s">
        <v>215</v>
      </c>
      <c r="Z81" s="150" t="s">
        <v>215</v>
      </c>
      <c r="AA81" s="150" t="s">
        <v>215</v>
      </c>
      <c r="AB81" s="150" t="s">
        <v>215</v>
      </c>
      <c r="AC81" s="150" t="s">
        <v>215</v>
      </c>
      <c r="AD81" s="150" t="s">
        <v>215</v>
      </c>
      <c r="AE81" s="150" t="s">
        <v>215</v>
      </c>
      <c r="AF81" s="150" t="s">
        <v>215</v>
      </c>
      <c r="AG81" s="150" t="s">
        <v>215</v>
      </c>
      <c r="AH81" s="96" t="s">
        <v>215</v>
      </c>
      <c r="AI81" s="96" t="s">
        <v>262</v>
      </c>
      <c r="AJ81" s="105" t="b">
        <v>0</v>
      </c>
      <c r="AK81" s="105" t="b">
        <v>0</v>
      </c>
      <c r="AL81" s="96" t="s">
        <v>217</v>
      </c>
      <c r="AM81" s="96"/>
      <c r="AN81" s="102" t="s">
        <v>215</v>
      </c>
      <c r="AO81" s="188" t="s">
        <v>215</v>
      </c>
      <c r="AP81" s="188" t="s">
        <v>215</v>
      </c>
      <c r="AQ81" s="188" t="s">
        <v>215</v>
      </c>
      <c r="AR81" s="102" t="s">
        <v>215</v>
      </c>
      <c r="AS81" s="188" t="s">
        <v>215</v>
      </c>
      <c r="AT81" s="102" t="s">
        <v>215</v>
      </c>
      <c r="AU81" s="188" t="s">
        <v>215</v>
      </c>
      <c r="AV81" s="188" t="s">
        <v>215</v>
      </c>
      <c r="AW81" s="188" t="s">
        <v>215</v>
      </c>
      <c r="AX81" s="102" t="s">
        <v>215</v>
      </c>
      <c r="AY81" s="188" t="s">
        <v>215</v>
      </c>
      <c r="AZ81" s="102" t="s">
        <v>215</v>
      </c>
      <c r="BA81" s="188" t="s">
        <v>215</v>
      </c>
      <c r="BB81" s="96" t="s">
        <v>358</v>
      </c>
      <c r="BC81" s="96" t="s">
        <v>672</v>
      </c>
      <c r="BD81" s="96"/>
      <c r="BE81" s="96"/>
      <c r="BF81" s="96"/>
      <c r="BG81" s="105" t="b">
        <v>1</v>
      </c>
      <c r="BH81" s="105" t="b">
        <v>1</v>
      </c>
      <c r="BI81" s="105" t="b">
        <v>1</v>
      </c>
      <c r="BJ81" s="105" t="b">
        <v>1</v>
      </c>
      <c r="BK81" s="105" t="b">
        <v>1</v>
      </c>
      <c r="BL81" s="105" t="b">
        <v>1</v>
      </c>
      <c r="BM81" s="105" t="b">
        <v>1</v>
      </c>
      <c r="BN81" s="96" t="s">
        <v>223</v>
      </c>
      <c r="BO81" s="96" t="s">
        <v>1132</v>
      </c>
      <c r="BP81" s="96" t="s">
        <v>286</v>
      </c>
      <c r="BQ81" s="102" t="s">
        <v>1227</v>
      </c>
      <c r="BR81" s="96"/>
      <c r="BS81" s="96"/>
      <c r="BT81" s="96" t="s">
        <v>1228</v>
      </c>
      <c r="BU81" s="96"/>
      <c r="BV81" s="102" t="s">
        <v>1229</v>
      </c>
      <c r="BW81" s="96" t="s">
        <v>273</v>
      </c>
      <c r="BX81" s="96"/>
      <c r="BY81" s="96"/>
      <c r="BZ81" s="96"/>
      <c r="CA81" s="96"/>
      <c r="CB81" s="96"/>
      <c r="CC81" s="96"/>
      <c r="CD81" s="96"/>
      <c r="CE81" s="96"/>
      <c r="CF81" s="96"/>
      <c r="CG81" s="96"/>
      <c r="CH81" s="96"/>
      <c r="CI81" s="105" t="b">
        <v>1</v>
      </c>
      <c r="CJ81" s="96"/>
      <c r="CK81" s="96"/>
      <c r="CL81" s="96"/>
      <c r="CM81" s="96"/>
      <c r="CN81" s="96"/>
    </row>
    <row r="82" spans="1:92" ht="26.25" customHeight="1">
      <c r="A82" s="156"/>
      <c r="B82" s="96" t="s">
        <v>253</v>
      </c>
      <c r="C82" s="96" t="s">
        <v>1230</v>
      </c>
      <c r="D82" s="185" t="s">
        <v>1231</v>
      </c>
      <c r="E82" s="139"/>
      <c r="F82" s="96" t="s">
        <v>1232</v>
      </c>
      <c r="G82" s="102" t="s">
        <v>1233</v>
      </c>
      <c r="H82" s="102" t="s">
        <v>1234</v>
      </c>
      <c r="I82" s="139" t="s">
        <v>1235</v>
      </c>
      <c r="J82" s="139" t="s">
        <v>1236</v>
      </c>
      <c r="K82" s="139"/>
      <c r="L82" s="139" t="s">
        <v>1237</v>
      </c>
      <c r="M82" s="96">
        <v>51.146197878376</v>
      </c>
      <c r="N82" s="96">
        <v>-4.2219751805233496</v>
      </c>
      <c r="O82" s="96"/>
      <c r="P82" s="96" t="s">
        <v>214</v>
      </c>
      <c r="Q82" s="105" t="b">
        <v>1</v>
      </c>
      <c r="R82" s="181">
        <v>0</v>
      </c>
      <c r="S82" s="182">
        <v>1</v>
      </c>
      <c r="T82" s="150" t="s">
        <v>215</v>
      </c>
      <c r="U82" s="150" t="s">
        <v>215</v>
      </c>
      <c r="V82" s="150" t="s">
        <v>215</v>
      </c>
      <c r="W82" s="150" t="s">
        <v>215</v>
      </c>
      <c r="X82" s="150" t="s">
        <v>215</v>
      </c>
      <c r="Y82" s="150" t="s">
        <v>215</v>
      </c>
      <c r="Z82" s="150" t="s">
        <v>215</v>
      </c>
      <c r="AA82" s="150" t="s">
        <v>215</v>
      </c>
      <c r="AB82" s="150" t="s">
        <v>215</v>
      </c>
      <c r="AC82" s="150" t="s">
        <v>215</v>
      </c>
      <c r="AD82" s="150" t="s">
        <v>215</v>
      </c>
      <c r="AE82" s="150" t="s">
        <v>215</v>
      </c>
      <c r="AF82" s="150" t="s">
        <v>215</v>
      </c>
      <c r="AG82" s="150" t="s">
        <v>215</v>
      </c>
      <c r="AH82" s="96" t="s">
        <v>215</v>
      </c>
      <c r="AI82" s="96" t="s">
        <v>262</v>
      </c>
      <c r="AJ82" s="105" t="b">
        <v>0</v>
      </c>
      <c r="AK82" s="105" t="b">
        <v>0</v>
      </c>
      <c r="AL82" s="96" t="s">
        <v>217</v>
      </c>
      <c r="AM82" s="96"/>
      <c r="AN82" s="102" t="s">
        <v>215</v>
      </c>
      <c r="AO82" s="188" t="s">
        <v>215</v>
      </c>
      <c r="AP82" s="188" t="s">
        <v>215</v>
      </c>
      <c r="AQ82" s="188" t="s">
        <v>215</v>
      </c>
      <c r="AR82" s="102" t="s">
        <v>215</v>
      </c>
      <c r="AS82" s="188" t="s">
        <v>215</v>
      </c>
      <c r="AT82" s="102" t="s">
        <v>215</v>
      </c>
      <c r="AU82" s="188" t="s">
        <v>215</v>
      </c>
      <c r="AV82" s="188" t="s">
        <v>215</v>
      </c>
      <c r="AW82" s="188" t="s">
        <v>215</v>
      </c>
      <c r="AX82" s="102" t="s">
        <v>215</v>
      </c>
      <c r="AY82" s="188" t="s">
        <v>215</v>
      </c>
      <c r="AZ82" s="102" t="s">
        <v>215</v>
      </c>
      <c r="BA82" s="188" t="s">
        <v>215</v>
      </c>
      <c r="BB82" s="96" t="s">
        <v>218</v>
      </c>
      <c r="BC82" s="96" t="s">
        <v>1238</v>
      </c>
      <c r="BD82" s="96" t="s">
        <v>265</v>
      </c>
      <c r="BE82" s="96" t="s">
        <v>1239</v>
      </c>
      <c r="BF82" s="96" t="s">
        <v>284</v>
      </c>
      <c r="BG82" s="105" t="b">
        <v>1</v>
      </c>
      <c r="BH82" s="105" t="b">
        <v>1</v>
      </c>
      <c r="BI82" s="105" t="b">
        <v>1</v>
      </c>
      <c r="BJ82" s="105" t="b">
        <v>1</v>
      </c>
      <c r="BK82" s="105" t="b">
        <v>1</v>
      </c>
      <c r="BL82" s="105" t="b">
        <v>1</v>
      </c>
      <c r="BM82" s="105" t="b">
        <v>1</v>
      </c>
      <c r="BN82" s="96" t="s">
        <v>223</v>
      </c>
      <c r="BO82" s="96" t="s">
        <v>1063</v>
      </c>
      <c r="BP82" s="96" t="s">
        <v>1240</v>
      </c>
      <c r="BQ82" s="102" t="s">
        <v>1241</v>
      </c>
      <c r="BR82" s="96"/>
      <c r="BS82" s="96"/>
      <c r="BT82" s="96" t="s">
        <v>1242</v>
      </c>
      <c r="BU82" s="96" t="s">
        <v>1243</v>
      </c>
      <c r="BV82" s="102" t="s">
        <v>1244</v>
      </c>
      <c r="BW82" s="96" t="s">
        <v>273</v>
      </c>
      <c r="BX82" s="96"/>
      <c r="BY82" s="96"/>
      <c r="BZ82" s="96"/>
      <c r="CA82" s="96"/>
      <c r="CB82" s="96"/>
      <c r="CC82" s="96"/>
      <c r="CD82" s="96"/>
      <c r="CE82" s="96"/>
      <c r="CF82" s="96"/>
      <c r="CG82" s="96"/>
      <c r="CH82" s="96"/>
      <c r="CI82" s="105" t="b">
        <v>1</v>
      </c>
      <c r="CJ82" s="96"/>
      <c r="CK82" s="96"/>
      <c r="CL82" s="96"/>
      <c r="CM82" s="96"/>
      <c r="CN82" s="96"/>
    </row>
    <row r="83" spans="1:92" ht="26.25" customHeight="1">
      <c r="A83" s="156"/>
      <c r="B83" s="96" t="s">
        <v>253</v>
      </c>
      <c r="C83" s="96" t="s">
        <v>1245</v>
      </c>
      <c r="D83" s="185" t="s">
        <v>1246</v>
      </c>
      <c r="E83" s="139"/>
      <c r="F83" s="96" t="s">
        <v>276</v>
      </c>
      <c r="G83" s="102" t="s">
        <v>1247</v>
      </c>
      <c r="H83" s="102" t="s">
        <v>279</v>
      </c>
      <c r="I83" s="139"/>
      <c r="J83" s="139" t="s">
        <v>280</v>
      </c>
      <c r="K83" s="139"/>
      <c r="L83" s="139" t="s">
        <v>281</v>
      </c>
      <c r="M83" s="96">
        <v>50.675382231805997</v>
      </c>
      <c r="N83" s="96">
        <v>-3.2478927096675498</v>
      </c>
      <c r="O83" s="96"/>
      <c r="P83" s="96" t="s">
        <v>214</v>
      </c>
      <c r="Q83" s="105" t="b">
        <v>1</v>
      </c>
      <c r="R83" s="181">
        <v>0</v>
      </c>
      <c r="S83" s="182">
        <v>1</v>
      </c>
      <c r="T83" s="150" t="s">
        <v>215</v>
      </c>
      <c r="U83" s="150" t="s">
        <v>215</v>
      </c>
      <c r="V83" s="150" t="s">
        <v>215</v>
      </c>
      <c r="W83" s="150" t="s">
        <v>215</v>
      </c>
      <c r="X83" s="150" t="s">
        <v>215</v>
      </c>
      <c r="Y83" s="150" t="s">
        <v>215</v>
      </c>
      <c r="Z83" s="150" t="s">
        <v>215</v>
      </c>
      <c r="AA83" s="150" t="s">
        <v>215</v>
      </c>
      <c r="AB83" s="150" t="s">
        <v>215</v>
      </c>
      <c r="AC83" s="150" t="s">
        <v>215</v>
      </c>
      <c r="AD83" s="150" t="s">
        <v>215</v>
      </c>
      <c r="AE83" s="150" t="s">
        <v>215</v>
      </c>
      <c r="AF83" s="150" t="s">
        <v>215</v>
      </c>
      <c r="AG83" s="150" t="s">
        <v>215</v>
      </c>
      <c r="AH83" s="96" t="s">
        <v>215</v>
      </c>
      <c r="AI83" s="96" t="s">
        <v>262</v>
      </c>
      <c r="AJ83" s="105" t="b">
        <v>0</v>
      </c>
      <c r="AK83" s="105" t="b">
        <v>0</v>
      </c>
      <c r="AL83" s="96" t="s">
        <v>217</v>
      </c>
      <c r="AM83" s="96"/>
      <c r="AN83" s="102" t="s">
        <v>215</v>
      </c>
      <c r="AO83" s="188" t="s">
        <v>215</v>
      </c>
      <c r="AP83" s="188" t="s">
        <v>215</v>
      </c>
      <c r="AQ83" s="188" t="s">
        <v>215</v>
      </c>
      <c r="AR83" s="102" t="s">
        <v>215</v>
      </c>
      <c r="AS83" s="188" t="s">
        <v>215</v>
      </c>
      <c r="AT83" s="102" t="s">
        <v>215</v>
      </c>
      <c r="AU83" s="188" t="s">
        <v>215</v>
      </c>
      <c r="AV83" s="188" t="s">
        <v>215</v>
      </c>
      <c r="AW83" s="188" t="s">
        <v>215</v>
      </c>
      <c r="AX83" s="102" t="s">
        <v>215</v>
      </c>
      <c r="AY83" s="188" t="s">
        <v>215</v>
      </c>
      <c r="AZ83" s="102" t="s">
        <v>215</v>
      </c>
      <c r="BA83" s="188" t="s">
        <v>215</v>
      </c>
      <c r="BB83" s="96" t="s">
        <v>358</v>
      </c>
      <c r="BC83" s="96"/>
      <c r="BD83" s="96"/>
      <c r="BE83" s="96" t="s">
        <v>1248</v>
      </c>
      <c r="BF83" s="96"/>
      <c r="BG83" s="105" t="b">
        <v>0</v>
      </c>
      <c r="BH83" s="105" t="b">
        <v>1</v>
      </c>
      <c r="BI83" s="105" t="b">
        <v>1</v>
      </c>
      <c r="BJ83" s="105" t="b">
        <v>1</v>
      </c>
      <c r="BK83" s="105" t="b">
        <v>1</v>
      </c>
      <c r="BL83" s="105" t="b">
        <v>1</v>
      </c>
      <c r="BM83" s="105" t="b">
        <v>1</v>
      </c>
      <c r="BN83" s="96" t="s">
        <v>223</v>
      </c>
      <c r="BO83" s="96" t="s">
        <v>1132</v>
      </c>
      <c r="BP83" s="96" t="s">
        <v>918</v>
      </c>
      <c r="BQ83" s="102" t="s">
        <v>1249</v>
      </c>
      <c r="BR83" s="96"/>
      <c r="BS83" s="96"/>
      <c r="BT83" s="96" t="s">
        <v>1250</v>
      </c>
      <c r="BU83" s="96"/>
      <c r="BV83" s="185" t="s">
        <v>1251</v>
      </c>
      <c r="BW83" s="96" t="s">
        <v>273</v>
      </c>
      <c r="BX83" s="96"/>
      <c r="BY83" s="96"/>
      <c r="BZ83" s="96"/>
      <c r="CA83" s="96"/>
      <c r="CB83" s="96"/>
      <c r="CC83" s="96"/>
      <c r="CD83" s="96"/>
      <c r="CE83" s="96"/>
      <c r="CF83" s="96"/>
      <c r="CG83" s="96"/>
      <c r="CH83" s="96"/>
      <c r="CI83" s="105" t="b">
        <v>1</v>
      </c>
      <c r="CJ83" s="96"/>
      <c r="CK83" s="96"/>
      <c r="CL83" s="96"/>
      <c r="CM83" s="96"/>
      <c r="CN83" s="96"/>
    </row>
    <row r="84" spans="1:92" ht="26.25" customHeight="1">
      <c r="A84" s="156"/>
      <c r="B84" s="96" t="s">
        <v>205</v>
      </c>
      <c r="C84" s="96" t="s">
        <v>966</v>
      </c>
      <c r="D84" s="185" t="s">
        <v>1252</v>
      </c>
      <c r="E84" s="139"/>
      <c r="F84" s="96" t="s">
        <v>104</v>
      </c>
      <c r="G84" s="102" t="s">
        <v>1253</v>
      </c>
      <c r="H84" s="96" t="s">
        <v>1252</v>
      </c>
      <c r="I84" s="185" t="s">
        <v>258</v>
      </c>
      <c r="J84" s="139" t="s">
        <v>259</v>
      </c>
      <c r="K84" s="139"/>
      <c r="L84" s="139" t="s">
        <v>1254</v>
      </c>
      <c r="M84" s="96">
        <v>50.612814889741998</v>
      </c>
      <c r="N84" s="96">
        <v>-3.4022548464617701</v>
      </c>
      <c r="O84" s="96"/>
      <c r="P84" s="96" t="s">
        <v>214</v>
      </c>
      <c r="Q84" s="105" t="b">
        <v>1</v>
      </c>
      <c r="R84" s="181">
        <v>0</v>
      </c>
      <c r="S84" s="182">
        <v>1</v>
      </c>
      <c r="T84" s="150" t="s">
        <v>215</v>
      </c>
      <c r="U84" s="150" t="s">
        <v>215</v>
      </c>
      <c r="V84" s="150" t="s">
        <v>215</v>
      </c>
      <c r="W84" s="150" t="s">
        <v>215</v>
      </c>
      <c r="X84" s="150" t="s">
        <v>215</v>
      </c>
      <c r="Y84" s="150" t="s">
        <v>215</v>
      </c>
      <c r="Z84" s="150" t="s">
        <v>215</v>
      </c>
      <c r="AA84" s="150" t="s">
        <v>215</v>
      </c>
      <c r="AB84" s="150" t="s">
        <v>215</v>
      </c>
      <c r="AC84" s="150" t="s">
        <v>215</v>
      </c>
      <c r="AD84" s="150" t="s">
        <v>215</v>
      </c>
      <c r="AE84" s="150" t="s">
        <v>215</v>
      </c>
      <c r="AF84" s="150" t="s">
        <v>215</v>
      </c>
      <c r="AG84" s="150" t="s">
        <v>215</v>
      </c>
      <c r="AH84" s="96" t="s">
        <v>215</v>
      </c>
      <c r="AI84" s="96" t="s">
        <v>262</v>
      </c>
      <c r="AJ84" s="105" t="b">
        <v>0</v>
      </c>
      <c r="AK84" s="105" t="b">
        <v>0</v>
      </c>
      <c r="AL84" s="96" t="s">
        <v>217</v>
      </c>
      <c r="AM84" s="96"/>
      <c r="AN84" s="102" t="s">
        <v>215</v>
      </c>
      <c r="AO84" s="188" t="s">
        <v>215</v>
      </c>
      <c r="AP84" s="188" t="s">
        <v>215</v>
      </c>
      <c r="AQ84" s="188" t="s">
        <v>215</v>
      </c>
      <c r="AR84" s="102" t="s">
        <v>215</v>
      </c>
      <c r="AS84" s="188" t="s">
        <v>215</v>
      </c>
      <c r="AT84" s="102" t="s">
        <v>215</v>
      </c>
      <c r="AU84" s="188" t="s">
        <v>215</v>
      </c>
      <c r="AV84" s="188" t="s">
        <v>215</v>
      </c>
      <c r="AW84" s="188" t="s">
        <v>215</v>
      </c>
      <c r="AX84" s="102" t="s">
        <v>215</v>
      </c>
      <c r="AY84" s="188" t="s">
        <v>215</v>
      </c>
      <c r="AZ84" s="102" t="s">
        <v>215</v>
      </c>
      <c r="BA84" s="188" t="s">
        <v>215</v>
      </c>
      <c r="BB84" s="96" t="s">
        <v>1010</v>
      </c>
      <c r="BC84" s="96" t="s">
        <v>585</v>
      </c>
      <c r="BD84" s="96" t="s">
        <v>534</v>
      </c>
      <c r="BE84" s="96" t="s">
        <v>359</v>
      </c>
      <c r="BF84" s="96"/>
      <c r="BG84" s="105" t="b">
        <v>1</v>
      </c>
      <c r="BH84" s="105" t="b">
        <v>1</v>
      </c>
      <c r="BI84" s="105" t="b">
        <v>1</v>
      </c>
      <c r="BJ84" s="105" t="b">
        <v>1</v>
      </c>
      <c r="BK84" s="105" t="b">
        <v>1</v>
      </c>
      <c r="BL84" s="105" t="b">
        <v>1</v>
      </c>
      <c r="BM84" s="105" t="b">
        <v>1</v>
      </c>
      <c r="BN84" s="96" t="s">
        <v>223</v>
      </c>
      <c r="BO84" s="96" t="s">
        <v>285</v>
      </c>
      <c r="BP84" s="96" t="s">
        <v>286</v>
      </c>
      <c r="BQ84" s="102" t="s">
        <v>1255</v>
      </c>
      <c r="BR84" s="96"/>
      <c r="BS84" s="96"/>
      <c r="BT84" s="96" t="s">
        <v>1256</v>
      </c>
      <c r="BU84" s="96"/>
      <c r="BV84" s="102" t="s">
        <v>1257</v>
      </c>
      <c r="BW84" s="96" t="s">
        <v>273</v>
      </c>
      <c r="BX84" s="96"/>
      <c r="BY84" s="96"/>
      <c r="BZ84" s="96"/>
      <c r="CA84" s="96"/>
      <c r="CB84" s="96"/>
      <c r="CC84" s="96"/>
      <c r="CD84" s="96"/>
      <c r="CE84" s="96"/>
      <c r="CF84" s="96"/>
      <c r="CG84" s="96"/>
      <c r="CH84" s="96"/>
      <c r="CI84" s="105" t="b">
        <v>1</v>
      </c>
      <c r="CJ84" s="96"/>
      <c r="CK84" s="96"/>
      <c r="CL84" s="96"/>
      <c r="CM84" s="96"/>
      <c r="CN84" s="96"/>
    </row>
    <row r="85" spans="1:92" ht="26.25" customHeight="1">
      <c r="A85" s="156"/>
      <c r="B85" s="96" t="s">
        <v>253</v>
      </c>
      <c r="C85" s="102" t="s">
        <v>1258</v>
      </c>
      <c r="D85" s="185" t="s">
        <v>1259</v>
      </c>
      <c r="E85" s="139"/>
      <c r="F85" s="96" t="s">
        <v>104</v>
      </c>
      <c r="G85" s="102" t="s">
        <v>1260</v>
      </c>
      <c r="H85" s="96" t="s">
        <v>1261</v>
      </c>
      <c r="I85" s="185" t="s">
        <v>1262</v>
      </c>
      <c r="J85" s="139"/>
      <c r="K85" s="139"/>
      <c r="L85" s="139" t="s">
        <v>1263</v>
      </c>
      <c r="M85" s="96">
        <v>51.162797960163402</v>
      </c>
      <c r="N85" s="96">
        <v>-4.2138631460140701</v>
      </c>
      <c r="O85" s="96"/>
      <c r="P85" s="96" t="s">
        <v>214</v>
      </c>
      <c r="Q85" s="105" t="b">
        <v>1</v>
      </c>
      <c r="R85" s="181">
        <v>0</v>
      </c>
      <c r="S85" s="182">
        <v>1</v>
      </c>
      <c r="T85" s="150" t="s">
        <v>215</v>
      </c>
      <c r="U85" s="150" t="s">
        <v>215</v>
      </c>
      <c r="V85" s="150" t="s">
        <v>215</v>
      </c>
      <c r="W85" s="150" t="s">
        <v>215</v>
      </c>
      <c r="X85" s="150" t="s">
        <v>215</v>
      </c>
      <c r="Y85" s="150" t="s">
        <v>215</v>
      </c>
      <c r="Z85" s="150" t="s">
        <v>215</v>
      </c>
      <c r="AA85" s="150" t="s">
        <v>215</v>
      </c>
      <c r="AB85" s="150" t="s">
        <v>215</v>
      </c>
      <c r="AC85" s="150" t="s">
        <v>215</v>
      </c>
      <c r="AD85" s="150" t="s">
        <v>215</v>
      </c>
      <c r="AE85" s="150" t="s">
        <v>215</v>
      </c>
      <c r="AF85" s="150" t="s">
        <v>215</v>
      </c>
      <c r="AG85" s="150" t="s">
        <v>215</v>
      </c>
      <c r="AH85" s="96" t="s">
        <v>215</v>
      </c>
      <c r="AI85" s="96" t="s">
        <v>262</v>
      </c>
      <c r="AJ85" s="105" t="b">
        <v>0</v>
      </c>
      <c r="AK85" s="96"/>
      <c r="AL85" s="96" t="s">
        <v>217</v>
      </c>
      <c r="AM85" s="96"/>
      <c r="AN85" s="102" t="s">
        <v>215</v>
      </c>
      <c r="AO85" s="188" t="s">
        <v>215</v>
      </c>
      <c r="AP85" s="188" t="s">
        <v>215</v>
      </c>
      <c r="AQ85" s="188" t="s">
        <v>215</v>
      </c>
      <c r="AR85" s="102" t="s">
        <v>215</v>
      </c>
      <c r="AS85" s="188" t="s">
        <v>215</v>
      </c>
      <c r="AT85" s="102" t="s">
        <v>215</v>
      </c>
      <c r="AU85" s="188" t="s">
        <v>215</v>
      </c>
      <c r="AV85" s="188" t="s">
        <v>215</v>
      </c>
      <c r="AW85" s="188" t="s">
        <v>215</v>
      </c>
      <c r="AX85" s="102" t="s">
        <v>215</v>
      </c>
      <c r="AY85" s="188" t="s">
        <v>215</v>
      </c>
      <c r="AZ85" s="102" t="s">
        <v>215</v>
      </c>
      <c r="BA85" s="188" t="s">
        <v>215</v>
      </c>
      <c r="BB85" s="96" t="s">
        <v>1264</v>
      </c>
      <c r="BC85" s="96" t="s">
        <v>1265</v>
      </c>
      <c r="BD85" s="96" t="s">
        <v>265</v>
      </c>
      <c r="BE85" s="96" t="s">
        <v>1266</v>
      </c>
      <c r="BF85" s="96" t="s">
        <v>284</v>
      </c>
      <c r="BG85" s="105" t="b">
        <v>1</v>
      </c>
      <c r="BH85" s="105" t="b">
        <v>1</v>
      </c>
      <c r="BI85" s="105" t="b">
        <v>1</v>
      </c>
      <c r="BJ85" s="105" t="b">
        <v>1</v>
      </c>
      <c r="BK85" s="105" t="b">
        <v>1</v>
      </c>
      <c r="BL85" s="105" t="b">
        <v>1</v>
      </c>
      <c r="BM85" s="105" t="b">
        <v>1</v>
      </c>
      <c r="BN85" s="96" t="s">
        <v>223</v>
      </c>
      <c r="BO85" s="96" t="s">
        <v>1132</v>
      </c>
      <c r="BP85" s="96" t="s">
        <v>918</v>
      </c>
      <c r="BQ85" s="102" t="s">
        <v>1267</v>
      </c>
      <c r="BR85" s="96"/>
      <c r="BS85" s="96"/>
      <c r="BT85" s="96" t="s">
        <v>1268</v>
      </c>
      <c r="BU85" s="96" t="s">
        <v>1269</v>
      </c>
      <c r="BV85" s="102" t="s">
        <v>1270</v>
      </c>
      <c r="BW85" s="96" t="s">
        <v>273</v>
      </c>
      <c r="BX85" s="96"/>
      <c r="BY85" s="96"/>
      <c r="BZ85" s="96"/>
      <c r="CA85" s="96"/>
      <c r="CB85" s="96"/>
      <c r="CC85" s="96"/>
      <c r="CD85" s="96"/>
      <c r="CE85" s="96"/>
      <c r="CF85" s="96"/>
      <c r="CG85" s="96"/>
      <c r="CH85" s="96"/>
      <c r="CI85" s="105" t="b">
        <v>1</v>
      </c>
      <c r="CJ85" s="96"/>
      <c r="CK85" s="96"/>
      <c r="CL85" s="96"/>
      <c r="CM85" s="96"/>
      <c r="CN85" s="96"/>
    </row>
    <row r="86" spans="1:92" ht="26.25" customHeight="1">
      <c r="A86" s="96"/>
      <c r="B86" s="96" t="s">
        <v>441</v>
      </c>
      <c r="C86" s="96" t="s">
        <v>1271</v>
      </c>
      <c r="D86" s="185" t="s">
        <v>1272</v>
      </c>
      <c r="E86" s="139"/>
      <c r="F86" s="96"/>
      <c r="G86" s="102" t="s">
        <v>1273</v>
      </c>
      <c r="H86" s="102" t="s">
        <v>1274</v>
      </c>
      <c r="I86" s="185" t="s">
        <v>1275</v>
      </c>
      <c r="J86" s="185" t="s">
        <v>259</v>
      </c>
      <c r="K86" s="139"/>
      <c r="L86" s="185" t="s">
        <v>989</v>
      </c>
      <c r="M86" s="96">
        <v>50.612228075683703</v>
      </c>
      <c r="N86" s="96">
        <v>-3.40785770227986</v>
      </c>
      <c r="O86" s="96"/>
      <c r="P86" s="96" t="s">
        <v>214</v>
      </c>
      <c r="Q86" s="105" t="b">
        <v>1</v>
      </c>
      <c r="R86" s="181">
        <v>0.375</v>
      </c>
      <c r="S86" s="181">
        <v>0.70833333333333337</v>
      </c>
      <c r="T86" s="150"/>
      <c r="U86" s="150"/>
      <c r="V86" s="150"/>
      <c r="W86" s="150"/>
      <c r="X86" s="150"/>
      <c r="Y86" s="150"/>
      <c r="Z86" s="150"/>
      <c r="AA86" s="150"/>
      <c r="AB86" s="150"/>
      <c r="AC86" s="150"/>
      <c r="AD86" s="150"/>
      <c r="AE86" s="150"/>
      <c r="AF86" s="150"/>
      <c r="AG86" s="150"/>
      <c r="AH86" s="96"/>
      <c r="AI86" s="96"/>
      <c r="AJ86" s="105" t="b">
        <v>0</v>
      </c>
      <c r="AK86" s="105" t="b">
        <v>0</v>
      </c>
      <c r="AL86" s="96" t="s">
        <v>217</v>
      </c>
      <c r="AM86" s="96"/>
      <c r="AN86" s="102" t="s">
        <v>215</v>
      </c>
      <c r="AO86" s="188" t="s">
        <v>215</v>
      </c>
      <c r="AP86" s="188" t="s">
        <v>215</v>
      </c>
      <c r="AQ86" s="188" t="s">
        <v>215</v>
      </c>
      <c r="AR86" s="102" t="s">
        <v>215</v>
      </c>
      <c r="AS86" s="188" t="s">
        <v>215</v>
      </c>
      <c r="AT86" s="102" t="s">
        <v>215</v>
      </c>
      <c r="AU86" s="188" t="s">
        <v>215</v>
      </c>
      <c r="AV86" s="188" t="s">
        <v>215</v>
      </c>
      <c r="AW86" s="188" t="s">
        <v>215</v>
      </c>
      <c r="AX86" s="102" t="s">
        <v>215</v>
      </c>
      <c r="AY86" s="188" t="s">
        <v>215</v>
      </c>
      <c r="AZ86" s="102" t="s">
        <v>215</v>
      </c>
      <c r="BA86" s="188" t="s">
        <v>215</v>
      </c>
      <c r="BB86" s="96" t="s">
        <v>218</v>
      </c>
      <c r="BC86" s="96"/>
      <c r="BD86" s="96" t="s">
        <v>265</v>
      </c>
      <c r="BE86" s="96" t="s">
        <v>1276</v>
      </c>
      <c r="BF86" s="96"/>
      <c r="BG86" s="105" t="b">
        <v>1</v>
      </c>
      <c r="BH86" s="105" t="b">
        <v>1</v>
      </c>
      <c r="BI86" s="105" t="b">
        <v>1</v>
      </c>
      <c r="BJ86" s="105" t="b">
        <v>1</v>
      </c>
      <c r="BK86" s="105" t="b">
        <v>1</v>
      </c>
      <c r="BL86" s="105" t="b">
        <v>1</v>
      </c>
      <c r="BM86" s="105" t="b">
        <v>1</v>
      </c>
      <c r="BN86" s="96" t="s">
        <v>223</v>
      </c>
      <c r="BO86" s="96" t="s">
        <v>623</v>
      </c>
      <c r="BP86" s="96" t="s">
        <v>794</v>
      </c>
      <c r="BQ86" s="102" t="s">
        <v>1277</v>
      </c>
      <c r="BR86" s="96"/>
      <c r="BS86" s="96"/>
      <c r="BT86" s="96" t="s">
        <v>1278</v>
      </c>
      <c r="BU86" s="96"/>
      <c r="BV86" s="96" t="s">
        <v>1279</v>
      </c>
      <c r="BW86" s="96" t="s">
        <v>252</v>
      </c>
      <c r="BX86" s="96"/>
      <c r="BY86" s="96"/>
      <c r="BZ86" s="96"/>
      <c r="CA86" s="96"/>
      <c r="CB86" s="96"/>
      <c r="CC86" s="96"/>
      <c r="CD86" s="96"/>
      <c r="CE86" s="96"/>
      <c r="CF86" s="96"/>
      <c r="CG86" s="96"/>
      <c r="CH86" s="96"/>
      <c r="CI86" s="105" t="b">
        <v>1</v>
      </c>
      <c r="CJ86" s="96"/>
      <c r="CK86" s="96"/>
      <c r="CL86" s="96"/>
      <c r="CM86" s="96"/>
      <c r="CN86" s="96"/>
    </row>
    <row r="87" spans="1:92" ht="26.25" customHeight="1">
      <c r="A87" s="96"/>
      <c r="B87" s="96" t="s">
        <v>1280</v>
      </c>
      <c r="C87" s="96" t="s">
        <v>1281</v>
      </c>
      <c r="D87" s="185" t="s">
        <v>1282</v>
      </c>
      <c r="E87" s="139"/>
      <c r="F87" s="96"/>
      <c r="G87" s="96" t="s">
        <v>1283</v>
      </c>
      <c r="H87" s="102" t="s">
        <v>987</v>
      </c>
      <c r="I87" s="139" t="s">
        <v>1284</v>
      </c>
      <c r="J87" s="185" t="s">
        <v>259</v>
      </c>
      <c r="K87" s="139"/>
      <c r="L87" s="185" t="s">
        <v>989</v>
      </c>
      <c r="M87" s="96">
        <v>50.612228075683703</v>
      </c>
      <c r="N87" s="96">
        <v>-3.40785770227986</v>
      </c>
      <c r="O87" s="96"/>
      <c r="P87" s="96" t="s">
        <v>214</v>
      </c>
      <c r="Q87" s="105" t="b">
        <v>1</v>
      </c>
      <c r="R87" s="181">
        <v>0.375</v>
      </c>
      <c r="S87" s="181">
        <v>0.91666666666666663</v>
      </c>
      <c r="T87" s="150"/>
      <c r="U87" s="150"/>
      <c r="V87" s="150"/>
      <c r="W87" s="150"/>
      <c r="X87" s="150"/>
      <c r="Y87" s="150"/>
      <c r="Z87" s="150"/>
      <c r="AA87" s="150"/>
      <c r="AB87" s="150"/>
      <c r="AC87" s="150"/>
      <c r="AD87" s="150"/>
      <c r="AE87" s="150"/>
      <c r="AF87" s="150"/>
      <c r="AG87" s="150"/>
      <c r="AH87" s="96"/>
      <c r="AI87" s="96"/>
      <c r="AJ87" s="105" t="b">
        <v>0</v>
      </c>
      <c r="AK87" s="105" t="b">
        <v>0</v>
      </c>
      <c r="AL87" s="96" t="s">
        <v>217</v>
      </c>
      <c r="AM87" s="96"/>
      <c r="AN87" s="102" t="s">
        <v>215</v>
      </c>
      <c r="AO87" s="188" t="s">
        <v>215</v>
      </c>
      <c r="AP87" s="188" t="s">
        <v>215</v>
      </c>
      <c r="AQ87" s="188" t="s">
        <v>215</v>
      </c>
      <c r="AR87" s="102" t="s">
        <v>215</v>
      </c>
      <c r="AS87" s="188" t="s">
        <v>215</v>
      </c>
      <c r="AT87" s="102" t="s">
        <v>215</v>
      </c>
      <c r="AU87" s="188" t="s">
        <v>215</v>
      </c>
      <c r="AV87" s="188" t="s">
        <v>215</v>
      </c>
      <c r="AW87" s="188" t="s">
        <v>215</v>
      </c>
      <c r="AX87" s="102" t="s">
        <v>215</v>
      </c>
      <c r="AY87" s="188" t="s">
        <v>215</v>
      </c>
      <c r="AZ87" s="102" t="s">
        <v>215</v>
      </c>
      <c r="BA87" s="188" t="s">
        <v>215</v>
      </c>
      <c r="BB87" s="96" t="s">
        <v>218</v>
      </c>
      <c r="BC87" s="96" t="s">
        <v>1084</v>
      </c>
      <c r="BD87" s="96" t="s">
        <v>1285</v>
      </c>
      <c r="BE87" s="96" t="s">
        <v>1286</v>
      </c>
      <c r="BF87" s="96"/>
      <c r="BG87" s="105" t="b">
        <v>1</v>
      </c>
      <c r="BH87" s="105" t="b">
        <v>1</v>
      </c>
      <c r="BI87" s="105" t="b">
        <v>1</v>
      </c>
      <c r="BJ87" s="105" t="b">
        <v>1</v>
      </c>
      <c r="BK87" s="105" t="b">
        <v>1</v>
      </c>
      <c r="BL87" s="105" t="b">
        <v>1</v>
      </c>
      <c r="BM87" s="105" t="b">
        <v>1</v>
      </c>
      <c r="BN87" s="96" t="s">
        <v>223</v>
      </c>
      <c r="BO87" s="96" t="s">
        <v>1287</v>
      </c>
      <c r="BP87" s="96" t="s">
        <v>322</v>
      </c>
      <c r="BQ87" s="102" t="s">
        <v>1288</v>
      </c>
      <c r="BR87" s="96"/>
      <c r="BS87" s="96"/>
      <c r="BT87" s="96" t="s">
        <v>1289</v>
      </c>
      <c r="BU87" s="96"/>
      <c r="BV87" s="96" t="s">
        <v>1290</v>
      </c>
      <c r="BW87" s="96" t="s">
        <v>252</v>
      </c>
      <c r="BX87" s="96"/>
      <c r="BY87" s="96"/>
      <c r="BZ87" s="96"/>
      <c r="CA87" s="96"/>
      <c r="CB87" s="96"/>
      <c r="CC87" s="96"/>
      <c r="CD87" s="96"/>
      <c r="CE87" s="96"/>
      <c r="CF87" s="96"/>
      <c r="CG87" s="96"/>
      <c r="CH87" s="96"/>
      <c r="CI87" s="105" t="b">
        <v>1</v>
      </c>
      <c r="CJ87" s="96"/>
      <c r="CK87" s="96"/>
      <c r="CL87" s="96"/>
      <c r="CM87" s="96"/>
      <c r="CN87" s="96"/>
    </row>
    <row r="88" spans="1:92" ht="26.25" customHeight="1">
      <c r="A88" s="96"/>
      <c r="B88" s="96" t="s">
        <v>374</v>
      </c>
      <c r="C88" s="96" t="s">
        <v>375</v>
      </c>
      <c r="D88" s="185" t="s">
        <v>980</v>
      </c>
      <c r="E88" s="139"/>
      <c r="F88" s="96" t="s">
        <v>1291</v>
      </c>
      <c r="G88" s="102" t="s">
        <v>981</v>
      </c>
      <c r="H88" s="102" t="s">
        <v>967</v>
      </c>
      <c r="I88" s="185" t="s">
        <v>969</v>
      </c>
      <c r="J88" s="185" t="s">
        <v>259</v>
      </c>
      <c r="K88" s="139"/>
      <c r="L88" s="185" t="s">
        <v>895</v>
      </c>
      <c r="M88" s="96">
        <v>50.625946607938602</v>
      </c>
      <c r="N88" s="96">
        <v>-3.4035372967128801</v>
      </c>
      <c r="O88" s="96"/>
      <c r="P88" s="96" t="s">
        <v>214</v>
      </c>
      <c r="Q88" s="105" t="b">
        <v>1</v>
      </c>
      <c r="R88" s="181">
        <v>0</v>
      </c>
      <c r="S88" s="182">
        <v>1</v>
      </c>
      <c r="T88" s="150" t="s">
        <v>215</v>
      </c>
      <c r="U88" s="150" t="s">
        <v>215</v>
      </c>
      <c r="V88" s="150" t="s">
        <v>215</v>
      </c>
      <c r="W88" s="150" t="s">
        <v>215</v>
      </c>
      <c r="X88" s="150" t="s">
        <v>215</v>
      </c>
      <c r="Y88" s="150" t="s">
        <v>215</v>
      </c>
      <c r="Z88" s="150" t="s">
        <v>215</v>
      </c>
      <c r="AA88" s="150" t="s">
        <v>215</v>
      </c>
      <c r="AB88" s="150" t="s">
        <v>215</v>
      </c>
      <c r="AC88" s="150" t="s">
        <v>215</v>
      </c>
      <c r="AD88" s="150" t="s">
        <v>215</v>
      </c>
      <c r="AE88" s="150" t="s">
        <v>215</v>
      </c>
      <c r="AF88" s="150" t="s">
        <v>215</v>
      </c>
      <c r="AG88" s="150" t="s">
        <v>215</v>
      </c>
      <c r="AH88" s="96" t="s">
        <v>215</v>
      </c>
      <c r="AI88" s="96" t="s">
        <v>262</v>
      </c>
      <c r="AJ88" s="105" t="b">
        <v>0</v>
      </c>
      <c r="AK88" s="105" t="b">
        <v>0</v>
      </c>
      <c r="AL88" s="96" t="s">
        <v>217</v>
      </c>
      <c r="AM88" s="96"/>
      <c r="AN88" s="102" t="s">
        <v>215</v>
      </c>
      <c r="AO88" s="188" t="s">
        <v>215</v>
      </c>
      <c r="AP88" s="188" t="s">
        <v>215</v>
      </c>
      <c r="AQ88" s="188" t="s">
        <v>215</v>
      </c>
      <c r="AR88" s="102" t="s">
        <v>215</v>
      </c>
      <c r="AS88" s="188" t="s">
        <v>215</v>
      </c>
      <c r="AT88" s="102" t="s">
        <v>215</v>
      </c>
      <c r="AU88" s="188" t="s">
        <v>215</v>
      </c>
      <c r="AV88" s="188" t="s">
        <v>215</v>
      </c>
      <c r="AW88" s="188" t="s">
        <v>215</v>
      </c>
      <c r="AX88" s="102" t="s">
        <v>215</v>
      </c>
      <c r="AY88" s="188" t="s">
        <v>215</v>
      </c>
      <c r="AZ88" s="102" t="s">
        <v>215</v>
      </c>
      <c r="BA88" s="188" t="s">
        <v>215</v>
      </c>
      <c r="BB88" s="96" t="s">
        <v>416</v>
      </c>
      <c r="BC88" s="96" t="s">
        <v>681</v>
      </c>
      <c r="BD88" s="96"/>
      <c r="BE88" s="96" t="s">
        <v>359</v>
      </c>
      <c r="BF88" s="96"/>
      <c r="BG88" s="105" t="b">
        <v>0</v>
      </c>
      <c r="BH88" s="105" t="b">
        <v>0</v>
      </c>
      <c r="BI88" s="105" t="b">
        <v>0</v>
      </c>
      <c r="BJ88" s="105" t="b">
        <v>1</v>
      </c>
      <c r="BK88" s="105" t="b">
        <v>1</v>
      </c>
      <c r="BL88" s="105" t="b">
        <v>1</v>
      </c>
      <c r="BM88" s="105" t="b">
        <v>1</v>
      </c>
      <c r="BN88" s="96" t="s">
        <v>223</v>
      </c>
      <c r="BO88" s="96" t="s">
        <v>623</v>
      </c>
      <c r="BP88" s="96" t="s">
        <v>1034</v>
      </c>
      <c r="BQ88" s="102" t="s">
        <v>380</v>
      </c>
      <c r="BR88" s="96"/>
      <c r="BS88" s="96"/>
      <c r="BT88" s="96" t="s">
        <v>1292</v>
      </c>
      <c r="BU88" s="96"/>
      <c r="BV88" s="102" t="s">
        <v>983</v>
      </c>
      <c r="BW88" s="96" t="s">
        <v>252</v>
      </c>
      <c r="BX88" s="96"/>
      <c r="BY88" s="96"/>
      <c r="BZ88" s="96"/>
      <c r="CA88" s="96"/>
      <c r="CB88" s="96"/>
      <c r="CC88" s="96"/>
      <c r="CD88" s="96"/>
      <c r="CE88" s="96"/>
      <c r="CF88" s="96"/>
      <c r="CG88" s="96"/>
      <c r="CH88" s="105" t="b">
        <v>0</v>
      </c>
      <c r="CI88" s="105" t="b">
        <v>1</v>
      </c>
      <c r="CJ88" s="105" t="b">
        <v>0</v>
      </c>
      <c r="CK88" s="96"/>
      <c r="CL88" s="96"/>
      <c r="CM88" s="96"/>
      <c r="CN88" s="96"/>
    </row>
    <row r="89" spans="1:92" ht="26.25" customHeight="1">
      <c r="A89" s="96"/>
      <c r="B89" s="96" t="s">
        <v>758</v>
      </c>
      <c r="C89" s="96" t="s">
        <v>1293</v>
      </c>
      <c r="D89" s="185" t="s">
        <v>1294</v>
      </c>
      <c r="E89" s="139"/>
      <c r="F89" s="96" t="s">
        <v>104</v>
      </c>
      <c r="G89" s="102" t="s">
        <v>1295</v>
      </c>
      <c r="H89" s="102" t="s">
        <v>1296</v>
      </c>
      <c r="I89" s="185" t="s">
        <v>1297</v>
      </c>
      <c r="J89" s="185" t="s">
        <v>212</v>
      </c>
      <c r="K89" s="139"/>
      <c r="L89" s="185" t="s">
        <v>1298</v>
      </c>
      <c r="M89" s="96">
        <v>50.706351262223102</v>
      </c>
      <c r="N89" s="96">
        <v>-3.5296797599485399</v>
      </c>
      <c r="O89" s="96"/>
      <c r="P89" s="96" t="s">
        <v>1299</v>
      </c>
      <c r="Q89" s="96"/>
      <c r="R89" s="96" t="s">
        <v>215</v>
      </c>
      <c r="S89" s="96" t="s">
        <v>215</v>
      </c>
      <c r="T89" s="181">
        <v>0.375</v>
      </c>
      <c r="U89" s="181">
        <v>0.75</v>
      </c>
      <c r="V89" s="181">
        <v>0.375</v>
      </c>
      <c r="W89" s="181">
        <v>0.75</v>
      </c>
      <c r="X89" s="181">
        <v>0.375</v>
      </c>
      <c r="Y89" s="181">
        <v>0.75</v>
      </c>
      <c r="Z89" s="181">
        <v>0.375</v>
      </c>
      <c r="AA89" s="181">
        <v>0.75</v>
      </c>
      <c r="AB89" s="181">
        <v>0.375</v>
      </c>
      <c r="AC89" s="181">
        <v>0.79166666666666663</v>
      </c>
      <c r="AD89" s="181">
        <v>0.375</v>
      </c>
      <c r="AE89" s="181">
        <v>0.79166666666666663</v>
      </c>
      <c r="AF89" s="181">
        <v>0.375</v>
      </c>
      <c r="AG89" s="181">
        <v>0.70833333333333337</v>
      </c>
      <c r="AH89" s="96"/>
      <c r="AI89" s="96"/>
      <c r="AJ89" s="105" t="b">
        <v>1</v>
      </c>
      <c r="AK89" s="105" t="b">
        <v>1</v>
      </c>
      <c r="AL89" s="96" t="s">
        <v>410</v>
      </c>
      <c r="AM89" s="96"/>
      <c r="AN89" s="96"/>
      <c r="AO89" s="106"/>
      <c r="AP89" s="106"/>
      <c r="AQ89" s="106"/>
      <c r="AR89" s="102" t="s">
        <v>337</v>
      </c>
      <c r="AS89" s="187">
        <v>5.95</v>
      </c>
      <c r="AT89" s="102" t="s">
        <v>338</v>
      </c>
      <c r="AU89" s="187">
        <v>12.95</v>
      </c>
      <c r="AV89" s="188" t="s">
        <v>339</v>
      </c>
      <c r="AW89" s="187">
        <v>12.95</v>
      </c>
      <c r="AX89" s="102" t="s">
        <v>215</v>
      </c>
      <c r="AY89" s="188" t="s">
        <v>215</v>
      </c>
      <c r="AZ89" s="102" t="s">
        <v>215</v>
      </c>
      <c r="BA89" s="188" t="s">
        <v>215</v>
      </c>
      <c r="BB89" s="96" t="s">
        <v>416</v>
      </c>
      <c r="BC89" s="96" t="s">
        <v>577</v>
      </c>
      <c r="BD89" s="96" t="s">
        <v>822</v>
      </c>
      <c r="BE89" s="96" t="s">
        <v>465</v>
      </c>
      <c r="BF89" s="96"/>
      <c r="BG89" s="105" t="b">
        <v>0</v>
      </c>
      <c r="BH89" s="105" t="b">
        <v>0</v>
      </c>
      <c r="BI89" s="105" t="b">
        <v>0</v>
      </c>
      <c r="BJ89" s="105" t="b">
        <v>1</v>
      </c>
      <c r="BK89" s="105" t="b">
        <v>1</v>
      </c>
      <c r="BL89" s="105" t="b">
        <v>1</v>
      </c>
      <c r="BM89" s="96"/>
      <c r="BN89" s="96" t="s">
        <v>244</v>
      </c>
      <c r="BO89" s="96" t="s">
        <v>1300</v>
      </c>
      <c r="BP89" s="96" t="s">
        <v>451</v>
      </c>
      <c r="BQ89" s="102" t="s">
        <v>1301</v>
      </c>
      <c r="BR89" s="96"/>
      <c r="BS89" s="96"/>
      <c r="BT89" s="96" t="s">
        <v>1302</v>
      </c>
      <c r="BU89" s="96" t="s">
        <v>1303</v>
      </c>
      <c r="BV89" s="102" t="s">
        <v>1304</v>
      </c>
      <c r="BW89" s="96" t="s">
        <v>1305</v>
      </c>
      <c r="BX89" s="96"/>
      <c r="BY89" s="96"/>
      <c r="BZ89" s="96"/>
      <c r="CA89" s="96"/>
      <c r="CB89" s="96"/>
      <c r="CC89" s="96"/>
      <c r="CD89" s="96"/>
      <c r="CE89" s="96"/>
      <c r="CF89" s="96"/>
      <c r="CG89" s="96"/>
      <c r="CH89" s="96"/>
      <c r="CI89" s="105" t="b">
        <v>1</v>
      </c>
      <c r="CJ89" s="96"/>
      <c r="CK89" s="96"/>
      <c r="CL89" s="96"/>
      <c r="CM89" s="96"/>
      <c r="CN89" s="96"/>
    </row>
    <row r="90" spans="1:92" ht="26.25" customHeight="1">
      <c r="A90" s="156"/>
      <c r="B90" s="96" t="s">
        <v>441</v>
      </c>
      <c r="C90" s="96" t="s">
        <v>1271</v>
      </c>
      <c r="D90" s="185" t="s">
        <v>1306</v>
      </c>
      <c r="E90" s="139"/>
      <c r="F90" s="96" t="s">
        <v>105</v>
      </c>
      <c r="G90" s="102" t="s">
        <v>1307</v>
      </c>
      <c r="H90" s="96" t="s">
        <v>1308</v>
      </c>
      <c r="I90" s="185" t="s">
        <v>1309</v>
      </c>
      <c r="J90" s="185" t="s">
        <v>259</v>
      </c>
      <c r="K90" s="139"/>
      <c r="L90" s="185" t="s">
        <v>1310</v>
      </c>
      <c r="M90" s="96">
        <v>50.617741508400002</v>
      </c>
      <c r="N90" s="96">
        <v>-3.4147754255517802</v>
      </c>
      <c r="O90" s="96"/>
      <c r="P90" s="96" t="s">
        <v>214</v>
      </c>
      <c r="Q90" s="96" t="b">
        <v>1</v>
      </c>
      <c r="R90" s="181">
        <v>0.375</v>
      </c>
      <c r="S90" s="181">
        <v>0.66666666666666663</v>
      </c>
      <c r="T90" s="150" t="s">
        <v>215</v>
      </c>
      <c r="U90" s="150" t="s">
        <v>215</v>
      </c>
      <c r="V90" s="150" t="s">
        <v>215</v>
      </c>
      <c r="W90" s="150" t="s">
        <v>215</v>
      </c>
      <c r="X90" s="150" t="s">
        <v>215</v>
      </c>
      <c r="Y90" s="150" t="s">
        <v>215</v>
      </c>
      <c r="Z90" s="150" t="s">
        <v>215</v>
      </c>
      <c r="AA90" s="150" t="s">
        <v>215</v>
      </c>
      <c r="AB90" s="150" t="s">
        <v>215</v>
      </c>
      <c r="AC90" s="150" t="s">
        <v>215</v>
      </c>
      <c r="AD90" s="150" t="s">
        <v>215</v>
      </c>
      <c r="AE90" s="150" t="s">
        <v>215</v>
      </c>
      <c r="AF90" s="150" t="s">
        <v>215</v>
      </c>
      <c r="AG90" s="150" t="s">
        <v>215</v>
      </c>
      <c r="AH90" s="96" t="s">
        <v>1311</v>
      </c>
      <c r="AI90" s="96"/>
      <c r="AJ90" s="105" t="b">
        <v>0</v>
      </c>
      <c r="AK90" s="105" t="b">
        <v>0</v>
      </c>
      <c r="AL90" s="96" t="s">
        <v>217</v>
      </c>
      <c r="AM90" s="96"/>
      <c r="AN90" s="102" t="s">
        <v>215</v>
      </c>
      <c r="AO90" s="188" t="s">
        <v>215</v>
      </c>
      <c r="AP90" s="188" t="s">
        <v>215</v>
      </c>
      <c r="AQ90" s="188" t="s">
        <v>215</v>
      </c>
      <c r="AR90" s="102" t="s">
        <v>215</v>
      </c>
      <c r="AS90" s="188" t="s">
        <v>215</v>
      </c>
      <c r="AT90" s="102" t="s">
        <v>215</v>
      </c>
      <c r="AU90" s="188" t="s">
        <v>215</v>
      </c>
      <c r="AV90" s="188" t="s">
        <v>215</v>
      </c>
      <c r="AW90" s="188" t="s">
        <v>215</v>
      </c>
      <c r="AX90" s="102" t="s">
        <v>215</v>
      </c>
      <c r="AY90" s="188" t="s">
        <v>215</v>
      </c>
      <c r="AZ90" s="102" t="s">
        <v>215</v>
      </c>
      <c r="BA90" s="188" t="s">
        <v>215</v>
      </c>
      <c r="BB90" s="96" t="s">
        <v>263</v>
      </c>
      <c r="BC90" s="96" t="s">
        <v>1312</v>
      </c>
      <c r="BD90" s="96"/>
      <c r="BE90" s="96" t="s">
        <v>1313</v>
      </c>
      <c r="BF90" s="96" t="s">
        <v>284</v>
      </c>
      <c r="BG90" s="105" t="b">
        <v>1</v>
      </c>
      <c r="BH90" s="105" t="b">
        <v>1</v>
      </c>
      <c r="BI90" s="105" t="b">
        <v>1</v>
      </c>
      <c r="BJ90" s="105" t="b">
        <v>1</v>
      </c>
      <c r="BK90" s="105" t="b">
        <v>1</v>
      </c>
      <c r="BL90" s="105" t="b">
        <v>1</v>
      </c>
      <c r="BM90" s="105" t="b">
        <v>1</v>
      </c>
      <c r="BN90" s="96" t="s">
        <v>244</v>
      </c>
      <c r="BO90" s="96" t="s">
        <v>1314</v>
      </c>
      <c r="BP90" s="96" t="s">
        <v>509</v>
      </c>
      <c r="BQ90" s="102" t="s">
        <v>1315</v>
      </c>
      <c r="BR90" s="96"/>
      <c r="BS90" s="96"/>
      <c r="BT90" s="96" t="s">
        <v>1316</v>
      </c>
      <c r="BU90" s="96"/>
      <c r="BV90" s="102" t="s">
        <v>1317</v>
      </c>
      <c r="BW90" s="96" t="s">
        <v>252</v>
      </c>
      <c r="BX90" s="96"/>
      <c r="BY90" s="96"/>
      <c r="BZ90" s="96"/>
      <c r="CA90" s="96"/>
      <c r="CB90" s="96"/>
      <c r="CC90" s="96"/>
      <c r="CD90" s="96"/>
      <c r="CE90" s="96"/>
      <c r="CF90" s="96"/>
      <c r="CG90" s="96"/>
      <c r="CH90" s="96"/>
      <c r="CI90" s="105" t="b">
        <v>1</v>
      </c>
      <c r="CJ90" s="96"/>
      <c r="CK90" s="96"/>
      <c r="CL90" s="96"/>
      <c r="CM90" s="96"/>
      <c r="CN90" s="96"/>
    </row>
    <row r="91" spans="1:92" ht="26.25" customHeight="1">
      <c r="A91" s="156"/>
      <c r="B91" s="96" t="s">
        <v>205</v>
      </c>
      <c r="C91" s="102" t="s">
        <v>1318</v>
      </c>
      <c r="D91" s="138" t="s">
        <v>1319</v>
      </c>
      <c r="E91" s="139"/>
      <c r="F91" s="96" t="s">
        <v>105</v>
      </c>
      <c r="G91" s="102" t="s">
        <v>1320</v>
      </c>
      <c r="H91" s="96" t="s">
        <v>1308</v>
      </c>
      <c r="I91" s="185" t="s">
        <v>1309</v>
      </c>
      <c r="J91" s="185" t="s">
        <v>259</v>
      </c>
      <c r="K91" s="139"/>
      <c r="L91" s="185" t="s">
        <v>1310</v>
      </c>
      <c r="M91" s="96">
        <v>50.617741508400002</v>
      </c>
      <c r="N91" s="96">
        <v>-3.4147754255517802</v>
      </c>
      <c r="O91" s="96"/>
      <c r="P91" s="96" t="s">
        <v>214</v>
      </c>
      <c r="Q91" s="105" t="b">
        <v>1</v>
      </c>
      <c r="R91" s="181">
        <v>0.33333333333333331</v>
      </c>
      <c r="S91" s="181">
        <v>0.79166666666666663</v>
      </c>
      <c r="T91" s="150" t="s">
        <v>215</v>
      </c>
      <c r="U91" s="150" t="s">
        <v>215</v>
      </c>
      <c r="V91" s="150" t="s">
        <v>215</v>
      </c>
      <c r="W91" s="150" t="s">
        <v>215</v>
      </c>
      <c r="X91" s="150" t="s">
        <v>215</v>
      </c>
      <c r="Y91" s="150" t="s">
        <v>215</v>
      </c>
      <c r="Z91" s="150" t="s">
        <v>215</v>
      </c>
      <c r="AA91" s="150" t="s">
        <v>215</v>
      </c>
      <c r="AB91" s="150" t="s">
        <v>215</v>
      </c>
      <c r="AC91" s="150" t="s">
        <v>215</v>
      </c>
      <c r="AD91" s="150" t="s">
        <v>215</v>
      </c>
      <c r="AE91" s="150" t="s">
        <v>215</v>
      </c>
      <c r="AF91" s="150" t="s">
        <v>215</v>
      </c>
      <c r="AG91" s="150" t="s">
        <v>215</v>
      </c>
      <c r="AH91" s="96"/>
      <c r="AI91" s="96"/>
      <c r="AJ91" s="105" t="b">
        <v>0</v>
      </c>
      <c r="AK91" s="105" t="b">
        <v>0</v>
      </c>
      <c r="AL91" s="96" t="s">
        <v>217</v>
      </c>
      <c r="AM91" s="96"/>
      <c r="AN91" s="102" t="s">
        <v>215</v>
      </c>
      <c r="AO91" s="188" t="s">
        <v>215</v>
      </c>
      <c r="AP91" s="188" t="s">
        <v>215</v>
      </c>
      <c r="AQ91" s="188" t="s">
        <v>215</v>
      </c>
      <c r="AR91" s="102" t="s">
        <v>215</v>
      </c>
      <c r="AS91" s="188" t="s">
        <v>215</v>
      </c>
      <c r="AT91" s="102" t="s">
        <v>215</v>
      </c>
      <c r="AU91" s="188" t="s">
        <v>215</v>
      </c>
      <c r="AV91" s="188" t="s">
        <v>215</v>
      </c>
      <c r="AW91" s="188" t="s">
        <v>215</v>
      </c>
      <c r="AX91" s="102" t="s">
        <v>215</v>
      </c>
      <c r="AY91" s="188" t="s">
        <v>215</v>
      </c>
      <c r="AZ91" s="102" t="s">
        <v>215</v>
      </c>
      <c r="BA91" s="188" t="s">
        <v>215</v>
      </c>
      <c r="BB91" s="96" t="s">
        <v>263</v>
      </c>
      <c r="BC91" s="96" t="s">
        <v>264</v>
      </c>
      <c r="BD91" s="96"/>
      <c r="BE91" s="96" t="s">
        <v>1321</v>
      </c>
      <c r="BF91" s="96" t="s">
        <v>222</v>
      </c>
      <c r="BG91" s="105" t="b">
        <v>1</v>
      </c>
      <c r="BH91" s="105" t="b">
        <v>1</v>
      </c>
      <c r="BI91" s="105" t="b">
        <v>1</v>
      </c>
      <c r="BJ91" s="105" t="b">
        <v>1</v>
      </c>
      <c r="BK91" s="105" t="b">
        <v>1</v>
      </c>
      <c r="BL91" s="105" t="b">
        <v>1</v>
      </c>
      <c r="BM91" s="105" t="b">
        <v>1</v>
      </c>
      <c r="BN91" s="96" t="s">
        <v>223</v>
      </c>
      <c r="BO91" s="96" t="s">
        <v>285</v>
      </c>
      <c r="BP91" s="96" t="s">
        <v>246</v>
      </c>
      <c r="BQ91" s="102" t="s">
        <v>1322</v>
      </c>
      <c r="BR91" s="96"/>
      <c r="BS91" s="96"/>
      <c r="BT91" s="96" t="s">
        <v>1323</v>
      </c>
      <c r="BU91" s="96"/>
      <c r="BV91" s="102" t="s">
        <v>1324</v>
      </c>
      <c r="BW91" s="96" t="s">
        <v>252</v>
      </c>
      <c r="BX91" s="96"/>
      <c r="BY91" s="96"/>
      <c r="BZ91" s="96"/>
      <c r="CA91" s="96"/>
      <c r="CB91" s="96"/>
      <c r="CC91" s="96"/>
      <c r="CD91" s="96"/>
      <c r="CE91" s="96"/>
      <c r="CF91" s="96"/>
      <c r="CG91" s="96"/>
      <c r="CH91" s="105" t="b">
        <v>0</v>
      </c>
      <c r="CI91" s="105" t="b">
        <v>1</v>
      </c>
      <c r="CJ91" s="105" t="b">
        <v>0</v>
      </c>
      <c r="CK91" s="96"/>
      <c r="CL91" s="96"/>
      <c r="CM91" s="96"/>
      <c r="CN91" s="96"/>
    </row>
    <row r="92" spans="1:92" ht="26.25" customHeight="1">
      <c r="A92" s="96"/>
      <c r="B92" s="96" t="s">
        <v>441</v>
      </c>
      <c r="C92" s="102" t="s">
        <v>1325</v>
      </c>
      <c r="D92" s="138" t="s">
        <v>1326</v>
      </c>
      <c r="E92" s="139"/>
      <c r="F92" s="96"/>
      <c r="G92" s="102" t="s">
        <v>1327</v>
      </c>
      <c r="H92" s="96"/>
      <c r="I92" s="185" t="s">
        <v>1328</v>
      </c>
      <c r="J92" s="185" t="s">
        <v>259</v>
      </c>
      <c r="K92" s="139"/>
      <c r="L92" s="185" t="s">
        <v>916</v>
      </c>
      <c r="M92" s="96">
        <v>50.607422666462597</v>
      </c>
      <c r="N92" s="96">
        <v>-3.38513584460721</v>
      </c>
      <c r="O92" s="96"/>
      <c r="P92" s="96" t="s">
        <v>214</v>
      </c>
      <c r="Q92" s="105" t="b">
        <v>1</v>
      </c>
      <c r="R92" s="181">
        <v>0.33333333333333331</v>
      </c>
      <c r="S92" s="181">
        <v>0.66666666666666663</v>
      </c>
      <c r="T92" s="150" t="s">
        <v>215</v>
      </c>
      <c r="U92" s="150" t="s">
        <v>215</v>
      </c>
      <c r="V92" s="150" t="s">
        <v>215</v>
      </c>
      <c r="W92" s="150" t="s">
        <v>215</v>
      </c>
      <c r="X92" s="150" t="s">
        <v>215</v>
      </c>
      <c r="Y92" s="150" t="s">
        <v>215</v>
      </c>
      <c r="Z92" s="150" t="s">
        <v>215</v>
      </c>
      <c r="AA92" s="150" t="s">
        <v>215</v>
      </c>
      <c r="AB92" s="150" t="s">
        <v>215</v>
      </c>
      <c r="AC92" s="150" t="s">
        <v>215</v>
      </c>
      <c r="AD92" s="150" t="s">
        <v>215</v>
      </c>
      <c r="AE92" s="150" t="s">
        <v>215</v>
      </c>
      <c r="AF92" s="150" t="s">
        <v>215</v>
      </c>
      <c r="AG92" s="150" t="s">
        <v>215</v>
      </c>
      <c r="AH92" s="96"/>
      <c r="AI92" s="96"/>
      <c r="AJ92" s="105" t="b">
        <v>0</v>
      </c>
      <c r="AK92" s="105" t="b">
        <v>0</v>
      </c>
      <c r="AL92" s="96" t="s">
        <v>217</v>
      </c>
      <c r="AM92" s="96"/>
      <c r="AN92" s="102" t="s">
        <v>215</v>
      </c>
      <c r="AO92" s="188" t="s">
        <v>215</v>
      </c>
      <c r="AP92" s="188" t="s">
        <v>215</v>
      </c>
      <c r="AQ92" s="188" t="s">
        <v>215</v>
      </c>
      <c r="AR92" s="102" t="s">
        <v>215</v>
      </c>
      <c r="AS92" s="188" t="s">
        <v>215</v>
      </c>
      <c r="AT92" s="102" t="s">
        <v>215</v>
      </c>
      <c r="AU92" s="188" t="s">
        <v>215</v>
      </c>
      <c r="AV92" s="188" t="s">
        <v>215</v>
      </c>
      <c r="AW92" s="188" t="s">
        <v>215</v>
      </c>
      <c r="AX92" s="102" t="s">
        <v>215</v>
      </c>
      <c r="AY92" s="188" t="s">
        <v>215</v>
      </c>
      <c r="AZ92" s="102" t="s">
        <v>215</v>
      </c>
      <c r="BA92" s="188" t="s">
        <v>215</v>
      </c>
      <c r="BB92" s="96" t="s">
        <v>218</v>
      </c>
      <c r="BC92" s="96"/>
      <c r="BD92" s="96" t="s">
        <v>265</v>
      </c>
      <c r="BE92" s="96" t="s">
        <v>1329</v>
      </c>
      <c r="BF92" s="96"/>
      <c r="BG92" s="105" t="b">
        <v>1</v>
      </c>
      <c r="BH92" s="105" t="b">
        <v>1</v>
      </c>
      <c r="BI92" s="105" t="b">
        <v>1</v>
      </c>
      <c r="BJ92" s="105" t="b">
        <v>1</v>
      </c>
      <c r="BK92" s="105" t="b">
        <v>1</v>
      </c>
      <c r="BL92" s="105" t="b">
        <v>1</v>
      </c>
      <c r="BM92" s="105" t="b">
        <v>1</v>
      </c>
      <c r="BN92" s="96" t="s">
        <v>223</v>
      </c>
      <c r="BO92" s="96" t="s">
        <v>285</v>
      </c>
      <c r="BP92" s="96" t="s">
        <v>246</v>
      </c>
      <c r="BQ92" s="102" t="s">
        <v>1330</v>
      </c>
      <c r="BR92" s="96"/>
      <c r="BS92" s="96"/>
      <c r="BT92" s="96" t="s">
        <v>1278</v>
      </c>
      <c r="BU92" s="96"/>
      <c r="BV92" s="102" t="s">
        <v>1331</v>
      </c>
      <c r="BW92" s="96" t="s">
        <v>252</v>
      </c>
      <c r="BX92" s="96"/>
      <c r="BY92" s="96"/>
      <c r="BZ92" s="96"/>
      <c r="CA92" s="96"/>
      <c r="CB92" s="96"/>
      <c r="CC92" s="96"/>
      <c r="CD92" s="96"/>
      <c r="CE92" s="96"/>
      <c r="CF92" s="96"/>
      <c r="CG92" s="96"/>
      <c r="CH92" s="105" t="b">
        <v>0</v>
      </c>
      <c r="CI92" s="105" t="b">
        <v>1</v>
      </c>
      <c r="CJ92" s="105" t="b">
        <v>0</v>
      </c>
      <c r="CK92" s="96"/>
      <c r="CL92" s="96"/>
      <c r="CM92" s="96"/>
      <c r="CN92" s="96"/>
    </row>
    <row r="93" spans="1:92" ht="26.25" customHeight="1">
      <c r="A93" s="96"/>
      <c r="B93" s="96" t="s">
        <v>441</v>
      </c>
      <c r="C93" s="96" t="s">
        <v>1271</v>
      </c>
      <c r="D93" s="185" t="s">
        <v>1332</v>
      </c>
      <c r="E93" s="139"/>
      <c r="F93" s="96"/>
      <c r="G93" s="102" t="s">
        <v>1333</v>
      </c>
      <c r="H93" s="96"/>
      <c r="I93" s="139" t="s">
        <v>988</v>
      </c>
      <c r="J93" s="139" t="s">
        <v>259</v>
      </c>
      <c r="K93" s="139"/>
      <c r="L93" s="139" t="s">
        <v>260</v>
      </c>
      <c r="M93" s="96">
        <v>50.613220727083799</v>
      </c>
      <c r="N93" s="96">
        <v>-3.4096685345569702</v>
      </c>
      <c r="O93" s="96"/>
      <c r="P93" s="96" t="s">
        <v>214</v>
      </c>
      <c r="Q93" s="105" t="b">
        <v>1</v>
      </c>
      <c r="R93" s="181">
        <v>0.41666666666666669</v>
      </c>
      <c r="S93" s="181">
        <v>0.75</v>
      </c>
      <c r="T93" s="150" t="s">
        <v>215</v>
      </c>
      <c r="U93" s="150" t="s">
        <v>215</v>
      </c>
      <c r="V93" s="150" t="s">
        <v>215</v>
      </c>
      <c r="W93" s="150" t="s">
        <v>215</v>
      </c>
      <c r="X93" s="150" t="s">
        <v>215</v>
      </c>
      <c r="Y93" s="150" t="s">
        <v>215</v>
      </c>
      <c r="Z93" s="150" t="s">
        <v>215</v>
      </c>
      <c r="AA93" s="150" t="s">
        <v>215</v>
      </c>
      <c r="AB93" s="150" t="s">
        <v>215</v>
      </c>
      <c r="AC93" s="150" t="s">
        <v>215</v>
      </c>
      <c r="AD93" s="150" t="s">
        <v>215</v>
      </c>
      <c r="AE93" s="150" t="s">
        <v>215</v>
      </c>
      <c r="AF93" s="150" t="s">
        <v>215</v>
      </c>
      <c r="AG93" s="150" t="s">
        <v>215</v>
      </c>
      <c r="AH93" s="96" t="s">
        <v>215</v>
      </c>
      <c r="AI93" s="96"/>
      <c r="AJ93" s="105" t="b">
        <v>0</v>
      </c>
      <c r="AK93" s="105" t="b">
        <v>0</v>
      </c>
      <c r="AL93" s="96" t="s">
        <v>217</v>
      </c>
      <c r="AM93" s="96"/>
      <c r="AN93" s="102" t="s">
        <v>215</v>
      </c>
      <c r="AO93" s="188" t="s">
        <v>215</v>
      </c>
      <c r="AP93" s="188" t="s">
        <v>215</v>
      </c>
      <c r="AQ93" s="188" t="s">
        <v>215</v>
      </c>
      <c r="AR93" s="102" t="s">
        <v>215</v>
      </c>
      <c r="AS93" s="188" t="s">
        <v>215</v>
      </c>
      <c r="AT93" s="102" t="s">
        <v>215</v>
      </c>
      <c r="AU93" s="188" t="s">
        <v>215</v>
      </c>
      <c r="AV93" s="188" t="s">
        <v>215</v>
      </c>
      <c r="AW93" s="188" t="s">
        <v>215</v>
      </c>
      <c r="AX93" s="102" t="s">
        <v>215</v>
      </c>
      <c r="AY93" s="188" t="s">
        <v>215</v>
      </c>
      <c r="AZ93" s="102" t="s">
        <v>215</v>
      </c>
      <c r="BA93" s="188" t="s">
        <v>215</v>
      </c>
      <c r="BB93" s="96" t="s">
        <v>218</v>
      </c>
      <c r="BC93" s="96"/>
      <c r="BD93" s="96" t="s">
        <v>265</v>
      </c>
      <c r="BE93" s="96" t="s">
        <v>1334</v>
      </c>
      <c r="BF93" s="96" t="s">
        <v>284</v>
      </c>
      <c r="BG93" s="105" t="b">
        <v>1</v>
      </c>
      <c r="BH93" s="105" t="b">
        <v>1</v>
      </c>
      <c r="BI93" s="105" t="b">
        <v>1</v>
      </c>
      <c r="BJ93" s="105" t="b">
        <v>1</v>
      </c>
      <c r="BK93" s="105" t="b">
        <v>1</v>
      </c>
      <c r="BL93" s="105" t="b">
        <v>1</v>
      </c>
      <c r="BM93" s="105" t="b">
        <v>1</v>
      </c>
      <c r="BN93" s="96" t="s">
        <v>223</v>
      </c>
      <c r="BO93" s="96" t="s">
        <v>1063</v>
      </c>
      <c r="BP93" s="96" t="s">
        <v>246</v>
      </c>
      <c r="BQ93" s="102" t="s">
        <v>1335</v>
      </c>
      <c r="BR93" s="96"/>
      <c r="BS93" s="96"/>
      <c r="BT93" s="96" t="s">
        <v>1316</v>
      </c>
      <c r="BU93" s="96"/>
      <c r="BV93" s="102" t="s">
        <v>1336</v>
      </c>
      <c r="BW93" s="96" t="s">
        <v>252</v>
      </c>
      <c r="BX93" s="96"/>
      <c r="BY93" s="96"/>
      <c r="BZ93" s="96"/>
      <c r="CA93" s="96"/>
      <c r="CB93" s="96"/>
      <c r="CC93" s="96"/>
      <c r="CD93" s="96"/>
      <c r="CE93" s="96"/>
      <c r="CF93" s="96"/>
      <c r="CG93" s="96"/>
      <c r="CH93" s="96"/>
      <c r="CI93" s="105" t="b">
        <v>1</v>
      </c>
      <c r="CJ93" s="96"/>
      <c r="CK93" s="96"/>
      <c r="CL93" s="96"/>
      <c r="CM93" s="96"/>
      <c r="CN93" s="96"/>
    </row>
    <row r="94" spans="1:92" ht="26.25" customHeight="1">
      <c r="A94" s="96"/>
      <c r="B94" s="96" t="s">
        <v>253</v>
      </c>
      <c r="C94" s="96" t="s">
        <v>772</v>
      </c>
      <c r="D94" s="185" t="s">
        <v>1337</v>
      </c>
      <c r="E94" s="139"/>
      <c r="F94" s="96" t="s">
        <v>104</v>
      </c>
      <c r="G94" s="102" t="s">
        <v>1338</v>
      </c>
      <c r="H94" s="102" t="s">
        <v>1339</v>
      </c>
      <c r="I94" s="139"/>
      <c r="J94" s="139" t="s">
        <v>1340</v>
      </c>
      <c r="K94" s="139"/>
      <c r="L94" s="139" t="s">
        <v>1341</v>
      </c>
      <c r="M94" s="96">
        <v>50.397905418486701</v>
      </c>
      <c r="N94" s="96">
        <v>-3.5081623533822901</v>
      </c>
      <c r="O94" s="96"/>
      <c r="P94" s="96" t="s">
        <v>214</v>
      </c>
      <c r="Q94" s="105" t="b">
        <v>1</v>
      </c>
      <c r="R94" s="181">
        <v>0</v>
      </c>
      <c r="S94" s="182">
        <v>1</v>
      </c>
      <c r="T94" s="150" t="s">
        <v>215</v>
      </c>
      <c r="U94" s="150" t="s">
        <v>215</v>
      </c>
      <c r="V94" s="150" t="s">
        <v>215</v>
      </c>
      <c r="W94" s="150" t="s">
        <v>215</v>
      </c>
      <c r="X94" s="150" t="s">
        <v>215</v>
      </c>
      <c r="Y94" s="150" t="s">
        <v>215</v>
      </c>
      <c r="Z94" s="150" t="s">
        <v>215</v>
      </c>
      <c r="AA94" s="150" t="s">
        <v>215</v>
      </c>
      <c r="AB94" s="150" t="s">
        <v>215</v>
      </c>
      <c r="AC94" s="150" t="s">
        <v>215</v>
      </c>
      <c r="AD94" s="150" t="s">
        <v>215</v>
      </c>
      <c r="AE94" s="150" t="s">
        <v>215</v>
      </c>
      <c r="AF94" s="150" t="s">
        <v>215</v>
      </c>
      <c r="AG94" s="150" t="s">
        <v>215</v>
      </c>
      <c r="AH94" s="96" t="s">
        <v>215</v>
      </c>
      <c r="AI94" s="96" t="s">
        <v>262</v>
      </c>
      <c r="AJ94" s="105" t="b">
        <v>0</v>
      </c>
      <c r="AK94" s="105" t="b">
        <v>0</v>
      </c>
      <c r="AL94" s="96" t="s">
        <v>217</v>
      </c>
      <c r="AM94" s="96"/>
      <c r="AN94" s="102" t="s">
        <v>215</v>
      </c>
      <c r="AO94" s="188" t="s">
        <v>215</v>
      </c>
      <c r="AP94" s="188" t="s">
        <v>215</v>
      </c>
      <c r="AQ94" s="188" t="s">
        <v>215</v>
      </c>
      <c r="AR94" s="102" t="s">
        <v>215</v>
      </c>
      <c r="AS94" s="188" t="s">
        <v>215</v>
      </c>
      <c r="AT94" s="102" t="s">
        <v>215</v>
      </c>
      <c r="AU94" s="188" t="s">
        <v>215</v>
      </c>
      <c r="AV94" s="188" t="s">
        <v>215</v>
      </c>
      <c r="AW94" s="188" t="s">
        <v>215</v>
      </c>
      <c r="AX94" s="102" t="s">
        <v>215</v>
      </c>
      <c r="AY94" s="188" t="s">
        <v>215</v>
      </c>
      <c r="AZ94" s="102" t="s">
        <v>215</v>
      </c>
      <c r="BA94" s="188" t="s">
        <v>215</v>
      </c>
      <c r="BB94" s="96" t="s">
        <v>358</v>
      </c>
      <c r="BC94" s="96" t="s">
        <v>1342</v>
      </c>
      <c r="BD94" s="96"/>
      <c r="BE94" s="96" t="s">
        <v>1343</v>
      </c>
      <c r="BF94" s="96" t="s">
        <v>284</v>
      </c>
      <c r="BG94" s="105" t="b">
        <v>1</v>
      </c>
      <c r="BH94" s="105" t="b">
        <v>1</v>
      </c>
      <c r="BI94" s="105" t="b">
        <v>1</v>
      </c>
      <c r="BJ94" s="105" t="b">
        <v>1</v>
      </c>
      <c r="BK94" s="105" t="b">
        <v>1</v>
      </c>
      <c r="BL94" s="105" t="b">
        <v>1</v>
      </c>
      <c r="BM94" s="105" t="b">
        <v>1</v>
      </c>
      <c r="BN94" s="96" t="s">
        <v>223</v>
      </c>
      <c r="BO94" s="96" t="s">
        <v>285</v>
      </c>
      <c r="BP94" s="96" t="s">
        <v>286</v>
      </c>
      <c r="BQ94" s="102" t="s">
        <v>1344</v>
      </c>
      <c r="BR94" s="96"/>
      <c r="BS94" s="96"/>
      <c r="BT94" s="96" t="s">
        <v>1345</v>
      </c>
      <c r="BU94" s="96" t="s">
        <v>1346</v>
      </c>
      <c r="BV94" s="102" t="s">
        <v>1347</v>
      </c>
      <c r="BW94" s="96" t="s">
        <v>273</v>
      </c>
      <c r="BX94" s="96"/>
      <c r="BY94" s="96"/>
      <c r="BZ94" s="96"/>
      <c r="CA94" s="96"/>
      <c r="CB94" s="96"/>
      <c r="CC94" s="96"/>
      <c r="CD94" s="96"/>
      <c r="CE94" s="96"/>
      <c r="CF94" s="96"/>
      <c r="CG94" s="96"/>
      <c r="CH94" s="96"/>
      <c r="CI94" s="105" t="b">
        <v>1</v>
      </c>
      <c r="CJ94" s="96"/>
      <c r="CK94" s="96"/>
      <c r="CL94" s="96"/>
      <c r="CM94" s="96"/>
      <c r="CN94" s="96"/>
    </row>
    <row r="95" spans="1:92" ht="26.25" customHeight="1">
      <c r="A95" s="96"/>
      <c r="B95" s="96" t="s">
        <v>253</v>
      </c>
      <c r="C95" s="102" t="s">
        <v>1348</v>
      </c>
      <c r="D95" s="185" t="s">
        <v>1349</v>
      </c>
      <c r="E95" s="139"/>
      <c r="F95" s="96" t="s">
        <v>208</v>
      </c>
      <c r="G95" s="102" t="s">
        <v>1350</v>
      </c>
      <c r="H95" s="102" t="s">
        <v>1351</v>
      </c>
      <c r="I95" s="139"/>
      <c r="J95" s="185" t="s">
        <v>1352</v>
      </c>
      <c r="K95" s="139"/>
      <c r="L95" s="185" t="s">
        <v>1353</v>
      </c>
      <c r="M95" s="96">
        <v>50.830606559539</v>
      </c>
      <c r="N95" s="96">
        <v>-4.5513864320661597</v>
      </c>
      <c r="O95" s="96"/>
      <c r="P95" s="96" t="s">
        <v>214</v>
      </c>
      <c r="Q95" s="105" t="b">
        <v>1</v>
      </c>
      <c r="R95" s="181">
        <v>0</v>
      </c>
      <c r="S95" s="182">
        <v>1</v>
      </c>
      <c r="T95" s="150" t="s">
        <v>215</v>
      </c>
      <c r="U95" s="150" t="s">
        <v>215</v>
      </c>
      <c r="V95" s="150" t="s">
        <v>215</v>
      </c>
      <c r="W95" s="150" t="s">
        <v>215</v>
      </c>
      <c r="X95" s="150" t="s">
        <v>215</v>
      </c>
      <c r="Y95" s="150" t="s">
        <v>215</v>
      </c>
      <c r="Z95" s="150" t="s">
        <v>215</v>
      </c>
      <c r="AA95" s="150" t="s">
        <v>215</v>
      </c>
      <c r="AB95" s="150" t="s">
        <v>215</v>
      </c>
      <c r="AC95" s="150" t="s">
        <v>215</v>
      </c>
      <c r="AD95" s="150" t="s">
        <v>215</v>
      </c>
      <c r="AE95" s="150" t="s">
        <v>215</v>
      </c>
      <c r="AF95" s="150" t="s">
        <v>215</v>
      </c>
      <c r="AG95" s="150" t="s">
        <v>215</v>
      </c>
      <c r="AH95" s="96" t="s">
        <v>215</v>
      </c>
      <c r="AI95" s="96" t="s">
        <v>262</v>
      </c>
      <c r="AJ95" s="105" t="b">
        <v>0</v>
      </c>
      <c r="AK95" s="96"/>
      <c r="AL95" s="96" t="s">
        <v>217</v>
      </c>
      <c r="AM95" s="96"/>
      <c r="AN95" s="102" t="s">
        <v>215</v>
      </c>
      <c r="AO95" s="188" t="s">
        <v>215</v>
      </c>
      <c r="AP95" s="188" t="s">
        <v>215</v>
      </c>
      <c r="AQ95" s="188" t="s">
        <v>215</v>
      </c>
      <c r="AR95" s="102" t="s">
        <v>215</v>
      </c>
      <c r="AS95" s="188" t="s">
        <v>215</v>
      </c>
      <c r="AT95" s="102" t="s">
        <v>215</v>
      </c>
      <c r="AU95" s="188" t="s">
        <v>215</v>
      </c>
      <c r="AV95" s="188" t="s">
        <v>215</v>
      </c>
      <c r="AW95" s="188" t="s">
        <v>215</v>
      </c>
      <c r="AX95" s="102" t="s">
        <v>215</v>
      </c>
      <c r="AY95" s="188" t="s">
        <v>215</v>
      </c>
      <c r="AZ95" s="102" t="s">
        <v>215</v>
      </c>
      <c r="BA95" s="188" t="s">
        <v>215</v>
      </c>
      <c r="BB95" s="96" t="s">
        <v>218</v>
      </c>
      <c r="BC95" s="96" t="s">
        <v>1354</v>
      </c>
      <c r="BD95" s="96" t="s">
        <v>265</v>
      </c>
      <c r="BE95" s="96" t="s">
        <v>1355</v>
      </c>
      <c r="BF95" s="96" t="s">
        <v>284</v>
      </c>
      <c r="BG95" s="105" t="b">
        <v>1</v>
      </c>
      <c r="BH95" s="105" t="b">
        <v>1</v>
      </c>
      <c r="BI95" s="105" t="b">
        <v>1</v>
      </c>
      <c r="BJ95" s="105" t="b">
        <v>1</v>
      </c>
      <c r="BK95" s="105" t="b">
        <v>1</v>
      </c>
      <c r="BL95" s="105" t="b">
        <v>1</v>
      </c>
      <c r="BM95" s="105" t="b">
        <v>1</v>
      </c>
      <c r="BN95" s="96" t="s">
        <v>223</v>
      </c>
      <c r="BO95" s="96" t="s">
        <v>1356</v>
      </c>
      <c r="BP95" s="96" t="s">
        <v>918</v>
      </c>
      <c r="BQ95" s="102" t="s">
        <v>1357</v>
      </c>
      <c r="BR95" s="96"/>
      <c r="BS95" s="96"/>
      <c r="BT95" s="96" t="s">
        <v>1358</v>
      </c>
      <c r="BU95" s="96" t="s">
        <v>1243</v>
      </c>
      <c r="BV95" s="102" t="s">
        <v>1359</v>
      </c>
      <c r="BW95" s="96" t="s">
        <v>273</v>
      </c>
      <c r="BX95" s="96"/>
      <c r="BY95" s="96"/>
      <c r="BZ95" s="96"/>
      <c r="CA95" s="96"/>
      <c r="CB95" s="96"/>
      <c r="CC95" s="96"/>
      <c r="CD95" s="96"/>
      <c r="CE95" s="96"/>
      <c r="CF95" s="96"/>
      <c r="CG95" s="96"/>
      <c r="CH95" s="96"/>
      <c r="CI95" s="105" t="b">
        <v>1</v>
      </c>
      <c r="CJ95" s="96"/>
      <c r="CK95" s="96"/>
      <c r="CL95" s="96"/>
      <c r="CM95" s="96"/>
      <c r="CN95" s="96"/>
    </row>
    <row r="96" spans="1:92" ht="26.25" customHeight="1">
      <c r="A96" s="96"/>
      <c r="B96" s="96" t="s">
        <v>1055</v>
      </c>
      <c r="C96" s="96" t="s">
        <v>1360</v>
      </c>
      <c r="D96" s="139" t="s">
        <v>1361</v>
      </c>
      <c r="E96" s="139"/>
      <c r="F96" s="96" t="s">
        <v>104</v>
      </c>
      <c r="G96" s="102" t="s">
        <v>1362</v>
      </c>
      <c r="H96" s="102" t="s">
        <v>1351</v>
      </c>
      <c r="I96" s="139"/>
      <c r="J96" s="185" t="s">
        <v>1352</v>
      </c>
      <c r="K96" s="139"/>
      <c r="L96" s="185" t="s">
        <v>1353</v>
      </c>
      <c r="M96" s="96">
        <v>50.832932336317803</v>
      </c>
      <c r="N96" s="96">
        <v>-4.5539699060811598</v>
      </c>
      <c r="O96" s="96"/>
      <c r="P96" s="96" t="s">
        <v>214</v>
      </c>
      <c r="Q96" s="105" t="b">
        <v>1</v>
      </c>
      <c r="R96" s="181">
        <v>0</v>
      </c>
      <c r="S96" s="182">
        <v>1</v>
      </c>
      <c r="T96" s="150" t="s">
        <v>215</v>
      </c>
      <c r="U96" s="150" t="s">
        <v>215</v>
      </c>
      <c r="V96" s="150" t="s">
        <v>215</v>
      </c>
      <c r="W96" s="150" t="s">
        <v>215</v>
      </c>
      <c r="X96" s="150" t="s">
        <v>215</v>
      </c>
      <c r="Y96" s="150" t="s">
        <v>215</v>
      </c>
      <c r="Z96" s="150" t="s">
        <v>215</v>
      </c>
      <c r="AA96" s="150" t="s">
        <v>215</v>
      </c>
      <c r="AB96" s="150" t="s">
        <v>215</v>
      </c>
      <c r="AC96" s="150" t="s">
        <v>215</v>
      </c>
      <c r="AD96" s="150" t="s">
        <v>215</v>
      </c>
      <c r="AE96" s="150" t="s">
        <v>215</v>
      </c>
      <c r="AF96" s="150" t="s">
        <v>215</v>
      </c>
      <c r="AG96" s="150" t="s">
        <v>215</v>
      </c>
      <c r="AH96" s="96" t="s">
        <v>1363</v>
      </c>
      <c r="AI96" s="96"/>
      <c r="AJ96" s="105" t="b">
        <v>0</v>
      </c>
      <c r="AK96" s="105" t="b">
        <v>0</v>
      </c>
      <c r="AL96" s="96" t="s">
        <v>217</v>
      </c>
      <c r="AM96" s="96"/>
      <c r="AN96" s="102" t="s">
        <v>215</v>
      </c>
      <c r="AO96" s="188" t="s">
        <v>215</v>
      </c>
      <c r="AP96" s="188" t="s">
        <v>215</v>
      </c>
      <c r="AQ96" s="188" t="s">
        <v>215</v>
      </c>
      <c r="AR96" s="102" t="s">
        <v>215</v>
      </c>
      <c r="AS96" s="188" t="s">
        <v>215</v>
      </c>
      <c r="AT96" s="102" t="s">
        <v>215</v>
      </c>
      <c r="AU96" s="188" t="s">
        <v>215</v>
      </c>
      <c r="AV96" s="188" t="s">
        <v>215</v>
      </c>
      <c r="AW96" s="188" t="s">
        <v>215</v>
      </c>
      <c r="AX96" s="102" t="s">
        <v>215</v>
      </c>
      <c r="AY96" s="188" t="s">
        <v>215</v>
      </c>
      <c r="AZ96" s="102" t="s">
        <v>215</v>
      </c>
      <c r="BA96" s="188" t="s">
        <v>215</v>
      </c>
      <c r="BB96" s="96" t="s">
        <v>218</v>
      </c>
      <c r="BC96" s="96" t="s">
        <v>1364</v>
      </c>
      <c r="BD96" s="96"/>
      <c r="BE96" s="96"/>
      <c r="BF96" s="96"/>
      <c r="BG96" s="105" t="b">
        <v>0</v>
      </c>
      <c r="BH96" s="105" t="b">
        <v>0</v>
      </c>
      <c r="BI96" s="105" t="b">
        <v>0</v>
      </c>
      <c r="BJ96" s="105" t="b">
        <v>1</v>
      </c>
      <c r="BK96" s="105" t="b">
        <v>1</v>
      </c>
      <c r="BL96" s="105" t="b">
        <v>1</v>
      </c>
      <c r="BM96" s="105" t="b">
        <v>1</v>
      </c>
      <c r="BN96" s="96" t="s">
        <v>223</v>
      </c>
      <c r="BO96" s="96" t="s">
        <v>1063</v>
      </c>
      <c r="BP96" s="96" t="s">
        <v>1365</v>
      </c>
      <c r="BQ96" s="102" t="s">
        <v>1366</v>
      </c>
      <c r="BR96" s="96"/>
      <c r="BS96" s="96"/>
      <c r="BT96" s="96" t="s">
        <v>1367</v>
      </c>
      <c r="BU96" s="96" t="s">
        <v>1368</v>
      </c>
      <c r="BV96" s="102" t="s">
        <v>1369</v>
      </c>
      <c r="BW96" s="96" t="s">
        <v>273</v>
      </c>
      <c r="BX96" s="96"/>
      <c r="BY96" s="96"/>
      <c r="BZ96" s="96"/>
      <c r="CA96" s="96"/>
      <c r="CB96" s="96"/>
      <c r="CC96" s="96"/>
      <c r="CD96" s="96"/>
      <c r="CE96" s="96"/>
      <c r="CF96" s="96"/>
      <c r="CG96" s="96"/>
      <c r="CH96" s="96"/>
      <c r="CI96" s="105" t="b">
        <v>1</v>
      </c>
      <c r="CJ96" s="96"/>
      <c r="CK96" s="96"/>
      <c r="CL96" s="96"/>
      <c r="CM96" s="96"/>
      <c r="CN96" s="96"/>
    </row>
    <row r="97" spans="1:92" ht="26.25" customHeight="1">
      <c r="A97" s="96"/>
      <c r="B97" s="96" t="s">
        <v>1055</v>
      </c>
      <c r="C97" s="96" t="s">
        <v>1370</v>
      </c>
      <c r="D97" s="185" t="s">
        <v>1371</v>
      </c>
      <c r="E97" s="139"/>
      <c r="F97" s="96" t="s">
        <v>748</v>
      </c>
      <c r="G97" s="102" t="s">
        <v>1372</v>
      </c>
      <c r="H97" s="102" t="s">
        <v>1373</v>
      </c>
      <c r="I97" s="139" t="s">
        <v>1374</v>
      </c>
      <c r="J97" s="139" t="s">
        <v>356</v>
      </c>
      <c r="K97" s="139"/>
      <c r="L97" s="139" t="s">
        <v>1375</v>
      </c>
      <c r="M97" s="96">
        <v>50.521200512564597</v>
      </c>
      <c r="N97" s="96">
        <v>-3.6001194211834502</v>
      </c>
      <c r="O97" s="96"/>
      <c r="P97" s="96" t="s">
        <v>214</v>
      </c>
      <c r="Q97" s="96"/>
      <c r="R97" s="96" t="s">
        <v>215</v>
      </c>
      <c r="S97" s="96" t="s">
        <v>215</v>
      </c>
      <c r="T97" s="181">
        <v>0.375</v>
      </c>
      <c r="U97" s="181">
        <v>0.75</v>
      </c>
      <c r="V97" s="181">
        <v>0.375</v>
      </c>
      <c r="W97" s="181">
        <v>0.75</v>
      </c>
      <c r="X97" s="181">
        <v>0.375</v>
      </c>
      <c r="Y97" s="181">
        <v>0.75</v>
      </c>
      <c r="Z97" s="181">
        <v>0.375</v>
      </c>
      <c r="AA97" s="181">
        <v>0.75</v>
      </c>
      <c r="AB97" s="181">
        <v>0.375</v>
      </c>
      <c r="AC97" s="181">
        <v>0.75</v>
      </c>
      <c r="AD97" s="181">
        <v>0.375</v>
      </c>
      <c r="AE97" s="181">
        <v>0.75</v>
      </c>
      <c r="AF97" s="181">
        <v>0.41666666666666669</v>
      </c>
      <c r="AG97" s="181">
        <v>0.66666666666666663</v>
      </c>
      <c r="AH97" s="96"/>
      <c r="AI97" s="96"/>
      <c r="AJ97" s="105" t="b">
        <v>0</v>
      </c>
      <c r="AK97" s="105" t="b">
        <v>0</v>
      </c>
      <c r="AL97" s="96" t="s">
        <v>217</v>
      </c>
      <c r="AM97" s="96"/>
      <c r="AN97" s="102" t="s">
        <v>215</v>
      </c>
      <c r="AO97" s="188" t="s">
        <v>215</v>
      </c>
      <c r="AP97" s="188" t="s">
        <v>215</v>
      </c>
      <c r="AQ97" s="188" t="s">
        <v>215</v>
      </c>
      <c r="AR97" s="102" t="s">
        <v>215</v>
      </c>
      <c r="AS97" s="188" t="s">
        <v>215</v>
      </c>
      <c r="AT97" s="102" t="s">
        <v>215</v>
      </c>
      <c r="AU97" s="188" t="s">
        <v>215</v>
      </c>
      <c r="AV97" s="188" t="s">
        <v>215</v>
      </c>
      <c r="AW97" s="188" t="s">
        <v>215</v>
      </c>
      <c r="AX97" s="102" t="s">
        <v>215</v>
      </c>
      <c r="AY97" s="188" t="s">
        <v>215</v>
      </c>
      <c r="AZ97" s="102" t="s">
        <v>215</v>
      </c>
      <c r="BA97" s="188" t="s">
        <v>215</v>
      </c>
      <c r="BB97" s="96" t="s">
        <v>1010</v>
      </c>
      <c r="BC97" s="96" t="s">
        <v>1376</v>
      </c>
      <c r="BD97" s="96" t="s">
        <v>742</v>
      </c>
      <c r="BE97" s="96" t="s">
        <v>359</v>
      </c>
      <c r="BF97" s="96" t="s">
        <v>222</v>
      </c>
      <c r="BG97" s="105" t="b">
        <v>1</v>
      </c>
      <c r="BH97" s="105" t="b">
        <v>1</v>
      </c>
      <c r="BI97" s="105" t="b">
        <v>1</v>
      </c>
      <c r="BJ97" s="105" t="b">
        <v>1</v>
      </c>
      <c r="BK97" s="105" t="b">
        <v>1</v>
      </c>
      <c r="BL97" s="105" t="b">
        <v>0</v>
      </c>
      <c r="BM97" s="105" t="b">
        <v>1</v>
      </c>
      <c r="BN97" s="96" t="s">
        <v>223</v>
      </c>
      <c r="BO97" s="96" t="s">
        <v>1377</v>
      </c>
      <c r="BP97" s="96" t="s">
        <v>1378</v>
      </c>
      <c r="BQ97" s="102" t="s">
        <v>1379</v>
      </c>
      <c r="BR97" s="96"/>
      <c r="BS97" s="96"/>
      <c r="BT97" s="96" t="s">
        <v>1380</v>
      </c>
      <c r="BU97" s="96" t="s">
        <v>1381</v>
      </c>
      <c r="BV97" s="102" t="s">
        <v>1382</v>
      </c>
      <c r="BW97" s="96" t="s">
        <v>273</v>
      </c>
      <c r="BX97" s="96"/>
      <c r="BY97" s="96"/>
      <c r="BZ97" s="96"/>
      <c r="CA97" s="96"/>
      <c r="CB97" s="96"/>
      <c r="CC97" s="96"/>
      <c r="CD97" s="96"/>
      <c r="CE97" s="96"/>
      <c r="CF97" s="96"/>
      <c r="CG97" s="96"/>
      <c r="CH97" s="96"/>
      <c r="CI97" s="105" t="b">
        <v>1</v>
      </c>
      <c r="CJ97" s="96"/>
      <c r="CK97" s="96"/>
      <c r="CL97" s="96"/>
      <c r="CM97" s="96"/>
      <c r="CN97" s="96"/>
    </row>
    <row r="98" spans="1:92" ht="26.25" customHeight="1">
      <c r="A98" s="96"/>
      <c r="B98" s="96" t="s">
        <v>253</v>
      </c>
      <c r="C98" s="96" t="s">
        <v>539</v>
      </c>
      <c r="D98" s="185" t="s">
        <v>1383</v>
      </c>
      <c r="E98" s="139"/>
      <c r="F98" s="96" t="s">
        <v>104</v>
      </c>
      <c r="G98" s="102" t="s">
        <v>1384</v>
      </c>
      <c r="H98" s="102" t="s">
        <v>1385</v>
      </c>
      <c r="I98" s="139"/>
      <c r="J98" s="139" t="s">
        <v>904</v>
      </c>
      <c r="K98" s="139"/>
      <c r="L98" s="139" t="s">
        <v>1386</v>
      </c>
      <c r="M98" s="96">
        <v>50.659254817706099</v>
      </c>
      <c r="N98" s="96">
        <v>-3.2786781172917299</v>
      </c>
      <c r="O98" s="96"/>
      <c r="P98" s="96" t="s">
        <v>214</v>
      </c>
      <c r="Q98" s="105" t="b">
        <v>1</v>
      </c>
      <c r="R98" s="181">
        <v>0</v>
      </c>
      <c r="S98" s="182">
        <v>1</v>
      </c>
      <c r="T98" s="150" t="s">
        <v>215</v>
      </c>
      <c r="U98" s="150" t="s">
        <v>215</v>
      </c>
      <c r="V98" s="150" t="s">
        <v>215</v>
      </c>
      <c r="W98" s="150" t="s">
        <v>215</v>
      </c>
      <c r="X98" s="150" t="s">
        <v>215</v>
      </c>
      <c r="Y98" s="150" t="s">
        <v>215</v>
      </c>
      <c r="Z98" s="150" t="s">
        <v>215</v>
      </c>
      <c r="AA98" s="150" t="s">
        <v>215</v>
      </c>
      <c r="AB98" s="150" t="s">
        <v>215</v>
      </c>
      <c r="AC98" s="150" t="s">
        <v>215</v>
      </c>
      <c r="AD98" s="150" t="s">
        <v>215</v>
      </c>
      <c r="AE98" s="150" t="s">
        <v>215</v>
      </c>
      <c r="AF98" s="150" t="s">
        <v>215</v>
      </c>
      <c r="AG98" s="150" t="s">
        <v>215</v>
      </c>
      <c r="AH98" s="96" t="s">
        <v>215</v>
      </c>
      <c r="AI98" s="96" t="s">
        <v>262</v>
      </c>
      <c r="AJ98" s="105" t="b">
        <v>0</v>
      </c>
      <c r="AK98" s="105" t="b">
        <v>0</v>
      </c>
      <c r="AL98" s="96" t="s">
        <v>217</v>
      </c>
      <c r="AM98" s="96"/>
      <c r="AN98" s="102" t="s">
        <v>215</v>
      </c>
      <c r="AO98" s="188" t="s">
        <v>215</v>
      </c>
      <c r="AP98" s="188" t="s">
        <v>215</v>
      </c>
      <c r="AQ98" s="188" t="s">
        <v>215</v>
      </c>
      <c r="AR98" s="102" t="s">
        <v>215</v>
      </c>
      <c r="AS98" s="188" t="s">
        <v>215</v>
      </c>
      <c r="AT98" s="102" t="s">
        <v>215</v>
      </c>
      <c r="AU98" s="188" t="s">
        <v>215</v>
      </c>
      <c r="AV98" s="188" t="s">
        <v>215</v>
      </c>
      <c r="AW98" s="188" t="s">
        <v>215</v>
      </c>
      <c r="AX98" s="102" t="s">
        <v>215</v>
      </c>
      <c r="AY98" s="188" t="s">
        <v>215</v>
      </c>
      <c r="AZ98" s="102" t="s">
        <v>215</v>
      </c>
      <c r="BA98" s="188" t="s">
        <v>215</v>
      </c>
      <c r="BB98" s="96" t="s">
        <v>218</v>
      </c>
      <c r="BC98" s="96" t="s">
        <v>1387</v>
      </c>
      <c r="BD98" s="96"/>
      <c r="BE98" s="96"/>
      <c r="BF98" s="96"/>
      <c r="BG98" s="105" t="b">
        <v>1</v>
      </c>
      <c r="BH98" s="105" t="b">
        <v>1</v>
      </c>
      <c r="BI98" s="105" t="b">
        <v>1</v>
      </c>
      <c r="BJ98" s="105" t="b">
        <v>1</v>
      </c>
      <c r="BK98" s="105" t="b">
        <v>1</v>
      </c>
      <c r="BL98" s="105" t="b">
        <v>1</v>
      </c>
      <c r="BM98" s="105" t="b">
        <v>1</v>
      </c>
      <c r="BN98" s="96" t="s">
        <v>223</v>
      </c>
      <c r="BO98" s="96" t="s">
        <v>285</v>
      </c>
      <c r="BP98" s="96" t="s">
        <v>268</v>
      </c>
      <c r="BQ98" s="102" t="s">
        <v>1388</v>
      </c>
      <c r="BR98" s="96"/>
      <c r="BS98" s="96"/>
      <c r="BT98" s="96" t="s">
        <v>1389</v>
      </c>
      <c r="BU98" s="96" t="s">
        <v>1390</v>
      </c>
      <c r="BV98" s="102" t="s">
        <v>1391</v>
      </c>
      <c r="BW98" s="96" t="s">
        <v>273</v>
      </c>
      <c r="BX98" s="96"/>
      <c r="BY98" s="96"/>
      <c r="BZ98" s="96"/>
      <c r="CA98" s="96"/>
      <c r="CB98" s="96"/>
      <c r="CC98" s="96"/>
      <c r="CD98" s="96"/>
      <c r="CE98" s="96"/>
      <c r="CF98" s="96"/>
      <c r="CG98" s="96"/>
      <c r="CH98" s="96"/>
      <c r="CI98" s="105" t="b">
        <v>1</v>
      </c>
      <c r="CJ98" s="96"/>
      <c r="CK98" s="96"/>
      <c r="CL98" s="96"/>
      <c r="CM98" s="96"/>
      <c r="CN98" s="96"/>
    </row>
    <row r="99" spans="1:92" ht="26.25" customHeight="1">
      <c r="A99" s="96"/>
      <c r="B99" s="96" t="s">
        <v>349</v>
      </c>
      <c r="C99" s="96" t="s">
        <v>364</v>
      </c>
      <c r="D99" s="185" t="s">
        <v>1392</v>
      </c>
      <c r="E99" s="139"/>
      <c r="F99" s="96" t="s">
        <v>774</v>
      </c>
      <c r="G99" s="102" t="s">
        <v>1393</v>
      </c>
      <c r="H99" s="102" t="s">
        <v>852</v>
      </c>
      <c r="I99" s="139"/>
      <c r="J99" s="139" t="s">
        <v>259</v>
      </c>
      <c r="K99" s="139"/>
      <c r="L99" s="139" t="s">
        <v>1394</v>
      </c>
      <c r="M99" s="96">
        <v>50.610061173814003</v>
      </c>
      <c r="N99" s="96">
        <v>-3.3661206373982102</v>
      </c>
      <c r="O99" s="96"/>
      <c r="P99" s="96" t="s">
        <v>214</v>
      </c>
      <c r="Q99" s="105" t="b">
        <v>1</v>
      </c>
      <c r="R99" s="181">
        <v>0</v>
      </c>
      <c r="S99" s="182">
        <v>1</v>
      </c>
      <c r="T99" s="150" t="s">
        <v>215</v>
      </c>
      <c r="U99" s="150" t="s">
        <v>215</v>
      </c>
      <c r="V99" s="150" t="s">
        <v>215</v>
      </c>
      <c r="W99" s="150" t="s">
        <v>215</v>
      </c>
      <c r="X99" s="150" t="s">
        <v>215</v>
      </c>
      <c r="Y99" s="150" t="s">
        <v>215</v>
      </c>
      <c r="Z99" s="150" t="s">
        <v>215</v>
      </c>
      <c r="AA99" s="150" t="s">
        <v>215</v>
      </c>
      <c r="AB99" s="150" t="s">
        <v>215</v>
      </c>
      <c r="AC99" s="150" t="s">
        <v>215</v>
      </c>
      <c r="AD99" s="150" t="s">
        <v>215</v>
      </c>
      <c r="AE99" s="150" t="s">
        <v>215</v>
      </c>
      <c r="AF99" s="150" t="s">
        <v>215</v>
      </c>
      <c r="AG99" s="150" t="s">
        <v>215</v>
      </c>
      <c r="AH99" s="96" t="s">
        <v>215</v>
      </c>
      <c r="AI99" s="96" t="s">
        <v>262</v>
      </c>
      <c r="AJ99" s="105" t="b">
        <v>0</v>
      </c>
      <c r="AK99" s="105" t="b">
        <v>0</v>
      </c>
      <c r="AL99" s="96" t="s">
        <v>217</v>
      </c>
      <c r="AM99" s="96"/>
      <c r="AN99" s="102" t="s">
        <v>215</v>
      </c>
      <c r="AO99" s="188" t="s">
        <v>215</v>
      </c>
      <c r="AP99" s="188" t="s">
        <v>215</v>
      </c>
      <c r="AQ99" s="188" t="s">
        <v>215</v>
      </c>
      <c r="AR99" s="102" t="s">
        <v>215</v>
      </c>
      <c r="AS99" s="188" t="s">
        <v>215</v>
      </c>
      <c r="AT99" s="102" t="s">
        <v>215</v>
      </c>
      <c r="AU99" s="188" t="s">
        <v>215</v>
      </c>
      <c r="AV99" s="188" t="s">
        <v>215</v>
      </c>
      <c r="AW99" s="188" t="s">
        <v>215</v>
      </c>
      <c r="AX99" s="102" t="s">
        <v>215</v>
      </c>
      <c r="AY99" s="188" t="s">
        <v>215</v>
      </c>
      <c r="AZ99" s="102" t="s">
        <v>215</v>
      </c>
      <c r="BA99" s="188" t="s">
        <v>215</v>
      </c>
      <c r="BB99" s="96" t="s">
        <v>1264</v>
      </c>
      <c r="BC99" s="96"/>
      <c r="BD99" s="96"/>
      <c r="BE99" s="96"/>
      <c r="BF99" s="96"/>
      <c r="BG99" s="105" t="b">
        <v>0</v>
      </c>
      <c r="BH99" s="105" t="b">
        <v>1</v>
      </c>
      <c r="BI99" s="105" t="b">
        <v>1</v>
      </c>
      <c r="BJ99" s="105" t="b">
        <v>1</v>
      </c>
      <c r="BK99" s="105" t="b">
        <v>0</v>
      </c>
      <c r="BL99" s="105" t="b">
        <v>0</v>
      </c>
      <c r="BM99" s="105" t="b">
        <v>0</v>
      </c>
      <c r="BN99" s="96" t="s">
        <v>223</v>
      </c>
      <c r="BO99" s="96" t="s">
        <v>623</v>
      </c>
      <c r="BP99" s="96" t="s">
        <v>379</v>
      </c>
      <c r="BQ99" s="102" t="s">
        <v>1395</v>
      </c>
      <c r="BR99" s="96"/>
      <c r="BS99" s="96"/>
      <c r="BT99" s="96" t="s">
        <v>1396</v>
      </c>
      <c r="BU99" s="96" t="s">
        <v>1397</v>
      </c>
      <c r="BV99" s="185" t="s">
        <v>1398</v>
      </c>
      <c r="BW99" s="96" t="s">
        <v>273</v>
      </c>
      <c r="BX99" s="96"/>
      <c r="BY99" s="96"/>
      <c r="BZ99" s="96"/>
      <c r="CA99" s="96"/>
      <c r="CB99" s="96"/>
      <c r="CC99" s="96"/>
      <c r="CD99" s="96"/>
      <c r="CE99" s="96"/>
      <c r="CF99" s="96"/>
      <c r="CG99" s="96"/>
      <c r="CH99" s="96"/>
      <c r="CI99" s="105" t="b">
        <v>1</v>
      </c>
      <c r="CJ99" s="96"/>
      <c r="CK99" s="96"/>
      <c r="CL99" s="96"/>
      <c r="CM99" s="96"/>
      <c r="CN99" s="96"/>
    </row>
    <row r="100" spans="1:92" ht="26.25" customHeight="1">
      <c r="A100" s="96"/>
      <c r="B100" s="96" t="s">
        <v>232</v>
      </c>
      <c r="C100" s="96" t="s">
        <v>1399</v>
      </c>
      <c r="D100" s="185" t="s">
        <v>1400</v>
      </c>
      <c r="E100" s="139"/>
      <c r="F100" s="96" t="s">
        <v>1058</v>
      </c>
      <c r="G100" s="102" t="s">
        <v>1401</v>
      </c>
      <c r="H100" s="102" t="s">
        <v>1031</v>
      </c>
      <c r="I100" s="139"/>
      <c r="J100" s="139" t="s">
        <v>356</v>
      </c>
      <c r="K100" s="139"/>
      <c r="L100" s="139" t="s">
        <v>1402</v>
      </c>
      <c r="M100" s="96">
        <v>50.562337188205497</v>
      </c>
      <c r="N100" s="96">
        <v>-3.6501168401665698</v>
      </c>
      <c r="O100" s="96"/>
      <c r="P100" s="96" t="s">
        <v>214</v>
      </c>
      <c r="Q100" s="105" t="b">
        <v>1</v>
      </c>
      <c r="R100" s="181">
        <v>0</v>
      </c>
      <c r="S100" s="182">
        <v>1</v>
      </c>
      <c r="T100" s="150" t="s">
        <v>215</v>
      </c>
      <c r="U100" s="150" t="s">
        <v>215</v>
      </c>
      <c r="V100" s="150" t="s">
        <v>215</v>
      </c>
      <c r="W100" s="150" t="s">
        <v>215</v>
      </c>
      <c r="X100" s="150" t="s">
        <v>215</v>
      </c>
      <c r="Y100" s="150" t="s">
        <v>215</v>
      </c>
      <c r="Z100" s="150" t="s">
        <v>215</v>
      </c>
      <c r="AA100" s="150" t="s">
        <v>215</v>
      </c>
      <c r="AB100" s="150" t="s">
        <v>215</v>
      </c>
      <c r="AC100" s="150" t="s">
        <v>215</v>
      </c>
      <c r="AD100" s="150" t="s">
        <v>215</v>
      </c>
      <c r="AE100" s="150" t="s">
        <v>215</v>
      </c>
      <c r="AF100" s="150" t="s">
        <v>215</v>
      </c>
      <c r="AG100" s="150" t="s">
        <v>215</v>
      </c>
      <c r="AH100" s="96" t="s">
        <v>215</v>
      </c>
      <c r="AI100" s="96" t="s">
        <v>262</v>
      </c>
      <c r="AJ100" s="105" t="b">
        <v>0</v>
      </c>
      <c r="AK100" s="105" t="b">
        <v>0</v>
      </c>
      <c r="AL100" s="96" t="s">
        <v>217</v>
      </c>
      <c r="AM100" s="96"/>
      <c r="AN100" s="102" t="s">
        <v>215</v>
      </c>
      <c r="AO100" s="188" t="s">
        <v>215</v>
      </c>
      <c r="AP100" s="188" t="s">
        <v>215</v>
      </c>
      <c r="AQ100" s="188" t="s">
        <v>215</v>
      </c>
      <c r="AR100" s="102" t="s">
        <v>215</v>
      </c>
      <c r="AS100" s="188" t="s">
        <v>215</v>
      </c>
      <c r="AT100" s="102" t="s">
        <v>215</v>
      </c>
      <c r="AU100" s="188" t="s">
        <v>215</v>
      </c>
      <c r="AV100" s="188" t="s">
        <v>215</v>
      </c>
      <c r="AW100" s="188" t="s">
        <v>215</v>
      </c>
      <c r="AX100" s="102" t="s">
        <v>215</v>
      </c>
      <c r="AY100" s="188" t="s">
        <v>215</v>
      </c>
      <c r="AZ100" s="102" t="s">
        <v>215</v>
      </c>
      <c r="BA100" s="188" t="s">
        <v>215</v>
      </c>
      <c r="BB100" s="96" t="s">
        <v>218</v>
      </c>
      <c r="BC100" s="96" t="s">
        <v>1403</v>
      </c>
      <c r="BD100" s="96"/>
      <c r="BE100" s="96" t="s">
        <v>359</v>
      </c>
      <c r="BF100" s="96" t="s">
        <v>222</v>
      </c>
      <c r="BG100" s="105" t="b">
        <v>0</v>
      </c>
      <c r="BH100" s="105" t="b">
        <v>1</v>
      </c>
      <c r="BI100" s="105" t="b">
        <v>1</v>
      </c>
      <c r="BJ100" s="105" t="b">
        <v>1</v>
      </c>
      <c r="BK100" s="105" t="b">
        <v>1</v>
      </c>
      <c r="BL100" s="105" t="b">
        <v>0</v>
      </c>
      <c r="BM100" s="105" t="b">
        <v>0</v>
      </c>
      <c r="BN100" s="96" t="s">
        <v>244</v>
      </c>
      <c r="BO100" s="96" t="s">
        <v>437</v>
      </c>
      <c r="BP100" s="96" t="s">
        <v>379</v>
      </c>
      <c r="BQ100" s="102" t="s">
        <v>1404</v>
      </c>
      <c r="BR100" s="96"/>
      <c r="BS100" s="96"/>
      <c r="BT100" s="96" t="s">
        <v>1405</v>
      </c>
      <c r="BU100" s="96"/>
      <c r="BV100" s="102" t="s">
        <v>1406</v>
      </c>
      <c r="BW100" s="96" t="s">
        <v>273</v>
      </c>
      <c r="BX100" s="96"/>
      <c r="BY100" s="96"/>
      <c r="BZ100" s="96"/>
      <c r="CA100" s="96"/>
      <c r="CB100" s="96"/>
      <c r="CC100" s="96"/>
      <c r="CD100" s="96"/>
      <c r="CE100" s="96"/>
      <c r="CF100" s="96"/>
      <c r="CG100" s="96"/>
      <c r="CH100" s="96"/>
      <c r="CI100" s="105" t="b">
        <v>1</v>
      </c>
      <c r="CJ100" s="96"/>
      <c r="CK100" s="96"/>
      <c r="CL100" s="96"/>
      <c r="CM100" s="96"/>
      <c r="CN100" s="96"/>
    </row>
    <row r="101" spans="1:92" ht="26.25" customHeight="1">
      <c r="A101" s="68"/>
      <c r="B101" s="96" t="s">
        <v>1163</v>
      </c>
      <c r="C101" s="102" t="s">
        <v>1407</v>
      </c>
      <c r="D101" s="138" t="s">
        <v>1408</v>
      </c>
      <c r="E101" s="136"/>
      <c r="F101" s="102" t="s">
        <v>105</v>
      </c>
      <c r="G101" s="102" t="s">
        <v>1409</v>
      </c>
      <c r="H101" s="102" t="s">
        <v>1410</v>
      </c>
      <c r="I101" s="185" t="s">
        <v>870</v>
      </c>
      <c r="J101" s="185" t="s">
        <v>461</v>
      </c>
      <c r="K101" s="136"/>
      <c r="L101" s="185" t="s">
        <v>1411</v>
      </c>
      <c r="M101" s="90">
        <v>50.591873116052</v>
      </c>
      <c r="N101" s="90">
        <v>-3.67566688322571</v>
      </c>
      <c r="O101" s="78"/>
      <c r="P101" s="96" t="s">
        <v>1412</v>
      </c>
      <c r="Q101" s="105" t="b">
        <v>1</v>
      </c>
      <c r="R101" s="181">
        <v>0.41666666666666669</v>
      </c>
      <c r="S101" s="181">
        <v>0.70833333333333337</v>
      </c>
      <c r="T101" s="150" t="s">
        <v>215</v>
      </c>
      <c r="U101" s="150" t="s">
        <v>215</v>
      </c>
      <c r="V101" s="150" t="s">
        <v>215</v>
      </c>
      <c r="W101" s="150" t="s">
        <v>215</v>
      </c>
      <c r="X101" s="150" t="s">
        <v>215</v>
      </c>
      <c r="Y101" s="150" t="s">
        <v>215</v>
      </c>
      <c r="Z101" s="150" t="s">
        <v>215</v>
      </c>
      <c r="AA101" s="150" t="s">
        <v>215</v>
      </c>
      <c r="AB101" s="150" t="s">
        <v>215</v>
      </c>
      <c r="AC101" s="150" t="s">
        <v>215</v>
      </c>
      <c r="AD101" s="150" t="s">
        <v>215</v>
      </c>
      <c r="AE101" s="150" t="s">
        <v>215</v>
      </c>
      <c r="AF101" s="150" t="s">
        <v>215</v>
      </c>
      <c r="AG101" s="150" t="s">
        <v>215</v>
      </c>
      <c r="AH101" s="96" t="s">
        <v>60</v>
      </c>
      <c r="AI101" s="96" t="s">
        <v>1413</v>
      </c>
      <c r="AJ101" s="105" t="b">
        <v>0</v>
      </c>
      <c r="AK101" s="105" t="b">
        <v>0</v>
      </c>
      <c r="AL101" s="96" t="s">
        <v>217</v>
      </c>
      <c r="AM101" s="78"/>
      <c r="AN101" s="102" t="s">
        <v>215</v>
      </c>
      <c r="AO101" s="188" t="s">
        <v>215</v>
      </c>
      <c r="AP101" s="188" t="s">
        <v>215</v>
      </c>
      <c r="AQ101" s="188" t="s">
        <v>215</v>
      </c>
      <c r="AR101" s="102" t="s">
        <v>215</v>
      </c>
      <c r="AS101" s="188" t="s">
        <v>215</v>
      </c>
      <c r="AT101" s="102" t="s">
        <v>215</v>
      </c>
      <c r="AU101" s="188" t="s">
        <v>215</v>
      </c>
      <c r="AV101" s="188" t="s">
        <v>215</v>
      </c>
      <c r="AW101" s="188" t="s">
        <v>215</v>
      </c>
      <c r="AX101" s="102" t="s">
        <v>215</v>
      </c>
      <c r="AY101" s="188" t="s">
        <v>215</v>
      </c>
      <c r="AZ101" s="102" t="s">
        <v>215</v>
      </c>
      <c r="BA101" s="188" t="s">
        <v>215</v>
      </c>
      <c r="BB101" s="83" t="s">
        <v>218</v>
      </c>
      <c r="BC101" s="83" t="s">
        <v>1414</v>
      </c>
      <c r="BD101" s="83" t="s">
        <v>1415</v>
      </c>
      <c r="BE101" s="83" t="s">
        <v>622</v>
      </c>
      <c r="BF101" s="78"/>
      <c r="BG101" s="105" t="b">
        <v>0</v>
      </c>
      <c r="BH101" s="105" t="b">
        <v>0</v>
      </c>
      <c r="BI101" s="105" t="b">
        <v>1</v>
      </c>
      <c r="BJ101" s="105" t="b">
        <v>1</v>
      </c>
      <c r="BK101" s="105" t="b">
        <v>1</v>
      </c>
      <c r="BL101" s="105" t="b">
        <v>1</v>
      </c>
      <c r="BM101" s="105" t="b">
        <v>1</v>
      </c>
      <c r="BN101" s="96" t="s">
        <v>244</v>
      </c>
      <c r="BO101" s="96" t="s">
        <v>437</v>
      </c>
      <c r="BP101" s="96" t="s">
        <v>1034</v>
      </c>
      <c r="BQ101" s="102" t="s">
        <v>1416</v>
      </c>
      <c r="BR101" s="96" t="s">
        <v>1417</v>
      </c>
      <c r="BS101" s="78"/>
      <c r="BT101" s="96" t="s">
        <v>1418</v>
      </c>
      <c r="BU101" s="78"/>
      <c r="BV101" s="102" t="s">
        <v>1419</v>
      </c>
      <c r="BW101" s="96" t="s">
        <v>845</v>
      </c>
      <c r="BX101" s="78"/>
      <c r="BY101" s="78"/>
      <c r="BZ101" s="78"/>
      <c r="CA101" s="78"/>
      <c r="CB101" s="78"/>
      <c r="CC101" s="78"/>
      <c r="CD101" s="78"/>
      <c r="CE101" s="78"/>
      <c r="CF101" s="78"/>
      <c r="CG101" s="78"/>
      <c r="CH101" s="105" t="b">
        <v>1</v>
      </c>
      <c r="CI101" s="105" t="b">
        <v>1</v>
      </c>
      <c r="CJ101" s="105" t="b">
        <v>0</v>
      </c>
      <c r="CK101" s="78"/>
      <c r="CL101" s="78"/>
      <c r="CM101" s="96" t="s">
        <v>1420</v>
      </c>
      <c r="CN101" s="96"/>
    </row>
    <row r="102" spans="1:92" ht="26.25" customHeight="1">
      <c r="A102" s="165" t="s">
        <v>204</v>
      </c>
      <c r="B102" s="96" t="s">
        <v>441</v>
      </c>
      <c r="C102" s="102" t="s">
        <v>482</v>
      </c>
      <c r="D102" s="139" t="s">
        <v>1421</v>
      </c>
      <c r="E102" s="136"/>
      <c r="F102" s="102" t="s">
        <v>1422</v>
      </c>
      <c r="G102" s="102" t="s">
        <v>1423</v>
      </c>
      <c r="H102" s="102" t="s">
        <v>1424</v>
      </c>
      <c r="I102" s="136"/>
      <c r="J102" s="185" t="s">
        <v>408</v>
      </c>
      <c r="K102" s="136"/>
      <c r="L102" s="185" t="s">
        <v>1425</v>
      </c>
      <c r="M102" s="78"/>
      <c r="N102" s="78"/>
      <c r="O102" s="78"/>
      <c r="P102" s="96" t="s">
        <v>1426</v>
      </c>
      <c r="Q102" s="105" t="b">
        <v>0</v>
      </c>
      <c r="R102" s="150" t="s">
        <v>215</v>
      </c>
      <c r="S102" s="166" t="s">
        <v>215</v>
      </c>
      <c r="T102" s="181">
        <v>0.39583333333333331</v>
      </c>
      <c r="U102" s="181">
        <v>0.625</v>
      </c>
      <c r="V102" s="181">
        <v>0.39583333333333331</v>
      </c>
      <c r="W102" s="181">
        <v>0.625</v>
      </c>
      <c r="X102" s="181">
        <v>0.39583333333333331</v>
      </c>
      <c r="Y102" s="181">
        <v>0.625</v>
      </c>
      <c r="Z102" s="181">
        <v>0.39583333333333331</v>
      </c>
      <c r="AA102" s="181">
        <v>0.625</v>
      </c>
      <c r="AB102" s="181">
        <v>0.375</v>
      </c>
      <c r="AC102" s="181">
        <v>0.625</v>
      </c>
      <c r="AD102" s="181">
        <v>0.375</v>
      </c>
      <c r="AE102" s="181">
        <v>0.58333333333333337</v>
      </c>
      <c r="AF102" s="150" t="s">
        <v>215</v>
      </c>
      <c r="AG102" s="150" t="s">
        <v>215</v>
      </c>
      <c r="AH102" s="137" t="s">
        <v>1427</v>
      </c>
      <c r="AI102" s="96" t="s">
        <v>1413</v>
      </c>
      <c r="AJ102" s="105" t="b">
        <v>1</v>
      </c>
      <c r="AK102" s="105" t="b">
        <v>0</v>
      </c>
      <c r="AL102" s="96" t="s">
        <v>313</v>
      </c>
      <c r="AM102" s="96" t="s">
        <v>433</v>
      </c>
      <c r="AN102" s="102" t="s">
        <v>215</v>
      </c>
      <c r="AO102" s="188" t="s">
        <v>215</v>
      </c>
      <c r="AP102" s="188" t="s">
        <v>1206</v>
      </c>
      <c r="AQ102" s="187">
        <v>1.5</v>
      </c>
      <c r="AR102" s="102" t="s">
        <v>215</v>
      </c>
      <c r="AS102" s="188" t="s">
        <v>215</v>
      </c>
      <c r="AT102" s="102" t="s">
        <v>215</v>
      </c>
      <c r="AU102" s="188" t="s">
        <v>215</v>
      </c>
      <c r="AV102" s="188" t="s">
        <v>215</v>
      </c>
      <c r="AW102" s="188" t="s">
        <v>215</v>
      </c>
      <c r="AX102" s="102" t="s">
        <v>215</v>
      </c>
      <c r="AY102" s="188" t="s">
        <v>215</v>
      </c>
      <c r="AZ102" s="102" t="s">
        <v>215</v>
      </c>
      <c r="BA102" s="188" t="s">
        <v>215</v>
      </c>
      <c r="BB102" s="96" t="s">
        <v>358</v>
      </c>
      <c r="BC102" s="96" t="s">
        <v>1428</v>
      </c>
      <c r="BD102" s="96" t="s">
        <v>1429</v>
      </c>
      <c r="BE102" s="96" t="s">
        <v>1430</v>
      </c>
      <c r="BF102" s="78"/>
      <c r="BG102" s="105" t="b">
        <v>1</v>
      </c>
      <c r="BH102" s="105" t="b">
        <v>1</v>
      </c>
      <c r="BI102" s="105" t="b">
        <v>1</v>
      </c>
      <c r="BJ102" s="105" t="b">
        <v>0</v>
      </c>
      <c r="BK102" s="105" t="b">
        <v>0</v>
      </c>
      <c r="BL102" s="105" t="b">
        <v>0</v>
      </c>
      <c r="BM102" s="105" t="b">
        <v>1</v>
      </c>
      <c r="BN102" s="96" t="s">
        <v>244</v>
      </c>
      <c r="BO102" s="96" t="s">
        <v>437</v>
      </c>
      <c r="BP102" s="96" t="s">
        <v>1025</v>
      </c>
      <c r="BQ102" s="96" t="s">
        <v>1431</v>
      </c>
      <c r="BR102" s="78"/>
      <c r="BS102" s="78"/>
      <c r="BT102" s="102" t="s">
        <v>1432</v>
      </c>
      <c r="BU102" s="78"/>
      <c r="BV102" s="102" t="s">
        <v>1433</v>
      </c>
      <c r="BW102" s="78" t="s">
        <v>252</v>
      </c>
      <c r="BX102" s="78"/>
      <c r="BY102" s="78"/>
      <c r="BZ102" s="78"/>
      <c r="CA102" s="78"/>
      <c r="CB102" s="78"/>
      <c r="CC102" s="78"/>
      <c r="CD102" s="78"/>
      <c r="CE102" s="78"/>
      <c r="CF102" s="78"/>
      <c r="CG102" s="78"/>
      <c r="CH102" s="105" t="b">
        <v>1</v>
      </c>
      <c r="CI102" s="105" t="b">
        <v>0</v>
      </c>
      <c r="CJ102" s="105" t="b">
        <v>0</v>
      </c>
      <c r="CK102" s="78"/>
      <c r="CL102" s="96" t="s">
        <v>1434</v>
      </c>
      <c r="CM102" s="96" t="s">
        <v>1435</v>
      </c>
      <c r="CN102" s="96"/>
    </row>
    <row r="103" spans="1:92" ht="26.25" customHeight="1">
      <c r="A103" s="68"/>
      <c r="B103" s="96" t="s">
        <v>758</v>
      </c>
      <c r="C103" s="96" t="s">
        <v>1436</v>
      </c>
      <c r="D103" s="185" t="s">
        <v>1437</v>
      </c>
      <c r="E103" s="136"/>
      <c r="F103" s="96" t="s">
        <v>208</v>
      </c>
      <c r="G103" s="102" t="s">
        <v>1438</v>
      </c>
      <c r="H103" s="102" t="s">
        <v>1439</v>
      </c>
      <c r="I103" s="185" t="s">
        <v>1204</v>
      </c>
      <c r="J103" s="185" t="s">
        <v>212</v>
      </c>
      <c r="K103" s="136"/>
      <c r="L103" s="185" t="s">
        <v>1205</v>
      </c>
      <c r="M103" s="167">
        <v>50.716209640540498</v>
      </c>
      <c r="N103" s="167">
        <v>-3.5310634311117099</v>
      </c>
      <c r="O103" s="78"/>
      <c r="P103" s="96" t="s">
        <v>214</v>
      </c>
      <c r="Q103" s="105" t="b">
        <v>0</v>
      </c>
      <c r="R103" s="142" t="s">
        <v>215</v>
      </c>
      <c r="S103" s="168" t="s">
        <v>215</v>
      </c>
      <c r="T103" s="181">
        <v>0.41666666666666669</v>
      </c>
      <c r="U103" s="181">
        <v>0.70833333333333337</v>
      </c>
      <c r="V103" s="181">
        <v>0.41666666666666669</v>
      </c>
      <c r="W103" s="181">
        <v>0.70833333333333337</v>
      </c>
      <c r="X103" s="181">
        <v>0.41666666666666669</v>
      </c>
      <c r="Y103" s="181">
        <v>0.70833333333333337</v>
      </c>
      <c r="Z103" s="181">
        <v>0.41666666666666669</v>
      </c>
      <c r="AA103" s="181">
        <v>0.70833333333333337</v>
      </c>
      <c r="AB103" s="181">
        <v>0.41666666666666669</v>
      </c>
      <c r="AC103" s="181">
        <v>0.70833333333333337</v>
      </c>
      <c r="AD103" s="181">
        <v>0.41666666666666669</v>
      </c>
      <c r="AE103" s="181">
        <v>0.77083333333333337</v>
      </c>
      <c r="AF103" s="181">
        <v>0.41666666666666669</v>
      </c>
      <c r="AG103" s="181">
        <v>0.77083333333333337</v>
      </c>
      <c r="AH103" s="78"/>
      <c r="AI103" s="96" t="s">
        <v>262</v>
      </c>
      <c r="AJ103" s="105" t="b">
        <v>0</v>
      </c>
      <c r="AK103" s="105" t="b">
        <v>0</v>
      </c>
      <c r="AL103" s="78"/>
      <c r="AM103" s="78"/>
      <c r="AN103" s="78" t="s">
        <v>215</v>
      </c>
      <c r="AO103" s="188" t="s">
        <v>215</v>
      </c>
      <c r="AP103" s="188" t="s">
        <v>215</v>
      </c>
      <c r="AQ103" s="188" t="s">
        <v>215</v>
      </c>
      <c r="AR103" s="169">
        <v>46054</v>
      </c>
      <c r="AS103" s="188">
        <v>3.5</v>
      </c>
      <c r="AT103" s="169">
        <v>46359</v>
      </c>
      <c r="AU103" s="187">
        <v>4.5</v>
      </c>
      <c r="AV103" s="188" t="s">
        <v>215</v>
      </c>
      <c r="AW103" s="188" t="s">
        <v>215</v>
      </c>
      <c r="AX103" s="102" t="s">
        <v>215</v>
      </c>
      <c r="AY103" s="188" t="s">
        <v>215</v>
      </c>
      <c r="AZ103" s="102" t="s">
        <v>215</v>
      </c>
      <c r="BA103" s="188" t="s">
        <v>215</v>
      </c>
      <c r="BB103" s="96" t="s">
        <v>1010</v>
      </c>
      <c r="BC103" s="96" t="s">
        <v>766</v>
      </c>
      <c r="BD103" s="96" t="s">
        <v>1440</v>
      </c>
      <c r="BE103" s="96" t="s">
        <v>1441</v>
      </c>
      <c r="BF103" s="78"/>
      <c r="BG103" s="105" t="b">
        <v>0</v>
      </c>
      <c r="BH103" s="105" t="b">
        <v>1</v>
      </c>
      <c r="BI103" s="105" t="b">
        <v>1</v>
      </c>
      <c r="BJ103" s="105" t="b">
        <v>1</v>
      </c>
      <c r="BK103" s="105" t="b">
        <v>1</v>
      </c>
      <c r="BL103" s="105" t="b">
        <v>0</v>
      </c>
      <c r="BM103" s="105" t="b">
        <v>0</v>
      </c>
      <c r="BN103" s="96" t="s">
        <v>244</v>
      </c>
      <c r="BO103" s="96" t="s">
        <v>1442</v>
      </c>
      <c r="BP103" s="96" t="s">
        <v>794</v>
      </c>
      <c r="BQ103" s="96" t="s">
        <v>1443</v>
      </c>
      <c r="BR103" s="78"/>
      <c r="BS103" s="78"/>
      <c r="BT103" s="96" t="s">
        <v>770</v>
      </c>
      <c r="BU103" s="78"/>
      <c r="BV103" s="102" t="s">
        <v>1444</v>
      </c>
      <c r="BW103" s="96" t="s">
        <v>252</v>
      </c>
      <c r="BX103" s="78"/>
      <c r="BY103" s="78"/>
      <c r="BZ103" s="78"/>
      <c r="CA103" s="78"/>
      <c r="CB103" s="78"/>
      <c r="CC103" s="78"/>
      <c r="CD103" s="78"/>
      <c r="CE103" s="78"/>
      <c r="CF103" s="78"/>
      <c r="CG103" s="78"/>
      <c r="CH103" s="105" t="b">
        <v>0</v>
      </c>
      <c r="CI103" s="105" t="b">
        <v>0</v>
      </c>
      <c r="CJ103" s="105" t="b">
        <v>0</v>
      </c>
      <c r="CK103" s="78"/>
      <c r="CL103" s="78"/>
      <c r="CM103" s="78"/>
      <c r="CN103" s="78"/>
    </row>
    <row r="104" spans="1:92" ht="26.25" customHeight="1">
      <c r="A104" s="68"/>
      <c r="B104" s="96" t="s">
        <v>758</v>
      </c>
      <c r="C104" s="102" t="s">
        <v>759</v>
      </c>
      <c r="D104" s="138" t="s">
        <v>1445</v>
      </c>
      <c r="E104" s="136"/>
      <c r="F104" s="102" t="s">
        <v>687</v>
      </c>
      <c r="G104" s="102" t="s">
        <v>1446</v>
      </c>
      <c r="H104" s="102" t="s">
        <v>1296</v>
      </c>
      <c r="I104" s="185" t="s">
        <v>1447</v>
      </c>
      <c r="J104" s="185" t="s">
        <v>212</v>
      </c>
      <c r="K104" s="136"/>
      <c r="L104" s="185" t="s">
        <v>1298</v>
      </c>
      <c r="M104" s="167">
        <v>50.706307835086299</v>
      </c>
      <c r="N104" s="167">
        <v>-3.5296742735334301</v>
      </c>
      <c r="O104" s="78"/>
      <c r="P104" s="96" t="s">
        <v>214</v>
      </c>
      <c r="Q104" s="105" t="b">
        <v>1</v>
      </c>
      <c r="R104" s="181">
        <v>0.375</v>
      </c>
      <c r="S104" s="181">
        <v>0.70833333333333337</v>
      </c>
      <c r="T104" s="150" t="s">
        <v>215</v>
      </c>
      <c r="U104" s="150" t="s">
        <v>215</v>
      </c>
      <c r="V104" s="150" t="s">
        <v>215</v>
      </c>
      <c r="W104" s="150" t="s">
        <v>215</v>
      </c>
      <c r="X104" s="150" t="s">
        <v>215</v>
      </c>
      <c r="Y104" s="150" t="s">
        <v>215</v>
      </c>
      <c r="Z104" s="150" t="s">
        <v>215</v>
      </c>
      <c r="AA104" s="150" t="s">
        <v>215</v>
      </c>
      <c r="AB104" s="150" t="s">
        <v>215</v>
      </c>
      <c r="AC104" s="150" t="s">
        <v>215</v>
      </c>
      <c r="AD104" s="150" t="s">
        <v>215</v>
      </c>
      <c r="AE104" s="150" t="s">
        <v>215</v>
      </c>
      <c r="AF104" s="150" t="s">
        <v>215</v>
      </c>
      <c r="AG104" s="150" t="s">
        <v>215</v>
      </c>
      <c r="AH104" s="78"/>
      <c r="AI104" s="78"/>
      <c r="AJ104" s="105" t="b">
        <v>1</v>
      </c>
      <c r="AK104" s="105" t="b">
        <v>1</v>
      </c>
      <c r="AL104" s="96" t="s">
        <v>1448</v>
      </c>
      <c r="AM104" s="96" t="s">
        <v>1449</v>
      </c>
      <c r="AN104" s="102" t="s">
        <v>1450</v>
      </c>
      <c r="AO104" s="187">
        <v>0</v>
      </c>
      <c r="AP104" s="86">
        <v>46204</v>
      </c>
      <c r="AQ104" s="187">
        <v>7.45</v>
      </c>
      <c r="AR104" s="102" t="s">
        <v>215</v>
      </c>
      <c r="AS104" s="188" t="s">
        <v>215</v>
      </c>
      <c r="AT104" s="102" t="s">
        <v>215</v>
      </c>
      <c r="AU104" s="188" t="s">
        <v>215</v>
      </c>
      <c r="AV104" s="188" t="s">
        <v>339</v>
      </c>
      <c r="AW104" s="187">
        <v>2</v>
      </c>
      <c r="AX104" s="102" t="s">
        <v>215</v>
      </c>
      <c r="AY104" s="188" t="s">
        <v>215</v>
      </c>
      <c r="AZ104" s="102" t="s">
        <v>215</v>
      </c>
      <c r="BA104" s="188" t="s">
        <v>215</v>
      </c>
      <c r="BB104" s="96" t="s">
        <v>416</v>
      </c>
      <c r="BC104" s="96" t="s">
        <v>1451</v>
      </c>
      <c r="BD104" s="96" t="s">
        <v>1452</v>
      </c>
      <c r="BE104" s="96" t="s">
        <v>1453</v>
      </c>
      <c r="BF104" s="78"/>
      <c r="BG104" s="105" t="b">
        <v>0</v>
      </c>
      <c r="BH104" s="105" t="b">
        <v>1</v>
      </c>
      <c r="BI104" s="105" t="b">
        <v>1</v>
      </c>
      <c r="BJ104" s="105" t="b">
        <v>1</v>
      </c>
      <c r="BK104" s="105" t="b">
        <v>0</v>
      </c>
      <c r="BL104" s="105" t="b">
        <v>0</v>
      </c>
      <c r="BM104" s="105" t="b">
        <v>0</v>
      </c>
      <c r="BN104" s="96" t="s">
        <v>244</v>
      </c>
      <c r="BO104" s="96" t="s">
        <v>1442</v>
      </c>
      <c r="BP104" s="96" t="s">
        <v>579</v>
      </c>
      <c r="BQ104" s="102" t="s">
        <v>1454</v>
      </c>
      <c r="BR104" s="78"/>
      <c r="BS104" s="78"/>
      <c r="BT104" s="96" t="s">
        <v>1455</v>
      </c>
      <c r="BU104" s="78"/>
      <c r="BV104" s="78"/>
      <c r="BW104" s="102" t="s">
        <v>1456</v>
      </c>
      <c r="BX104" s="96" t="s">
        <v>252</v>
      </c>
      <c r="BY104" s="78"/>
      <c r="BZ104" s="78"/>
      <c r="CA104" s="78"/>
      <c r="CB104" s="78"/>
      <c r="CC104" s="78"/>
      <c r="CD104" s="78"/>
      <c r="CE104" s="78"/>
      <c r="CF104" s="78"/>
      <c r="CG104" s="78"/>
      <c r="CH104" s="78"/>
      <c r="CI104" s="105" t="b">
        <v>0</v>
      </c>
      <c r="CJ104" s="105" t="b">
        <v>0</v>
      </c>
      <c r="CK104" s="105" t="b">
        <v>0</v>
      </c>
      <c r="CL104" s="78"/>
      <c r="CM104" s="78"/>
      <c r="CN104" s="78"/>
    </row>
    <row r="105" spans="1:92" ht="26.25" customHeight="1">
      <c r="A105" s="68"/>
      <c r="B105" s="96" t="s">
        <v>349</v>
      </c>
      <c r="C105" s="96" t="s">
        <v>364</v>
      </c>
      <c r="D105" s="185" t="s">
        <v>1457</v>
      </c>
      <c r="E105" s="136"/>
      <c r="F105" s="96" t="s">
        <v>104</v>
      </c>
      <c r="G105" s="102" t="s">
        <v>1458</v>
      </c>
      <c r="H105" s="102" t="s">
        <v>1459</v>
      </c>
      <c r="I105" s="185" t="s">
        <v>1460</v>
      </c>
      <c r="J105" s="185" t="s">
        <v>212</v>
      </c>
      <c r="K105" s="136"/>
      <c r="L105" s="185" t="s">
        <v>1461</v>
      </c>
      <c r="M105" s="167">
        <v>50.685346174141102</v>
      </c>
      <c r="N105" s="167">
        <v>-3.4710931278109398</v>
      </c>
      <c r="O105" s="78"/>
      <c r="P105" s="96" t="s">
        <v>214</v>
      </c>
      <c r="Q105" s="105" t="b">
        <v>1</v>
      </c>
      <c r="R105" s="181">
        <v>0</v>
      </c>
      <c r="S105" s="182">
        <v>1</v>
      </c>
      <c r="T105" s="150" t="s">
        <v>215</v>
      </c>
      <c r="U105" s="150" t="s">
        <v>215</v>
      </c>
      <c r="V105" s="150" t="s">
        <v>215</v>
      </c>
      <c r="W105" s="150" t="s">
        <v>215</v>
      </c>
      <c r="X105" s="150" t="s">
        <v>215</v>
      </c>
      <c r="Y105" s="150" t="s">
        <v>215</v>
      </c>
      <c r="Z105" s="150" t="s">
        <v>215</v>
      </c>
      <c r="AA105" s="150" t="s">
        <v>215</v>
      </c>
      <c r="AB105" s="150" t="s">
        <v>215</v>
      </c>
      <c r="AC105" s="150" t="s">
        <v>215</v>
      </c>
      <c r="AD105" s="150" t="s">
        <v>215</v>
      </c>
      <c r="AE105" s="150" t="s">
        <v>215</v>
      </c>
      <c r="AF105" s="150" t="s">
        <v>215</v>
      </c>
      <c r="AG105" s="150" t="s">
        <v>215</v>
      </c>
      <c r="AH105" s="78"/>
      <c r="AI105" s="78"/>
      <c r="AJ105" s="105" t="b">
        <v>0</v>
      </c>
      <c r="AK105" s="105" t="b">
        <v>0</v>
      </c>
      <c r="AL105" s="96" t="s">
        <v>217</v>
      </c>
      <c r="AM105" s="78"/>
      <c r="AN105" s="102" t="s">
        <v>215</v>
      </c>
      <c r="AO105" s="188" t="s">
        <v>215</v>
      </c>
      <c r="AP105" s="188" t="s">
        <v>215</v>
      </c>
      <c r="AQ105" s="188" t="s">
        <v>215</v>
      </c>
      <c r="AR105" s="102" t="s">
        <v>215</v>
      </c>
      <c r="AS105" s="188" t="s">
        <v>215</v>
      </c>
      <c r="AT105" s="102" t="s">
        <v>215</v>
      </c>
      <c r="AU105" s="188" t="s">
        <v>215</v>
      </c>
      <c r="AV105" s="188" t="s">
        <v>215</v>
      </c>
      <c r="AW105" s="188" t="s">
        <v>215</v>
      </c>
      <c r="AX105" s="102" t="s">
        <v>215</v>
      </c>
      <c r="AY105" s="188" t="s">
        <v>215</v>
      </c>
      <c r="AZ105" s="102" t="s">
        <v>215</v>
      </c>
      <c r="BA105" s="188" t="s">
        <v>215</v>
      </c>
      <c r="BB105" s="96" t="s">
        <v>358</v>
      </c>
      <c r="BC105" s="96" t="s">
        <v>1462</v>
      </c>
      <c r="BD105" s="78"/>
      <c r="BE105" s="96" t="s">
        <v>359</v>
      </c>
      <c r="BF105" s="96" t="s">
        <v>731</v>
      </c>
      <c r="BG105" s="105" t="b">
        <v>0</v>
      </c>
      <c r="BH105" s="105" t="b">
        <v>1</v>
      </c>
      <c r="BI105" s="105" t="b">
        <v>1</v>
      </c>
      <c r="BJ105" s="105" t="b">
        <v>1</v>
      </c>
      <c r="BK105" s="105" t="b">
        <v>1</v>
      </c>
      <c r="BL105" s="105" t="b">
        <v>0</v>
      </c>
      <c r="BM105" s="105" t="b">
        <v>0</v>
      </c>
      <c r="BN105" s="96" t="s">
        <v>223</v>
      </c>
      <c r="BO105" s="96" t="s">
        <v>1132</v>
      </c>
      <c r="BP105" s="96" t="s">
        <v>535</v>
      </c>
      <c r="BQ105" s="102" t="s">
        <v>1463</v>
      </c>
      <c r="BR105" s="78"/>
      <c r="BS105" s="78"/>
      <c r="BT105" s="96" t="s">
        <v>1464</v>
      </c>
      <c r="BU105" s="78"/>
      <c r="BV105" s="78"/>
      <c r="BW105" s="102" t="s">
        <v>1465</v>
      </c>
      <c r="BX105" s="96" t="s">
        <v>252</v>
      </c>
      <c r="BY105" s="78"/>
      <c r="BZ105" s="78"/>
      <c r="CA105" s="78"/>
      <c r="CB105" s="78"/>
      <c r="CC105" s="78"/>
      <c r="CD105" s="78"/>
      <c r="CE105" s="78"/>
      <c r="CF105" s="78"/>
      <c r="CG105" s="78"/>
      <c r="CH105" s="78"/>
      <c r="CI105" s="105" t="b">
        <v>0</v>
      </c>
      <c r="CJ105" s="105" t="b">
        <v>0</v>
      </c>
      <c r="CK105" s="105" t="b">
        <v>0</v>
      </c>
      <c r="CL105" s="78"/>
      <c r="CM105" s="78"/>
      <c r="CN105" s="78"/>
    </row>
    <row r="106" spans="1:92" ht="26.25" customHeight="1">
      <c r="A106" s="170" t="s">
        <v>204</v>
      </c>
      <c r="B106" s="96" t="s">
        <v>304</v>
      </c>
      <c r="C106" s="102" t="s">
        <v>328</v>
      </c>
      <c r="D106" s="139" t="s">
        <v>1466</v>
      </c>
      <c r="E106" s="136"/>
      <c r="F106" s="102" t="s">
        <v>307</v>
      </c>
      <c r="G106" s="102" t="s">
        <v>1467</v>
      </c>
      <c r="H106" s="102" t="s">
        <v>1468</v>
      </c>
      <c r="I106" s="136"/>
      <c r="J106" s="185" t="s">
        <v>212</v>
      </c>
      <c r="K106" s="136"/>
      <c r="L106" s="185" t="s">
        <v>1469</v>
      </c>
      <c r="M106" s="167">
        <v>50.791607779429398</v>
      </c>
      <c r="N106" s="167">
        <v>-3.4574243064238401</v>
      </c>
      <c r="O106" s="78"/>
      <c r="P106" s="96" t="s">
        <v>214</v>
      </c>
      <c r="Q106" s="105" t="b">
        <v>1</v>
      </c>
      <c r="R106" s="181">
        <v>0.41666666666666669</v>
      </c>
      <c r="S106" s="181">
        <v>0.70833333333333337</v>
      </c>
      <c r="T106" s="150" t="s">
        <v>215</v>
      </c>
      <c r="U106" s="150" t="s">
        <v>215</v>
      </c>
      <c r="V106" s="150" t="s">
        <v>215</v>
      </c>
      <c r="W106" s="150" t="s">
        <v>215</v>
      </c>
      <c r="X106" s="150" t="s">
        <v>215</v>
      </c>
      <c r="Y106" s="150" t="s">
        <v>215</v>
      </c>
      <c r="Z106" s="150" t="s">
        <v>215</v>
      </c>
      <c r="AA106" s="150" t="s">
        <v>215</v>
      </c>
      <c r="AB106" s="150" t="s">
        <v>215</v>
      </c>
      <c r="AC106" s="150" t="s">
        <v>215</v>
      </c>
      <c r="AD106" s="150" t="s">
        <v>215</v>
      </c>
      <c r="AE106" s="150" t="s">
        <v>215</v>
      </c>
      <c r="AF106" s="150" t="s">
        <v>215</v>
      </c>
      <c r="AG106" s="150" t="s">
        <v>215</v>
      </c>
      <c r="AH106" s="78"/>
      <c r="AI106" s="78"/>
      <c r="AJ106" s="105" t="b">
        <v>1</v>
      </c>
      <c r="AK106" s="105" t="b">
        <v>1</v>
      </c>
      <c r="AL106" s="96" t="s">
        <v>1470</v>
      </c>
      <c r="AM106" s="96" t="s">
        <v>1471</v>
      </c>
      <c r="AN106" s="102" t="s">
        <v>215</v>
      </c>
      <c r="AO106" s="188" t="s">
        <v>215</v>
      </c>
      <c r="AP106" s="188" t="s">
        <v>215</v>
      </c>
      <c r="AQ106" s="188" t="s">
        <v>215</v>
      </c>
      <c r="AR106" s="102" t="s">
        <v>1206</v>
      </c>
      <c r="AS106" s="187">
        <v>0</v>
      </c>
      <c r="AT106" s="102" t="s">
        <v>338</v>
      </c>
      <c r="AU106" s="187">
        <v>9</v>
      </c>
      <c r="AV106" s="188" t="s">
        <v>339</v>
      </c>
      <c r="AW106" s="187">
        <v>18</v>
      </c>
      <c r="AX106" s="78"/>
      <c r="AY106" s="171"/>
      <c r="AZ106" s="102" t="s">
        <v>1472</v>
      </c>
      <c r="BA106" s="187">
        <v>45</v>
      </c>
      <c r="BB106" s="96" t="s">
        <v>1473</v>
      </c>
      <c r="BC106" s="96" t="s">
        <v>1474</v>
      </c>
      <c r="BD106" s="96" t="s">
        <v>1475</v>
      </c>
      <c r="BE106" s="96" t="s">
        <v>1476</v>
      </c>
      <c r="BF106" s="96" t="s">
        <v>222</v>
      </c>
      <c r="BG106" s="105" t="b">
        <v>1</v>
      </c>
      <c r="BH106" s="105" t="b">
        <v>1</v>
      </c>
      <c r="BI106" s="105" t="b">
        <v>1</v>
      </c>
      <c r="BJ106" s="105" t="b">
        <v>1</v>
      </c>
      <c r="BK106" s="105" t="b">
        <v>1</v>
      </c>
      <c r="BL106" s="105" t="b">
        <v>1</v>
      </c>
      <c r="BM106" s="105" t="b">
        <v>1</v>
      </c>
      <c r="BN106" s="96" t="s">
        <v>223</v>
      </c>
      <c r="BO106" s="96" t="s">
        <v>224</v>
      </c>
      <c r="BP106" s="96" t="s">
        <v>466</v>
      </c>
      <c r="BQ106" s="102" t="s">
        <v>1477</v>
      </c>
      <c r="BR106" s="96" t="s">
        <v>1478</v>
      </c>
      <c r="BS106" s="96" t="s">
        <v>1479</v>
      </c>
      <c r="BT106" s="102" t="s">
        <v>1480</v>
      </c>
      <c r="BU106" s="78"/>
      <c r="BV106" s="96" t="s">
        <v>347</v>
      </c>
      <c r="BW106" s="102" t="s">
        <v>1481</v>
      </c>
      <c r="BX106" s="96" t="s">
        <v>252</v>
      </c>
      <c r="BY106" s="78"/>
      <c r="BZ106" s="78"/>
      <c r="CA106" s="78"/>
      <c r="CB106" s="78"/>
      <c r="CC106" s="78"/>
      <c r="CD106" s="78"/>
      <c r="CE106" s="78"/>
      <c r="CF106" s="78"/>
      <c r="CG106" s="78"/>
      <c r="CH106" s="78"/>
      <c r="CI106" s="105" t="b">
        <v>0</v>
      </c>
      <c r="CJ106" s="105" t="b">
        <v>0</v>
      </c>
      <c r="CK106" s="105" t="b">
        <v>0</v>
      </c>
      <c r="CL106" s="78"/>
      <c r="CM106" s="78"/>
      <c r="CN106" s="78"/>
    </row>
    <row r="107" spans="1:92" ht="26.25" customHeight="1">
      <c r="A107" s="68"/>
      <c r="B107" s="96" t="s">
        <v>349</v>
      </c>
      <c r="C107" s="96" t="s">
        <v>350</v>
      </c>
      <c r="D107" s="185" t="s">
        <v>1482</v>
      </c>
      <c r="E107" s="136"/>
      <c r="F107" s="96" t="s">
        <v>208</v>
      </c>
      <c r="G107" s="102" t="s">
        <v>1483</v>
      </c>
      <c r="H107" s="102" t="s">
        <v>1484</v>
      </c>
      <c r="I107" s="185" t="s">
        <v>1485</v>
      </c>
      <c r="J107" s="185" t="s">
        <v>212</v>
      </c>
      <c r="K107" s="136"/>
      <c r="L107" s="185" t="s">
        <v>1486</v>
      </c>
      <c r="M107" s="167">
        <v>50.736917463726897</v>
      </c>
      <c r="N107" s="167">
        <v>-3.4911416600393901</v>
      </c>
      <c r="O107" s="78"/>
      <c r="P107" s="96" t="s">
        <v>214</v>
      </c>
      <c r="Q107" s="105" t="b">
        <v>0</v>
      </c>
      <c r="R107" s="150" t="s">
        <v>215</v>
      </c>
      <c r="S107" s="166" t="s">
        <v>215</v>
      </c>
      <c r="T107" s="181">
        <v>0.375</v>
      </c>
      <c r="U107" s="181">
        <v>0.875</v>
      </c>
      <c r="V107" s="181">
        <v>0.375</v>
      </c>
      <c r="W107" s="181">
        <v>0.875</v>
      </c>
      <c r="X107" s="181">
        <v>0.375</v>
      </c>
      <c r="Y107" s="181">
        <v>0.875</v>
      </c>
      <c r="Z107" s="181">
        <v>0.375</v>
      </c>
      <c r="AA107" s="181">
        <v>0.875</v>
      </c>
      <c r="AB107" s="181">
        <v>0.375</v>
      </c>
      <c r="AC107" s="181">
        <v>0.875</v>
      </c>
      <c r="AD107" s="181">
        <v>0.375</v>
      </c>
      <c r="AE107" s="181">
        <v>0.54166666666666663</v>
      </c>
      <c r="AF107" s="150" t="s">
        <v>1487</v>
      </c>
      <c r="AG107" s="181">
        <v>0.54166666666666663</v>
      </c>
      <c r="AH107" s="78"/>
      <c r="AI107" s="78"/>
      <c r="AJ107" s="105" t="b">
        <v>0</v>
      </c>
      <c r="AK107" s="105" t="b">
        <v>0</v>
      </c>
      <c r="AL107" s="96" t="s">
        <v>217</v>
      </c>
      <c r="AM107" s="78"/>
      <c r="AN107" s="102" t="s">
        <v>215</v>
      </c>
      <c r="AO107" s="188" t="s">
        <v>215</v>
      </c>
      <c r="AP107" s="188" t="s">
        <v>215</v>
      </c>
      <c r="AQ107" s="188" t="s">
        <v>215</v>
      </c>
      <c r="AR107" s="102" t="s">
        <v>215</v>
      </c>
      <c r="AS107" s="188" t="s">
        <v>215</v>
      </c>
      <c r="AT107" s="102" t="s">
        <v>215</v>
      </c>
      <c r="AU107" s="188" t="s">
        <v>215</v>
      </c>
      <c r="AV107" s="188" t="s">
        <v>215</v>
      </c>
      <c r="AW107" s="188" t="s">
        <v>215</v>
      </c>
      <c r="AX107" s="102" t="s">
        <v>215</v>
      </c>
      <c r="AY107" s="188" t="s">
        <v>215</v>
      </c>
      <c r="AZ107" s="102" t="s">
        <v>215</v>
      </c>
      <c r="BA107" s="188" t="s">
        <v>215</v>
      </c>
      <c r="BB107" s="96" t="s">
        <v>319</v>
      </c>
      <c r="BC107" s="96" t="s">
        <v>1488</v>
      </c>
      <c r="BD107" s="78"/>
      <c r="BE107" s="78"/>
      <c r="BF107" s="78"/>
      <c r="BG107" s="105" t="b">
        <v>0</v>
      </c>
      <c r="BH107" s="105" t="b">
        <v>0</v>
      </c>
      <c r="BI107" s="105" t="b">
        <v>0</v>
      </c>
      <c r="BJ107" s="105" t="b">
        <v>1</v>
      </c>
      <c r="BK107" s="105" t="b">
        <v>1</v>
      </c>
      <c r="BL107" s="105" t="b">
        <v>1</v>
      </c>
      <c r="BM107" s="105" t="b">
        <v>1</v>
      </c>
      <c r="BN107" s="96" t="s">
        <v>223</v>
      </c>
      <c r="BO107" s="96" t="s">
        <v>1489</v>
      </c>
      <c r="BP107" s="96" t="s">
        <v>286</v>
      </c>
      <c r="BQ107" s="102" t="s">
        <v>1490</v>
      </c>
      <c r="BR107" s="78"/>
      <c r="BS107" s="78"/>
      <c r="BT107" s="96" t="s">
        <v>734</v>
      </c>
      <c r="BU107" s="78"/>
      <c r="BV107" s="78"/>
      <c r="BW107" s="102" t="s">
        <v>1491</v>
      </c>
      <c r="BX107" s="96" t="s">
        <v>252</v>
      </c>
      <c r="BY107" s="78"/>
      <c r="BZ107" s="78"/>
      <c r="CA107" s="78"/>
      <c r="CB107" s="78"/>
      <c r="CC107" s="78"/>
      <c r="CD107" s="78"/>
      <c r="CE107" s="78"/>
      <c r="CF107" s="78"/>
      <c r="CG107" s="78"/>
      <c r="CH107" s="78"/>
      <c r="CI107" s="105" t="b">
        <v>0</v>
      </c>
      <c r="CJ107" s="105" t="b">
        <v>0</v>
      </c>
      <c r="CK107" s="105" t="b">
        <v>0</v>
      </c>
      <c r="CL107" s="78"/>
      <c r="CM107" s="78"/>
      <c r="CN107" s="78"/>
    </row>
    <row r="108" spans="1:92" ht="26.25" customHeight="1">
      <c r="A108" s="68"/>
      <c r="B108" s="96" t="s">
        <v>349</v>
      </c>
      <c r="C108" s="96" t="s">
        <v>350</v>
      </c>
      <c r="D108" s="185" t="s">
        <v>1492</v>
      </c>
      <c r="E108" s="136"/>
      <c r="F108" s="96" t="s">
        <v>208</v>
      </c>
      <c r="G108" s="102" t="s">
        <v>1493</v>
      </c>
      <c r="H108" s="102" t="s">
        <v>1494</v>
      </c>
      <c r="I108" s="185" t="s">
        <v>1495</v>
      </c>
      <c r="J108" s="185" t="s">
        <v>212</v>
      </c>
      <c r="K108" s="136"/>
      <c r="L108" s="185" t="s">
        <v>1496</v>
      </c>
      <c r="M108" s="167">
        <v>50.7704277384059</v>
      </c>
      <c r="N108" s="167">
        <v>-3.35837747116424</v>
      </c>
      <c r="O108" s="78"/>
      <c r="P108" s="96" t="s">
        <v>214</v>
      </c>
      <c r="Q108" s="105" t="b">
        <v>1</v>
      </c>
      <c r="R108" s="181">
        <v>0</v>
      </c>
      <c r="S108" s="182">
        <v>1</v>
      </c>
      <c r="T108" s="150" t="s">
        <v>215</v>
      </c>
      <c r="U108" s="150" t="s">
        <v>215</v>
      </c>
      <c r="V108" s="150" t="s">
        <v>215</v>
      </c>
      <c r="W108" s="150" t="s">
        <v>215</v>
      </c>
      <c r="X108" s="150" t="s">
        <v>215</v>
      </c>
      <c r="Y108" s="150" t="s">
        <v>215</v>
      </c>
      <c r="Z108" s="150" t="s">
        <v>215</v>
      </c>
      <c r="AA108" s="150" t="s">
        <v>215</v>
      </c>
      <c r="AB108" s="150" t="s">
        <v>215</v>
      </c>
      <c r="AC108" s="150" t="s">
        <v>215</v>
      </c>
      <c r="AD108" s="150" t="s">
        <v>215</v>
      </c>
      <c r="AE108" s="150" t="s">
        <v>215</v>
      </c>
      <c r="AF108" s="150" t="s">
        <v>215</v>
      </c>
      <c r="AG108" s="150" t="s">
        <v>215</v>
      </c>
      <c r="AH108" s="78"/>
      <c r="AI108" s="78"/>
      <c r="AJ108" s="105" t="b">
        <v>0</v>
      </c>
      <c r="AK108" s="105" t="b">
        <v>0</v>
      </c>
      <c r="AL108" s="96" t="s">
        <v>217</v>
      </c>
      <c r="AM108" s="78"/>
      <c r="AN108" s="102" t="s">
        <v>215</v>
      </c>
      <c r="AO108" s="188" t="s">
        <v>215</v>
      </c>
      <c r="AP108" s="188" t="s">
        <v>215</v>
      </c>
      <c r="AQ108" s="188" t="s">
        <v>215</v>
      </c>
      <c r="AR108" s="102" t="s">
        <v>215</v>
      </c>
      <c r="AS108" s="188" t="s">
        <v>215</v>
      </c>
      <c r="AT108" s="102" t="s">
        <v>215</v>
      </c>
      <c r="AU108" s="188" t="s">
        <v>215</v>
      </c>
      <c r="AV108" s="188" t="s">
        <v>215</v>
      </c>
      <c r="AW108" s="188" t="s">
        <v>215</v>
      </c>
      <c r="AX108" s="102" t="s">
        <v>215</v>
      </c>
      <c r="AY108" s="188" t="s">
        <v>215</v>
      </c>
      <c r="AZ108" s="102" t="s">
        <v>215</v>
      </c>
      <c r="BA108" s="188" t="s">
        <v>215</v>
      </c>
      <c r="BB108" s="96" t="s">
        <v>358</v>
      </c>
      <c r="BC108" s="96" t="s">
        <v>874</v>
      </c>
      <c r="BD108" s="96" t="s">
        <v>534</v>
      </c>
      <c r="BE108" s="96" t="s">
        <v>359</v>
      </c>
      <c r="BF108" s="78"/>
      <c r="BG108" s="105" t="b">
        <v>0</v>
      </c>
      <c r="BH108" s="105" t="b">
        <v>0</v>
      </c>
      <c r="BI108" s="105" t="b">
        <v>1</v>
      </c>
      <c r="BJ108" s="105" t="b">
        <v>1</v>
      </c>
      <c r="BK108" s="105" t="b">
        <v>1</v>
      </c>
      <c r="BL108" s="105" t="b">
        <v>0</v>
      </c>
      <c r="BM108" s="105" t="b">
        <v>0</v>
      </c>
      <c r="BN108" s="96" t="s">
        <v>223</v>
      </c>
      <c r="BO108" s="96" t="s">
        <v>1497</v>
      </c>
      <c r="BP108" s="96" t="s">
        <v>286</v>
      </c>
      <c r="BQ108" s="102" t="s">
        <v>1498</v>
      </c>
      <c r="BR108" s="78"/>
      <c r="BS108" s="78"/>
      <c r="BT108" s="96" t="s">
        <v>1499</v>
      </c>
      <c r="BU108" s="78"/>
      <c r="BV108" s="78"/>
      <c r="BW108" s="102" t="s">
        <v>1500</v>
      </c>
      <c r="BX108" s="96" t="s">
        <v>252</v>
      </c>
      <c r="BY108" s="78"/>
      <c r="BZ108" s="78"/>
      <c r="CA108" s="78"/>
      <c r="CB108" s="78"/>
      <c r="CC108" s="78"/>
      <c r="CD108" s="78"/>
      <c r="CE108" s="78"/>
      <c r="CF108" s="78"/>
      <c r="CG108" s="78"/>
      <c r="CH108" s="78"/>
      <c r="CI108" s="105" t="b">
        <v>0</v>
      </c>
      <c r="CJ108" s="105" t="b">
        <v>0</v>
      </c>
      <c r="CK108" s="105" t="b">
        <v>0</v>
      </c>
      <c r="CL108" s="78"/>
      <c r="CM108" s="78"/>
      <c r="CN108" s="78"/>
    </row>
    <row r="109" spans="1:92" ht="26.25" customHeight="1">
      <c r="A109" s="68"/>
      <c r="B109" s="96" t="s">
        <v>349</v>
      </c>
      <c r="C109" s="96" t="s">
        <v>364</v>
      </c>
      <c r="D109" s="185" t="s">
        <v>1501</v>
      </c>
      <c r="E109" s="136"/>
      <c r="F109" s="96" t="s">
        <v>208</v>
      </c>
      <c r="G109" s="102" t="s">
        <v>1502</v>
      </c>
      <c r="H109" s="102" t="s">
        <v>1503</v>
      </c>
      <c r="I109" s="185" t="s">
        <v>1495</v>
      </c>
      <c r="J109" s="185" t="s">
        <v>212</v>
      </c>
      <c r="K109" s="136"/>
      <c r="L109" s="185" t="s">
        <v>1496</v>
      </c>
      <c r="M109" s="167">
        <v>50.770348247187698</v>
      </c>
      <c r="N109" s="167">
        <v>-3.3565368600379699</v>
      </c>
      <c r="O109" s="78"/>
      <c r="P109" s="96" t="s">
        <v>214</v>
      </c>
      <c r="Q109" s="105" t="b">
        <v>1</v>
      </c>
      <c r="R109" s="181">
        <v>0</v>
      </c>
      <c r="S109" s="182">
        <v>1</v>
      </c>
      <c r="T109" s="150" t="s">
        <v>215</v>
      </c>
      <c r="U109" s="150" t="s">
        <v>215</v>
      </c>
      <c r="V109" s="150" t="s">
        <v>215</v>
      </c>
      <c r="W109" s="150" t="s">
        <v>215</v>
      </c>
      <c r="X109" s="150" t="s">
        <v>215</v>
      </c>
      <c r="Y109" s="150" t="s">
        <v>215</v>
      </c>
      <c r="Z109" s="150" t="s">
        <v>215</v>
      </c>
      <c r="AA109" s="150" t="s">
        <v>215</v>
      </c>
      <c r="AB109" s="150" t="s">
        <v>215</v>
      </c>
      <c r="AC109" s="150" t="s">
        <v>215</v>
      </c>
      <c r="AD109" s="150" t="s">
        <v>215</v>
      </c>
      <c r="AE109" s="150" t="s">
        <v>215</v>
      </c>
      <c r="AF109" s="150" t="s">
        <v>215</v>
      </c>
      <c r="AG109" s="150" t="s">
        <v>215</v>
      </c>
      <c r="AH109" s="78"/>
      <c r="AI109" s="78"/>
      <c r="AJ109" s="105" t="b">
        <v>0</v>
      </c>
      <c r="AK109" s="105" t="b">
        <v>0</v>
      </c>
      <c r="AL109" s="96" t="s">
        <v>217</v>
      </c>
      <c r="AM109" s="78"/>
      <c r="AN109" s="102" t="s">
        <v>215</v>
      </c>
      <c r="AO109" s="188" t="s">
        <v>215</v>
      </c>
      <c r="AP109" s="188" t="s">
        <v>215</v>
      </c>
      <c r="AQ109" s="188" t="s">
        <v>215</v>
      </c>
      <c r="AR109" s="102" t="s">
        <v>215</v>
      </c>
      <c r="AS109" s="188" t="s">
        <v>215</v>
      </c>
      <c r="AT109" s="102" t="s">
        <v>215</v>
      </c>
      <c r="AU109" s="188" t="s">
        <v>215</v>
      </c>
      <c r="AV109" s="188" t="s">
        <v>215</v>
      </c>
      <c r="AW109" s="188" t="s">
        <v>215</v>
      </c>
      <c r="AX109" s="102" t="s">
        <v>215</v>
      </c>
      <c r="AY109" s="188" t="s">
        <v>215</v>
      </c>
      <c r="AZ109" s="102" t="s">
        <v>215</v>
      </c>
      <c r="BA109" s="188" t="s">
        <v>215</v>
      </c>
      <c r="BB109" s="96" t="s">
        <v>358</v>
      </c>
      <c r="BC109" s="96" t="s">
        <v>243</v>
      </c>
      <c r="BD109" s="96" t="s">
        <v>534</v>
      </c>
      <c r="BE109" s="96" t="s">
        <v>359</v>
      </c>
      <c r="BF109" s="78"/>
      <c r="BG109" s="105" t="b">
        <v>0</v>
      </c>
      <c r="BH109" s="105" t="b">
        <v>1</v>
      </c>
      <c r="BI109" s="105" t="b">
        <v>1</v>
      </c>
      <c r="BJ109" s="105" t="b">
        <v>1</v>
      </c>
      <c r="BK109" s="105" t="b">
        <v>0</v>
      </c>
      <c r="BL109" s="105" t="b">
        <v>0</v>
      </c>
      <c r="BM109" s="105" t="b">
        <v>0</v>
      </c>
      <c r="BN109" s="96" t="s">
        <v>223</v>
      </c>
      <c r="BO109" s="96" t="s">
        <v>1489</v>
      </c>
      <c r="BP109" s="96" t="s">
        <v>379</v>
      </c>
      <c r="BQ109" s="102" t="s">
        <v>1504</v>
      </c>
      <c r="BR109" s="78"/>
      <c r="BS109" s="78"/>
      <c r="BT109" s="96" t="s">
        <v>1505</v>
      </c>
      <c r="BU109" s="78"/>
      <c r="BV109" s="78"/>
      <c r="BW109" s="102" t="s">
        <v>1506</v>
      </c>
      <c r="BX109" s="96" t="s">
        <v>252</v>
      </c>
      <c r="BY109" s="78"/>
      <c r="BZ109" s="78"/>
      <c r="CA109" s="78"/>
      <c r="CB109" s="78"/>
      <c r="CC109" s="78"/>
      <c r="CD109" s="78"/>
      <c r="CE109" s="78"/>
      <c r="CF109" s="78"/>
      <c r="CG109" s="78"/>
      <c r="CH109" s="78"/>
      <c r="CI109" s="105" t="b">
        <v>0</v>
      </c>
      <c r="CJ109" s="105" t="b">
        <v>0</v>
      </c>
      <c r="CK109" s="105" t="b">
        <v>0</v>
      </c>
      <c r="CL109" s="78"/>
      <c r="CM109" s="78"/>
      <c r="CN109" s="78"/>
    </row>
    <row r="110" spans="1:92" ht="26.25" customHeight="1">
      <c r="A110" s="68"/>
      <c r="B110" s="96" t="s">
        <v>1055</v>
      </c>
      <c r="C110" s="96" t="s">
        <v>1507</v>
      </c>
      <c r="D110" s="185" t="s">
        <v>1508</v>
      </c>
      <c r="E110" s="136"/>
      <c r="F110" s="96" t="s">
        <v>104</v>
      </c>
      <c r="G110" s="102" t="s">
        <v>1509</v>
      </c>
      <c r="H110" s="102" t="s">
        <v>1510</v>
      </c>
      <c r="I110" s="185" t="s">
        <v>1511</v>
      </c>
      <c r="J110" s="185" t="s">
        <v>1512</v>
      </c>
      <c r="K110" s="136"/>
      <c r="L110" s="185" t="s">
        <v>1513</v>
      </c>
      <c r="M110" s="167">
        <v>50.464628961560003</v>
      </c>
      <c r="N110" s="167">
        <v>-3.5392934735436499</v>
      </c>
      <c r="O110" s="78"/>
      <c r="P110" s="96" t="s">
        <v>214</v>
      </c>
      <c r="Q110" s="105" t="b">
        <v>0</v>
      </c>
      <c r="R110" s="150" t="s">
        <v>215</v>
      </c>
      <c r="S110" s="166" t="s">
        <v>215</v>
      </c>
      <c r="T110" s="181">
        <v>0.27083333333333331</v>
      </c>
      <c r="U110" s="181">
        <v>0.875</v>
      </c>
      <c r="V110" s="181">
        <v>0.27083333333333331</v>
      </c>
      <c r="W110" s="181">
        <v>0.875</v>
      </c>
      <c r="X110" s="181">
        <v>0.27083333333333331</v>
      </c>
      <c r="Y110" s="181">
        <v>0.875</v>
      </c>
      <c r="Z110" s="181">
        <v>0.27083333333333331</v>
      </c>
      <c r="AA110" s="181">
        <v>0.875</v>
      </c>
      <c r="AB110" s="181">
        <v>0.27083333333333331</v>
      </c>
      <c r="AC110" s="181">
        <v>0.875</v>
      </c>
      <c r="AD110" s="181">
        <v>0.3125</v>
      </c>
      <c r="AE110" s="181">
        <v>0.70833333333333337</v>
      </c>
      <c r="AF110" s="181">
        <v>0.35416666666666669</v>
      </c>
      <c r="AG110" s="181">
        <v>0.75</v>
      </c>
      <c r="AH110" s="78"/>
      <c r="AI110" s="78"/>
      <c r="AJ110" s="105" t="b">
        <v>1</v>
      </c>
      <c r="AK110" s="105" t="b">
        <v>1</v>
      </c>
      <c r="AL110" s="96" t="s">
        <v>1155</v>
      </c>
      <c r="AM110" s="96" t="s">
        <v>1514</v>
      </c>
      <c r="AN110" s="102" t="s">
        <v>215</v>
      </c>
      <c r="AO110" s="188" t="s">
        <v>215</v>
      </c>
      <c r="AP110" s="188" t="s">
        <v>215</v>
      </c>
      <c r="AQ110" s="188" t="s">
        <v>215</v>
      </c>
      <c r="AR110" s="102" t="s">
        <v>637</v>
      </c>
      <c r="AS110" s="187">
        <v>0</v>
      </c>
      <c r="AT110" s="102" t="s">
        <v>929</v>
      </c>
      <c r="AU110" s="187">
        <v>6.1</v>
      </c>
      <c r="AV110" s="188" t="s">
        <v>316</v>
      </c>
      <c r="AW110" s="187">
        <v>7.4</v>
      </c>
      <c r="AX110" s="102" t="s">
        <v>1515</v>
      </c>
      <c r="AY110" s="187">
        <v>6.1</v>
      </c>
      <c r="AZ110" s="102" t="s">
        <v>215</v>
      </c>
      <c r="BA110" s="188" t="s">
        <v>215</v>
      </c>
      <c r="BB110" s="96" t="s">
        <v>1010</v>
      </c>
      <c r="BC110" s="96" t="s">
        <v>1516</v>
      </c>
      <c r="BD110" s="96" t="s">
        <v>1158</v>
      </c>
      <c r="BE110" s="96" t="s">
        <v>465</v>
      </c>
      <c r="BF110" s="78"/>
      <c r="BG110" s="105" t="b">
        <v>0</v>
      </c>
      <c r="BH110" s="105" t="b">
        <v>0</v>
      </c>
      <c r="BI110" s="105" t="b">
        <v>1</v>
      </c>
      <c r="BJ110" s="105" t="b">
        <v>1</v>
      </c>
      <c r="BK110" s="105" t="b">
        <v>1</v>
      </c>
      <c r="BL110" s="105" t="b">
        <v>1</v>
      </c>
      <c r="BM110" s="105" t="b">
        <v>1</v>
      </c>
      <c r="BN110" s="96" t="s">
        <v>244</v>
      </c>
      <c r="BO110" s="96" t="s">
        <v>1517</v>
      </c>
      <c r="BP110" s="96" t="s">
        <v>579</v>
      </c>
      <c r="BQ110" s="102" t="s">
        <v>1518</v>
      </c>
      <c r="BR110" s="78"/>
      <c r="BS110" s="78"/>
      <c r="BT110" s="96" t="s">
        <v>1519</v>
      </c>
      <c r="BU110" s="78"/>
      <c r="BV110" s="78"/>
      <c r="BW110" s="102" t="s">
        <v>1520</v>
      </c>
      <c r="BX110" s="96" t="s">
        <v>252</v>
      </c>
      <c r="BY110" s="78"/>
      <c r="BZ110" s="78"/>
      <c r="CA110" s="78"/>
      <c r="CB110" s="78"/>
      <c r="CC110" s="78"/>
      <c r="CD110" s="78"/>
      <c r="CE110" s="78"/>
      <c r="CF110" s="78"/>
      <c r="CG110" s="78"/>
      <c r="CH110" s="78"/>
      <c r="CI110" s="105" t="b">
        <v>0</v>
      </c>
      <c r="CJ110" s="105" t="b">
        <v>0</v>
      </c>
      <c r="CK110" s="105" t="b">
        <v>0</v>
      </c>
      <c r="CL110" s="78"/>
      <c r="CM110" s="78"/>
      <c r="CN110" s="78"/>
    </row>
    <row r="111" spans="1:92" ht="26.25" customHeight="1">
      <c r="A111" s="68"/>
      <c r="B111" s="96" t="s">
        <v>349</v>
      </c>
      <c r="C111" s="96" t="s">
        <v>364</v>
      </c>
      <c r="D111" s="185" t="s">
        <v>1521</v>
      </c>
      <c r="E111" s="136"/>
      <c r="F111" s="96" t="s">
        <v>104</v>
      </c>
      <c r="G111" s="102" t="s">
        <v>1522</v>
      </c>
      <c r="H111" s="102" t="s">
        <v>1523</v>
      </c>
      <c r="I111" s="136"/>
      <c r="J111" s="185" t="s">
        <v>212</v>
      </c>
      <c r="K111" s="136"/>
      <c r="L111" s="185" t="s">
        <v>1524</v>
      </c>
      <c r="M111" s="167">
        <v>50.727907589344497</v>
      </c>
      <c r="N111" s="167">
        <v>-3.5176832404553999</v>
      </c>
      <c r="O111" s="78"/>
      <c r="P111" s="96" t="s">
        <v>214</v>
      </c>
      <c r="Q111" s="105" t="b">
        <v>1</v>
      </c>
      <c r="R111" s="181">
        <v>0</v>
      </c>
      <c r="S111" s="182">
        <v>1</v>
      </c>
      <c r="T111" s="150" t="s">
        <v>215</v>
      </c>
      <c r="U111" s="150" t="s">
        <v>215</v>
      </c>
      <c r="V111" s="150" t="s">
        <v>215</v>
      </c>
      <c r="W111" s="150" t="s">
        <v>215</v>
      </c>
      <c r="X111" s="150" t="s">
        <v>215</v>
      </c>
      <c r="Y111" s="150" t="s">
        <v>215</v>
      </c>
      <c r="Z111" s="150" t="s">
        <v>215</v>
      </c>
      <c r="AA111" s="150" t="s">
        <v>215</v>
      </c>
      <c r="AB111" s="150" t="s">
        <v>215</v>
      </c>
      <c r="AC111" s="150" t="s">
        <v>215</v>
      </c>
      <c r="AD111" s="150" t="s">
        <v>215</v>
      </c>
      <c r="AE111" s="150" t="s">
        <v>215</v>
      </c>
      <c r="AF111" s="150" t="s">
        <v>215</v>
      </c>
      <c r="AG111" s="150" t="s">
        <v>215</v>
      </c>
      <c r="AH111" s="78"/>
      <c r="AI111" s="78"/>
      <c r="AJ111" s="105" t="b">
        <v>0</v>
      </c>
      <c r="AK111" s="105" t="b">
        <v>0</v>
      </c>
      <c r="AL111" s="96" t="s">
        <v>217</v>
      </c>
      <c r="AM111" s="78"/>
      <c r="AN111" s="102" t="s">
        <v>215</v>
      </c>
      <c r="AO111" s="188" t="s">
        <v>215</v>
      </c>
      <c r="AP111" s="188" t="s">
        <v>215</v>
      </c>
      <c r="AQ111" s="188" t="s">
        <v>215</v>
      </c>
      <c r="AR111" s="102" t="s">
        <v>215</v>
      </c>
      <c r="AS111" s="188" t="s">
        <v>215</v>
      </c>
      <c r="AT111" s="102" t="s">
        <v>215</v>
      </c>
      <c r="AU111" s="188" t="s">
        <v>215</v>
      </c>
      <c r="AV111" s="188" t="s">
        <v>215</v>
      </c>
      <c r="AW111" s="188" t="s">
        <v>215</v>
      </c>
      <c r="AX111" s="102" t="s">
        <v>215</v>
      </c>
      <c r="AY111" s="188" t="s">
        <v>215</v>
      </c>
      <c r="AZ111" s="102" t="s">
        <v>215</v>
      </c>
      <c r="BA111" s="188" t="s">
        <v>215</v>
      </c>
      <c r="BB111" s="96" t="s">
        <v>917</v>
      </c>
      <c r="BC111" s="96" t="s">
        <v>298</v>
      </c>
      <c r="BD111" s="78"/>
      <c r="BE111" s="78"/>
      <c r="BF111" s="96" t="s">
        <v>222</v>
      </c>
      <c r="BG111" s="105" t="b">
        <v>0</v>
      </c>
      <c r="BH111" s="105" t="b">
        <v>1</v>
      </c>
      <c r="BI111" s="105" t="b">
        <v>1</v>
      </c>
      <c r="BJ111" s="105" t="b">
        <v>1</v>
      </c>
      <c r="BK111" s="105" t="b">
        <v>1</v>
      </c>
      <c r="BL111" s="105" t="b">
        <v>0</v>
      </c>
      <c r="BM111" s="105" t="b">
        <v>0</v>
      </c>
      <c r="BN111" s="96" t="s">
        <v>223</v>
      </c>
      <c r="BO111" s="96" t="s">
        <v>1525</v>
      </c>
      <c r="BP111" s="96" t="s">
        <v>379</v>
      </c>
      <c r="BQ111" s="102" t="s">
        <v>1526</v>
      </c>
      <c r="BR111" s="78"/>
      <c r="BS111" s="78"/>
      <c r="BT111" s="96" t="s">
        <v>1527</v>
      </c>
      <c r="BU111" s="78"/>
      <c r="BV111" s="78"/>
      <c r="BW111" s="102" t="s">
        <v>1528</v>
      </c>
      <c r="BX111" s="96" t="s">
        <v>252</v>
      </c>
      <c r="BY111" s="78"/>
      <c r="BZ111" s="78"/>
      <c r="CA111" s="78"/>
      <c r="CB111" s="78"/>
      <c r="CC111" s="78"/>
      <c r="CD111" s="78"/>
      <c r="CE111" s="78"/>
      <c r="CF111" s="78"/>
      <c r="CG111" s="78"/>
      <c r="CH111" s="78"/>
      <c r="CI111" s="105" t="b">
        <v>0</v>
      </c>
      <c r="CJ111" s="105" t="b">
        <v>0</v>
      </c>
      <c r="CK111" s="105" t="b">
        <v>0</v>
      </c>
      <c r="CL111" s="78"/>
      <c r="CM111" s="78"/>
      <c r="CN111" s="78"/>
    </row>
    <row r="112" spans="1:92" ht="26.25" customHeight="1">
      <c r="A112" s="68"/>
      <c r="B112" s="96" t="s">
        <v>349</v>
      </c>
      <c r="C112" s="96" t="s">
        <v>364</v>
      </c>
      <c r="D112" s="185" t="s">
        <v>1529</v>
      </c>
      <c r="E112" s="136"/>
      <c r="F112" s="96" t="s">
        <v>208</v>
      </c>
      <c r="G112" s="102" t="s">
        <v>1530</v>
      </c>
      <c r="H112" s="102" t="s">
        <v>1531</v>
      </c>
      <c r="I112" s="185" t="s">
        <v>1532</v>
      </c>
      <c r="J112" s="185" t="s">
        <v>212</v>
      </c>
      <c r="K112" s="136"/>
      <c r="L112" s="185" t="s">
        <v>1533</v>
      </c>
      <c r="M112" s="167">
        <v>50.722316931058799</v>
      </c>
      <c r="N112" s="167">
        <v>-3.5009224901516398</v>
      </c>
      <c r="O112" s="78"/>
      <c r="P112" s="96" t="s">
        <v>214</v>
      </c>
      <c r="Q112" s="105" t="b">
        <v>1</v>
      </c>
      <c r="R112" s="181">
        <v>0</v>
      </c>
      <c r="S112" s="182">
        <v>1</v>
      </c>
      <c r="T112" s="150" t="s">
        <v>215</v>
      </c>
      <c r="U112" s="150" t="s">
        <v>215</v>
      </c>
      <c r="V112" s="150" t="s">
        <v>215</v>
      </c>
      <c r="W112" s="150" t="s">
        <v>215</v>
      </c>
      <c r="X112" s="150" t="s">
        <v>215</v>
      </c>
      <c r="Y112" s="150" t="s">
        <v>215</v>
      </c>
      <c r="Z112" s="150" t="s">
        <v>215</v>
      </c>
      <c r="AA112" s="150" t="s">
        <v>215</v>
      </c>
      <c r="AB112" s="150" t="s">
        <v>215</v>
      </c>
      <c r="AC112" s="150" t="s">
        <v>215</v>
      </c>
      <c r="AD112" s="150" t="s">
        <v>215</v>
      </c>
      <c r="AE112" s="150" t="s">
        <v>215</v>
      </c>
      <c r="AF112" s="150" t="s">
        <v>215</v>
      </c>
      <c r="AG112" s="150" t="s">
        <v>215</v>
      </c>
      <c r="AH112" s="78"/>
      <c r="AI112" s="78"/>
      <c r="AJ112" s="105" t="b">
        <v>0</v>
      </c>
      <c r="AK112" s="105" t="b">
        <v>0</v>
      </c>
      <c r="AL112" s="96" t="s">
        <v>217</v>
      </c>
      <c r="AM112" s="78"/>
      <c r="AN112" s="102" t="s">
        <v>215</v>
      </c>
      <c r="AO112" s="188" t="s">
        <v>215</v>
      </c>
      <c r="AP112" s="188" t="s">
        <v>215</v>
      </c>
      <c r="AQ112" s="188" t="s">
        <v>215</v>
      </c>
      <c r="AR112" s="102" t="s">
        <v>215</v>
      </c>
      <c r="AS112" s="188" t="s">
        <v>215</v>
      </c>
      <c r="AT112" s="102" t="s">
        <v>215</v>
      </c>
      <c r="AU112" s="188" t="s">
        <v>215</v>
      </c>
      <c r="AV112" s="188" t="s">
        <v>215</v>
      </c>
      <c r="AW112" s="188" t="s">
        <v>215</v>
      </c>
      <c r="AX112" s="102" t="s">
        <v>215</v>
      </c>
      <c r="AY112" s="188" t="s">
        <v>215</v>
      </c>
      <c r="AZ112" s="102" t="s">
        <v>215</v>
      </c>
      <c r="BA112" s="188" t="s">
        <v>215</v>
      </c>
      <c r="BB112" s="96" t="s">
        <v>358</v>
      </c>
      <c r="BC112" s="96" t="s">
        <v>1534</v>
      </c>
      <c r="BD112" s="78"/>
      <c r="BE112" s="96" t="s">
        <v>1535</v>
      </c>
      <c r="BF112" s="96" t="s">
        <v>222</v>
      </c>
      <c r="BG112" s="105" t="b">
        <v>0</v>
      </c>
      <c r="BH112" s="105" t="b">
        <v>1</v>
      </c>
      <c r="BI112" s="105" t="b">
        <v>1</v>
      </c>
      <c r="BJ112" s="105" t="b">
        <v>1</v>
      </c>
      <c r="BK112" s="105" t="b">
        <v>1</v>
      </c>
      <c r="BL112" s="105" t="b">
        <v>0</v>
      </c>
      <c r="BM112" s="105" t="b">
        <v>0</v>
      </c>
      <c r="BN112" s="96" t="s">
        <v>223</v>
      </c>
      <c r="BO112" s="96" t="s">
        <v>1536</v>
      </c>
      <c r="BP112" s="96" t="s">
        <v>886</v>
      </c>
      <c r="BQ112" s="102" t="s">
        <v>1537</v>
      </c>
      <c r="BR112" s="96" t="s">
        <v>270</v>
      </c>
      <c r="BS112" s="96" t="s">
        <v>1538</v>
      </c>
      <c r="BT112" s="96" t="s">
        <v>1539</v>
      </c>
      <c r="BU112" s="78"/>
      <c r="BV112" s="96" t="s">
        <v>1368</v>
      </c>
      <c r="BW112" s="102" t="s">
        <v>1540</v>
      </c>
      <c r="BX112" s="96" t="s">
        <v>252</v>
      </c>
      <c r="BY112" s="78"/>
      <c r="BZ112" s="78"/>
      <c r="CA112" s="78"/>
      <c r="CB112" s="78"/>
      <c r="CC112" s="78"/>
      <c r="CD112" s="78"/>
      <c r="CE112" s="78"/>
      <c r="CF112" s="78"/>
      <c r="CG112" s="78"/>
      <c r="CH112" s="78"/>
      <c r="CI112" s="105" t="b">
        <v>0</v>
      </c>
      <c r="CJ112" s="105" t="b">
        <v>0</v>
      </c>
      <c r="CK112" s="105" t="b">
        <v>0</v>
      </c>
      <c r="CL112" s="78"/>
      <c r="CM112" s="78"/>
      <c r="CN112" s="78"/>
    </row>
    <row r="113" spans="1:92" ht="26.25" customHeight="1">
      <c r="A113" s="68"/>
      <c r="B113" s="96" t="s">
        <v>205</v>
      </c>
      <c r="C113" s="96" t="s">
        <v>206</v>
      </c>
      <c r="D113" s="185" t="s">
        <v>1541</v>
      </c>
      <c r="E113" s="136"/>
      <c r="F113" s="96" t="s">
        <v>208</v>
      </c>
      <c r="G113" s="102" t="s">
        <v>1542</v>
      </c>
      <c r="H113" s="102" t="s">
        <v>1543</v>
      </c>
      <c r="I113" s="136"/>
      <c r="J113" s="185" t="s">
        <v>212</v>
      </c>
      <c r="K113" s="136"/>
      <c r="L113" s="185" t="s">
        <v>1544</v>
      </c>
      <c r="M113" s="167">
        <v>50.740465016514499</v>
      </c>
      <c r="N113" s="167">
        <v>-3.51128075864513</v>
      </c>
      <c r="O113" s="78"/>
      <c r="P113" s="96" t="s">
        <v>214</v>
      </c>
      <c r="Q113" s="105" t="b">
        <v>1</v>
      </c>
      <c r="R113" s="181">
        <v>0</v>
      </c>
      <c r="S113" s="182">
        <v>1</v>
      </c>
      <c r="T113" s="150" t="s">
        <v>215</v>
      </c>
      <c r="U113" s="150" t="s">
        <v>215</v>
      </c>
      <c r="V113" s="150" t="s">
        <v>215</v>
      </c>
      <c r="W113" s="150" t="s">
        <v>215</v>
      </c>
      <c r="X113" s="150" t="s">
        <v>215</v>
      </c>
      <c r="Y113" s="150" t="s">
        <v>215</v>
      </c>
      <c r="Z113" s="150" t="s">
        <v>215</v>
      </c>
      <c r="AA113" s="150" t="s">
        <v>215</v>
      </c>
      <c r="AB113" s="150" t="s">
        <v>215</v>
      </c>
      <c r="AC113" s="150" t="s">
        <v>215</v>
      </c>
      <c r="AD113" s="150" t="s">
        <v>215</v>
      </c>
      <c r="AE113" s="150" t="s">
        <v>215</v>
      </c>
      <c r="AF113" s="150" t="s">
        <v>215</v>
      </c>
      <c r="AG113" s="150" t="s">
        <v>215</v>
      </c>
      <c r="AH113" s="78"/>
      <c r="AI113" s="78"/>
      <c r="AJ113" s="105" t="b">
        <v>0</v>
      </c>
      <c r="AK113" s="105" t="b">
        <v>0</v>
      </c>
      <c r="AL113" s="96" t="s">
        <v>217</v>
      </c>
      <c r="AM113" s="78"/>
      <c r="AN113" s="102" t="s">
        <v>215</v>
      </c>
      <c r="AO113" s="188" t="s">
        <v>215</v>
      </c>
      <c r="AP113" s="188" t="s">
        <v>215</v>
      </c>
      <c r="AQ113" s="188" t="s">
        <v>215</v>
      </c>
      <c r="AR113" s="102" t="s">
        <v>215</v>
      </c>
      <c r="AS113" s="188" t="s">
        <v>215</v>
      </c>
      <c r="AT113" s="102" t="s">
        <v>215</v>
      </c>
      <c r="AU113" s="188" t="s">
        <v>215</v>
      </c>
      <c r="AV113" s="188" t="s">
        <v>215</v>
      </c>
      <c r="AW113" s="188" t="s">
        <v>215</v>
      </c>
      <c r="AX113" s="102" t="s">
        <v>215</v>
      </c>
      <c r="AY113" s="188" t="s">
        <v>215</v>
      </c>
      <c r="AZ113" s="102" t="s">
        <v>215</v>
      </c>
      <c r="BA113" s="188" t="s">
        <v>215</v>
      </c>
      <c r="BB113" s="96" t="s">
        <v>416</v>
      </c>
      <c r="BC113" s="96" t="s">
        <v>298</v>
      </c>
      <c r="BD113" s="78"/>
      <c r="BE113" s="78"/>
      <c r="BF113" s="78"/>
      <c r="BG113" s="105" t="b">
        <v>1</v>
      </c>
      <c r="BH113" s="105" t="b">
        <v>1</v>
      </c>
      <c r="BI113" s="105" t="b">
        <v>1</v>
      </c>
      <c r="BJ113" s="105" t="b">
        <v>1</v>
      </c>
      <c r="BK113" s="105" t="b">
        <v>1</v>
      </c>
      <c r="BL113" s="105" t="b">
        <v>1</v>
      </c>
      <c r="BM113" s="105" t="b">
        <v>1</v>
      </c>
      <c r="BN113" s="96" t="s">
        <v>223</v>
      </c>
      <c r="BO113" s="96" t="s">
        <v>1545</v>
      </c>
      <c r="BP113" s="96" t="s">
        <v>286</v>
      </c>
      <c r="BQ113" s="102" t="s">
        <v>1546</v>
      </c>
      <c r="BR113" s="78"/>
      <c r="BS113" s="96" t="s">
        <v>1547</v>
      </c>
      <c r="BT113" s="96" t="s">
        <v>1548</v>
      </c>
      <c r="BU113" s="78"/>
      <c r="BV113" s="96" t="s">
        <v>1549</v>
      </c>
      <c r="BW113" s="102" t="s">
        <v>1550</v>
      </c>
      <c r="BX113" s="96" t="s">
        <v>252</v>
      </c>
      <c r="BY113" s="78"/>
      <c r="BZ113" s="78"/>
      <c r="CA113" s="78"/>
      <c r="CB113" s="78"/>
      <c r="CC113" s="78"/>
      <c r="CD113" s="78"/>
      <c r="CE113" s="78"/>
      <c r="CF113" s="78"/>
      <c r="CG113" s="78"/>
      <c r="CH113" s="78"/>
      <c r="CI113" s="105" t="b">
        <v>0</v>
      </c>
      <c r="CJ113" s="105" t="b">
        <v>0</v>
      </c>
      <c r="CK113" s="105" t="b">
        <v>0</v>
      </c>
      <c r="CL113" s="78"/>
      <c r="CM113" s="78"/>
      <c r="CN113" s="78"/>
    </row>
    <row r="114" spans="1:92" ht="26.25" customHeight="1">
      <c r="A114" s="68"/>
      <c r="B114" s="96" t="s">
        <v>205</v>
      </c>
      <c r="C114" s="96" t="s">
        <v>206</v>
      </c>
      <c r="D114" s="185" t="s">
        <v>1551</v>
      </c>
      <c r="E114" s="136"/>
      <c r="F114" s="96" t="s">
        <v>208</v>
      </c>
      <c r="G114" s="102" t="s">
        <v>1552</v>
      </c>
      <c r="H114" s="102" t="s">
        <v>1553</v>
      </c>
      <c r="I114" s="136"/>
      <c r="J114" s="185" t="s">
        <v>356</v>
      </c>
      <c r="K114" s="136"/>
      <c r="L114" s="185" t="s">
        <v>1554</v>
      </c>
      <c r="M114" s="167">
        <v>50.521152763334598</v>
      </c>
      <c r="N114" s="167">
        <v>-3.60015160801253</v>
      </c>
      <c r="O114" s="78"/>
      <c r="P114" s="96" t="s">
        <v>1299</v>
      </c>
      <c r="Q114" s="105" t="b">
        <v>0</v>
      </c>
      <c r="R114" s="150" t="s">
        <v>215</v>
      </c>
      <c r="S114" s="166" t="s">
        <v>215</v>
      </c>
      <c r="T114" s="181">
        <v>0.375</v>
      </c>
      <c r="U114" s="181">
        <v>0.75</v>
      </c>
      <c r="V114" s="181">
        <v>0.375</v>
      </c>
      <c r="W114" s="181">
        <v>0.75</v>
      </c>
      <c r="X114" s="181">
        <v>0.375</v>
      </c>
      <c r="Y114" s="181">
        <v>0.75</v>
      </c>
      <c r="Z114" s="181">
        <v>0.375</v>
      </c>
      <c r="AA114" s="181">
        <v>0.75</v>
      </c>
      <c r="AB114" s="181">
        <v>0.375</v>
      </c>
      <c r="AC114" s="181">
        <v>0.75</v>
      </c>
      <c r="AD114" s="181">
        <v>0.41666666666666669</v>
      </c>
      <c r="AE114" s="181">
        <v>0.66666666666666663</v>
      </c>
      <c r="AF114" s="181">
        <v>0.41666666666666669</v>
      </c>
      <c r="AG114" s="181">
        <v>0.66666666666666663</v>
      </c>
      <c r="AH114" s="78"/>
      <c r="AI114" s="78"/>
      <c r="AJ114" s="105" t="b">
        <v>0</v>
      </c>
      <c r="AK114" s="105" t="b">
        <v>0</v>
      </c>
      <c r="AL114" s="96" t="s">
        <v>217</v>
      </c>
      <c r="AM114" s="78"/>
      <c r="AN114" s="102" t="s">
        <v>215</v>
      </c>
      <c r="AO114" s="188" t="s">
        <v>215</v>
      </c>
      <c r="AP114" s="188" t="s">
        <v>215</v>
      </c>
      <c r="AQ114" s="188" t="s">
        <v>215</v>
      </c>
      <c r="AR114" s="102" t="s">
        <v>215</v>
      </c>
      <c r="AS114" s="188" t="s">
        <v>215</v>
      </c>
      <c r="AT114" s="102" t="s">
        <v>215</v>
      </c>
      <c r="AU114" s="188" t="s">
        <v>215</v>
      </c>
      <c r="AV114" s="188" t="s">
        <v>215</v>
      </c>
      <c r="AW114" s="188" t="s">
        <v>215</v>
      </c>
      <c r="AX114" s="102" t="s">
        <v>215</v>
      </c>
      <c r="AY114" s="188" t="s">
        <v>215</v>
      </c>
      <c r="AZ114" s="102" t="s">
        <v>215</v>
      </c>
      <c r="BA114" s="188" t="s">
        <v>215</v>
      </c>
      <c r="BB114" s="96" t="s">
        <v>1010</v>
      </c>
      <c r="BC114" s="96" t="s">
        <v>1555</v>
      </c>
      <c r="BD114" s="96" t="s">
        <v>1556</v>
      </c>
      <c r="BE114" s="96" t="s">
        <v>1313</v>
      </c>
      <c r="BF114" s="96" t="s">
        <v>360</v>
      </c>
      <c r="BG114" s="105" t="b">
        <v>1</v>
      </c>
      <c r="BH114" s="105" t="b">
        <v>1</v>
      </c>
      <c r="BI114" s="105" t="b">
        <v>1</v>
      </c>
      <c r="BJ114" s="105" t="b">
        <v>1</v>
      </c>
      <c r="BK114" s="105" t="b">
        <v>1</v>
      </c>
      <c r="BL114" s="105" t="b">
        <v>1</v>
      </c>
      <c r="BM114" s="105" t="b">
        <v>1</v>
      </c>
      <c r="BN114" s="96" t="s">
        <v>223</v>
      </c>
      <c r="BO114" s="96" t="s">
        <v>1557</v>
      </c>
      <c r="BP114" s="96" t="s">
        <v>886</v>
      </c>
      <c r="BQ114" s="102" t="s">
        <v>1379</v>
      </c>
      <c r="BR114" s="96" t="s">
        <v>270</v>
      </c>
      <c r="BS114" s="96" t="s">
        <v>1558</v>
      </c>
      <c r="BT114" s="96" t="s">
        <v>1559</v>
      </c>
      <c r="BU114" s="78"/>
      <c r="BV114" s="96" t="s">
        <v>1560</v>
      </c>
      <c r="BW114" s="102" t="s">
        <v>1561</v>
      </c>
      <c r="BX114" s="96" t="s">
        <v>252</v>
      </c>
      <c r="BY114" s="78"/>
      <c r="BZ114" s="78"/>
      <c r="CA114" s="78"/>
      <c r="CB114" s="78"/>
      <c r="CC114" s="78"/>
      <c r="CD114" s="78"/>
      <c r="CE114" s="78"/>
      <c r="CF114" s="78"/>
      <c r="CG114" s="78"/>
      <c r="CH114" s="78"/>
      <c r="CI114" s="105" t="b">
        <v>0</v>
      </c>
      <c r="CJ114" s="105" t="b">
        <v>0</v>
      </c>
      <c r="CK114" s="105" t="b">
        <v>0</v>
      </c>
      <c r="CL114" s="78"/>
      <c r="CM114" s="78"/>
      <c r="CN114" s="78"/>
    </row>
    <row r="115" spans="1:92" ht="26.25" customHeight="1">
      <c r="A115" s="178"/>
      <c r="B115" s="96" t="s">
        <v>1055</v>
      </c>
      <c r="C115" s="96" t="s">
        <v>1507</v>
      </c>
      <c r="D115" s="185" t="s">
        <v>1562</v>
      </c>
      <c r="E115" s="136"/>
      <c r="F115" s="96" t="s">
        <v>104</v>
      </c>
      <c r="G115" s="102" t="s">
        <v>1563</v>
      </c>
      <c r="H115" s="102" t="s">
        <v>1564</v>
      </c>
      <c r="I115" s="185" t="s">
        <v>1565</v>
      </c>
      <c r="J115" s="185" t="s">
        <v>355</v>
      </c>
      <c r="K115" s="136"/>
      <c r="L115" s="185" t="s">
        <v>1566</v>
      </c>
      <c r="M115" s="167">
        <v>50.597554677286901</v>
      </c>
      <c r="N115" s="167">
        <v>-3.6275634870307698</v>
      </c>
      <c r="O115" s="78"/>
      <c r="P115" s="96" t="s">
        <v>214</v>
      </c>
      <c r="Q115" s="105" t="b">
        <v>1</v>
      </c>
      <c r="R115" s="181">
        <v>0.41666666666666669</v>
      </c>
      <c r="S115" s="181">
        <v>0.75</v>
      </c>
      <c r="T115" s="150" t="s">
        <v>215</v>
      </c>
      <c r="U115" s="150" t="s">
        <v>215</v>
      </c>
      <c r="V115" s="150" t="s">
        <v>215</v>
      </c>
      <c r="W115" s="150" t="s">
        <v>215</v>
      </c>
      <c r="X115" s="150" t="s">
        <v>215</v>
      </c>
      <c r="Y115" s="150" t="s">
        <v>215</v>
      </c>
      <c r="Z115" s="150" t="s">
        <v>215</v>
      </c>
      <c r="AA115" s="150" t="s">
        <v>215</v>
      </c>
      <c r="AB115" s="150" t="s">
        <v>215</v>
      </c>
      <c r="AC115" s="150" t="s">
        <v>215</v>
      </c>
      <c r="AD115" s="150" t="s">
        <v>215</v>
      </c>
      <c r="AE115" s="150" t="s">
        <v>215</v>
      </c>
      <c r="AF115" s="150" t="s">
        <v>215</v>
      </c>
      <c r="AG115" s="150" t="s">
        <v>215</v>
      </c>
      <c r="AH115" s="78"/>
      <c r="AI115" s="78"/>
      <c r="AJ115" s="105" t="b">
        <v>1</v>
      </c>
      <c r="AK115" s="105" t="b">
        <v>1</v>
      </c>
      <c r="AL115" s="96" t="s">
        <v>618</v>
      </c>
      <c r="AM115" s="96" t="s">
        <v>1449</v>
      </c>
      <c r="AN115" s="102" t="s">
        <v>637</v>
      </c>
      <c r="AO115" s="187">
        <v>0</v>
      </c>
      <c r="AP115" s="188" t="s">
        <v>817</v>
      </c>
      <c r="AQ115" s="187">
        <v>8</v>
      </c>
      <c r="AR115" s="102" t="s">
        <v>215</v>
      </c>
      <c r="AS115" s="188" t="s">
        <v>215</v>
      </c>
      <c r="AT115" s="102" t="s">
        <v>215</v>
      </c>
      <c r="AU115" s="188" t="s">
        <v>215</v>
      </c>
      <c r="AV115" s="188" t="s">
        <v>316</v>
      </c>
      <c r="AW115" s="187">
        <v>10</v>
      </c>
      <c r="AX115" s="102" t="s">
        <v>215</v>
      </c>
      <c r="AY115" s="188" t="s">
        <v>215</v>
      </c>
      <c r="AZ115" s="102" t="s">
        <v>215</v>
      </c>
      <c r="BA115" s="188" t="s">
        <v>215</v>
      </c>
      <c r="BB115" s="96" t="s">
        <v>416</v>
      </c>
      <c r="BC115" s="96" t="s">
        <v>1567</v>
      </c>
      <c r="BD115" s="78"/>
      <c r="BE115" s="96" t="s">
        <v>1568</v>
      </c>
      <c r="BF115" s="78"/>
      <c r="BG115" s="105" t="b">
        <v>1</v>
      </c>
      <c r="BH115" s="105" t="b">
        <v>1</v>
      </c>
      <c r="BI115" s="105" t="b">
        <v>1</v>
      </c>
      <c r="BJ115" s="105" t="b">
        <v>1</v>
      </c>
      <c r="BK115" s="105" t="b">
        <v>1</v>
      </c>
      <c r="BL115" s="105" t="b">
        <v>1</v>
      </c>
      <c r="BM115" s="105" t="b">
        <v>1</v>
      </c>
      <c r="BN115" s="96" t="s">
        <v>419</v>
      </c>
      <c r="BO115" s="96" t="s">
        <v>437</v>
      </c>
      <c r="BP115" s="96" t="s">
        <v>225</v>
      </c>
      <c r="BQ115" s="102" t="s">
        <v>1569</v>
      </c>
      <c r="BR115" s="96" t="s">
        <v>1570</v>
      </c>
      <c r="BS115" s="96" t="s">
        <v>1571</v>
      </c>
      <c r="BT115" s="96" t="s">
        <v>1572</v>
      </c>
      <c r="BU115" s="78"/>
      <c r="BV115" s="78"/>
      <c r="BW115" s="102" t="s">
        <v>1573</v>
      </c>
      <c r="BX115" s="96" t="s">
        <v>845</v>
      </c>
      <c r="BY115" s="78"/>
      <c r="BZ115" s="78"/>
      <c r="CA115" s="78"/>
      <c r="CB115" s="78"/>
      <c r="CC115" s="78"/>
      <c r="CD115" s="78"/>
      <c r="CE115" s="78"/>
      <c r="CF115" s="78"/>
      <c r="CG115" s="78"/>
      <c r="CH115" s="78"/>
      <c r="CI115" s="105" t="b">
        <v>0</v>
      </c>
      <c r="CJ115" s="105" t="b">
        <v>0</v>
      </c>
      <c r="CK115" s="105" t="b">
        <v>0</v>
      </c>
      <c r="CL115" s="78"/>
      <c r="CM115" s="78"/>
      <c r="CN115" s="179"/>
    </row>
    <row r="116" spans="1:92" ht="26.25" customHeight="1">
      <c r="A116" s="178"/>
      <c r="B116" s="96" t="s">
        <v>1055</v>
      </c>
      <c r="C116" s="96" t="s">
        <v>1507</v>
      </c>
      <c r="D116" s="185" t="s">
        <v>1574</v>
      </c>
      <c r="E116" s="136"/>
      <c r="F116" s="96" t="s">
        <v>631</v>
      </c>
      <c r="G116" s="102" t="s">
        <v>1563</v>
      </c>
      <c r="H116" s="102" t="s">
        <v>1564</v>
      </c>
      <c r="I116" s="185" t="s">
        <v>1565</v>
      </c>
      <c r="J116" s="185" t="s">
        <v>355</v>
      </c>
      <c r="K116" s="136"/>
      <c r="L116" s="185" t="s">
        <v>1566</v>
      </c>
      <c r="M116" s="167">
        <v>50.597554677286901</v>
      </c>
      <c r="N116" s="167">
        <v>-3.6275634870307698</v>
      </c>
      <c r="O116" s="78"/>
      <c r="P116" s="96" t="s">
        <v>214</v>
      </c>
      <c r="Q116" s="105" t="b">
        <v>1</v>
      </c>
      <c r="R116" s="181">
        <v>0.35416666666666669</v>
      </c>
      <c r="S116" s="181">
        <v>0.79166666666666663</v>
      </c>
      <c r="T116" s="150" t="s">
        <v>215</v>
      </c>
      <c r="U116" s="150" t="s">
        <v>215</v>
      </c>
      <c r="V116" s="150" t="s">
        <v>215</v>
      </c>
      <c r="W116" s="150" t="s">
        <v>215</v>
      </c>
      <c r="X116" s="150" t="s">
        <v>215</v>
      </c>
      <c r="Y116" s="150" t="s">
        <v>215</v>
      </c>
      <c r="Z116" s="150" t="s">
        <v>215</v>
      </c>
      <c r="AA116" s="150" t="s">
        <v>215</v>
      </c>
      <c r="AB116" s="150" t="s">
        <v>215</v>
      </c>
      <c r="AC116" s="150" t="s">
        <v>215</v>
      </c>
      <c r="AD116" s="150" t="s">
        <v>215</v>
      </c>
      <c r="AE116" s="150" t="s">
        <v>215</v>
      </c>
      <c r="AF116" s="150" t="s">
        <v>215</v>
      </c>
      <c r="AG116" s="150" t="s">
        <v>215</v>
      </c>
      <c r="AH116" s="78"/>
      <c r="AI116" s="78"/>
      <c r="AJ116" s="105" t="b">
        <v>1</v>
      </c>
      <c r="AK116" s="105" t="b">
        <v>1</v>
      </c>
      <c r="AL116" s="96" t="s">
        <v>618</v>
      </c>
      <c r="AM116" s="96" t="s">
        <v>1449</v>
      </c>
      <c r="AN116" s="102" t="s">
        <v>637</v>
      </c>
      <c r="AO116" s="187">
        <v>0</v>
      </c>
      <c r="AP116" s="188" t="s">
        <v>817</v>
      </c>
      <c r="AQ116" s="187">
        <v>8</v>
      </c>
      <c r="AR116" s="102" t="s">
        <v>215</v>
      </c>
      <c r="AS116" s="188" t="s">
        <v>215</v>
      </c>
      <c r="AT116" s="102" t="s">
        <v>215</v>
      </c>
      <c r="AU116" s="188" t="s">
        <v>215</v>
      </c>
      <c r="AV116" s="188" t="s">
        <v>316</v>
      </c>
      <c r="AW116" s="187">
        <v>10</v>
      </c>
      <c r="AX116" s="102" t="s">
        <v>215</v>
      </c>
      <c r="AY116" s="188" t="s">
        <v>215</v>
      </c>
      <c r="AZ116" s="102" t="s">
        <v>215</v>
      </c>
      <c r="BA116" s="188" t="s">
        <v>215</v>
      </c>
      <c r="BB116" s="96" t="s">
        <v>416</v>
      </c>
      <c r="BC116" s="96" t="s">
        <v>1567</v>
      </c>
      <c r="BD116" s="78"/>
      <c r="BE116" s="96" t="s">
        <v>1568</v>
      </c>
      <c r="BF116" s="78"/>
      <c r="BG116" s="105" t="b">
        <v>0</v>
      </c>
      <c r="BH116" s="105" t="b">
        <v>0</v>
      </c>
      <c r="BI116" s="105" t="b">
        <v>0</v>
      </c>
      <c r="BJ116" s="105" t="b">
        <v>1</v>
      </c>
      <c r="BK116" s="105" t="b">
        <v>1</v>
      </c>
      <c r="BL116" s="105" t="b">
        <v>1</v>
      </c>
      <c r="BM116" s="105" t="b">
        <v>1</v>
      </c>
      <c r="BN116" s="96" t="s">
        <v>419</v>
      </c>
      <c r="BO116" s="96" t="s">
        <v>437</v>
      </c>
      <c r="BP116" s="96" t="s">
        <v>225</v>
      </c>
      <c r="BQ116" s="102" t="s">
        <v>1569</v>
      </c>
      <c r="BR116" s="96" t="s">
        <v>1570</v>
      </c>
      <c r="BS116" s="96" t="s">
        <v>1571</v>
      </c>
      <c r="BT116" s="96" t="s">
        <v>1575</v>
      </c>
      <c r="BU116" s="78"/>
      <c r="BV116" s="78"/>
      <c r="BW116" s="102" t="s">
        <v>1573</v>
      </c>
      <c r="BX116" s="96" t="s">
        <v>845</v>
      </c>
      <c r="BY116" s="78"/>
      <c r="BZ116" s="78"/>
      <c r="CA116" s="78"/>
      <c r="CB116" s="78"/>
      <c r="CC116" s="78"/>
      <c r="CD116" s="78"/>
      <c r="CE116" s="78"/>
      <c r="CF116" s="78"/>
      <c r="CG116" s="78"/>
      <c r="CH116" s="78"/>
      <c r="CI116" s="105" t="b">
        <v>0</v>
      </c>
      <c r="CJ116" s="105" t="b">
        <v>0</v>
      </c>
      <c r="CK116" s="105" t="b">
        <v>0</v>
      </c>
      <c r="CL116" s="78"/>
      <c r="CM116" s="78"/>
      <c r="CN116" s="179"/>
    </row>
    <row r="117" spans="1:92" ht="26.25" customHeight="1">
      <c r="A117" s="178"/>
      <c r="B117" s="96" t="s">
        <v>349</v>
      </c>
      <c r="C117" s="96" t="s">
        <v>364</v>
      </c>
      <c r="D117" s="185" t="s">
        <v>1576</v>
      </c>
      <c r="E117" s="136"/>
      <c r="F117" s="96" t="s">
        <v>105</v>
      </c>
      <c r="G117" s="102" t="s">
        <v>1577</v>
      </c>
      <c r="H117" s="102" t="s">
        <v>1578</v>
      </c>
      <c r="I117" s="185" t="s">
        <v>1579</v>
      </c>
      <c r="J117" s="185" t="s">
        <v>212</v>
      </c>
      <c r="K117" s="136"/>
      <c r="L117" s="185" t="s">
        <v>1580</v>
      </c>
      <c r="M117" s="167">
        <v>50.7286089588357</v>
      </c>
      <c r="N117" s="167">
        <v>-3.53656901717053</v>
      </c>
      <c r="O117" s="78"/>
      <c r="P117" s="96" t="s">
        <v>214</v>
      </c>
      <c r="Q117" s="105" t="b">
        <v>1</v>
      </c>
      <c r="R117" s="181">
        <v>0</v>
      </c>
      <c r="S117" s="182">
        <v>1</v>
      </c>
      <c r="T117" s="150" t="s">
        <v>215</v>
      </c>
      <c r="U117" s="150" t="s">
        <v>215</v>
      </c>
      <c r="V117" s="150" t="s">
        <v>215</v>
      </c>
      <c r="W117" s="150" t="s">
        <v>215</v>
      </c>
      <c r="X117" s="150" t="s">
        <v>215</v>
      </c>
      <c r="Y117" s="150" t="s">
        <v>215</v>
      </c>
      <c r="Z117" s="150" t="s">
        <v>215</v>
      </c>
      <c r="AA117" s="150" t="s">
        <v>215</v>
      </c>
      <c r="AB117" s="150" t="s">
        <v>215</v>
      </c>
      <c r="AC117" s="150" t="s">
        <v>215</v>
      </c>
      <c r="AD117" s="150" t="s">
        <v>215</v>
      </c>
      <c r="AE117" s="150" t="s">
        <v>215</v>
      </c>
      <c r="AF117" s="150" t="s">
        <v>215</v>
      </c>
      <c r="AG117" s="150" t="s">
        <v>215</v>
      </c>
      <c r="AH117" s="78"/>
      <c r="AI117" s="78"/>
      <c r="AJ117" s="105" t="b">
        <v>0</v>
      </c>
      <c r="AK117" s="105" t="b">
        <v>0</v>
      </c>
      <c r="AL117" s="96" t="s">
        <v>217</v>
      </c>
      <c r="AM117" s="78"/>
      <c r="AN117" s="102" t="s">
        <v>215</v>
      </c>
      <c r="AO117" s="188" t="s">
        <v>215</v>
      </c>
      <c r="AP117" s="188" t="s">
        <v>215</v>
      </c>
      <c r="AQ117" s="188" t="s">
        <v>215</v>
      </c>
      <c r="AR117" s="102" t="s">
        <v>215</v>
      </c>
      <c r="AS117" s="188" t="s">
        <v>215</v>
      </c>
      <c r="AT117" s="102" t="s">
        <v>215</v>
      </c>
      <c r="AU117" s="188" t="s">
        <v>215</v>
      </c>
      <c r="AV117" s="188" t="s">
        <v>215</v>
      </c>
      <c r="AW117" s="188" t="s">
        <v>215</v>
      </c>
      <c r="AX117" s="102" t="s">
        <v>215</v>
      </c>
      <c r="AY117" s="188" t="s">
        <v>215</v>
      </c>
      <c r="AZ117" s="102" t="s">
        <v>215</v>
      </c>
      <c r="BA117" s="188" t="s">
        <v>215</v>
      </c>
      <c r="BB117" s="96" t="s">
        <v>917</v>
      </c>
      <c r="BC117" s="96" t="s">
        <v>1581</v>
      </c>
      <c r="BD117" s="78"/>
      <c r="BE117" s="96" t="s">
        <v>359</v>
      </c>
      <c r="BF117" s="96" t="s">
        <v>360</v>
      </c>
      <c r="BG117" s="105" t="b">
        <v>0</v>
      </c>
      <c r="BH117" s="105" t="b">
        <v>1</v>
      </c>
      <c r="BI117" s="105" t="b">
        <v>1</v>
      </c>
      <c r="BJ117" s="105" t="b">
        <v>1</v>
      </c>
      <c r="BK117" s="105" t="b">
        <v>0</v>
      </c>
      <c r="BL117" s="105" t="b">
        <v>0</v>
      </c>
      <c r="BM117" s="105" t="b">
        <v>0</v>
      </c>
      <c r="BN117" s="96" t="s">
        <v>223</v>
      </c>
      <c r="BO117" s="96" t="s">
        <v>1582</v>
      </c>
      <c r="BP117" s="96" t="s">
        <v>509</v>
      </c>
      <c r="BQ117" s="102" t="s">
        <v>1583</v>
      </c>
      <c r="BR117" s="78"/>
      <c r="BS117" s="78"/>
      <c r="BT117" s="96" t="s">
        <v>1584</v>
      </c>
      <c r="BU117" s="78"/>
      <c r="BV117" s="78"/>
      <c r="BW117" s="102" t="s">
        <v>1585</v>
      </c>
      <c r="BX117" s="96" t="s">
        <v>252</v>
      </c>
      <c r="BY117" s="78"/>
      <c r="BZ117" s="78"/>
      <c r="CA117" s="78"/>
      <c r="CB117" s="78"/>
      <c r="CC117" s="78"/>
      <c r="CD117" s="78"/>
      <c r="CE117" s="78"/>
      <c r="CF117" s="78"/>
      <c r="CG117" s="78"/>
      <c r="CH117" s="78"/>
      <c r="CI117" s="105" t="b">
        <v>0</v>
      </c>
      <c r="CJ117" s="105" t="b">
        <v>0</v>
      </c>
      <c r="CK117" s="105" t="b">
        <v>0</v>
      </c>
      <c r="CL117" s="78"/>
      <c r="CM117" s="78"/>
      <c r="CN117" s="179"/>
    </row>
    <row r="118" spans="1:92" ht="26.25" customHeight="1">
      <c r="A118" s="68"/>
      <c r="B118" s="96" t="s">
        <v>253</v>
      </c>
      <c r="C118" s="96" t="s">
        <v>1230</v>
      </c>
      <c r="D118" s="185" t="s">
        <v>1586</v>
      </c>
      <c r="E118" s="136"/>
      <c r="F118" s="96" t="s">
        <v>307</v>
      </c>
      <c r="G118" s="102" t="s">
        <v>1587</v>
      </c>
      <c r="H118" s="102" t="s">
        <v>1588</v>
      </c>
      <c r="I118" s="136"/>
      <c r="J118" s="136"/>
      <c r="K118" s="136"/>
      <c r="L118" s="185" t="s">
        <v>1589</v>
      </c>
      <c r="M118" s="167">
        <v>50.246323691061399</v>
      </c>
      <c r="N118" s="167">
        <v>-3.8589638158813599</v>
      </c>
      <c r="O118" s="78"/>
      <c r="P118" s="96" t="s">
        <v>214</v>
      </c>
      <c r="Q118" s="105" t="b">
        <v>1</v>
      </c>
      <c r="R118" s="181">
        <v>0</v>
      </c>
      <c r="S118" s="182">
        <v>1</v>
      </c>
      <c r="T118" s="150" t="s">
        <v>215</v>
      </c>
      <c r="U118" s="150" t="s">
        <v>215</v>
      </c>
      <c r="V118" s="150" t="s">
        <v>215</v>
      </c>
      <c r="W118" s="150" t="s">
        <v>215</v>
      </c>
      <c r="X118" s="150" t="s">
        <v>215</v>
      </c>
      <c r="Y118" s="150" t="s">
        <v>215</v>
      </c>
      <c r="Z118" s="150" t="s">
        <v>215</v>
      </c>
      <c r="AA118" s="150" t="s">
        <v>215</v>
      </c>
      <c r="AB118" s="150" t="s">
        <v>215</v>
      </c>
      <c r="AC118" s="150" t="s">
        <v>215</v>
      </c>
      <c r="AD118" s="150" t="s">
        <v>215</v>
      </c>
      <c r="AE118" s="150" t="s">
        <v>215</v>
      </c>
      <c r="AF118" s="150" t="s">
        <v>215</v>
      </c>
      <c r="AG118" s="150" t="s">
        <v>215</v>
      </c>
      <c r="AH118" s="78"/>
      <c r="AI118" s="78"/>
      <c r="AJ118" s="105" t="b">
        <v>0</v>
      </c>
      <c r="AK118" s="105" t="b">
        <v>0</v>
      </c>
      <c r="AL118" s="96" t="s">
        <v>217</v>
      </c>
      <c r="AM118" s="78"/>
      <c r="AN118" s="102" t="s">
        <v>215</v>
      </c>
      <c r="AO118" s="188" t="s">
        <v>215</v>
      </c>
      <c r="AP118" s="188" t="s">
        <v>215</v>
      </c>
      <c r="AQ118" s="188" t="s">
        <v>215</v>
      </c>
      <c r="AR118" s="102" t="s">
        <v>215</v>
      </c>
      <c r="AS118" s="188" t="s">
        <v>215</v>
      </c>
      <c r="AT118" s="102" t="s">
        <v>215</v>
      </c>
      <c r="AU118" s="188" t="s">
        <v>215</v>
      </c>
      <c r="AV118" s="188" t="s">
        <v>215</v>
      </c>
      <c r="AW118" s="188" t="s">
        <v>215</v>
      </c>
      <c r="AX118" s="102" t="s">
        <v>215</v>
      </c>
      <c r="AY118" s="188" t="s">
        <v>215</v>
      </c>
      <c r="AZ118" s="102" t="s">
        <v>215</v>
      </c>
      <c r="BA118" s="188" t="s">
        <v>215</v>
      </c>
      <c r="BB118" s="96" t="s">
        <v>282</v>
      </c>
      <c r="BC118" s="96" t="s">
        <v>490</v>
      </c>
      <c r="BD118" s="96" t="s">
        <v>265</v>
      </c>
      <c r="BE118" s="96" t="s">
        <v>1590</v>
      </c>
      <c r="BF118" s="78"/>
      <c r="BG118" s="105" t="b">
        <v>1</v>
      </c>
      <c r="BH118" s="105" t="b">
        <v>1</v>
      </c>
      <c r="BI118" s="105" t="b">
        <v>1</v>
      </c>
      <c r="BJ118" s="105" t="b">
        <v>1</v>
      </c>
      <c r="BK118" s="105" t="b">
        <v>1</v>
      </c>
      <c r="BL118" s="105" t="b">
        <v>1</v>
      </c>
      <c r="BM118" s="105" t="b">
        <v>1</v>
      </c>
      <c r="BN118" s="96" t="s">
        <v>223</v>
      </c>
      <c r="BO118" s="96" t="s">
        <v>1582</v>
      </c>
      <c r="BP118" s="96" t="s">
        <v>1240</v>
      </c>
      <c r="BQ118" s="102" t="s">
        <v>1591</v>
      </c>
      <c r="BR118" s="96" t="s">
        <v>270</v>
      </c>
      <c r="BS118" s="96" t="s">
        <v>1592</v>
      </c>
      <c r="BT118" s="96" t="s">
        <v>1593</v>
      </c>
      <c r="BU118" s="78"/>
      <c r="BV118" s="78"/>
      <c r="BW118" s="102" t="s">
        <v>1594</v>
      </c>
      <c r="BX118" s="96" t="s">
        <v>1595</v>
      </c>
      <c r="BY118" s="78"/>
      <c r="BZ118" s="78"/>
      <c r="CA118" s="78"/>
      <c r="CB118" s="78"/>
      <c r="CC118" s="78"/>
      <c r="CD118" s="78"/>
      <c r="CE118" s="78"/>
      <c r="CF118" s="78"/>
      <c r="CG118" s="78"/>
      <c r="CH118" s="78"/>
      <c r="CI118" s="105" t="b">
        <v>0</v>
      </c>
      <c r="CJ118" s="105" t="b">
        <v>0</v>
      </c>
      <c r="CK118" s="105" t="b">
        <v>0</v>
      </c>
      <c r="CL118" s="78"/>
      <c r="CM118" s="78"/>
      <c r="CN118" s="78"/>
    </row>
    <row r="119" spans="1:92" ht="26.25" customHeight="1">
      <c r="A119" s="178"/>
      <c r="B119" s="96" t="s">
        <v>253</v>
      </c>
      <c r="C119" s="96" t="s">
        <v>1596</v>
      </c>
      <c r="D119" s="185" t="s">
        <v>1597</v>
      </c>
      <c r="E119" s="136"/>
      <c r="F119" s="96" t="s">
        <v>307</v>
      </c>
      <c r="G119" s="102" t="s">
        <v>1598</v>
      </c>
      <c r="H119" s="102" t="s">
        <v>1599</v>
      </c>
      <c r="I119" s="185" t="s">
        <v>1600</v>
      </c>
      <c r="J119" s="185" t="s">
        <v>1601</v>
      </c>
      <c r="K119" s="136"/>
      <c r="L119" s="185" t="s">
        <v>1602</v>
      </c>
      <c r="M119" s="167">
        <v>50.367396174711502</v>
      </c>
      <c r="N119" s="167">
        <v>-3.5297498523409301</v>
      </c>
      <c r="O119" s="78"/>
      <c r="P119" s="96" t="s">
        <v>214</v>
      </c>
      <c r="Q119" s="105" t="b">
        <v>1</v>
      </c>
      <c r="R119" s="181">
        <v>0</v>
      </c>
      <c r="S119" s="182">
        <v>1</v>
      </c>
      <c r="T119" s="150" t="s">
        <v>215</v>
      </c>
      <c r="U119" s="150" t="s">
        <v>215</v>
      </c>
      <c r="V119" s="150" t="s">
        <v>215</v>
      </c>
      <c r="W119" s="150" t="s">
        <v>215</v>
      </c>
      <c r="X119" s="150" t="s">
        <v>215</v>
      </c>
      <c r="Y119" s="150" t="s">
        <v>215</v>
      </c>
      <c r="Z119" s="150" t="s">
        <v>215</v>
      </c>
      <c r="AA119" s="150" t="s">
        <v>215</v>
      </c>
      <c r="AB119" s="150" t="s">
        <v>215</v>
      </c>
      <c r="AC119" s="150" t="s">
        <v>215</v>
      </c>
      <c r="AD119" s="150" t="s">
        <v>215</v>
      </c>
      <c r="AE119" s="150" t="s">
        <v>215</v>
      </c>
      <c r="AF119" s="150" t="s">
        <v>215</v>
      </c>
      <c r="AG119" s="150" t="s">
        <v>215</v>
      </c>
      <c r="AH119" s="96"/>
      <c r="AI119" s="96"/>
      <c r="AJ119" s="105"/>
      <c r="AK119" s="105"/>
      <c r="AL119" s="96" t="s">
        <v>217</v>
      </c>
      <c r="AM119" s="78"/>
      <c r="AN119" s="102" t="s">
        <v>215</v>
      </c>
      <c r="AO119" s="188" t="s">
        <v>215</v>
      </c>
      <c r="AP119" s="188" t="s">
        <v>215</v>
      </c>
      <c r="AQ119" s="188" t="s">
        <v>215</v>
      </c>
      <c r="AR119" s="102" t="s">
        <v>215</v>
      </c>
      <c r="AS119" s="188" t="s">
        <v>215</v>
      </c>
      <c r="AT119" s="102" t="s">
        <v>215</v>
      </c>
      <c r="AU119" s="188" t="s">
        <v>215</v>
      </c>
      <c r="AV119" s="188" t="s">
        <v>215</v>
      </c>
      <c r="AW119" s="188" t="s">
        <v>215</v>
      </c>
      <c r="AX119" s="102" t="s">
        <v>215</v>
      </c>
      <c r="AY119" s="188" t="s">
        <v>215</v>
      </c>
      <c r="AZ119" s="102" t="s">
        <v>215</v>
      </c>
      <c r="BA119" s="188" t="s">
        <v>215</v>
      </c>
      <c r="BB119" s="96" t="s">
        <v>605</v>
      </c>
      <c r="BC119" s="96" t="s">
        <v>672</v>
      </c>
      <c r="BD119" s="78"/>
      <c r="BE119" s="78"/>
      <c r="BF119" s="78"/>
      <c r="BG119" s="105" t="b">
        <v>1</v>
      </c>
      <c r="BH119" s="105" t="b">
        <v>1</v>
      </c>
      <c r="BI119" s="105" t="b">
        <v>1</v>
      </c>
      <c r="BJ119" s="105" t="b">
        <v>1</v>
      </c>
      <c r="BK119" s="105" t="b">
        <v>1</v>
      </c>
      <c r="BL119" s="105" t="b">
        <v>1</v>
      </c>
      <c r="BM119" s="105" t="b">
        <v>1</v>
      </c>
      <c r="BN119" s="96" t="s">
        <v>223</v>
      </c>
      <c r="BO119" s="96" t="s">
        <v>1132</v>
      </c>
      <c r="BP119" s="96" t="s">
        <v>1603</v>
      </c>
      <c r="BQ119" s="102" t="s">
        <v>1604</v>
      </c>
      <c r="BR119" s="96" t="s">
        <v>1605</v>
      </c>
      <c r="BS119" s="96" t="s">
        <v>1606</v>
      </c>
      <c r="BT119" s="96" t="s">
        <v>1607</v>
      </c>
      <c r="BU119" s="78"/>
      <c r="BV119" s="96" t="s">
        <v>1608</v>
      </c>
      <c r="BW119" s="102" t="s">
        <v>1609</v>
      </c>
      <c r="BX119" s="96" t="s">
        <v>1305</v>
      </c>
      <c r="BY119" s="78"/>
      <c r="BZ119" s="78"/>
      <c r="CA119" s="78"/>
      <c r="CB119" s="78"/>
      <c r="CC119" s="78"/>
      <c r="CD119" s="78"/>
      <c r="CE119" s="78"/>
      <c r="CF119" s="78"/>
      <c r="CG119" s="78"/>
      <c r="CH119" s="78"/>
      <c r="CI119" s="78"/>
      <c r="CJ119" s="78"/>
      <c r="CK119" s="78"/>
      <c r="CL119" s="78"/>
      <c r="CM119" s="78"/>
      <c r="CN119" s="179"/>
    </row>
    <row r="120" spans="1:92" ht="26.25" customHeight="1">
      <c r="A120" s="178"/>
      <c r="B120" s="96" t="s">
        <v>304</v>
      </c>
      <c r="C120" s="96" t="s">
        <v>328</v>
      </c>
      <c r="D120" s="185" t="s">
        <v>1610</v>
      </c>
      <c r="E120" s="136"/>
      <c r="F120" s="96" t="s">
        <v>106</v>
      </c>
      <c r="G120" s="102" t="s">
        <v>1611</v>
      </c>
      <c r="H120" s="102" t="s">
        <v>1612</v>
      </c>
      <c r="I120" s="185" t="s">
        <v>1613</v>
      </c>
      <c r="J120" s="185" t="s">
        <v>1340</v>
      </c>
      <c r="K120" s="136"/>
      <c r="L120" s="185" t="s">
        <v>1614</v>
      </c>
      <c r="M120" s="167">
        <v>50.384642277823097</v>
      </c>
      <c r="N120" s="167">
        <v>-3.5847996899294099</v>
      </c>
      <c r="O120" s="78"/>
      <c r="P120" s="96" t="s">
        <v>214</v>
      </c>
      <c r="Q120" s="105" t="b">
        <v>1</v>
      </c>
      <c r="R120" s="181">
        <v>0.4375</v>
      </c>
      <c r="S120" s="182">
        <v>0.70833333333333337</v>
      </c>
      <c r="T120" s="150" t="s">
        <v>215</v>
      </c>
      <c r="U120" s="150" t="s">
        <v>215</v>
      </c>
      <c r="V120" s="150" t="s">
        <v>215</v>
      </c>
      <c r="W120" s="150" t="s">
        <v>215</v>
      </c>
      <c r="X120" s="150" t="s">
        <v>215</v>
      </c>
      <c r="Y120" s="150" t="s">
        <v>215</v>
      </c>
      <c r="Z120" s="150" t="s">
        <v>215</v>
      </c>
      <c r="AA120" s="150" t="s">
        <v>215</v>
      </c>
      <c r="AB120" s="150" t="s">
        <v>215</v>
      </c>
      <c r="AC120" s="150" t="s">
        <v>215</v>
      </c>
      <c r="AD120" s="150" t="s">
        <v>215</v>
      </c>
      <c r="AE120" s="150" t="s">
        <v>215</v>
      </c>
      <c r="AF120" s="150" t="s">
        <v>215</v>
      </c>
      <c r="AG120" s="150" t="s">
        <v>215</v>
      </c>
      <c r="AH120" s="102" t="s">
        <v>1615</v>
      </c>
      <c r="AI120" s="78"/>
      <c r="AJ120" s="105" t="b">
        <v>1</v>
      </c>
      <c r="AK120" s="105" t="b">
        <v>1</v>
      </c>
      <c r="AL120" s="96" t="s">
        <v>635</v>
      </c>
      <c r="AM120" s="96" t="s">
        <v>1616</v>
      </c>
      <c r="AN120" s="102" t="s">
        <v>215</v>
      </c>
      <c r="AO120" s="188" t="s">
        <v>215</v>
      </c>
      <c r="AP120" s="102" t="s">
        <v>338</v>
      </c>
      <c r="AQ120" s="187">
        <v>9</v>
      </c>
      <c r="AR120" s="102" t="s">
        <v>215</v>
      </c>
      <c r="AS120" s="188" t="s">
        <v>215</v>
      </c>
      <c r="AT120" s="102" t="s">
        <v>215</v>
      </c>
      <c r="AU120" s="188" t="s">
        <v>215</v>
      </c>
      <c r="AV120" s="188" t="s">
        <v>339</v>
      </c>
      <c r="AW120" s="187">
        <v>18</v>
      </c>
      <c r="AX120" s="102" t="s">
        <v>215</v>
      </c>
      <c r="AY120" s="188" t="s">
        <v>215</v>
      </c>
      <c r="AZ120" s="102" t="s">
        <v>1472</v>
      </c>
      <c r="BA120" s="187">
        <v>45</v>
      </c>
      <c r="BB120" s="96" t="s">
        <v>1473</v>
      </c>
      <c r="BC120" s="96" t="s">
        <v>1617</v>
      </c>
      <c r="BD120" s="96" t="s">
        <v>1618</v>
      </c>
      <c r="BE120" s="96" t="s">
        <v>1619</v>
      </c>
      <c r="BF120" s="78"/>
      <c r="BG120" s="105" t="b">
        <v>1</v>
      </c>
      <c r="BH120" s="105" t="b">
        <v>1</v>
      </c>
      <c r="BI120" s="105" t="b">
        <v>1</v>
      </c>
      <c r="BJ120" s="105" t="b">
        <v>1</v>
      </c>
      <c r="BK120" s="105" t="b">
        <v>1</v>
      </c>
      <c r="BL120" s="105" t="b">
        <v>1</v>
      </c>
      <c r="BM120" s="105" t="b">
        <v>1</v>
      </c>
      <c r="BN120" s="96" t="s">
        <v>419</v>
      </c>
      <c r="BO120" s="96" t="s">
        <v>285</v>
      </c>
      <c r="BP120" s="96" t="s">
        <v>322</v>
      </c>
      <c r="BQ120" s="102" t="s">
        <v>1620</v>
      </c>
      <c r="BR120" s="96" t="s">
        <v>1621</v>
      </c>
      <c r="BS120" s="96" t="s">
        <v>1622</v>
      </c>
      <c r="BT120" s="96" t="s">
        <v>1623</v>
      </c>
      <c r="BU120" s="78"/>
      <c r="BV120" s="78"/>
      <c r="BW120" s="102" t="s">
        <v>1624</v>
      </c>
      <c r="BX120" s="96" t="s">
        <v>1595</v>
      </c>
      <c r="BY120" s="78"/>
      <c r="BZ120" s="78"/>
      <c r="CA120" s="78"/>
      <c r="CB120" s="78"/>
      <c r="CC120" s="78"/>
      <c r="CD120" s="78"/>
      <c r="CE120" s="78"/>
      <c r="CF120" s="78"/>
      <c r="CG120" s="78"/>
      <c r="CH120" s="78"/>
      <c r="CI120" s="78"/>
      <c r="CJ120" s="78"/>
      <c r="CK120" s="78"/>
      <c r="CL120" s="78"/>
      <c r="CM120" s="78"/>
      <c r="CN120" s="179"/>
    </row>
    <row r="121" spans="1:92" ht="26.25" customHeight="1">
      <c r="A121" s="178"/>
      <c r="B121" s="96" t="s">
        <v>441</v>
      </c>
      <c r="C121" s="96" t="s">
        <v>1625</v>
      </c>
      <c r="D121" s="185" t="s">
        <v>1626</v>
      </c>
      <c r="E121" s="136"/>
      <c r="F121" s="96" t="s">
        <v>105</v>
      </c>
      <c r="G121" s="102" t="s">
        <v>1627</v>
      </c>
      <c r="H121" s="102" t="s">
        <v>1628</v>
      </c>
      <c r="I121" s="185" t="s">
        <v>258</v>
      </c>
      <c r="J121" s="185" t="s">
        <v>259</v>
      </c>
      <c r="K121" s="136"/>
      <c r="L121" s="185" t="s">
        <v>989</v>
      </c>
      <c r="M121" s="167">
        <v>50.611989494504698</v>
      </c>
      <c r="N121" s="167">
        <v>-3.4070328887889798</v>
      </c>
      <c r="O121" s="78"/>
      <c r="P121" s="96" t="s">
        <v>214</v>
      </c>
      <c r="Q121" s="105" t="b">
        <v>1</v>
      </c>
      <c r="R121" s="181">
        <v>0.33333333333333331</v>
      </c>
      <c r="S121" s="182">
        <v>0.70833333333333337</v>
      </c>
      <c r="T121" s="150" t="s">
        <v>215</v>
      </c>
      <c r="U121" s="150" t="s">
        <v>215</v>
      </c>
      <c r="V121" s="150" t="s">
        <v>215</v>
      </c>
      <c r="W121" s="150" t="s">
        <v>215</v>
      </c>
      <c r="X121" s="150" t="s">
        <v>215</v>
      </c>
      <c r="Y121" s="150" t="s">
        <v>215</v>
      </c>
      <c r="Z121" s="150" t="s">
        <v>215</v>
      </c>
      <c r="AA121" s="150" t="s">
        <v>215</v>
      </c>
      <c r="AB121" s="150" t="s">
        <v>215</v>
      </c>
      <c r="AC121" s="150" t="s">
        <v>215</v>
      </c>
      <c r="AD121" s="150" t="s">
        <v>215</v>
      </c>
      <c r="AE121" s="150" t="s">
        <v>215</v>
      </c>
      <c r="AF121" s="150" t="s">
        <v>215</v>
      </c>
      <c r="AG121" s="150" t="s">
        <v>215</v>
      </c>
      <c r="AH121" s="78"/>
      <c r="AI121" s="78"/>
      <c r="AJ121" s="105"/>
      <c r="AK121" s="105"/>
      <c r="AL121" s="96" t="s">
        <v>217</v>
      </c>
      <c r="AM121" s="78"/>
      <c r="AN121" s="102" t="s">
        <v>215</v>
      </c>
      <c r="AO121" s="188" t="s">
        <v>215</v>
      </c>
      <c r="AP121" s="188" t="s">
        <v>215</v>
      </c>
      <c r="AQ121" s="188" t="s">
        <v>215</v>
      </c>
      <c r="AR121" s="102" t="s">
        <v>215</v>
      </c>
      <c r="AS121" s="188" t="s">
        <v>215</v>
      </c>
      <c r="AT121" s="102" t="s">
        <v>215</v>
      </c>
      <c r="AU121" s="188" t="s">
        <v>215</v>
      </c>
      <c r="AV121" s="188" t="s">
        <v>215</v>
      </c>
      <c r="AW121" s="188" t="s">
        <v>215</v>
      </c>
      <c r="AX121" s="102" t="s">
        <v>215</v>
      </c>
      <c r="AY121" s="188" t="s">
        <v>215</v>
      </c>
      <c r="AZ121" s="102" t="s">
        <v>215</v>
      </c>
      <c r="BA121" s="188" t="s">
        <v>215</v>
      </c>
      <c r="BB121" s="96" t="s">
        <v>218</v>
      </c>
      <c r="BC121" s="96" t="s">
        <v>1629</v>
      </c>
      <c r="BD121" s="96" t="s">
        <v>265</v>
      </c>
      <c r="BE121" s="96" t="s">
        <v>1630</v>
      </c>
      <c r="BF121" s="96" t="s">
        <v>360</v>
      </c>
      <c r="BG121" s="105" t="b">
        <v>1</v>
      </c>
      <c r="BH121" s="105" t="b">
        <v>1</v>
      </c>
      <c r="BI121" s="105" t="b">
        <v>1</v>
      </c>
      <c r="BJ121" s="105" t="b">
        <v>1</v>
      </c>
      <c r="BK121" s="105" t="b">
        <v>1</v>
      </c>
      <c r="BL121" s="105" t="b">
        <v>1</v>
      </c>
      <c r="BM121" s="105" t="b">
        <v>1</v>
      </c>
      <c r="BN121" s="96" t="s">
        <v>223</v>
      </c>
      <c r="BO121" s="96" t="s">
        <v>285</v>
      </c>
      <c r="BP121" s="96" t="s">
        <v>379</v>
      </c>
      <c r="BQ121" s="102" t="s">
        <v>1631</v>
      </c>
      <c r="BR121" s="78"/>
      <c r="BS121" s="78"/>
      <c r="BT121" s="96" t="s">
        <v>1632</v>
      </c>
      <c r="BU121" s="78"/>
      <c r="BV121" s="78"/>
      <c r="BW121" s="102" t="s">
        <v>1633</v>
      </c>
      <c r="BX121" s="96" t="s">
        <v>252</v>
      </c>
      <c r="BY121" s="78"/>
      <c r="BZ121" s="78"/>
      <c r="CA121" s="78"/>
      <c r="CB121" s="78"/>
      <c r="CC121" s="78"/>
      <c r="CD121" s="78"/>
      <c r="CE121" s="78"/>
      <c r="CF121" s="78"/>
      <c r="CG121" s="78"/>
      <c r="CH121" s="78"/>
      <c r="CI121" s="78"/>
      <c r="CJ121" s="78"/>
      <c r="CK121" s="78"/>
      <c r="CL121" s="78"/>
      <c r="CM121" s="78"/>
      <c r="CN121" s="179"/>
    </row>
    <row r="122" spans="1:92" ht="26.25" customHeight="1">
      <c r="A122" s="96" t="s">
        <v>204</v>
      </c>
      <c r="B122" s="96" t="s">
        <v>1163</v>
      </c>
      <c r="C122" s="102" t="s">
        <v>1634</v>
      </c>
      <c r="D122" s="185" t="s">
        <v>1635</v>
      </c>
      <c r="E122" s="136"/>
      <c r="F122" s="102" t="s">
        <v>1058</v>
      </c>
      <c r="G122" s="102" t="s">
        <v>1636</v>
      </c>
      <c r="H122" s="102" t="s">
        <v>1637</v>
      </c>
      <c r="I122" s="185" t="s">
        <v>1638</v>
      </c>
      <c r="J122" s="185" t="s">
        <v>212</v>
      </c>
      <c r="K122" s="136"/>
      <c r="L122" s="185" t="s">
        <v>1639</v>
      </c>
      <c r="M122" s="167">
        <v>50.695891001437801</v>
      </c>
      <c r="N122" s="167">
        <v>-3.81124908554008</v>
      </c>
      <c r="O122" s="78"/>
      <c r="P122" s="96" t="s">
        <v>334</v>
      </c>
      <c r="Q122" s="105" t="b">
        <v>1</v>
      </c>
      <c r="R122" s="181">
        <v>0.4375</v>
      </c>
      <c r="S122" s="181">
        <v>0.6875</v>
      </c>
      <c r="T122" s="150" t="s">
        <v>215</v>
      </c>
      <c r="U122" s="150" t="s">
        <v>215</v>
      </c>
      <c r="V122" s="150" t="s">
        <v>215</v>
      </c>
      <c r="W122" s="150" t="s">
        <v>215</v>
      </c>
      <c r="X122" s="150" t="s">
        <v>215</v>
      </c>
      <c r="Y122" s="150" t="s">
        <v>215</v>
      </c>
      <c r="Z122" s="150" t="s">
        <v>215</v>
      </c>
      <c r="AA122" s="150" t="s">
        <v>215</v>
      </c>
      <c r="AB122" s="150" t="s">
        <v>215</v>
      </c>
      <c r="AC122" s="150" t="s">
        <v>215</v>
      </c>
      <c r="AD122" s="150" t="s">
        <v>215</v>
      </c>
      <c r="AE122" s="150" t="s">
        <v>215</v>
      </c>
      <c r="AF122" s="150" t="s">
        <v>215</v>
      </c>
      <c r="AG122" s="150" t="s">
        <v>215</v>
      </c>
      <c r="AH122" s="137" t="s">
        <v>215</v>
      </c>
      <c r="AI122" s="96" t="s">
        <v>215</v>
      </c>
      <c r="AJ122" s="105" t="b">
        <v>1</v>
      </c>
      <c r="AK122" s="105" t="b">
        <v>1</v>
      </c>
      <c r="AL122" s="96" t="s">
        <v>1470</v>
      </c>
      <c r="AM122" s="96" t="s">
        <v>619</v>
      </c>
      <c r="AN122" s="102" t="s">
        <v>1206</v>
      </c>
      <c r="AO122" s="187">
        <v>0</v>
      </c>
      <c r="AP122" s="188" t="s">
        <v>338</v>
      </c>
      <c r="AQ122" s="187">
        <v>9</v>
      </c>
      <c r="AR122" s="102" t="s">
        <v>215</v>
      </c>
      <c r="AS122" s="188" t="s">
        <v>215</v>
      </c>
      <c r="AT122" s="102" t="s">
        <v>215</v>
      </c>
      <c r="AU122" s="188" t="s">
        <v>215</v>
      </c>
      <c r="AV122" s="188" t="s">
        <v>339</v>
      </c>
      <c r="AW122" s="187">
        <v>18</v>
      </c>
      <c r="AX122" s="102" t="s">
        <v>1640</v>
      </c>
      <c r="AY122" s="187">
        <v>27</v>
      </c>
      <c r="AZ122" s="102" t="s">
        <v>1641</v>
      </c>
      <c r="BA122" s="187">
        <v>45</v>
      </c>
      <c r="BB122" s="96" t="s">
        <v>263</v>
      </c>
      <c r="BC122" s="96" t="s">
        <v>1642</v>
      </c>
      <c r="BD122" s="96" t="s">
        <v>542</v>
      </c>
      <c r="BE122" s="96" t="s">
        <v>1643</v>
      </c>
      <c r="BF122" s="96" t="s">
        <v>284</v>
      </c>
      <c r="BG122" s="105" t="b">
        <v>0</v>
      </c>
      <c r="BH122" s="105" t="b">
        <v>0</v>
      </c>
      <c r="BI122" s="105" t="b">
        <v>0</v>
      </c>
      <c r="BJ122" s="105" t="b">
        <v>1</v>
      </c>
      <c r="BK122" s="105" t="b">
        <v>1</v>
      </c>
      <c r="BL122" s="105" t="b">
        <v>1</v>
      </c>
      <c r="BM122" s="105" t="b">
        <v>1</v>
      </c>
      <c r="BN122" s="96" t="s">
        <v>244</v>
      </c>
      <c r="BO122" s="96" t="s">
        <v>1644</v>
      </c>
      <c r="BP122" s="96" t="s">
        <v>535</v>
      </c>
      <c r="BQ122" s="102" t="s">
        <v>1645</v>
      </c>
      <c r="BR122" s="78"/>
      <c r="BS122" s="96" t="s">
        <v>1646</v>
      </c>
      <c r="BT122" s="102" t="s">
        <v>1647</v>
      </c>
      <c r="BU122" s="78"/>
      <c r="BV122" s="78"/>
      <c r="BW122" s="102" t="s">
        <v>1648</v>
      </c>
      <c r="BX122" s="96" t="s">
        <v>252</v>
      </c>
      <c r="BY122" s="78"/>
      <c r="BZ122" s="78"/>
      <c r="CA122" s="78"/>
      <c r="CB122" s="78"/>
      <c r="CC122" s="78"/>
      <c r="CD122" s="78"/>
      <c r="CE122" s="78"/>
      <c r="CF122" s="78"/>
      <c r="CG122" s="78"/>
      <c r="CH122" s="78"/>
      <c r="CI122" s="105" t="b">
        <v>0</v>
      </c>
      <c r="CJ122" s="105" t="b">
        <v>0</v>
      </c>
      <c r="CK122" s="105" t="b">
        <v>0</v>
      </c>
      <c r="CL122" s="148" t="s">
        <v>1649</v>
      </c>
      <c r="CM122" s="78"/>
      <c r="CN122" s="78"/>
    </row>
    <row r="123" spans="1:92" ht="26.25" customHeight="1">
      <c r="A123" s="96"/>
      <c r="B123" s="96" t="s">
        <v>1118</v>
      </c>
      <c r="C123" s="102" t="s">
        <v>1650</v>
      </c>
      <c r="D123" s="185" t="s">
        <v>1651</v>
      </c>
      <c r="E123" s="136"/>
      <c r="F123" s="102" t="s">
        <v>565</v>
      </c>
      <c r="G123" s="102"/>
      <c r="H123" s="102" t="s">
        <v>1652</v>
      </c>
      <c r="I123" s="185" t="s">
        <v>1653</v>
      </c>
      <c r="J123" s="185" t="s">
        <v>1654</v>
      </c>
      <c r="K123" s="185" t="s">
        <v>953</v>
      </c>
      <c r="L123" s="185" t="s">
        <v>1655</v>
      </c>
      <c r="M123" s="167"/>
      <c r="N123" s="167"/>
      <c r="O123" s="78"/>
      <c r="P123" s="96" t="s">
        <v>1426</v>
      </c>
      <c r="Q123" s="105" t="b">
        <v>1</v>
      </c>
      <c r="R123" s="186"/>
      <c r="S123" s="186"/>
      <c r="T123" s="96" t="s">
        <v>215</v>
      </c>
      <c r="U123" s="96" t="s">
        <v>215</v>
      </c>
      <c r="V123" s="96" t="s">
        <v>215</v>
      </c>
      <c r="W123" s="96" t="s">
        <v>215</v>
      </c>
      <c r="X123" s="96" t="s">
        <v>215</v>
      </c>
      <c r="Y123" s="150" t="s">
        <v>215</v>
      </c>
      <c r="Z123" s="150" t="s">
        <v>215</v>
      </c>
      <c r="AA123" s="150" t="s">
        <v>215</v>
      </c>
      <c r="AB123" s="150" t="s">
        <v>215</v>
      </c>
      <c r="AC123" s="150" t="s">
        <v>215</v>
      </c>
      <c r="AD123" s="150" t="s">
        <v>215</v>
      </c>
      <c r="AE123" s="150" t="s">
        <v>215</v>
      </c>
      <c r="AF123" s="150" t="s">
        <v>215</v>
      </c>
      <c r="AG123" s="150" t="s">
        <v>215</v>
      </c>
      <c r="AH123" s="137"/>
      <c r="AI123" s="96"/>
      <c r="AJ123" s="105" t="b">
        <v>1</v>
      </c>
      <c r="AK123" s="105" t="b">
        <v>1</v>
      </c>
      <c r="AL123" s="96" t="s">
        <v>635</v>
      </c>
      <c r="AM123" s="96" t="s">
        <v>764</v>
      </c>
      <c r="AN123" s="102" t="s">
        <v>1656</v>
      </c>
      <c r="AO123" s="187">
        <v>0</v>
      </c>
      <c r="AP123" s="188" t="s">
        <v>215</v>
      </c>
      <c r="AQ123" s="187" t="s">
        <v>215</v>
      </c>
      <c r="AR123" s="102" t="s">
        <v>1657</v>
      </c>
      <c r="AS123" s="188">
        <v>6</v>
      </c>
      <c r="AT123" s="191"/>
      <c r="AU123" s="189"/>
      <c r="AV123" s="188" t="s">
        <v>316</v>
      </c>
      <c r="AW123" s="187">
        <v>1</v>
      </c>
      <c r="AX123" s="102" t="s">
        <v>215</v>
      </c>
      <c r="AY123" s="187" t="s">
        <v>215</v>
      </c>
      <c r="AZ123" s="102" t="s">
        <v>215</v>
      </c>
      <c r="BA123" s="187" t="s">
        <v>215</v>
      </c>
      <c r="BB123" s="96" t="s">
        <v>1658</v>
      </c>
      <c r="BC123" s="190"/>
      <c r="BD123" s="190"/>
      <c r="BE123" s="190"/>
      <c r="BF123" s="190"/>
      <c r="BG123" s="105" t="b">
        <v>1</v>
      </c>
      <c r="BH123" s="105" t="b">
        <v>1</v>
      </c>
      <c r="BI123" s="105" t="b">
        <v>1</v>
      </c>
      <c r="BJ123" s="105" t="b">
        <v>1</v>
      </c>
      <c r="BK123" s="105" t="b">
        <v>0</v>
      </c>
      <c r="BL123" s="105" t="b">
        <v>0</v>
      </c>
      <c r="BM123" s="105" t="b">
        <v>0</v>
      </c>
      <c r="BN123" s="96" t="s">
        <v>244</v>
      </c>
      <c r="BO123" s="96" t="s">
        <v>1659</v>
      </c>
      <c r="BP123" s="96" t="s">
        <v>794</v>
      </c>
      <c r="BQ123" s="191" t="s">
        <v>1660</v>
      </c>
      <c r="BR123" s="78"/>
      <c r="BS123" s="96"/>
      <c r="BT123" s="102" t="s">
        <v>1661</v>
      </c>
      <c r="BU123" s="78"/>
      <c r="BV123" s="78"/>
      <c r="BW123" s="102" t="s">
        <v>1662</v>
      </c>
      <c r="BX123" s="96"/>
      <c r="BY123" s="78"/>
      <c r="BZ123" s="78"/>
      <c r="CA123" s="78"/>
      <c r="CB123" s="78"/>
      <c r="CC123" s="78"/>
      <c r="CD123" s="78"/>
      <c r="CE123" s="78"/>
      <c r="CF123" s="78"/>
      <c r="CG123" s="78"/>
      <c r="CH123" s="78" t="b">
        <v>0</v>
      </c>
      <c r="CI123" s="105" t="b">
        <v>0</v>
      </c>
      <c r="CJ123" s="105" t="b">
        <v>0</v>
      </c>
      <c r="CK123" s="105" t="b">
        <v>0</v>
      </c>
      <c r="CL123" s="148"/>
      <c r="CM123" s="78"/>
      <c r="CN123" s="78"/>
    </row>
  </sheetData>
  <mergeCells count="22">
    <mergeCell ref="BB1:BF2"/>
    <mergeCell ref="BG1:BM2"/>
    <mergeCell ref="A1:E2"/>
    <mergeCell ref="F1:G2"/>
    <mergeCell ref="H1:O2"/>
    <mergeCell ref="P1:AH1"/>
    <mergeCell ref="AJ1:BA1"/>
    <mergeCell ref="AR2:AS2"/>
    <mergeCell ref="AT2:AU2"/>
    <mergeCell ref="AV2:AW2"/>
    <mergeCell ref="AX2:AY2"/>
    <mergeCell ref="AZ2:BA2"/>
    <mergeCell ref="P2:R2"/>
    <mergeCell ref="S2:AG2"/>
    <mergeCell ref="AH2:AI2"/>
    <mergeCell ref="AN2:AO2"/>
    <mergeCell ref="AP2:AQ2"/>
    <mergeCell ref="BN1:BP2"/>
    <mergeCell ref="BQ1:BV2"/>
    <mergeCell ref="BW1:BY2"/>
    <mergeCell ref="BZ1:CG2"/>
    <mergeCell ref="CH1:CL2"/>
  </mergeCells>
  <dataValidations count="5">
    <dataValidation type="custom" allowBlank="1" showInputMessage="1" showErrorMessage="1" prompt="Text - Maximum Length: 50 characters." sqref="K55 K63:K66 K72:K123" xr:uid="{00000000-0002-0000-0000-000000000000}">
      <formula1>(LEN(K55) &lt;= (50))</formula1>
    </dataValidation>
    <dataValidation type="custom" allowBlank="1" showInputMessage="1" showErrorMessage="1" prompt="Text - Maximum Length: 80 characters." sqref="J55 J63:J64 J66 J72 I73 J74:J76 J78:J113 J115:J117" xr:uid="{00000000-0002-0000-0000-000007000000}">
      <formula1>(LEN(I55) &lt;= (80))</formula1>
    </dataValidation>
    <dataValidation type="list" allowBlank="1" showErrorMessage="1" sqref="P5:P123" xr:uid="{00000000-0002-0000-0000-00000F000000}">
      <formula1>"Monday,Tuesday,Wednesday,Thursday,Friday,Saturday,Sunday"</formula1>
    </dataValidation>
    <dataValidation type="custom" allowBlank="1" showInputMessage="1" showErrorMessage="1" prompt="Text - Maximum Length: 250 characters." sqref="I55 I63 H64 I65:J65 I66 I72 H73 I74:I76 J77 I78:I113 I114:J114 I115:I117 I118:J123" xr:uid="{00000000-0002-0000-0000-000012000000}">
      <formula1>(LEN(H55) &lt;= (250))</formula1>
    </dataValidation>
    <dataValidation type="custom" allowBlank="1" showInputMessage="1" showErrorMessage="1" prompt="Text (required) - Maximum Length: 20 characters." sqref="L55 L63:L66 L72:L123" xr:uid="{00000000-0002-0000-0000-000017000000}">
      <formula1>(LEN(L55) &lt;= (20))</formula1>
    </dataValidation>
  </dataValidations>
  <hyperlinks>
    <hyperlink ref="CK70" r:id="rId1" xr:uid="{00000000-0004-0000-0000-000000000000}"/>
    <hyperlink ref="CK71" r:id="rId2" xr:uid="{00000000-0004-0000-0000-000001000000}"/>
    <hyperlink ref="CL122" r:id="rId3" xr:uid="{00000000-0004-0000-0000-000002000000}"/>
  </hyperlinks>
  <pageMargins left="0" right="0" top="0" bottom="0" header="0" footer="0"/>
  <extLst>
    <ext xmlns:x14="http://schemas.microsoft.com/office/spreadsheetml/2009/9/main" uri="{CCE6A557-97BC-4b89-ADB6-D9C93CAAB3DF}">
      <x14:dataValidations xmlns:xm="http://schemas.microsoft.com/office/excel/2006/main" count="27">
        <x14:dataValidation type="list" allowBlank="1" showErrorMessage="1" xr:uid="{00000000-0002-0000-0000-000001000000}">
          <x14:formula1>
            <xm:f>Enums!$D$746:$D$752</xm:f>
          </x14:formula1>
          <xm:sqref>AM49:AM51</xm:sqref>
        </x14:dataValidation>
        <x14:dataValidation type="list" allowBlank="1" showErrorMessage="1" xr:uid="{00000000-0002-0000-0000-000002000000}">
          <x14:formula1>
            <xm:f>Enums!$D$461:$D$464</xm:f>
          </x14:formula1>
          <xm:sqref>BF5:BF123</xm:sqref>
        </x14:dataValidation>
        <x14:dataValidation type="list" allowBlank="1" showErrorMessage="1" xr:uid="{00000000-0002-0000-0000-000003000000}">
          <x14:formula1>
            <xm:f>Enums!$D$750:$D$756</xm:f>
          </x14:formula1>
          <xm:sqref>AM54:AM56 AM91:AM92 AM96</xm:sqref>
        </x14:dataValidation>
        <x14:dataValidation type="list" allowBlank="1" showErrorMessage="1" xr:uid="{00000000-0002-0000-0000-000004000000}">
          <x14:formula1>
            <xm:f>Enums!$D$444:$D$460</xm:f>
          </x14:formula1>
          <xm:sqref>BD5:BD123</xm:sqref>
        </x14:dataValidation>
        <x14:dataValidation type="list" allowBlank="1" showErrorMessage="1" xr:uid="{00000000-0002-0000-0000-000005000000}">
          <x14:formula1>
            <xm:f>Enums!$D$751:$D$757</xm:f>
          </x14:formula1>
          <xm:sqref>AM63:AM66 AM101</xm:sqref>
        </x14:dataValidation>
        <x14:dataValidation type="list" allowBlank="1" showErrorMessage="1" xr:uid="{00000000-0002-0000-0000-000006000000}">
          <x14:formula1>
            <xm:f>Enums!$D$747:$D$753</xm:f>
          </x14:formula1>
          <xm:sqref>AM38:AM48 AM52:AM53 AM70:AM71</xm:sqref>
        </x14:dataValidation>
        <x14:dataValidation type="list" allowBlank="1" showErrorMessage="1" xr:uid="{00000000-0002-0000-0000-000008000000}">
          <x14:formula1>
            <xm:f>Enums!$D$375:$D$384</xm:f>
          </x14:formula1>
          <xm:sqref>BO5:BO123</xm:sqref>
        </x14:dataValidation>
        <x14:dataValidation type="list" allowBlank="1" showErrorMessage="1" xr:uid="{00000000-0002-0000-0000-000009000000}">
          <x14:formula1>
            <xm:f>Enums!$D$739:$D$745</xm:f>
          </x14:formula1>
          <xm:sqref>AM57:AM62 AM67</xm:sqref>
        </x14:dataValidation>
        <x14:dataValidation type="list" allowBlank="1" showErrorMessage="1" xr:uid="{00000000-0002-0000-0000-00000A000000}">
          <x14:formula1>
            <xm:f>Enums!$D$431:$D$443</xm:f>
          </x14:formula1>
          <xm:sqref>BE5:BE123</xm:sqref>
        </x14:dataValidation>
        <x14:dataValidation type="list" allowBlank="1" showErrorMessage="1" xr:uid="{00000000-0002-0000-0000-00000B000000}">
          <x14:formula1>
            <xm:f>Enums!$D$526:$D$572</xm:f>
          </x14:formula1>
          <xm:sqref>BS5:BS123</xm:sqref>
        </x14:dataValidation>
        <x14:dataValidation type="list" allowBlank="1" showErrorMessage="1" xr:uid="{00000000-0002-0000-0000-00000C000000}">
          <x14:formula1>
            <xm:f>Enums!$D$13:$D$17</xm:f>
          </x14:formula1>
          <xm:sqref>F5:F123</xm:sqref>
        </x14:dataValidation>
        <x14:dataValidation type="list" allowBlank="1" showErrorMessage="1" xr:uid="{00000000-0002-0000-0000-00000D000000}">
          <x14:formula1>
            <xm:f>Enums!$D$509:$D$524</xm:f>
          </x14:formula1>
          <xm:sqref>BR5:BR123</xm:sqref>
        </x14:dataValidation>
        <x14:dataValidation type="list" allowBlank="1" showErrorMessage="1" xr:uid="{00000000-0002-0000-0000-00000E000000}">
          <x14:formula1>
            <xm:f>Enums!$D$409:$D$414</xm:f>
          </x14:formula1>
          <xm:sqref>BP5:BP123</xm:sqref>
        </x14:dataValidation>
        <x14:dataValidation type="list" allowBlank="1" showErrorMessage="1" xr:uid="{00000000-0002-0000-0000-000010000000}">
          <x14:formula1>
            <xm:f>VHelper!A5:ZZ5</xm:f>
          </x14:formula1>
          <xm:sqref>C5:C123</xm:sqref>
        </x14:dataValidation>
        <x14:dataValidation type="list" allowBlank="1" showErrorMessage="1" xr:uid="{00000000-0002-0000-0000-000011000000}">
          <x14:formula1>
            <xm:f>Enums!$D$737:$D$743</xm:f>
          </x14:formula1>
          <xm:sqref>AM103</xm:sqref>
        </x14:dataValidation>
        <x14:dataValidation type="list" allowBlank="1" showErrorMessage="1" xr:uid="{00000000-0002-0000-0000-000013000000}">
          <x14:formula1>
            <xm:f>Enums!$D$467:$D$473</xm:f>
          </x14:formula1>
          <xm:sqref>BB5:BB123</xm:sqref>
        </x14:dataValidation>
        <x14:dataValidation type="list" allowBlank="1" showErrorMessage="1" xr:uid="{00000000-0002-0000-0000-000014000000}">
          <x14:formula1>
            <xm:f>Enums!$D$417:$D$430</xm:f>
          </x14:formula1>
          <xm:sqref>BC5:BC123</xm:sqref>
        </x14:dataValidation>
        <x14:dataValidation type="list" allowBlank="1" showErrorMessage="1" xr:uid="{00000000-0002-0000-0000-000015000000}">
          <x14:formula1>
            <xm:f>Enums!$D$738:$D$744</xm:f>
          </x14:formula1>
          <xm:sqref>AM72:AM90 AM93:AM95 AM97:AM100</xm:sqref>
        </x14:dataValidation>
        <x14:dataValidation type="list" allowBlank="1" showErrorMessage="1" xr:uid="{00000000-0002-0000-0000-000016000000}">
          <x14:formula1>
            <xm:f>Enums!$D$742:$D$748</xm:f>
          </x14:formula1>
          <xm:sqref>AM5:AM36 AM68:AM69 AM102 AM104:AM123</xm:sqref>
        </x14:dataValidation>
        <x14:dataValidation type="list" allowBlank="1" showErrorMessage="1" xr:uid="{00000000-0002-0000-0000-000018000000}">
          <x14:formula1>
            <xm:f>Enums!$D$743:$D$749</xm:f>
          </x14:formula1>
          <xm:sqref>AM37</xm:sqref>
        </x14:dataValidation>
        <x14:dataValidation type="list" allowBlank="1" showErrorMessage="1" xr:uid="{00000000-0002-0000-0000-000019000000}">
          <x14:formula1>
            <xm:f>Enums!$D$476:$D$506</xm:f>
          </x14:formula1>
          <xm:sqref>BU5:BU101 BU104:BU121</xm:sqref>
        </x14:dataValidation>
        <x14:dataValidation type="list" allowBlank="1" showErrorMessage="1" xr:uid="{00000000-0002-0000-0000-00001A000000}">
          <x14:formula1>
            <xm:f>VHelper2!A5:AA5</xm:f>
          </x14:formula1>
          <xm:sqref>BT5:BT123</xm:sqref>
        </x14:dataValidation>
        <x14:dataValidation type="list" allowBlank="1" showErrorMessage="1" xr:uid="{00000000-0002-0000-0000-00001B000000}">
          <x14:formula1>
            <xm:f>Enums!$D$387:$D$389</xm:f>
          </x14:formula1>
          <xm:sqref>BN5:BN123</xm:sqref>
        </x14:dataValidation>
        <x14:dataValidation type="list" allowBlank="1" showErrorMessage="1" xr:uid="{00000000-0002-0000-0000-00001C000000}">
          <x14:formula1>
            <xm:f>Enums!$D$736:$D$740</xm:f>
          </x14:formula1>
          <xm:sqref>AL5:AL123</xm:sqref>
        </x14:dataValidation>
        <x14:dataValidation type="list" allowBlank="1" showErrorMessage="1" xr:uid="{00000000-0002-0000-0000-00001D000000}">
          <x14:formula1>
            <xm:f>Enums!$D$482:$D$512</xm:f>
          </x14:formula1>
          <xm:sqref>BU102:BU103 BV104:BV121 BU122:BV123</xm:sqref>
        </x14:dataValidation>
        <x14:dataValidation type="list" allowBlank="1" showErrorMessage="1" xr:uid="{00000000-0002-0000-0000-00001E000000}">
          <x14:formula1>
            <xm:f>Enums!$D$112:$D$132</xm:f>
          </x14:formula1>
          <xm:sqref>B5:B123</xm:sqref>
        </x14:dataValidation>
        <x14:dataValidation type="list" allowBlank="1" showErrorMessage="1" xr:uid="{00000000-0002-0000-0000-00001F000000}">
          <x14:formula1>
            <xm:f>Enums!$C$4:$C$7</xm:f>
          </x14:formula1>
          <xm:sqref>A5:A123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W17"/>
  <sheetViews>
    <sheetView workbookViewId="0">
      <pane xSplit="4" ySplit="3" topLeftCell="E5" activePane="bottomRight" state="frozen"/>
      <selection pane="bottomRight" activeCell="E4" sqref="E4"/>
      <selection pane="bottomLeft" activeCell="A4" sqref="A4"/>
      <selection pane="topRight" activeCell="E1" sqref="E1"/>
    </sheetView>
  </sheetViews>
  <sheetFormatPr defaultColWidth="12.5703125" defaultRowHeight="15.75" customHeight="1"/>
  <cols>
    <col min="1" max="1" width="13.7109375" customWidth="1"/>
    <col min="2" max="2" width="22.85546875" customWidth="1"/>
    <col min="3" max="3" width="13.42578125" customWidth="1"/>
    <col min="4" max="4" width="24.42578125" customWidth="1"/>
    <col min="5" max="6" width="16.140625" customWidth="1"/>
    <col min="7" max="7" width="18.42578125" customWidth="1"/>
    <col min="11" max="11" width="12.5703125" hidden="1"/>
    <col min="13" max="13" width="12.5703125" hidden="1"/>
    <col min="16" max="17" width="15.140625" customWidth="1"/>
    <col min="18" max="18" width="11.140625" customWidth="1"/>
    <col min="19" max="19" width="11" customWidth="1"/>
    <col min="20" max="20" width="11.28515625" customWidth="1"/>
    <col min="21" max="23" width="15.140625" customWidth="1"/>
    <col min="30" max="43" width="8.140625" customWidth="1"/>
    <col min="47" max="47" width="17.42578125" customWidth="1"/>
    <col min="48" max="61" width="8.85546875" customWidth="1"/>
    <col min="62" max="62" width="16.28515625" customWidth="1"/>
    <col min="63" max="63" width="17" customWidth="1"/>
    <col min="64" max="64" width="16" customWidth="1"/>
    <col min="65" max="66" width="15.7109375" customWidth="1"/>
    <col min="67" max="73" width="6.42578125" customWidth="1"/>
    <col min="74" max="77" width="16.42578125" customWidth="1"/>
    <col min="78" max="79" width="15.7109375" customWidth="1"/>
    <col min="80" max="80" width="16.42578125" customWidth="1"/>
    <col min="81" max="81" width="17" customWidth="1"/>
    <col min="86" max="88" width="8.42578125" hidden="1" customWidth="1"/>
    <col min="89" max="96" width="7" hidden="1" customWidth="1"/>
    <col min="97" max="101" width="9.28515625" customWidth="1"/>
  </cols>
  <sheetData>
    <row r="1" spans="1:101" ht="16.5" customHeight="1">
      <c r="A1" s="224" t="s">
        <v>1663</v>
      </c>
      <c r="B1" s="216"/>
      <c r="C1" s="216"/>
      <c r="D1" s="216"/>
      <c r="E1" s="225" t="s">
        <v>1664</v>
      </c>
      <c r="F1" s="216"/>
      <c r="G1" s="216"/>
      <c r="H1" s="226" t="s">
        <v>1665</v>
      </c>
      <c r="I1" s="216"/>
      <c r="J1" s="216"/>
      <c r="K1" s="216"/>
      <c r="L1" s="216"/>
      <c r="M1" s="216"/>
      <c r="N1" s="216"/>
      <c r="O1" s="216"/>
      <c r="P1" s="227" t="s">
        <v>7</v>
      </c>
      <c r="Q1" s="216"/>
      <c r="R1" s="227" t="s">
        <v>1666</v>
      </c>
      <c r="S1" s="216"/>
      <c r="T1" s="216"/>
      <c r="U1" s="216"/>
      <c r="V1" s="216"/>
      <c r="W1" s="216"/>
      <c r="X1" s="227" t="s">
        <v>1667</v>
      </c>
      <c r="Y1" s="216"/>
      <c r="Z1" s="227" t="s">
        <v>1668</v>
      </c>
      <c r="AA1" s="216"/>
      <c r="AB1" s="215" t="s">
        <v>1669</v>
      </c>
      <c r="AC1" s="216"/>
      <c r="AD1" s="227" t="s">
        <v>1670</v>
      </c>
      <c r="AE1" s="216"/>
      <c r="AF1" s="216"/>
      <c r="AG1" s="216"/>
      <c r="AH1" s="216"/>
      <c r="AI1" s="216"/>
      <c r="AJ1" s="216"/>
      <c r="AK1" s="216"/>
      <c r="AL1" s="216"/>
      <c r="AM1" s="216"/>
      <c r="AN1" s="216"/>
      <c r="AO1" s="216"/>
      <c r="AP1" s="216"/>
      <c r="AQ1" s="216"/>
      <c r="AR1" s="227" t="s">
        <v>1671</v>
      </c>
      <c r="AS1" s="216"/>
      <c r="AT1" s="216"/>
      <c r="AU1" s="216"/>
      <c r="AV1" s="216"/>
      <c r="AW1" s="216"/>
      <c r="AX1" s="216"/>
      <c r="AY1" s="216"/>
      <c r="AZ1" s="216"/>
      <c r="BA1" s="216"/>
      <c r="BB1" s="216"/>
      <c r="BC1" s="216"/>
      <c r="BD1" s="216"/>
      <c r="BE1" s="216"/>
      <c r="BF1" s="216"/>
      <c r="BG1" s="216"/>
      <c r="BH1" s="216"/>
      <c r="BI1" s="216"/>
      <c r="BJ1" s="224" t="s">
        <v>5</v>
      </c>
      <c r="BK1" s="216"/>
      <c r="BL1" s="216"/>
      <c r="BM1" s="216"/>
      <c r="BN1" s="216"/>
      <c r="BO1" s="227" t="s">
        <v>6</v>
      </c>
      <c r="BP1" s="216"/>
      <c r="BQ1" s="216"/>
      <c r="BR1" s="216"/>
      <c r="BS1" s="216"/>
      <c r="BT1" s="216"/>
      <c r="BU1" s="216"/>
      <c r="BV1" s="215" t="s">
        <v>7</v>
      </c>
      <c r="BW1" s="216"/>
      <c r="BX1" s="216"/>
      <c r="BY1" s="224" t="s">
        <v>8</v>
      </c>
      <c r="BZ1" s="216"/>
      <c r="CA1" s="216"/>
      <c r="CB1" s="216"/>
      <c r="CC1" s="216"/>
      <c r="CD1" s="224" t="s">
        <v>1672</v>
      </c>
      <c r="CE1" s="216"/>
      <c r="CF1" s="216"/>
      <c r="CG1" s="224"/>
      <c r="CH1" s="218" t="s">
        <v>9</v>
      </c>
      <c r="CI1" s="216"/>
      <c r="CJ1" s="216"/>
      <c r="CK1" s="228" t="s">
        <v>10</v>
      </c>
      <c r="CL1" s="216"/>
      <c r="CM1" s="216"/>
      <c r="CN1" s="216"/>
      <c r="CO1" s="216"/>
      <c r="CP1" s="216"/>
      <c r="CQ1" s="216"/>
      <c r="CR1" s="216"/>
      <c r="CS1" s="229" t="s">
        <v>11</v>
      </c>
      <c r="CT1" s="216"/>
      <c r="CU1" s="216"/>
      <c r="CV1" s="216"/>
      <c r="CW1" s="216"/>
    </row>
    <row r="2" spans="1:101" ht="30.75" customHeight="1">
      <c r="A2" s="216"/>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27" t="s">
        <v>1673</v>
      </c>
      <c r="AS2" s="216"/>
      <c r="AT2" s="216"/>
      <c r="AU2" s="216"/>
      <c r="AV2" s="227" t="s">
        <v>19</v>
      </c>
      <c r="AW2" s="216"/>
      <c r="AX2" s="227" t="s">
        <v>20</v>
      </c>
      <c r="AY2" s="216"/>
      <c r="AZ2" s="227" t="s">
        <v>21</v>
      </c>
      <c r="BA2" s="216"/>
      <c r="BB2" s="227" t="s">
        <v>22</v>
      </c>
      <c r="BC2" s="216"/>
      <c r="BD2" s="227" t="s">
        <v>23</v>
      </c>
      <c r="BE2" s="216"/>
      <c r="BF2" s="227" t="s">
        <v>24</v>
      </c>
      <c r="BG2" s="216"/>
      <c r="BH2" s="227" t="s">
        <v>25</v>
      </c>
      <c r="BI2" s="216"/>
      <c r="BJ2" s="216"/>
      <c r="BK2" s="216"/>
      <c r="BL2" s="216"/>
      <c r="BM2" s="216"/>
      <c r="BN2" s="216"/>
      <c r="BO2" s="216"/>
      <c r="BP2" s="216"/>
      <c r="BQ2" s="216"/>
      <c r="BR2" s="216"/>
      <c r="BS2" s="216"/>
      <c r="BT2" s="216"/>
      <c r="BU2" s="216"/>
      <c r="BV2" s="216"/>
      <c r="BW2" s="216"/>
      <c r="BX2" s="216"/>
      <c r="BY2" s="216"/>
      <c r="BZ2" s="216"/>
      <c r="CA2" s="216"/>
      <c r="CB2" s="216"/>
      <c r="CC2" s="216"/>
      <c r="CD2" s="216"/>
      <c r="CE2" s="216"/>
      <c r="CF2" s="216"/>
      <c r="CG2" s="216"/>
      <c r="CH2" s="216"/>
      <c r="CI2" s="216"/>
      <c r="CJ2" s="216"/>
      <c r="CK2" s="216"/>
      <c r="CL2" s="216"/>
      <c r="CM2" s="216"/>
      <c r="CN2" s="216"/>
      <c r="CO2" s="216"/>
      <c r="CP2" s="216"/>
      <c r="CQ2" s="216"/>
      <c r="CR2" s="216"/>
      <c r="CS2" s="216"/>
      <c r="CT2" s="216"/>
      <c r="CU2" s="216"/>
      <c r="CV2" s="216"/>
      <c r="CW2" s="216"/>
    </row>
    <row r="3" spans="1:101" ht="50.25" customHeight="1">
      <c r="A3" s="10" t="s">
        <v>26</v>
      </c>
      <c r="B3" s="10" t="s">
        <v>1674</v>
      </c>
      <c r="C3" s="10" t="s">
        <v>1675</v>
      </c>
      <c r="D3" s="11" t="s">
        <v>1676</v>
      </c>
      <c r="E3" s="14" t="s">
        <v>31</v>
      </c>
      <c r="F3" s="12" t="s">
        <v>1677</v>
      </c>
      <c r="G3" s="14" t="s">
        <v>32</v>
      </c>
      <c r="H3" s="19" t="s">
        <v>33</v>
      </c>
      <c r="I3" s="19" t="s">
        <v>34</v>
      </c>
      <c r="J3" s="19" t="s">
        <v>35</v>
      </c>
      <c r="K3" s="19" t="s">
        <v>36</v>
      </c>
      <c r="L3" s="10" t="s">
        <v>37</v>
      </c>
      <c r="M3" s="19" t="s">
        <v>40</v>
      </c>
      <c r="N3" s="16" t="s">
        <v>38</v>
      </c>
      <c r="O3" s="16" t="s">
        <v>39</v>
      </c>
      <c r="P3" s="37" t="s">
        <v>91</v>
      </c>
      <c r="Q3" s="37" t="s">
        <v>1678</v>
      </c>
      <c r="R3" s="19" t="s">
        <v>1679</v>
      </c>
      <c r="S3" s="19" t="s">
        <v>1680</v>
      </c>
      <c r="T3" s="19" t="s">
        <v>1681</v>
      </c>
      <c r="U3" s="37" t="s">
        <v>1682</v>
      </c>
      <c r="V3" s="37" t="s">
        <v>1683</v>
      </c>
      <c r="W3" s="37" t="s">
        <v>1684</v>
      </c>
      <c r="X3" s="19" t="s">
        <v>1685</v>
      </c>
      <c r="Y3" s="19" t="s">
        <v>1686</v>
      </c>
      <c r="Z3" s="25" t="s">
        <v>1687</v>
      </c>
      <c r="AA3" s="25" t="s">
        <v>1688</v>
      </c>
      <c r="AB3" s="25" t="s">
        <v>1689</v>
      </c>
      <c r="AC3" s="25" t="s">
        <v>1690</v>
      </c>
      <c r="AD3" s="25" t="s">
        <v>1691</v>
      </c>
      <c r="AE3" s="25" t="s">
        <v>1692</v>
      </c>
      <c r="AF3" s="25" t="s">
        <v>1693</v>
      </c>
      <c r="AG3" s="25" t="s">
        <v>1694</v>
      </c>
      <c r="AH3" s="25" t="s">
        <v>1695</v>
      </c>
      <c r="AI3" s="25" t="s">
        <v>1696</v>
      </c>
      <c r="AJ3" s="25" t="s">
        <v>1697</v>
      </c>
      <c r="AK3" s="25" t="s">
        <v>1698</v>
      </c>
      <c r="AL3" s="25" t="s">
        <v>1699</v>
      </c>
      <c r="AM3" s="25" t="s">
        <v>1700</v>
      </c>
      <c r="AN3" s="25" t="s">
        <v>1701</v>
      </c>
      <c r="AO3" s="25" t="s">
        <v>1702</v>
      </c>
      <c r="AP3" s="25" t="s">
        <v>1703</v>
      </c>
      <c r="AQ3" s="25" t="s">
        <v>1704</v>
      </c>
      <c r="AR3" s="37" t="s">
        <v>1705</v>
      </c>
      <c r="AS3" s="37" t="s">
        <v>61</v>
      </c>
      <c r="AT3" s="37" t="s">
        <v>63</v>
      </c>
      <c r="AU3" s="19" t="s">
        <v>64</v>
      </c>
      <c r="AV3" s="25" t="s">
        <v>1706</v>
      </c>
      <c r="AW3" s="30" t="s">
        <v>66</v>
      </c>
      <c r="AX3" s="25" t="s">
        <v>1707</v>
      </c>
      <c r="AY3" s="30" t="s">
        <v>68</v>
      </c>
      <c r="AZ3" s="25" t="s">
        <v>1708</v>
      </c>
      <c r="BA3" s="30" t="s">
        <v>70</v>
      </c>
      <c r="BB3" s="25" t="s">
        <v>1709</v>
      </c>
      <c r="BC3" s="30" t="s">
        <v>72</v>
      </c>
      <c r="BD3" s="25" t="s">
        <v>1710</v>
      </c>
      <c r="BE3" s="30" t="s">
        <v>74</v>
      </c>
      <c r="BF3" s="25" t="s">
        <v>1711</v>
      </c>
      <c r="BG3" s="25" t="s">
        <v>76</v>
      </c>
      <c r="BH3" s="25" t="s">
        <v>77</v>
      </c>
      <c r="BI3" s="25" t="s">
        <v>78</v>
      </c>
      <c r="BJ3" s="10" t="s">
        <v>79</v>
      </c>
      <c r="BK3" s="10" t="s">
        <v>80</v>
      </c>
      <c r="BL3" s="10" t="s">
        <v>81</v>
      </c>
      <c r="BM3" s="10" t="s">
        <v>82</v>
      </c>
      <c r="BN3" s="38" t="s">
        <v>83</v>
      </c>
      <c r="BO3" s="37" t="s">
        <v>84</v>
      </c>
      <c r="BP3" s="37" t="s">
        <v>85</v>
      </c>
      <c r="BQ3" s="37" t="s">
        <v>86</v>
      </c>
      <c r="BR3" s="37" t="s">
        <v>87</v>
      </c>
      <c r="BS3" s="37" t="s">
        <v>88</v>
      </c>
      <c r="BT3" s="37" t="s">
        <v>89</v>
      </c>
      <c r="BU3" s="37" t="s">
        <v>90</v>
      </c>
      <c r="BV3" s="21" t="s">
        <v>91</v>
      </c>
      <c r="BW3" s="21" t="s">
        <v>1678</v>
      </c>
      <c r="BX3" s="21" t="s">
        <v>93</v>
      </c>
      <c r="BY3" s="10" t="s">
        <v>1712</v>
      </c>
      <c r="BZ3" s="10" t="s">
        <v>95</v>
      </c>
      <c r="CA3" s="10" t="s">
        <v>96</v>
      </c>
      <c r="CB3" s="37" t="s">
        <v>1713</v>
      </c>
      <c r="CC3" s="10" t="s">
        <v>98</v>
      </c>
      <c r="CD3" s="10" t="s">
        <v>1714</v>
      </c>
      <c r="CE3" s="10" t="s">
        <v>1715</v>
      </c>
      <c r="CF3" s="10" t="s">
        <v>1716</v>
      </c>
      <c r="CG3" s="38" t="s">
        <v>1717</v>
      </c>
      <c r="CH3" s="15" t="s">
        <v>100</v>
      </c>
      <c r="CI3" s="15" t="s">
        <v>101</v>
      </c>
      <c r="CJ3" s="15" t="s">
        <v>102</v>
      </c>
      <c r="CK3" s="15" t="s">
        <v>103</v>
      </c>
      <c r="CL3" s="15" t="s">
        <v>104</v>
      </c>
      <c r="CM3" s="15" t="s">
        <v>105</v>
      </c>
      <c r="CN3" s="15" t="s">
        <v>106</v>
      </c>
      <c r="CO3" s="15" t="s">
        <v>107</v>
      </c>
      <c r="CP3" s="15" t="s">
        <v>108</v>
      </c>
      <c r="CQ3" s="15" t="s">
        <v>109</v>
      </c>
      <c r="CR3" s="15" t="s">
        <v>110</v>
      </c>
      <c r="CS3" s="40" t="s">
        <v>30</v>
      </c>
      <c r="CT3" s="40" t="s">
        <v>111</v>
      </c>
      <c r="CU3" s="40" t="s">
        <v>112</v>
      </c>
      <c r="CV3" s="40" t="s">
        <v>1718</v>
      </c>
      <c r="CW3" s="40" t="s">
        <v>114</v>
      </c>
    </row>
    <row r="4" spans="1:101" ht="26.25" hidden="1" customHeight="1">
      <c r="A4" s="41" t="s">
        <v>115</v>
      </c>
      <c r="B4" s="32" t="s">
        <v>1719</v>
      </c>
      <c r="C4" s="41" t="s">
        <v>1720</v>
      </c>
      <c r="D4" s="42" t="s">
        <v>1721</v>
      </c>
      <c r="E4" s="32" t="s">
        <v>1722</v>
      </c>
      <c r="F4" s="42" t="s">
        <v>1723</v>
      </c>
      <c r="G4" s="32" t="s">
        <v>1724</v>
      </c>
      <c r="H4" s="45" t="s">
        <v>1725</v>
      </c>
      <c r="I4" s="45" t="s">
        <v>1726</v>
      </c>
      <c r="J4" s="45" t="s">
        <v>1727</v>
      </c>
      <c r="K4" s="45" t="s">
        <v>1728</v>
      </c>
      <c r="L4" s="45" t="s">
        <v>1729</v>
      </c>
      <c r="M4" s="45" t="s">
        <v>1730</v>
      </c>
      <c r="N4" s="41" t="s">
        <v>127</v>
      </c>
      <c r="O4" s="41" t="s">
        <v>128</v>
      </c>
      <c r="P4" s="46" t="s">
        <v>1731</v>
      </c>
      <c r="Q4" s="46" t="s">
        <v>1732</v>
      </c>
      <c r="R4" s="45" t="s">
        <v>1733</v>
      </c>
      <c r="S4" s="45" t="s">
        <v>1734</v>
      </c>
      <c r="T4" s="45" t="s">
        <v>1735</v>
      </c>
      <c r="U4" s="46" t="s">
        <v>1736</v>
      </c>
      <c r="V4" s="57" t="s">
        <v>1737</v>
      </c>
      <c r="W4" s="57" t="s">
        <v>1738</v>
      </c>
      <c r="X4" s="45" t="s">
        <v>1739</v>
      </c>
      <c r="Y4" s="45" t="s">
        <v>1740</v>
      </c>
      <c r="Z4" s="45" t="s">
        <v>1741</v>
      </c>
      <c r="AA4" s="45" t="s">
        <v>1742</v>
      </c>
      <c r="AB4" s="45" t="s">
        <v>1743</v>
      </c>
      <c r="AC4" s="45" t="s">
        <v>1744</v>
      </c>
      <c r="AD4" s="46" t="s">
        <v>1745</v>
      </c>
      <c r="AE4" s="46" t="s">
        <v>1746</v>
      </c>
      <c r="AF4" s="46" t="s">
        <v>1747</v>
      </c>
      <c r="AG4" s="46" t="s">
        <v>1748</v>
      </c>
      <c r="AH4" s="46" t="s">
        <v>1749</v>
      </c>
      <c r="AI4" s="46" t="s">
        <v>1750</v>
      </c>
      <c r="AJ4" s="46" t="s">
        <v>1751</v>
      </c>
      <c r="AK4" s="46" t="s">
        <v>1752</v>
      </c>
      <c r="AL4" s="46" t="s">
        <v>1753</v>
      </c>
      <c r="AM4" s="46" t="s">
        <v>1754</v>
      </c>
      <c r="AN4" s="46" t="s">
        <v>1755</v>
      </c>
      <c r="AO4" s="46" t="s">
        <v>1756</v>
      </c>
      <c r="AP4" s="46" t="s">
        <v>1757</v>
      </c>
      <c r="AQ4" s="46" t="s">
        <v>1758</v>
      </c>
      <c r="AR4" s="45" t="s">
        <v>1759</v>
      </c>
      <c r="AS4" s="45" t="s">
        <v>1760</v>
      </c>
      <c r="AT4" s="45" t="s">
        <v>1761</v>
      </c>
      <c r="AU4" s="51" t="s">
        <v>152</v>
      </c>
      <c r="AV4" s="45" t="s">
        <v>153</v>
      </c>
      <c r="AW4" s="53" t="s">
        <v>154</v>
      </c>
      <c r="AX4" s="45" t="s">
        <v>155</v>
      </c>
      <c r="AY4" s="53" t="s">
        <v>156</v>
      </c>
      <c r="AZ4" s="45" t="s">
        <v>157</v>
      </c>
      <c r="BA4" s="53" t="s">
        <v>158</v>
      </c>
      <c r="BB4" s="45" t="s">
        <v>159</v>
      </c>
      <c r="BC4" s="53" t="s">
        <v>160</v>
      </c>
      <c r="BD4" s="45" t="s">
        <v>161</v>
      </c>
      <c r="BE4" s="53" t="s">
        <v>162</v>
      </c>
      <c r="BF4" s="45" t="s">
        <v>163</v>
      </c>
      <c r="BG4" s="45" t="s">
        <v>164</v>
      </c>
      <c r="BH4" s="45" t="s">
        <v>165</v>
      </c>
      <c r="BI4" s="45" t="s">
        <v>166</v>
      </c>
      <c r="BJ4" s="45" t="s">
        <v>1762</v>
      </c>
      <c r="BK4" s="45" t="s">
        <v>1763</v>
      </c>
      <c r="BL4" s="45" t="s">
        <v>1764</v>
      </c>
      <c r="BM4" s="45" t="s">
        <v>1765</v>
      </c>
      <c r="BN4" s="55" t="s">
        <v>171</v>
      </c>
      <c r="BO4" s="45" t="s">
        <v>1766</v>
      </c>
      <c r="BP4" s="45" t="s">
        <v>1767</v>
      </c>
      <c r="BQ4" s="45" t="s">
        <v>1768</v>
      </c>
      <c r="BR4" s="45" t="s">
        <v>1769</v>
      </c>
      <c r="BS4" s="45" t="s">
        <v>1770</v>
      </c>
      <c r="BT4" s="45" t="s">
        <v>1771</v>
      </c>
      <c r="BU4" s="45" t="s">
        <v>1772</v>
      </c>
      <c r="BV4" s="50" t="s">
        <v>179</v>
      </c>
      <c r="BW4" s="50" t="s">
        <v>180</v>
      </c>
      <c r="BX4" s="50" t="s">
        <v>181</v>
      </c>
      <c r="BY4" s="32" t="s">
        <v>1773</v>
      </c>
      <c r="BZ4" s="45" t="s">
        <v>1774</v>
      </c>
      <c r="CA4" s="57" t="s">
        <v>1775</v>
      </c>
      <c r="CB4" s="45" t="s">
        <v>1776</v>
      </c>
      <c r="CC4" s="32" t="s">
        <v>1777</v>
      </c>
      <c r="CD4" s="45" t="s">
        <v>1778</v>
      </c>
      <c r="CE4" s="45" t="s">
        <v>1779</v>
      </c>
      <c r="CF4" s="45" t="s">
        <v>1780</v>
      </c>
      <c r="CG4" s="45" t="s">
        <v>187</v>
      </c>
      <c r="CH4" s="32" t="s">
        <v>188</v>
      </c>
      <c r="CI4" s="32" t="s">
        <v>189</v>
      </c>
      <c r="CJ4" s="32" t="s">
        <v>190</v>
      </c>
      <c r="CK4" s="26" t="s">
        <v>1781</v>
      </c>
      <c r="CL4" s="26" t="s">
        <v>1782</v>
      </c>
      <c r="CM4" s="26" t="s">
        <v>1783</v>
      </c>
      <c r="CN4" s="26" t="s">
        <v>1784</v>
      </c>
      <c r="CO4" s="26" t="s">
        <v>1785</v>
      </c>
      <c r="CP4" s="26" t="s">
        <v>1786</v>
      </c>
      <c r="CQ4" s="26" t="s">
        <v>1787</v>
      </c>
      <c r="CR4" s="26" t="s">
        <v>1788</v>
      </c>
      <c r="CS4" s="32" t="s">
        <v>199</v>
      </c>
      <c r="CT4" s="32" t="s">
        <v>200</v>
      </c>
      <c r="CU4" s="32" t="s">
        <v>201</v>
      </c>
      <c r="CV4" s="32" t="s">
        <v>202</v>
      </c>
      <c r="CW4" s="32" t="s">
        <v>203</v>
      </c>
    </row>
    <row r="5" spans="1:101" ht="20.25" customHeight="1">
      <c r="A5" s="96" t="s">
        <v>1789</v>
      </c>
      <c r="B5" s="96" t="s">
        <v>304</v>
      </c>
      <c r="C5" s="102" t="s">
        <v>305</v>
      </c>
      <c r="D5" s="60" t="s">
        <v>1790</v>
      </c>
      <c r="E5" s="102" t="s">
        <v>1058</v>
      </c>
      <c r="F5" s="96" t="s">
        <v>1791</v>
      </c>
      <c r="G5" s="102" t="s">
        <v>1792</v>
      </c>
      <c r="H5" s="96" t="s">
        <v>1790</v>
      </c>
      <c r="I5" s="96"/>
      <c r="J5" s="61" t="s">
        <v>1793</v>
      </c>
      <c r="K5" s="61" t="s">
        <v>953</v>
      </c>
      <c r="L5" s="61" t="s">
        <v>1794</v>
      </c>
      <c r="M5" s="96"/>
      <c r="N5" s="64">
        <v>50.813442600000002</v>
      </c>
      <c r="O5" s="64">
        <v>-3.8852573000000001</v>
      </c>
      <c r="P5" s="102" t="s">
        <v>223</v>
      </c>
      <c r="Q5" s="102" t="s">
        <v>623</v>
      </c>
      <c r="R5" s="66">
        <v>46332</v>
      </c>
      <c r="S5" s="66">
        <v>46332</v>
      </c>
      <c r="T5" s="90">
        <v>1</v>
      </c>
      <c r="U5" s="105" t="b">
        <v>0</v>
      </c>
      <c r="V5" s="96" t="s">
        <v>1795</v>
      </c>
      <c r="W5" s="79" t="b">
        <v>1</v>
      </c>
      <c r="X5" s="181">
        <v>0.45833333333333331</v>
      </c>
      <c r="Y5" s="181">
        <v>0.66666666666666663</v>
      </c>
      <c r="Z5" s="96" t="s">
        <v>215</v>
      </c>
      <c r="AA5" s="96" t="s">
        <v>215</v>
      </c>
      <c r="AB5" s="96" t="s">
        <v>215</v>
      </c>
      <c r="AC5" s="96" t="s">
        <v>215</v>
      </c>
      <c r="AD5" s="96" t="s">
        <v>215</v>
      </c>
      <c r="AE5" s="96" t="s">
        <v>215</v>
      </c>
      <c r="AF5" s="96" t="s">
        <v>215</v>
      </c>
      <c r="AG5" s="96" t="s">
        <v>215</v>
      </c>
      <c r="AH5" s="96" t="s">
        <v>215</v>
      </c>
      <c r="AI5" s="96" t="s">
        <v>215</v>
      </c>
      <c r="AJ5" s="105" t="s">
        <v>215</v>
      </c>
      <c r="AK5" s="96" t="s">
        <v>215</v>
      </c>
      <c r="AL5" s="96" t="s">
        <v>215</v>
      </c>
      <c r="AM5" s="96" t="s">
        <v>215</v>
      </c>
      <c r="AN5" s="96" t="s">
        <v>215</v>
      </c>
      <c r="AO5" s="106" t="s">
        <v>215</v>
      </c>
      <c r="AP5" s="96" t="s">
        <v>215</v>
      </c>
      <c r="AQ5" s="106" t="s">
        <v>215</v>
      </c>
      <c r="AR5" s="66">
        <v>46176</v>
      </c>
      <c r="AS5" s="105" t="b">
        <v>1</v>
      </c>
      <c r="AT5" s="96" t="s">
        <v>1448</v>
      </c>
      <c r="AU5" s="102" t="s">
        <v>314</v>
      </c>
      <c r="AV5" s="96" t="s">
        <v>215</v>
      </c>
      <c r="AW5" s="106" t="s">
        <v>215</v>
      </c>
      <c r="AX5" s="96" t="s">
        <v>1796</v>
      </c>
      <c r="AY5" s="73">
        <v>0</v>
      </c>
      <c r="AZ5" s="96" t="s">
        <v>215</v>
      </c>
      <c r="BA5" s="106" t="s">
        <v>215</v>
      </c>
      <c r="BB5" s="96" t="s">
        <v>215</v>
      </c>
      <c r="BC5" s="106" t="s">
        <v>215</v>
      </c>
      <c r="BD5" s="96" t="s">
        <v>339</v>
      </c>
      <c r="BE5" s="73">
        <v>6</v>
      </c>
      <c r="BF5" s="96" t="s">
        <v>215</v>
      </c>
      <c r="BG5" s="105" t="s">
        <v>215</v>
      </c>
      <c r="BH5" s="105" t="s">
        <v>215</v>
      </c>
      <c r="BI5" s="105" t="s">
        <v>215</v>
      </c>
      <c r="BJ5" s="96" t="s">
        <v>416</v>
      </c>
      <c r="BK5" s="96" t="s">
        <v>1797</v>
      </c>
      <c r="BL5" s="96"/>
      <c r="BM5" s="96" t="s">
        <v>1798</v>
      </c>
      <c r="BN5" s="96"/>
      <c r="BO5" s="105" t="b">
        <v>1</v>
      </c>
      <c r="BP5" s="105" t="b">
        <v>1</v>
      </c>
      <c r="BQ5" s="105" t="b">
        <v>1</v>
      </c>
      <c r="BR5" s="105" t="b">
        <v>1</v>
      </c>
      <c r="BS5" s="105" t="b">
        <v>1</v>
      </c>
      <c r="BT5" s="105" t="b">
        <v>1</v>
      </c>
      <c r="BU5" s="105" t="b">
        <v>1</v>
      </c>
      <c r="BV5" s="76" t="s">
        <v>223</v>
      </c>
      <c r="BW5" s="76" t="s">
        <v>517</v>
      </c>
      <c r="BX5" s="76" t="s">
        <v>322</v>
      </c>
      <c r="BY5" s="102" t="s">
        <v>1799</v>
      </c>
      <c r="BZ5" s="96" t="s">
        <v>422</v>
      </c>
      <c r="CA5" s="96" t="s">
        <v>1646</v>
      </c>
      <c r="CB5" s="96" t="s">
        <v>1800</v>
      </c>
      <c r="CC5" s="96" t="s">
        <v>1801</v>
      </c>
      <c r="CD5" s="96"/>
      <c r="CE5" s="96"/>
      <c r="CF5" s="96"/>
      <c r="CG5" s="102" t="s">
        <v>1802</v>
      </c>
      <c r="CH5" s="96"/>
      <c r="CI5" s="96"/>
      <c r="CJ5" s="96"/>
      <c r="CK5" s="96"/>
      <c r="CL5" s="96"/>
      <c r="CM5" s="96"/>
      <c r="CN5" s="105" t="b">
        <v>0</v>
      </c>
      <c r="CO5" s="105" t="b">
        <v>0</v>
      </c>
      <c r="CP5" s="105" t="b">
        <v>0</v>
      </c>
      <c r="CQ5" s="96"/>
      <c r="CR5" s="96"/>
      <c r="CS5" s="79"/>
      <c r="CT5" s="79" t="b">
        <v>1</v>
      </c>
      <c r="CU5" s="79"/>
      <c r="CV5" s="96"/>
      <c r="CW5" s="96"/>
    </row>
    <row r="6" spans="1:101" ht="20.25" customHeight="1">
      <c r="A6" s="96" t="s">
        <v>1789</v>
      </c>
      <c r="B6" s="96" t="s">
        <v>304</v>
      </c>
      <c r="C6" s="102" t="s">
        <v>305</v>
      </c>
      <c r="D6" s="60" t="s">
        <v>1803</v>
      </c>
      <c r="E6" s="102" t="s">
        <v>1058</v>
      </c>
      <c r="F6" s="96" t="s">
        <v>1791</v>
      </c>
      <c r="G6" s="102" t="s">
        <v>1804</v>
      </c>
      <c r="H6" s="96" t="s">
        <v>1803</v>
      </c>
      <c r="I6" s="61" t="s">
        <v>1805</v>
      </c>
      <c r="J6" s="61" t="s">
        <v>1806</v>
      </c>
      <c r="K6" s="61" t="s">
        <v>953</v>
      </c>
      <c r="L6" s="61" t="s">
        <v>1807</v>
      </c>
      <c r="M6" s="96"/>
      <c r="N6" s="64">
        <v>50.855806299999998</v>
      </c>
      <c r="O6" s="64">
        <v>-3.4097824000000001</v>
      </c>
      <c r="P6" s="102" t="s">
        <v>223</v>
      </c>
      <c r="Q6" s="102" t="s">
        <v>623</v>
      </c>
      <c r="R6" s="66">
        <v>46222</v>
      </c>
      <c r="S6" s="66">
        <v>46223</v>
      </c>
      <c r="T6" s="90">
        <v>2</v>
      </c>
      <c r="U6" s="105" t="b">
        <v>0</v>
      </c>
      <c r="V6" s="96" t="s">
        <v>1808</v>
      </c>
      <c r="W6" s="79" t="b">
        <v>1</v>
      </c>
      <c r="X6" s="181">
        <v>0.58333333333333337</v>
      </c>
      <c r="Y6" s="181">
        <v>0.72916666666666663</v>
      </c>
      <c r="Z6" s="96" t="s">
        <v>215</v>
      </c>
      <c r="AA6" s="96" t="s">
        <v>215</v>
      </c>
      <c r="AB6" s="96" t="s">
        <v>215</v>
      </c>
      <c r="AC6" s="96" t="s">
        <v>215</v>
      </c>
      <c r="AD6" s="96" t="s">
        <v>215</v>
      </c>
      <c r="AE6" s="96" t="s">
        <v>215</v>
      </c>
      <c r="AF6" s="96" t="s">
        <v>215</v>
      </c>
      <c r="AG6" s="96" t="s">
        <v>215</v>
      </c>
      <c r="AH6" s="96" t="s">
        <v>215</v>
      </c>
      <c r="AI6" s="96" t="s">
        <v>215</v>
      </c>
      <c r="AJ6" s="105" t="s">
        <v>215</v>
      </c>
      <c r="AK6" s="96" t="s">
        <v>215</v>
      </c>
      <c r="AL6" s="96" t="s">
        <v>215</v>
      </c>
      <c r="AM6" s="96" t="s">
        <v>215</v>
      </c>
      <c r="AN6" s="96" t="s">
        <v>215</v>
      </c>
      <c r="AO6" s="106" t="s">
        <v>215</v>
      </c>
      <c r="AP6" s="96" t="s">
        <v>215</v>
      </c>
      <c r="AQ6" s="106" t="s">
        <v>215</v>
      </c>
      <c r="AR6" s="66">
        <v>46176</v>
      </c>
      <c r="AS6" s="105" t="b">
        <v>1</v>
      </c>
      <c r="AT6" s="96" t="s">
        <v>1448</v>
      </c>
      <c r="AU6" s="102" t="s">
        <v>1809</v>
      </c>
      <c r="AV6" s="96" t="s">
        <v>215</v>
      </c>
      <c r="AW6" s="106" t="s">
        <v>215</v>
      </c>
      <c r="AX6" s="96" t="s">
        <v>1796</v>
      </c>
      <c r="AY6" s="73">
        <v>0</v>
      </c>
      <c r="AZ6" s="96" t="s">
        <v>215</v>
      </c>
      <c r="BA6" s="106" t="s">
        <v>215</v>
      </c>
      <c r="BB6" s="96" t="s">
        <v>215</v>
      </c>
      <c r="BC6" s="96" t="s">
        <v>215</v>
      </c>
      <c r="BD6" s="96" t="s">
        <v>339</v>
      </c>
      <c r="BE6" s="73">
        <v>5</v>
      </c>
      <c r="BF6" s="96" t="s">
        <v>215</v>
      </c>
      <c r="BG6" s="105" t="s">
        <v>215</v>
      </c>
      <c r="BH6" s="105" t="s">
        <v>215</v>
      </c>
      <c r="BI6" s="105" t="s">
        <v>215</v>
      </c>
      <c r="BJ6" s="96" t="s">
        <v>416</v>
      </c>
      <c r="BK6" s="96"/>
      <c r="BL6" s="96"/>
      <c r="BM6" s="96" t="s">
        <v>1810</v>
      </c>
      <c r="BN6" s="96"/>
      <c r="BO6" s="105" t="b">
        <v>1</v>
      </c>
      <c r="BP6" s="105" t="b">
        <v>1</v>
      </c>
      <c r="BQ6" s="105" t="b">
        <v>1</v>
      </c>
      <c r="BR6" s="105" t="b">
        <v>1</v>
      </c>
      <c r="BS6" s="105" t="b">
        <v>1</v>
      </c>
      <c r="BT6" s="105" t="b">
        <v>1</v>
      </c>
      <c r="BU6" s="105" t="b">
        <v>1</v>
      </c>
      <c r="BV6" s="76" t="s">
        <v>223</v>
      </c>
      <c r="BW6" s="76" t="s">
        <v>517</v>
      </c>
      <c r="BX6" s="76" t="s">
        <v>322</v>
      </c>
      <c r="BY6" s="102" t="s">
        <v>1811</v>
      </c>
      <c r="BZ6" s="96"/>
      <c r="CA6" s="96"/>
      <c r="CB6" s="96" t="s">
        <v>1812</v>
      </c>
      <c r="CC6" s="96" t="s">
        <v>1813</v>
      </c>
      <c r="CD6" s="96"/>
      <c r="CE6" s="96"/>
      <c r="CF6" s="96"/>
      <c r="CG6" s="102" t="s">
        <v>1814</v>
      </c>
      <c r="CH6" s="96"/>
      <c r="CI6" s="96"/>
      <c r="CJ6" s="96"/>
      <c r="CK6" s="96"/>
      <c r="CL6" s="96"/>
      <c r="CM6" s="96"/>
      <c r="CN6" s="105" t="b">
        <v>0</v>
      </c>
      <c r="CO6" s="105" t="b">
        <v>0</v>
      </c>
      <c r="CP6" s="105" t="b">
        <v>0</v>
      </c>
      <c r="CQ6" s="96"/>
      <c r="CR6" s="96"/>
      <c r="CS6" s="79"/>
      <c r="CT6" s="79" t="b">
        <v>1</v>
      </c>
      <c r="CU6" s="79"/>
      <c r="CV6" s="96"/>
      <c r="CW6" s="96"/>
    </row>
    <row r="7" spans="1:101" ht="20.25" customHeight="1">
      <c r="A7" s="96" t="s">
        <v>1789</v>
      </c>
      <c r="B7" s="96" t="s">
        <v>304</v>
      </c>
      <c r="C7" s="102" t="s">
        <v>305</v>
      </c>
      <c r="D7" s="60" t="s">
        <v>1803</v>
      </c>
      <c r="E7" s="102" t="s">
        <v>1058</v>
      </c>
      <c r="F7" s="96" t="s">
        <v>1791</v>
      </c>
      <c r="G7" s="102" t="s">
        <v>1804</v>
      </c>
      <c r="H7" s="96" t="s">
        <v>1803</v>
      </c>
      <c r="I7" s="61" t="s">
        <v>1805</v>
      </c>
      <c r="J7" s="61" t="s">
        <v>1806</v>
      </c>
      <c r="K7" s="61" t="s">
        <v>953</v>
      </c>
      <c r="L7" s="61" t="s">
        <v>1807</v>
      </c>
      <c r="M7" s="96"/>
      <c r="N7" s="64">
        <v>50.855806299999998</v>
      </c>
      <c r="O7" s="64">
        <v>-3.4097824000000001</v>
      </c>
      <c r="P7" s="102" t="s">
        <v>223</v>
      </c>
      <c r="Q7" s="102" t="s">
        <v>623</v>
      </c>
      <c r="R7" s="66">
        <v>46236</v>
      </c>
      <c r="S7" s="66">
        <v>46236</v>
      </c>
      <c r="T7" s="90">
        <v>1</v>
      </c>
      <c r="U7" s="105" t="b">
        <v>0</v>
      </c>
      <c r="V7" s="96" t="s">
        <v>1808</v>
      </c>
      <c r="W7" s="79" t="b">
        <v>1</v>
      </c>
      <c r="X7" s="181">
        <v>0.58333333333333337</v>
      </c>
      <c r="Y7" s="181">
        <v>0.72916666666666663</v>
      </c>
      <c r="Z7" s="96" t="s">
        <v>215</v>
      </c>
      <c r="AA7" s="96" t="s">
        <v>215</v>
      </c>
      <c r="AB7" s="96" t="s">
        <v>215</v>
      </c>
      <c r="AC7" s="96" t="s">
        <v>215</v>
      </c>
      <c r="AD7" s="96" t="s">
        <v>215</v>
      </c>
      <c r="AE7" s="96" t="s">
        <v>215</v>
      </c>
      <c r="AF7" s="96" t="s">
        <v>215</v>
      </c>
      <c r="AG7" s="96" t="s">
        <v>215</v>
      </c>
      <c r="AH7" s="96" t="s">
        <v>215</v>
      </c>
      <c r="AI7" s="96" t="s">
        <v>215</v>
      </c>
      <c r="AJ7" s="105" t="s">
        <v>215</v>
      </c>
      <c r="AK7" s="96" t="s">
        <v>215</v>
      </c>
      <c r="AL7" s="96" t="s">
        <v>215</v>
      </c>
      <c r="AM7" s="96" t="s">
        <v>215</v>
      </c>
      <c r="AN7" s="96" t="s">
        <v>215</v>
      </c>
      <c r="AO7" s="106" t="s">
        <v>215</v>
      </c>
      <c r="AP7" s="96" t="s">
        <v>215</v>
      </c>
      <c r="AQ7" s="106" t="s">
        <v>215</v>
      </c>
      <c r="AR7" s="66">
        <v>46176</v>
      </c>
      <c r="AS7" s="105" t="b">
        <v>1</v>
      </c>
      <c r="AT7" s="96" t="s">
        <v>1448</v>
      </c>
      <c r="AU7" s="102" t="s">
        <v>1809</v>
      </c>
      <c r="AV7" s="96" t="s">
        <v>215</v>
      </c>
      <c r="AW7" s="106" t="s">
        <v>215</v>
      </c>
      <c r="AX7" s="96" t="s">
        <v>1796</v>
      </c>
      <c r="AY7" s="73">
        <v>0</v>
      </c>
      <c r="AZ7" s="96" t="s">
        <v>215</v>
      </c>
      <c r="BA7" s="106" t="s">
        <v>215</v>
      </c>
      <c r="BB7" s="96" t="s">
        <v>215</v>
      </c>
      <c r="BC7" s="96" t="s">
        <v>215</v>
      </c>
      <c r="BD7" s="96" t="s">
        <v>339</v>
      </c>
      <c r="BE7" s="73">
        <v>5</v>
      </c>
      <c r="BF7" s="96" t="s">
        <v>215</v>
      </c>
      <c r="BG7" s="105" t="s">
        <v>215</v>
      </c>
      <c r="BH7" s="105" t="s">
        <v>215</v>
      </c>
      <c r="BI7" s="105" t="s">
        <v>215</v>
      </c>
      <c r="BJ7" s="96" t="s">
        <v>416</v>
      </c>
      <c r="BK7" s="96"/>
      <c r="BL7" s="96"/>
      <c r="BM7" s="96" t="s">
        <v>1810</v>
      </c>
      <c r="BN7" s="96"/>
      <c r="BO7" s="105" t="b">
        <v>1</v>
      </c>
      <c r="BP7" s="105" t="b">
        <v>1</v>
      </c>
      <c r="BQ7" s="105" t="b">
        <v>1</v>
      </c>
      <c r="BR7" s="105" t="b">
        <v>1</v>
      </c>
      <c r="BS7" s="105" t="b">
        <v>1</v>
      </c>
      <c r="BT7" s="105" t="b">
        <v>1</v>
      </c>
      <c r="BU7" s="105" t="b">
        <v>1</v>
      </c>
      <c r="BV7" s="76" t="s">
        <v>223</v>
      </c>
      <c r="BW7" s="76" t="s">
        <v>517</v>
      </c>
      <c r="BX7" s="76" t="s">
        <v>322</v>
      </c>
      <c r="BY7" s="102" t="s">
        <v>1811</v>
      </c>
      <c r="BZ7" s="96"/>
      <c r="CA7" s="96"/>
      <c r="CB7" s="96" t="s">
        <v>1812</v>
      </c>
      <c r="CC7" s="96" t="s">
        <v>1813</v>
      </c>
      <c r="CD7" s="96"/>
      <c r="CE7" s="96"/>
      <c r="CF7" s="96"/>
      <c r="CG7" s="102" t="s">
        <v>1814</v>
      </c>
      <c r="CH7" s="96"/>
      <c r="CI7" s="96"/>
      <c r="CJ7" s="96"/>
      <c r="CK7" s="96"/>
      <c r="CL7" s="96"/>
      <c r="CM7" s="96"/>
      <c r="CN7" s="105" t="b">
        <v>0</v>
      </c>
      <c r="CO7" s="105" t="b">
        <v>0</v>
      </c>
      <c r="CP7" s="105" t="b">
        <v>0</v>
      </c>
      <c r="CQ7" s="96"/>
      <c r="CR7" s="96"/>
      <c r="CS7" s="79"/>
      <c r="CT7" s="79" t="b">
        <v>1</v>
      </c>
      <c r="CU7" s="79"/>
      <c r="CV7" s="96"/>
      <c r="CW7" s="96"/>
    </row>
    <row r="8" spans="1:101" ht="20.25" customHeight="1">
      <c r="A8" s="96" t="s">
        <v>1789</v>
      </c>
      <c r="B8" s="96" t="s">
        <v>304</v>
      </c>
      <c r="C8" s="102" t="s">
        <v>305</v>
      </c>
      <c r="D8" s="60" t="s">
        <v>1803</v>
      </c>
      <c r="E8" s="102" t="s">
        <v>1058</v>
      </c>
      <c r="F8" s="96" t="s">
        <v>1791</v>
      </c>
      <c r="G8" s="102" t="s">
        <v>1804</v>
      </c>
      <c r="H8" s="96" t="s">
        <v>1803</v>
      </c>
      <c r="I8" s="61" t="s">
        <v>1805</v>
      </c>
      <c r="J8" s="61" t="s">
        <v>1806</v>
      </c>
      <c r="K8" s="61" t="s">
        <v>953</v>
      </c>
      <c r="L8" s="61" t="s">
        <v>1807</v>
      </c>
      <c r="M8" s="96"/>
      <c r="N8" s="64">
        <v>50.855806299999998</v>
      </c>
      <c r="O8" s="64">
        <v>-3.4097824000000001</v>
      </c>
      <c r="P8" s="102" t="s">
        <v>223</v>
      </c>
      <c r="Q8" s="102" t="s">
        <v>623</v>
      </c>
      <c r="R8" s="66">
        <v>46250</v>
      </c>
      <c r="S8" s="66">
        <v>46250</v>
      </c>
      <c r="T8" s="90">
        <v>1</v>
      </c>
      <c r="U8" s="105" t="b">
        <v>0</v>
      </c>
      <c r="V8" s="96" t="s">
        <v>1808</v>
      </c>
      <c r="W8" s="79" t="b">
        <v>1</v>
      </c>
      <c r="X8" s="181">
        <v>0.58333333333333337</v>
      </c>
      <c r="Y8" s="181">
        <v>0.72916666666666663</v>
      </c>
      <c r="Z8" s="96" t="s">
        <v>215</v>
      </c>
      <c r="AA8" s="96" t="s">
        <v>215</v>
      </c>
      <c r="AB8" s="96" t="s">
        <v>215</v>
      </c>
      <c r="AC8" s="96" t="s">
        <v>215</v>
      </c>
      <c r="AD8" s="96" t="s">
        <v>215</v>
      </c>
      <c r="AE8" s="96" t="s">
        <v>215</v>
      </c>
      <c r="AF8" s="96" t="s">
        <v>215</v>
      </c>
      <c r="AG8" s="96" t="s">
        <v>215</v>
      </c>
      <c r="AH8" s="96" t="s">
        <v>215</v>
      </c>
      <c r="AI8" s="96" t="s">
        <v>215</v>
      </c>
      <c r="AJ8" s="105" t="s">
        <v>215</v>
      </c>
      <c r="AK8" s="96" t="s">
        <v>215</v>
      </c>
      <c r="AL8" s="96" t="s">
        <v>215</v>
      </c>
      <c r="AM8" s="96" t="s">
        <v>215</v>
      </c>
      <c r="AN8" s="96" t="s">
        <v>215</v>
      </c>
      <c r="AO8" s="106" t="s">
        <v>215</v>
      </c>
      <c r="AP8" s="96" t="s">
        <v>215</v>
      </c>
      <c r="AQ8" s="106" t="s">
        <v>215</v>
      </c>
      <c r="AR8" s="66">
        <v>46176</v>
      </c>
      <c r="AS8" s="105" t="b">
        <v>1</v>
      </c>
      <c r="AT8" s="96" t="s">
        <v>1448</v>
      </c>
      <c r="AU8" s="102" t="s">
        <v>1809</v>
      </c>
      <c r="AV8" s="96" t="s">
        <v>215</v>
      </c>
      <c r="AW8" s="106" t="s">
        <v>215</v>
      </c>
      <c r="AX8" s="96" t="s">
        <v>1796</v>
      </c>
      <c r="AY8" s="73">
        <v>0</v>
      </c>
      <c r="AZ8" s="96" t="s">
        <v>215</v>
      </c>
      <c r="BA8" s="106" t="s">
        <v>215</v>
      </c>
      <c r="BB8" s="96" t="s">
        <v>215</v>
      </c>
      <c r="BC8" s="106" t="s">
        <v>215</v>
      </c>
      <c r="BD8" s="96" t="s">
        <v>339</v>
      </c>
      <c r="BE8" s="73">
        <v>5</v>
      </c>
      <c r="BF8" s="96" t="s">
        <v>215</v>
      </c>
      <c r="BG8" s="105" t="s">
        <v>215</v>
      </c>
      <c r="BH8" s="105" t="s">
        <v>215</v>
      </c>
      <c r="BI8" s="105" t="s">
        <v>215</v>
      </c>
      <c r="BJ8" s="96" t="s">
        <v>416</v>
      </c>
      <c r="BK8" s="96"/>
      <c r="BL8" s="96"/>
      <c r="BM8" s="96" t="s">
        <v>1810</v>
      </c>
      <c r="BN8" s="96"/>
      <c r="BO8" s="105" t="b">
        <v>1</v>
      </c>
      <c r="BP8" s="105" t="b">
        <v>1</v>
      </c>
      <c r="BQ8" s="105" t="b">
        <v>1</v>
      </c>
      <c r="BR8" s="105" t="b">
        <v>1</v>
      </c>
      <c r="BS8" s="105" t="b">
        <v>1</v>
      </c>
      <c r="BT8" s="105" t="b">
        <v>1</v>
      </c>
      <c r="BU8" s="105" t="b">
        <v>1</v>
      </c>
      <c r="BV8" s="76" t="s">
        <v>223</v>
      </c>
      <c r="BW8" s="76" t="s">
        <v>517</v>
      </c>
      <c r="BX8" s="76" t="s">
        <v>322</v>
      </c>
      <c r="BY8" s="102" t="s">
        <v>1811</v>
      </c>
      <c r="BZ8" s="96"/>
      <c r="CA8" s="96"/>
      <c r="CB8" s="96" t="s">
        <v>1812</v>
      </c>
      <c r="CC8" s="96" t="s">
        <v>1813</v>
      </c>
      <c r="CD8" s="96"/>
      <c r="CE8" s="96"/>
      <c r="CF8" s="96"/>
      <c r="CG8" s="102" t="s">
        <v>1814</v>
      </c>
      <c r="CH8" s="96"/>
      <c r="CI8" s="96"/>
      <c r="CJ8" s="96"/>
      <c r="CK8" s="96"/>
      <c r="CL8" s="96"/>
      <c r="CM8" s="96"/>
      <c r="CN8" s="105" t="b">
        <v>0</v>
      </c>
      <c r="CO8" s="105" t="b">
        <v>0</v>
      </c>
      <c r="CP8" s="105" t="b">
        <v>0</v>
      </c>
      <c r="CQ8" s="96"/>
      <c r="CR8" s="96"/>
      <c r="CS8" s="79"/>
      <c r="CT8" s="79" t="b">
        <v>1</v>
      </c>
      <c r="CU8" s="79"/>
      <c r="CV8" s="96"/>
      <c r="CW8" s="96"/>
    </row>
    <row r="9" spans="1:101" ht="20.25" customHeight="1">
      <c r="A9" s="96" t="s">
        <v>1789</v>
      </c>
      <c r="B9" s="96" t="s">
        <v>304</v>
      </c>
      <c r="C9" s="102" t="s">
        <v>305</v>
      </c>
      <c r="D9" s="60" t="s">
        <v>1803</v>
      </c>
      <c r="E9" s="102" t="s">
        <v>1058</v>
      </c>
      <c r="F9" s="96" t="s">
        <v>1791</v>
      </c>
      <c r="G9" s="102" t="s">
        <v>1804</v>
      </c>
      <c r="H9" s="96" t="s">
        <v>1803</v>
      </c>
      <c r="I9" s="61" t="s">
        <v>1805</v>
      </c>
      <c r="J9" s="61" t="s">
        <v>1806</v>
      </c>
      <c r="K9" s="61" t="s">
        <v>953</v>
      </c>
      <c r="L9" s="61" t="s">
        <v>1807</v>
      </c>
      <c r="M9" s="96"/>
      <c r="N9" s="64">
        <v>50.855806299999998</v>
      </c>
      <c r="O9" s="64">
        <v>-3.4097824000000001</v>
      </c>
      <c r="P9" s="102" t="s">
        <v>223</v>
      </c>
      <c r="Q9" s="102" t="s">
        <v>623</v>
      </c>
      <c r="R9" s="66">
        <v>46264</v>
      </c>
      <c r="S9" s="66">
        <v>46264</v>
      </c>
      <c r="T9" s="90">
        <v>1</v>
      </c>
      <c r="U9" s="105" t="b">
        <v>0</v>
      </c>
      <c r="V9" s="96" t="s">
        <v>1808</v>
      </c>
      <c r="W9" s="79" t="b">
        <v>1</v>
      </c>
      <c r="X9" s="181">
        <v>0.58333333333333337</v>
      </c>
      <c r="Y9" s="181">
        <v>0.72916666666666663</v>
      </c>
      <c r="Z9" s="96" t="s">
        <v>215</v>
      </c>
      <c r="AA9" s="96" t="s">
        <v>215</v>
      </c>
      <c r="AB9" s="96" t="s">
        <v>215</v>
      </c>
      <c r="AC9" s="96" t="s">
        <v>215</v>
      </c>
      <c r="AD9" s="96" t="s">
        <v>215</v>
      </c>
      <c r="AE9" s="96" t="s">
        <v>215</v>
      </c>
      <c r="AF9" s="96" t="s">
        <v>215</v>
      </c>
      <c r="AG9" s="96" t="s">
        <v>215</v>
      </c>
      <c r="AH9" s="96" t="s">
        <v>215</v>
      </c>
      <c r="AI9" s="96" t="s">
        <v>215</v>
      </c>
      <c r="AJ9" s="105" t="s">
        <v>215</v>
      </c>
      <c r="AK9" s="96" t="s">
        <v>215</v>
      </c>
      <c r="AL9" s="96" t="s">
        <v>215</v>
      </c>
      <c r="AM9" s="96" t="s">
        <v>215</v>
      </c>
      <c r="AN9" s="96" t="s">
        <v>215</v>
      </c>
      <c r="AO9" s="106" t="s">
        <v>215</v>
      </c>
      <c r="AP9" s="96" t="s">
        <v>215</v>
      </c>
      <c r="AQ9" s="106" t="s">
        <v>215</v>
      </c>
      <c r="AR9" s="66">
        <v>46176</v>
      </c>
      <c r="AS9" s="105" t="b">
        <v>1</v>
      </c>
      <c r="AT9" s="96" t="s">
        <v>1448</v>
      </c>
      <c r="AU9" s="102" t="s">
        <v>1809</v>
      </c>
      <c r="AV9" s="96" t="s">
        <v>215</v>
      </c>
      <c r="AW9" s="106" t="s">
        <v>215</v>
      </c>
      <c r="AX9" s="96" t="s">
        <v>1796</v>
      </c>
      <c r="AY9" s="73">
        <v>0</v>
      </c>
      <c r="AZ9" s="96" t="s">
        <v>215</v>
      </c>
      <c r="BA9" s="106" t="s">
        <v>215</v>
      </c>
      <c r="BB9" s="96" t="s">
        <v>215</v>
      </c>
      <c r="BC9" s="106" t="s">
        <v>215</v>
      </c>
      <c r="BD9" s="96" t="s">
        <v>339</v>
      </c>
      <c r="BE9" s="73">
        <v>5</v>
      </c>
      <c r="BF9" s="96" t="s">
        <v>215</v>
      </c>
      <c r="BG9" s="105" t="s">
        <v>215</v>
      </c>
      <c r="BH9" s="105" t="s">
        <v>215</v>
      </c>
      <c r="BI9" s="105" t="s">
        <v>215</v>
      </c>
      <c r="BJ9" s="96" t="s">
        <v>416</v>
      </c>
      <c r="BK9" s="96"/>
      <c r="BL9" s="96"/>
      <c r="BM9" s="96" t="s">
        <v>1810</v>
      </c>
      <c r="BN9" s="96"/>
      <c r="BO9" s="105" t="b">
        <v>1</v>
      </c>
      <c r="BP9" s="105" t="b">
        <v>1</v>
      </c>
      <c r="BQ9" s="105" t="b">
        <v>1</v>
      </c>
      <c r="BR9" s="105" t="b">
        <v>1</v>
      </c>
      <c r="BS9" s="105" t="b">
        <v>1</v>
      </c>
      <c r="BT9" s="105" t="b">
        <v>1</v>
      </c>
      <c r="BU9" s="105" t="b">
        <v>1</v>
      </c>
      <c r="BV9" s="76" t="s">
        <v>223</v>
      </c>
      <c r="BW9" s="76" t="s">
        <v>517</v>
      </c>
      <c r="BX9" s="76" t="s">
        <v>322</v>
      </c>
      <c r="BY9" s="102" t="s">
        <v>1811</v>
      </c>
      <c r="BZ9" s="96"/>
      <c r="CA9" s="96"/>
      <c r="CB9" s="96" t="s">
        <v>1812</v>
      </c>
      <c r="CC9" s="96" t="s">
        <v>1813</v>
      </c>
      <c r="CD9" s="96"/>
      <c r="CE9" s="96"/>
      <c r="CF9" s="96"/>
      <c r="CG9" s="102" t="s">
        <v>1814</v>
      </c>
      <c r="CH9" s="96"/>
      <c r="CI9" s="96"/>
      <c r="CJ9" s="96"/>
      <c r="CK9" s="96"/>
      <c r="CL9" s="96"/>
      <c r="CM9" s="96"/>
      <c r="CN9" s="105" t="b">
        <v>0</v>
      </c>
      <c r="CO9" s="105" t="b">
        <v>0</v>
      </c>
      <c r="CP9" s="105" t="b">
        <v>0</v>
      </c>
      <c r="CQ9" s="96"/>
      <c r="CR9" s="96"/>
      <c r="CS9" s="79"/>
      <c r="CT9" s="79" t="b">
        <v>1</v>
      </c>
      <c r="CU9" s="79"/>
      <c r="CV9" s="96"/>
      <c r="CW9" s="96"/>
    </row>
    <row r="10" spans="1:101" ht="20.25" customHeight="1">
      <c r="A10" s="96" t="s">
        <v>1789</v>
      </c>
      <c r="B10" s="96" t="s">
        <v>304</v>
      </c>
      <c r="C10" s="102" t="s">
        <v>305</v>
      </c>
      <c r="D10" s="60" t="s">
        <v>1803</v>
      </c>
      <c r="E10" s="102" t="s">
        <v>1058</v>
      </c>
      <c r="F10" s="96" t="s">
        <v>1791</v>
      </c>
      <c r="G10" s="102" t="s">
        <v>1804</v>
      </c>
      <c r="H10" s="96" t="s">
        <v>1803</v>
      </c>
      <c r="I10" s="61" t="s">
        <v>1805</v>
      </c>
      <c r="J10" s="61" t="s">
        <v>1806</v>
      </c>
      <c r="K10" s="61" t="s">
        <v>953</v>
      </c>
      <c r="L10" s="61" t="s">
        <v>1807</v>
      </c>
      <c r="M10" s="96"/>
      <c r="N10" s="64">
        <v>50.855806299999998</v>
      </c>
      <c r="O10" s="64">
        <v>-3.4097824000000001</v>
      </c>
      <c r="P10" s="102" t="s">
        <v>223</v>
      </c>
      <c r="Q10" s="102" t="s">
        <v>623</v>
      </c>
      <c r="R10" s="66">
        <v>46265</v>
      </c>
      <c r="S10" s="66">
        <v>46265</v>
      </c>
      <c r="T10" s="90">
        <v>1</v>
      </c>
      <c r="U10" s="105" t="b">
        <v>0</v>
      </c>
      <c r="V10" s="96" t="s">
        <v>1815</v>
      </c>
      <c r="W10" s="79" t="b">
        <v>1</v>
      </c>
      <c r="X10" s="181">
        <v>0.58333333333333337</v>
      </c>
      <c r="Y10" s="181">
        <v>0.72916666666666663</v>
      </c>
      <c r="Z10" s="96" t="s">
        <v>215</v>
      </c>
      <c r="AA10" s="96" t="s">
        <v>215</v>
      </c>
      <c r="AB10" s="96" t="s">
        <v>215</v>
      </c>
      <c r="AC10" s="96" t="s">
        <v>215</v>
      </c>
      <c r="AD10" s="96" t="s">
        <v>215</v>
      </c>
      <c r="AE10" s="96" t="s">
        <v>215</v>
      </c>
      <c r="AF10" s="96" t="s">
        <v>215</v>
      </c>
      <c r="AG10" s="96" t="s">
        <v>215</v>
      </c>
      <c r="AH10" s="96" t="s">
        <v>215</v>
      </c>
      <c r="AI10" s="96" t="s">
        <v>215</v>
      </c>
      <c r="AJ10" s="105" t="s">
        <v>215</v>
      </c>
      <c r="AK10" s="96" t="s">
        <v>215</v>
      </c>
      <c r="AL10" s="96" t="s">
        <v>215</v>
      </c>
      <c r="AM10" s="96" t="s">
        <v>215</v>
      </c>
      <c r="AN10" s="96" t="s">
        <v>215</v>
      </c>
      <c r="AO10" s="106" t="s">
        <v>215</v>
      </c>
      <c r="AP10" s="96" t="s">
        <v>215</v>
      </c>
      <c r="AQ10" s="106" t="s">
        <v>215</v>
      </c>
      <c r="AR10" s="66">
        <v>46176</v>
      </c>
      <c r="AS10" s="105" t="b">
        <v>1</v>
      </c>
      <c r="AT10" s="96" t="s">
        <v>1448</v>
      </c>
      <c r="AU10" s="102" t="s">
        <v>1809</v>
      </c>
      <c r="AV10" s="96" t="s">
        <v>215</v>
      </c>
      <c r="AW10" s="106" t="s">
        <v>215</v>
      </c>
      <c r="AX10" s="96" t="s">
        <v>1796</v>
      </c>
      <c r="AY10" s="73">
        <v>0</v>
      </c>
      <c r="AZ10" s="96" t="s">
        <v>215</v>
      </c>
      <c r="BA10" s="106" t="s">
        <v>215</v>
      </c>
      <c r="BB10" s="96" t="s">
        <v>215</v>
      </c>
      <c r="BC10" s="106" t="s">
        <v>215</v>
      </c>
      <c r="BD10" s="96" t="s">
        <v>339</v>
      </c>
      <c r="BE10" s="73">
        <v>5</v>
      </c>
      <c r="BF10" s="96" t="s">
        <v>215</v>
      </c>
      <c r="BG10" s="105" t="s">
        <v>215</v>
      </c>
      <c r="BH10" s="105" t="s">
        <v>215</v>
      </c>
      <c r="BI10" s="105" t="s">
        <v>215</v>
      </c>
      <c r="BJ10" s="96" t="s">
        <v>416</v>
      </c>
      <c r="BK10" s="96"/>
      <c r="BL10" s="96"/>
      <c r="BM10" s="96" t="s">
        <v>1810</v>
      </c>
      <c r="BN10" s="96"/>
      <c r="BO10" s="105" t="b">
        <v>1</v>
      </c>
      <c r="BP10" s="105" t="b">
        <v>1</v>
      </c>
      <c r="BQ10" s="105" t="b">
        <v>1</v>
      </c>
      <c r="BR10" s="105" t="b">
        <v>1</v>
      </c>
      <c r="BS10" s="105" t="b">
        <v>1</v>
      </c>
      <c r="BT10" s="105" t="b">
        <v>1</v>
      </c>
      <c r="BU10" s="105" t="b">
        <v>1</v>
      </c>
      <c r="BV10" s="76" t="s">
        <v>223</v>
      </c>
      <c r="BW10" s="76" t="s">
        <v>517</v>
      </c>
      <c r="BX10" s="76" t="s">
        <v>322</v>
      </c>
      <c r="BY10" s="102" t="s">
        <v>1811</v>
      </c>
      <c r="BZ10" s="96"/>
      <c r="CA10" s="96"/>
      <c r="CB10" s="96" t="s">
        <v>1812</v>
      </c>
      <c r="CC10" s="96" t="s">
        <v>1813</v>
      </c>
      <c r="CD10" s="96"/>
      <c r="CE10" s="96"/>
      <c r="CF10" s="96"/>
      <c r="CG10" s="102" t="s">
        <v>1814</v>
      </c>
      <c r="CH10" s="96"/>
      <c r="CI10" s="96"/>
      <c r="CJ10" s="96"/>
      <c r="CK10" s="96"/>
      <c r="CL10" s="96"/>
      <c r="CM10" s="96"/>
      <c r="CN10" s="105" t="b">
        <v>0</v>
      </c>
      <c r="CO10" s="105" t="b">
        <v>0</v>
      </c>
      <c r="CP10" s="105" t="b">
        <v>0</v>
      </c>
      <c r="CQ10" s="96"/>
      <c r="CR10" s="96"/>
      <c r="CS10" s="79"/>
      <c r="CT10" s="79" t="b">
        <v>1</v>
      </c>
      <c r="CU10" s="79"/>
      <c r="CV10" s="96"/>
      <c r="CW10" s="96"/>
    </row>
    <row r="11" spans="1:101" ht="20.25" customHeight="1">
      <c r="A11" s="96" t="s">
        <v>1789</v>
      </c>
      <c r="B11" s="96" t="s">
        <v>304</v>
      </c>
      <c r="C11" s="102" t="s">
        <v>305</v>
      </c>
      <c r="D11" s="60" t="s">
        <v>1803</v>
      </c>
      <c r="E11" s="102" t="s">
        <v>1058</v>
      </c>
      <c r="F11" s="96" t="s">
        <v>1791</v>
      </c>
      <c r="G11" s="102" t="s">
        <v>1804</v>
      </c>
      <c r="H11" s="96" t="s">
        <v>1803</v>
      </c>
      <c r="I11" s="61" t="s">
        <v>1805</v>
      </c>
      <c r="J11" s="61" t="s">
        <v>1806</v>
      </c>
      <c r="K11" s="61" t="s">
        <v>953</v>
      </c>
      <c r="L11" s="61" t="s">
        <v>1807</v>
      </c>
      <c r="M11" s="96"/>
      <c r="N11" s="64">
        <v>50.855806299999998</v>
      </c>
      <c r="O11" s="64">
        <v>-3.4097824000000001</v>
      </c>
      <c r="P11" s="102" t="s">
        <v>223</v>
      </c>
      <c r="Q11" s="102" t="s">
        <v>623</v>
      </c>
      <c r="R11" s="66">
        <v>46278</v>
      </c>
      <c r="S11" s="66">
        <v>46278</v>
      </c>
      <c r="T11" s="90">
        <v>1</v>
      </c>
      <c r="U11" s="105" t="b">
        <v>0</v>
      </c>
      <c r="V11" s="96" t="s">
        <v>1808</v>
      </c>
      <c r="W11" s="79" t="b">
        <v>1</v>
      </c>
      <c r="X11" s="181">
        <v>0.58333333333333337</v>
      </c>
      <c r="Y11" s="181">
        <v>0.72916666666666663</v>
      </c>
      <c r="Z11" s="96" t="s">
        <v>215</v>
      </c>
      <c r="AA11" s="96" t="s">
        <v>215</v>
      </c>
      <c r="AB11" s="96" t="s">
        <v>215</v>
      </c>
      <c r="AC11" s="96" t="s">
        <v>215</v>
      </c>
      <c r="AD11" s="96" t="s">
        <v>215</v>
      </c>
      <c r="AE11" s="96" t="s">
        <v>215</v>
      </c>
      <c r="AF11" s="96" t="s">
        <v>215</v>
      </c>
      <c r="AG11" s="96" t="s">
        <v>215</v>
      </c>
      <c r="AH11" s="96" t="s">
        <v>215</v>
      </c>
      <c r="AI11" s="96" t="s">
        <v>215</v>
      </c>
      <c r="AJ11" s="105" t="s">
        <v>215</v>
      </c>
      <c r="AK11" s="96" t="s">
        <v>215</v>
      </c>
      <c r="AL11" s="96" t="s">
        <v>215</v>
      </c>
      <c r="AM11" s="96" t="s">
        <v>215</v>
      </c>
      <c r="AN11" s="96" t="s">
        <v>215</v>
      </c>
      <c r="AO11" s="106" t="s">
        <v>215</v>
      </c>
      <c r="AP11" s="96" t="s">
        <v>215</v>
      </c>
      <c r="AQ11" s="106" t="s">
        <v>215</v>
      </c>
      <c r="AR11" s="66">
        <v>46176</v>
      </c>
      <c r="AS11" s="105" t="b">
        <v>1</v>
      </c>
      <c r="AT11" s="96" t="s">
        <v>1448</v>
      </c>
      <c r="AU11" s="102" t="s">
        <v>1809</v>
      </c>
      <c r="AV11" s="96" t="s">
        <v>215</v>
      </c>
      <c r="AW11" s="106" t="s">
        <v>215</v>
      </c>
      <c r="AX11" s="96" t="s">
        <v>1796</v>
      </c>
      <c r="AY11" s="73">
        <v>0</v>
      </c>
      <c r="AZ11" s="96" t="s">
        <v>215</v>
      </c>
      <c r="BA11" s="106" t="s">
        <v>215</v>
      </c>
      <c r="BB11" s="96" t="s">
        <v>215</v>
      </c>
      <c r="BC11" s="106" t="s">
        <v>215</v>
      </c>
      <c r="BD11" s="96" t="s">
        <v>339</v>
      </c>
      <c r="BE11" s="73">
        <v>5</v>
      </c>
      <c r="BF11" s="96" t="s">
        <v>215</v>
      </c>
      <c r="BG11" s="105" t="s">
        <v>215</v>
      </c>
      <c r="BH11" s="105" t="s">
        <v>215</v>
      </c>
      <c r="BI11" s="105" t="s">
        <v>215</v>
      </c>
      <c r="BJ11" s="96" t="s">
        <v>416</v>
      </c>
      <c r="BK11" s="96"/>
      <c r="BL11" s="96"/>
      <c r="BM11" s="96" t="s">
        <v>1810</v>
      </c>
      <c r="BN11" s="96"/>
      <c r="BO11" s="105" t="b">
        <v>1</v>
      </c>
      <c r="BP11" s="105" t="b">
        <v>1</v>
      </c>
      <c r="BQ11" s="105" t="b">
        <v>1</v>
      </c>
      <c r="BR11" s="105" t="b">
        <v>1</v>
      </c>
      <c r="BS11" s="105" t="b">
        <v>1</v>
      </c>
      <c r="BT11" s="105" t="b">
        <v>1</v>
      </c>
      <c r="BU11" s="105" t="b">
        <v>1</v>
      </c>
      <c r="BV11" s="76" t="s">
        <v>223</v>
      </c>
      <c r="BW11" s="76" t="s">
        <v>517</v>
      </c>
      <c r="BX11" s="76" t="s">
        <v>322</v>
      </c>
      <c r="BY11" s="102" t="s">
        <v>1811</v>
      </c>
      <c r="BZ11" s="96"/>
      <c r="CA11" s="96"/>
      <c r="CB11" s="96" t="s">
        <v>1812</v>
      </c>
      <c r="CC11" s="96" t="s">
        <v>1813</v>
      </c>
      <c r="CD11" s="96"/>
      <c r="CE11" s="96"/>
      <c r="CF11" s="96"/>
      <c r="CG11" s="102" t="s">
        <v>1814</v>
      </c>
      <c r="CH11" s="96"/>
      <c r="CI11" s="96"/>
      <c r="CJ11" s="96"/>
      <c r="CK11" s="96"/>
      <c r="CL11" s="96"/>
      <c r="CM11" s="96"/>
      <c r="CN11" s="105" t="b">
        <v>0</v>
      </c>
      <c r="CO11" s="105" t="b">
        <v>0</v>
      </c>
      <c r="CP11" s="105" t="b">
        <v>0</v>
      </c>
      <c r="CQ11" s="96"/>
      <c r="CR11" s="96"/>
      <c r="CS11" s="79"/>
      <c r="CT11" s="79" t="b">
        <v>1</v>
      </c>
      <c r="CU11" s="79"/>
      <c r="CV11" s="96"/>
      <c r="CW11" s="96"/>
    </row>
    <row r="12" spans="1:101" ht="20.25" customHeight="1">
      <c r="A12" s="96" t="s">
        <v>1789</v>
      </c>
      <c r="B12" s="96" t="s">
        <v>304</v>
      </c>
      <c r="C12" s="102" t="s">
        <v>305</v>
      </c>
      <c r="D12" s="60" t="s">
        <v>1803</v>
      </c>
      <c r="E12" s="102" t="s">
        <v>1058</v>
      </c>
      <c r="F12" s="96" t="s">
        <v>1791</v>
      </c>
      <c r="G12" s="102" t="s">
        <v>1804</v>
      </c>
      <c r="H12" s="96" t="s">
        <v>1803</v>
      </c>
      <c r="I12" s="61" t="s">
        <v>1805</v>
      </c>
      <c r="J12" s="61" t="s">
        <v>1806</v>
      </c>
      <c r="K12" s="61" t="s">
        <v>953</v>
      </c>
      <c r="L12" s="61" t="s">
        <v>1807</v>
      </c>
      <c r="M12" s="96"/>
      <c r="N12" s="64">
        <v>50.855806299999998</v>
      </c>
      <c r="O12" s="64">
        <v>-3.4097824000000001</v>
      </c>
      <c r="P12" s="102" t="s">
        <v>223</v>
      </c>
      <c r="Q12" s="102" t="s">
        <v>623</v>
      </c>
      <c r="R12" s="66">
        <v>46292</v>
      </c>
      <c r="S12" s="66">
        <v>46292</v>
      </c>
      <c r="T12" s="90">
        <v>1</v>
      </c>
      <c r="U12" s="105" t="b">
        <v>0</v>
      </c>
      <c r="V12" s="96" t="s">
        <v>1808</v>
      </c>
      <c r="W12" s="79" t="b">
        <v>1</v>
      </c>
      <c r="X12" s="181">
        <v>0.58333333333333337</v>
      </c>
      <c r="Y12" s="181">
        <v>0.72916666666666663</v>
      </c>
      <c r="Z12" s="96" t="s">
        <v>215</v>
      </c>
      <c r="AA12" s="96" t="s">
        <v>215</v>
      </c>
      <c r="AB12" s="96" t="s">
        <v>215</v>
      </c>
      <c r="AC12" s="96" t="s">
        <v>215</v>
      </c>
      <c r="AD12" s="96" t="s">
        <v>215</v>
      </c>
      <c r="AE12" s="96" t="s">
        <v>215</v>
      </c>
      <c r="AF12" s="96" t="s">
        <v>215</v>
      </c>
      <c r="AG12" s="96" t="s">
        <v>215</v>
      </c>
      <c r="AH12" s="96" t="s">
        <v>215</v>
      </c>
      <c r="AI12" s="96" t="s">
        <v>215</v>
      </c>
      <c r="AJ12" s="105" t="s">
        <v>215</v>
      </c>
      <c r="AK12" s="96" t="s">
        <v>215</v>
      </c>
      <c r="AL12" s="96" t="s">
        <v>215</v>
      </c>
      <c r="AM12" s="96" t="s">
        <v>215</v>
      </c>
      <c r="AN12" s="96" t="s">
        <v>215</v>
      </c>
      <c r="AO12" s="106" t="s">
        <v>215</v>
      </c>
      <c r="AP12" s="96" t="s">
        <v>215</v>
      </c>
      <c r="AQ12" s="106" t="s">
        <v>215</v>
      </c>
      <c r="AR12" s="66">
        <v>46176</v>
      </c>
      <c r="AS12" s="105" t="b">
        <v>1</v>
      </c>
      <c r="AT12" s="96" t="s">
        <v>1448</v>
      </c>
      <c r="AU12" s="102" t="s">
        <v>1809</v>
      </c>
      <c r="AV12" s="96" t="s">
        <v>215</v>
      </c>
      <c r="AW12" s="106" t="s">
        <v>215</v>
      </c>
      <c r="AX12" s="96" t="s">
        <v>1796</v>
      </c>
      <c r="AY12" s="73">
        <v>0</v>
      </c>
      <c r="AZ12" s="96" t="s">
        <v>215</v>
      </c>
      <c r="BA12" s="106" t="s">
        <v>215</v>
      </c>
      <c r="BB12" s="96" t="s">
        <v>215</v>
      </c>
      <c r="BC12" s="106" t="s">
        <v>215</v>
      </c>
      <c r="BD12" s="96" t="s">
        <v>339</v>
      </c>
      <c r="BE12" s="73">
        <v>5</v>
      </c>
      <c r="BF12" s="96" t="s">
        <v>215</v>
      </c>
      <c r="BG12" s="105" t="s">
        <v>215</v>
      </c>
      <c r="BH12" s="105" t="s">
        <v>215</v>
      </c>
      <c r="BI12" s="105" t="s">
        <v>215</v>
      </c>
      <c r="BJ12" s="96" t="s">
        <v>416</v>
      </c>
      <c r="BK12" s="96"/>
      <c r="BL12" s="96"/>
      <c r="BM12" s="96" t="s">
        <v>1810</v>
      </c>
      <c r="BN12" s="96"/>
      <c r="BO12" s="105" t="b">
        <v>1</v>
      </c>
      <c r="BP12" s="105" t="b">
        <v>1</v>
      </c>
      <c r="BQ12" s="105" t="b">
        <v>1</v>
      </c>
      <c r="BR12" s="105" t="b">
        <v>1</v>
      </c>
      <c r="BS12" s="105" t="b">
        <v>1</v>
      </c>
      <c r="BT12" s="105" t="b">
        <v>1</v>
      </c>
      <c r="BU12" s="105" t="b">
        <v>1</v>
      </c>
      <c r="BV12" s="76" t="s">
        <v>223</v>
      </c>
      <c r="BW12" s="76" t="s">
        <v>517</v>
      </c>
      <c r="BX12" s="76" t="s">
        <v>322</v>
      </c>
      <c r="BY12" s="102" t="s">
        <v>1811</v>
      </c>
      <c r="BZ12" s="96"/>
      <c r="CA12" s="96"/>
      <c r="CB12" s="96" t="s">
        <v>1812</v>
      </c>
      <c r="CC12" s="96" t="s">
        <v>1813</v>
      </c>
      <c r="CD12" s="96"/>
      <c r="CE12" s="96"/>
      <c r="CF12" s="96"/>
      <c r="CG12" s="102" t="s">
        <v>1814</v>
      </c>
      <c r="CH12" s="96"/>
      <c r="CI12" s="96"/>
      <c r="CJ12" s="96"/>
      <c r="CK12" s="96"/>
      <c r="CL12" s="96"/>
      <c r="CM12" s="96"/>
      <c r="CN12" s="105" t="b">
        <v>0</v>
      </c>
      <c r="CO12" s="105" t="b">
        <v>0</v>
      </c>
      <c r="CP12" s="105" t="b">
        <v>0</v>
      </c>
      <c r="CQ12" s="96"/>
      <c r="CR12" s="96"/>
      <c r="CS12" s="79"/>
      <c r="CT12" s="79" t="b">
        <v>1</v>
      </c>
      <c r="CU12" s="79"/>
      <c r="CV12" s="96"/>
      <c r="CW12" s="96"/>
    </row>
    <row r="13" spans="1:101" ht="20.25" customHeight="1">
      <c r="A13" s="96" t="s">
        <v>1789</v>
      </c>
      <c r="B13" s="96" t="s">
        <v>205</v>
      </c>
      <c r="C13" s="102" t="s">
        <v>966</v>
      </c>
      <c r="D13" s="60" t="s">
        <v>1816</v>
      </c>
      <c r="E13" s="102" t="s">
        <v>1058</v>
      </c>
      <c r="F13" s="96" t="s">
        <v>1791</v>
      </c>
      <c r="G13" s="102" t="s">
        <v>1817</v>
      </c>
      <c r="H13" s="61" t="s">
        <v>1818</v>
      </c>
      <c r="I13" s="61" t="s">
        <v>1819</v>
      </c>
      <c r="J13" s="61" t="s">
        <v>473</v>
      </c>
      <c r="K13" s="61" t="s">
        <v>953</v>
      </c>
      <c r="L13" s="61" t="s">
        <v>1820</v>
      </c>
      <c r="M13" s="96"/>
      <c r="N13" s="64">
        <v>50.811139500000003</v>
      </c>
      <c r="O13" s="64">
        <v>-3.0908812999999999</v>
      </c>
      <c r="P13" s="102" t="s">
        <v>223</v>
      </c>
      <c r="Q13" s="102" t="s">
        <v>623</v>
      </c>
      <c r="R13" s="66">
        <v>46176</v>
      </c>
      <c r="S13" s="66">
        <v>46200</v>
      </c>
      <c r="T13" s="90">
        <v>18</v>
      </c>
      <c r="U13" s="105" t="b">
        <v>0</v>
      </c>
      <c r="V13" s="96" t="s">
        <v>570</v>
      </c>
      <c r="W13" s="79" t="b">
        <v>1</v>
      </c>
      <c r="X13" s="181">
        <v>0.70833333333333337</v>
      </c>
      <c r="Y13" s="181">
        <v>0.875</v>
      </c>
      <c r="Z13" s="96" t="s">
        <v>215</v>
      </c>
      <c r="AA13" s="96" t="s">
        <v>215</v>
      </c>
      <c r="AB13" s="96" t="s">
        <v>215</v>
      </c>
      <c r="AC13" s="96" t="s">
        <v>215</v>
      </c>
      <c r="AD13" s="96" t="s">
        <v>215</v>
      </c>
      <c r="AE13" s="96" t="s">
        <v>215</v>
      </c>
      <c r="AF13" s="96" t="s">
        <v>215</v>
      </c>
      <c r="AG13" s="96" t="s">
        <v>215</v>
      </c>
      <c r="AH13" s="96" t="s">
        <v>215</v>
      </c>
      <c r="AI13" s="96" t="s">
        <v>215</v>
      </c>
      <c r="AJ13" s="105" t="s">
        <v>215</v>
      </c>
      <c r="AK13" s="96" t="s">
        <v>215</v>
      </c>
      <c r="AL13" s="96" t="s">
        <v>215</v>
      </c>
      <c r="AM13" s="96" t="s">
        <v>215</v>
      </c>
      <c r="AN13" s="96" t="s">
        <v>215</v>
      </c>
      <c r="AO13" s="106" t="s">
        <v>215</v>
      </c>
      <c r="AP13" s="96" t="s">
        <v>215</v>
      </c>
      <c r="AQ13" s="106" t="s">
        <v>215</v>
      </c>
      <c r="AR13" s="66">
        <v>46176</v>
      </c>
      <c r="AS13" s="105" t="b">
        <v>0</v>
      </c>
      <c r="AT13" s="96" t="s">
        <v>217</v>
      </c>
      <c r="AU13" s="102"/>
      <c r="AV13" s="96" t="s">
        <v>215</v>
      </c>
      <c r="AW13" s="106" t="s">
        <v>215</v>
      </c>
      <c r="AX13" s="96" t="s">
        <v>215</v>
      </c>
      <c r="AY13" s="106" t="s">
        <v>215</v>
      </c>
      <c r="AZ13" s="96" t="s">
        <v>215</v>
      </c>
      <c r="BA13" s="106" t="s">
        <v>215</v>
      </c>
      <c r="BB13" s="96" t="s">
        <v>215</v>
      </c>
      <c r="BC13" s="106" t="s">
        <v>215</v>
      </c>
      <c r="BD13" s="96" t="s">
        <v>215</v>
      </c>
      <c r="BE13" s="106" t="s">
        <v>215</v>
      </c>
      <c r="BF13" s="96" t="s">
        <v>215</v>
      </c>
      <c r="BG13" s="105" t="s">
        <v>215</v>
      </c>
      <c r="BH13" s="105" t="s">
        <v>215</v>
      </c>
      <c r="BI13" s="105" t="s">
        <v>215</v>
      </c>
      <c r="BJ13" s="96" t="s">
        <v>416</v>
      </c>
      <c r="BK13" s="96" t="s">
        <v>1821</v>
      </c>
      <c r="BL13" s="96" t="s">
        <v>542</v>
      </c>
      <c r="BM13" s="96"/>
      <c r="BN13" s="96"/>
      <c r="BO13" s="105" t="b">
        <v>1</v>
      </c>
      <c r="BP13" s="105" t="b">
        <v>1</v>
      </c>
      <c r="BQ13" s="105" t="b">
        <v>1</v>
      </c>
      <c r="BR13" s="105" t="b">
        <v>1</v>
      </c>
      <c r="BS13" s="105" t="b">
        <v>1</v>
      </c>
      <c r="BT13" s="105" t="b">
        <v>1</v>
      </c>
      <c r="BU13" s="105" t="b">
        <v>1</v>
      </c>
      <c r="BV13" s="76" t="s">
        <v>223</v>
      </c>
      <c r="BW13" s="76" t="s">
        <v>517</v>
      </c>
      <c r="BX13" s="76" t="s">
        <v>909</v>
      </c>
      <c r="BY13" s="102" t="s">
        <v>1822</v>
      </c>
      <c r="BZ13" s="96" t="s">
        <v>270</v>
      </c>
      <c r="CA13" s="96" t="s">
        <v>1823</v>
      </c>
      <c r="CB13" s="96" t="s">
        <v>1824</v>
      </c>
      <c r="CC13" s="96" t="s">
        <v>1825</v>
      </c>
      <c r="CD13" s="96"/>
      <c r="CE13" s="96"/>
      <c r="CF13" s="96"/>
      <c r="CG13" s="102" t="s">
        <v>1826</v>
      </c>
      <c r="CH13" s="96"/>
      <c r="CI13" s="96"/>
      <c r="CJ13" s="96"/>
      <c r="CK13" s="96"/>
      <c r="CL13" s="96"/>
      <c r="CM13" s="96"/>
      <c r="CN13" s="105" t="b">
        <v>0</v>
      </c>
      <c r="CO13" s="105" t="b">
        <v>0</v>
      </c>
      <c r="CP13" s="105" t="b">
        <v>0</v>
      </c>
      <c r="CQ13" s="96"/>
      <c r="CR13" s="96"/>
      <c r="CS13" s="79"/>
      <c r="CT13" s="79" t="b">
        <v>1</v>
      </c>
      <c r="CU13" s="79"/>
      <c r="CV13" s="96"/>
      <c r="CW13" s="96"/>
    </row>
    <row r="14" spans="1:101" ht="20.25" customHeight="1">
      <c r="A14" s="96" t="s">
        <v>1789</v>
      </c>
      <c r="B14" s="96" t="s">
        <v>205</v>
      </c>
      <c r="C14" s="102" t="s">
        <v>966</v>
      </c>
      <c r="D14" s="60" t="s">
        <v>1816</v>
      </c>
      <c r="E14" s="102" t="s">
        <v>1058</v>
      </c>
      <c r="F14" s="96" t="s">
        <v>1791</v>
      </c>
      <c r="G14" s="102" t="s">
        <v>1817</v>
      </c>
      <c r="H14" s="61" t="s">
        <v>1818</v>
      </c>
      <c r="I14" s="61" t="s">
        <v>1819</v>
      </c>
      <c r="J14" s="61" t="s">
        <v>473</v>
      </c>
      <c r="K14" s="61" t="s">
        <v>953</v>
      </c>
      <c r="L14" s="61" t="s">
        <v>1820</v>
      </c>
      <c r="M14" s="96"/>
      <c r="N14" s="64">
        <v>50.811139500000003</v>
      </c>
      <c r="O14" s="64">
        <v>-3.0908812999999999</v>
      </c>
      <c r="P14" s="102" t="s">
        <v>223</v>
      </c>
      <c r="Q14" s="102" t="s">
        <v>623</v>
      </c>
      <c r="R14" s="66">
        <v>46179</v>
      </c>
      <c r="S14" s="66">
        <v>46200</v>
      </c>
      <c r="T14" s="90">
        <v>7</v>
      </c>
      <c r="U14" s="105" t="b">
        <v>0</v>
      </c>
      <c r="V14" s="96" t="s">
        <v>503</v>
      </c>
      <c r="W14" s="79" t="b">
        <v>1</v>
      </c>
      <c r="X14" s="181">
        <v>0.45833333333333331</v>
      </c>
      <c r="Y14" s="181">
        <v>0.70833333333333337</v>
      </c>
      <c r="Z14" s="96" t="s">
        <v>215</v>
      </c>
      <c r="AA14" s="96" t="s">
        <v>215</v>
      </c>
      <c r="AB14" s="96" t="s">
        <v>215</v>
      </c>
      <c r="AC14" s="96" t="s">
        <v>215</v>
      </c>
      <c r="AD14" s="96" t="s">
        <v>215</v>
      </c>
      <c r="AE14" s="96" t="s">
        <v>215</v>
      </c>
      <c r="AF14" s="96" t="s">
        <v>215</v>
      </c>
      <c r="AG14" s="96" t="s">
        <v>215</v>
      </c>
      <c r="AH14" s="96" t="s">
        <v>215</v>
      </c>
      <c r="AI14" s="96" t="s">
        <v>215</v>
      </c>
      <c r="AJ14" s="105" t="s">
        <v>215</v>
      </c>
      <c r="AK14" s="96" t="s">
        <v>215</v>
      </c>
      <c r="AL14" s="96" t="s">
        <v>215</v>
      </c>
      <c r="AM14" s="96" t="s">
        <v>215</v>
      </c>
      <c r="AN14" s="96" t="s">
        <v>215</v>
      </c>
      <c r="AO14" s="106" t="s">
        <v>215</v>
      </c>
      <c r="AP14" s="96" t="s">
        <v>215</v>
      </c>
      <c r="AQ14" s="106" t="s">
        <v>215</v>
      </c>
      <c r="AR14" s="66">
        <v>46176</v>
      </c>
      <c r="AS14" s="105" t="b">
        <v>1</v>
      </c>
      <c r="AT14" s="96" t="s">
        <v>1448</v>
      </c>
      <c r="AU14" s="102" t="s">
        <v>1827</v>
      </c>
      <c r="AV14" s="96" t="s">
        <v>215</v>
      </c>
      <c r="AW14" s="106" t="s">
        <v>215</v>
      </c>
      <c r="AX14" s="96" t="s">
        <v>1796</v>
      </c>
      <c r="AY14" s="73">
        <v>4</v>
      </c>
      <c r="AZ14" s="96" t="s">
        <v>215</v>
      </c>
      <c r="BA14" s="106" t="s">
        <v>215</v>
      </c>
      <c r="BB14" s="96" t="s">
        <v>215</v>
      </c>
      <c r="BC14" s="106" t="s">
        <v>215</v>
      </c>
      <c r="BD14" s="96" t="s">
        <v>339</v>
      </c>
      <c r="BE14" s="73">
        <v>8</v>
      </c>
      <c r="BF14" s="96" t="s">
        <v>215</v>
      </c>
      <c r="BG14" s="105" t="s">
        <v>215</v>
      </c>
      <c r="BH14" s="105" t="s">
        <v>215</v>
      </c>
      <c r="BI14" s="105" t="s">
        <v>215</v>
      </c>
      <c r="BJ14" s="96" t="s">
        <v>416</v>
      </c>
      <c r="BK14" s="96" t="s">
        <v>1821</v>
      </c>
      <c r="BL14" s="96" t="s">
        <v>542</v>
      </c>
      <c r="BM14" s="96" t="s">
        <v>321</v>
      </c>
      <c r="BN14" s="96"/>
      <c r="BO14" s="105" t="b">
        <v>1</v>
      </c>
      <c r="BP14" s="105" t="b">
        <v>1</v>
      </c>
      <c r="BQ14" s="105" t="b">
        <v>1</v>
      </c>
      <c r="BR14" s="105" t="b">
        <v>1</v>
      </c>
      <c r="BS14" s="105" t="b">
        <v>1</v>
      </c>
      <c r="BT14" s="105" t="b">
        <v>1</v>
      </c>
      <c r="BU14" s="105" t="b">
        <v>1</v>
      </c>
      <c r="BV14" s="76" t="s">
        <v>223</v>
      </c>
      <c r="BW14" s="76" t="s">
        <v>517</v>
      </c>
      <c r="BX14" s="76" t="s">
        <v>909</v>
      </c>
      <c r="BY14" s="102" t="s">
        <v>1822</v>
      </c>
      <c r="BZ14" s="96" t="s">
        <v>270</v>
      </c>
      <c r="CA14" s="96" t="s">
        <v>1823</v>
      </c>
      <c r="CB14" s="96" t="s">
        <v>1824</v>
      </c>
      <c r="CC14" s="96" t="s">
        <v>1825</v>
      </c>
      <c r="CD14" s="96"/>
      <c r="CE14" s="96"/>
      <c r="CF14" s="96"/>
      <c r="CG14" s="102" t="s">
        <v>1826</v>
      </c>
      <c r="CH14" s="96"/>
      <c r="CI14" s="96"/>
      <c r="CJ14" s="96"/>
      <c r="CK14" s="96"/>
      <c r="CL14" s="96"/>
      <c r="CM14" s="96"/>
      <c r="CN14" s="105" t="b">
        <v>0</v>
      </c>
      <c r="CO14" s="105" t="b">
        <v>0</v>
      </c>
      <c r="CP14" s="105" t="b">
        <v>0</v>
      </c>
      <c r="CQ14" s="96"/>
      <c r="CR14" s="96"/>
      <c r="CS14" s="79"/>
      <c r="CT14" s="79" t="b">
        <v>1</v>
      </c>
      <c r="CU14" s="79"/>
      <c r="CV14" s="96"/>
      <c r="CW14" s="96"/>
    </row>
    <row r="15" spans="1:101" ht="20.25" customHeight="1">
      <c r="A15" s="96" t="s">
        <v>1789</v>
      </c>
      <c r="B15" s="96" t="s">
        <v>1828</v>
      </c>
      <c r="C15" s="96" t="s">
        <v>1829</v>
      </c>
      <c r="D15" s="96" t="s">
        <v>1830</v>
      </c>
      <c r="E15" s="102" t="s">
        <v>774</v>
      </c>
      <c r="F15" s="96" t="s">
        <v>1831</v>
      </c>
      <c r="G15" s="96" t="s">
        <v>1832</v>
      </c>
      <c r="H15" s="139" t="s">
        <v>1833</v>
      </c>
      <c r="I15" s="139" t="s">
        <v>1094</v>
      </c>
      <c r="J15" s="139" t="s">
        <v>1834</v>
      </c>
      <c r="K15" s="139" t="s">
        <v>953</v>
      </c>
      <c r="L15" s="139" t="s">
        <v>1096</v>
      </c>
      <c r="M15" s="96"/>
      <c r="N15" s="98"/>
      <c r="O15" s="98"/>
      <c r="P15" s="102" t="s">
        <v>223</v>
      </c>
      <c r="Q15" s="102" t="s">
        <v>285</v>
      </c>
      <c r="R15" s="66">
        <v>46174</v>
      </c>
      <c r="S15" s="66">
        <v>46265</v>
      </c>
      <c r="T15" s="96"/>
      <c r="U15" s="105" t="b">
        <v>0</v>
      </c>
      <c r="V15" s="96" t="s">
        <v>214</v>
      </c>
      <c r="W15" s="79" t="b">
        <v>1</v>
      </c>
      <c r="X15" s="96" t="s">
        <v>215</v>
      </c>
      <c r="Y15" s="96" t="s">
        <v>215</v>
      </c>
      <c r="Z15" s="96" t="s">
        <v>215</v>
      </c>
      <c r="AA15" s="96" t="s">
        <v>215</v>
      </c>
      <c r="AB15" s="150" t="s">
        <v>215</v>
      </c>
      <c r="AC15" s="150" t="s">
        <v>215</v>
      </c>
      <c r="AD15" s="181">
        <v>0.375</v>
      </c>
      <c r="AE15" s="181">
        <v>0.70833333333333337</v>
      </c>
      <c r="AF15" s="181">
        <v>0.375</v>
      </c>
      <c r="AG15" s="181">
        <v>0.70833333333333337</v>
      </c>
      <c r="AH15" s="181">
        <v>0.375</v>
      </c>
      <c r="AI15" s="181">
        <v>0.70833333333333337</v>
      </c>
      <c r="AJ15" s="181">
        <v>0.375</v>
      </c>
      <c r="AK15" s="181">
        <v>0.70833333333333337</v>
      </c>
      <c r="AL15" s="181">
        <v>0.375</v>
      </c>
      <c r="AM15" s="181">
        <v>0.70833333333333337</v>
      </c>
      <c r="AN15" s="181">
        <v>0.375</v>
      </c>
      <c r="AO15" s="181">
        <v>0.70833333333333337</v>
      </c>
      <c r="AP15" s="181">
        <v>0.41666666666666669</v>
      </c>
      <c r="AQ15" s="181">
        <v>0.66666666666666663</v>
      </c>
      <c r="AR15" s="99"/>
      <c r="AS15" s="105" t="b">
        <v>0</v>
      </c>
      <c r="AT15" s="96" t="s">
        <v>217</v>
      </c>
      <c r="AU15" s="102"/>
      <c r="AV15" s="96" t="s">
        <v>215</v>
      </c>
      <c r="AW15" s="106" t="s">
        <v>215</v>
      </c>
      <c r="AX15" s="96" t="s">
        <v>215</v>
      </c>
      <c r="AY15" s="106" t="s">
        <v>215</v>
      </c>
      <c r="AZ15" s="96" t="s">
        <v>215</v>
      </c>
      <c r="BA15" s="106" t="s">
        <v>215</v>
      </c>
      <c r="BB15" s="96" t="s">
        <v>215</v>
      </c>
      <c r="BC15" s="106" t="s">
        <v>215</v>
      </c>
      <c r="BD15" s="96" t="s">
        <v>215</v>
      </c>
      <c r="BE15" s="106" t="s">
        <v>215</v>
      </c>
      <c r="BF15" s="96" t="s">
        <v>215</v>
      </c>
      <c r="BG15" s="96" t="s">
        <v>215</v>
      </c>
      <c r="BH15" s="96" t="s">
        <v>215</v>
      </c>
      <c r="BI15" s="96" t="s">
        <v>215</v>
      </c>
      <c r="BJ15" s="96" t="s">
        <v>416</v>
      </c>
      <c r="BK15" s="96" t="s">
        <v>1835</v>
      </c>
      <c r="BL15" s="96" t="s">
        <v>1836</v>
      </c>
      <c r="BM15" s="96" t="s">
        <v>1837</v>
      </c>
      <c r="BN15" s="96"/>
      <c r="BO15" s="105" t="b">
        <v>0</v>
      </c>
      <c r="BP15" s="105" t="b">
        <v>0</v>
      </c>
      <c r="BQ15" s="105" t="b">
        <v>1</v>
      </c>
      <c r="BR15" s="105" t="b">
        <v>1</v>
      </c>
      <c r="BS15" s="105" t="b">
        <v>1</v>
      </c>
      <c r="BT15" s="105" t="b">
        <v>1</v>
      </c>
      <c r="BU15" s="105" t="b">
        <v>1</v>
      </c>
      <c r="BV15" s="76" t="s">
        <v>223</v>
      </c>
      <c r="BW15" s="76" t="s">
        <v>517</v>
      </c>
      <c r="BX15" s="76" t="s">
        <v>794</v>
      </c>
      <c r="BY15" s="102" t="s">
        <v>1838</v>
      </c>
      <c r="BZ15" s="96" t="s">
        <v>270</v>
      </c>
      <c r="CA15" s="96" t="s">
        <v>1839</v>
      </c>
      <c r="CB15" s="96" t="s">
        <v>1840</v>
      </c>
      <c r="CC15" s="96" t="s">
        <v>1841</v>
      </c>
      <c r="CD15" s="96"/>
      <c r="CE15" s="96"/>
      <c r="CF15" s="96"/>
      <c r="CG15" s="102" t="s">
        <v>1842</v>
      </c>
      <c r="CH15" s="102" t="s">
        <v>252</v>
      </c>
      <c r="CI15" s="96"/>
      <c r="CJ15" s="96"/>
      <c r="CK15" s="96"/>
      <c r="CL15" s="96"/>
      <c r="CM15" s="96"/>
      <c r="CN15" s="96"/>
      <c r="CO15" s="96"/>
      <c r="CP15" s="96"/>
      <c r="CQ15" s="96"/>
      <c r="CR15" s="96"/>
      <c r="CS15" s="79"/>
      <c r="CT15" s="79" t="b">
        <v>1</v>
      </c>
      <c r="CU15" s="79"/>
      <c r="CV15" s="96"/>
      <c r="CW15" s="96"/>
    </row>
    <row r="16" spans="1:101" ht="20.25" customHeight="1">
      <c r="A16" s="96" t="s">
        <v>1789</v>
      </c>
      <c r="B16" s="96" t="s">
        <v>1828</v>
      </c>
      <c r="C16" s="96" t="s">
        <v>1829</v>
      </c>
      <c r="D16" s="96" t="s">
        <v>1843</v>
      </c>
      <c r="E16" s="102" t="s">
        <v>774</v>
      </c>
      <c r="F16" s="96" t="s">
        <v>1831</v>
      </c>
      <c r="G16" s="102" t="s">
        <v>1844</v>
      </c>
      <c r="H16" s="185" t="s">
        <v>1845</v>
      </c>
      <c r="I16" s="185" t="s">
        <v>486</v>
      </c>
      <c r="J16" s="185" t="s">
        <v>356</v>
      </c>
      <c r="K16" s="185" t="s">
        <v>953</v>
      </c>
      <c r="L16" s="185" t="s">
        <v>487</v>
      </c>
      <c r="M16" s="96"/>
      <c r="N16" s="98"/>
      <c r="O16" s="98"/>
      <c r="P16" s="102" t="s">
        <v>223</v>
      </c>
      <c r="Q16" s="102" t="s">
        <v>1846</v>
      </c>
      <c r="R16" s="66">
        <v>46165</v>
      </c>
      <c r="S16" s="66">
        <v>46326</v>
      </c>
      <c r="T16" s="96"/>
      <c r="U16" s="105" t="b">
        <v>0</v>
      </c>
      <c r="V16" s="96" t="s">
        <v>718</v>
      </c>
      <c r="W16" s="79" t="b">
        <v>1</v>
      </c>
      <c r="X16" s="96" t="s">
        <v>215</v>
      </c>
      <c r="Y16" s="96" t="s">
        <v>215</v>
      </c>
      <c r="Z16" s="96" t="s">
        <v>215</v>
      </c>
      <c r="AA16" s="96" t="s">
        <v>215</v>
      </c>
      <c r="AB16" s="181">
        <v>0.41666666666666669</v>
      </c>
      <c r="AC16" s="181">
        <v>0.66666666666666663</v>
      </c>
      <c r="AD16" s="96" t="s">
        <v>215</v>
      </c>
      <c r="AE16" s="96" t="s">
        <v>215</v>
      </c>
      <c r="AF16" s="96" t="s">
        <v>215</v>
      </c>
      <c r="AG16" s="96" t="s">
        <v>215</v>
      </c>
      <c r="AH16" s="96" t="s">
        <v>215</v>
      </c>
      <c r="AI16" s="96" t="s">
        <v>215</v>
      </c>
      <c r="AJ16" s="96" t="s">
        <v>215</v>
      </c>
      <c r="AK16" s="96" t="s">
        <v>215</v>
      </c>
      <c r="AL16" s="96" t="s">
        <v>215</v>
      </c>
      <c r="AM16" s="96" t="s">
        <v>215</v>
      </c>
      <c r="AN16" s="96" t="s">
        <v>215</v>
      </c>
      <c r="AO16" s="106" t="s">
        <v>215</v>
      </c>
      <c r="AP16" s="96" t="s">
        <v>215</v>
      </c>
      <c r="AQ16" s="106" t="s">
        <v>215</v>
      </c>
      <c r="AR16" s="99"/>
      <c r="AS16" s="105" t="b">
        <v>0</v>
      </c>
      <c r="AT16" s="96" t="s">
        <v>1847</v>
      </c>
      <c r="AU16" s="102"/>
      <c r="AV16" s="96" t="s">
        <v>215</v>
      </c>
      <c r="AW16" s="106" t="s">
        <v>215</v>
      </c>
      <c r="AX16" s="96" t="s">
        <v>215</v>
      </c>
      <c r="AY16" s="106" t="s">
        <v>215</v>
      </c>
      <c r="AZ16" s="96" t="s">
        <v>215</v>
      </c>
      <c r="BA16" s="106" t="s">
        <v>215</v>
      </c>
      <c r="BB16" s="96" t="s">
        <v>215</v>
      </c>
      <c r="BC16" s="106" t="s">
        <v>215</v>
      </c>
      <c r="BD16" s="96" t="s">
        <v>215</v>
      </c>
      <c r="BE16" s="106" t="s">
        <v>215</v>
      </c>
      <c r="BF16" s="96" t="s">
        <v>215</v>
      </c>
      <c r="BG16" s="96" t="s">
        <v>215</v>
      </c>
      <c r="BH16" s="96" t="s">
        <v>215</v>
      </c>
      <c r="BI16" s="96" t="s">
        <v>215</v>
      </c>
      <c r="BJ16" s="96" t="s">
        <v>416</v>
      </c>
      <c r="BK16" s="96" t="s">
        <v>1848</v>
      </c>
      <c r="BL16" s="96" t="s">
        <v>1849</v>
      </c>
      <c r="BM16" s="96" t="s">
        <v>1810</v>
      </c>
      <c r="BN16" s="96"/>
      <c r="BO16" s="105" t="b">
        <v>0</v>
      </c>
      <c r="BP16" s="105" t="b">
        <v>0</v>
      </c>
      <c r="BQ16" s="105" t="b">
        <v>1</v>
      </c>
      <c r="BR16" s="105" t="b">
        <v>1</v>
      </c>
      <c r="BS16" s="105" t="b">
        <v>1</v>
      </c>
      <c r="BT16" s="105" t="b">
        <v>1</v>
      </c>
      <c r="BU16" s="105" t="b">
        <v>1</v>
      </c>
      <c r="BV16" s="76" t="s">
        <v>223</v>
      </c>
      <c r="BW16" s="76" t="s">
        <v>517</v>
      </c>
      <c r="BX16" s="76" t="s">
        <v>794</v>
      </c>
      <c r="BY16" s="102" t="s">
        <v>1850</v>
      </c>
      <c r="BZ16" s="96" t="s">
        <v>1851</v>
      </c>
      <c r="CA16" s="96" t="s">
        <v>1852</v>
      </c>
      <c r="CB16" s="96" t="s">
        <v>1853</v>
      </c>
      <c r="CC16" s="96" t="s">
        <v>347</v>
      </c>
      <c r="CD16" s="96"/>
      <c r="CE16" s="96"/>
      <c r="CF16" s="96"/>
      <c r="CG16" s="102" t="s">
        <v>1854</v>
      </c>
      <c r="CH16" s="96"/>
      <c r="CI16" s="96"/>
      <c r="CJ16" s="96"/>
      <c r="CK16" s="96"/>
      <c r="CL16" s="96"/>
      <c r="CM16" s="96"/>
      <c r="CN16" s="96"/>
      <c r="CO16" s="96"/>
      <c r="CP16" s="96"/>
      <c r="CQ16" s="96"/>
      <c r="CR16" s="96"/>
      <c r="CS16" s="79"/>
      <c r="CT16" s="79" t="b">
        <v>1</v>
      </c>
      <c r="CU16" s="79"/>
      <c r="CV16" s="96"/>
      <c r="CW16" s="96"/>
    </row>
    <row r="17" spans="1:101" ht="20.25" customHeight="1">
      <c r="A17" s="96" t="s">
        <v>1789</v>
      </c>
      <c r="B17" s="96" t="s">
        <v>232</v>
      </c>
      <c r="C17" s="96" t="s">
        <v>1855</v>
      </c>
      <c r="D17" s="81" t="s">
        <v>1856</v>
      </c>
      <c r="E17" s="102" t="s">
        <v>1857</v>
      </c>
      <c r="F17" s="96" t="s">
        <v>1791</v>
      </c>
      <c r="G17" s="102"/>
      <c r="H17" s="101" t="s">
        <v>1858</v>
      </c>
      <c r="I17" s="101" t="s">
        <v>1859</v>
      </c>
      <c r="J17" s="101" t="s">
        <v>356</v>
      </c>
      <c r="K17" s="101" t="s">
        <v>953</v>
      </c>
      <c r="L17" s="101" t="s">
        <v>1860</v>
      </c>
      <c r="M17" s="96"/>
      <c r="N17" s="98"/>
      <c r="O17" s="98"/>
      <c r="P17" s="102" t="s">
        <v>223</v>
      </c>
      <c r="Q17" s="102" t="s">
        <v>1846</v>
      </c>
      <c r="R17" s="103">
        <v>46235</v>
      </c>
      <c r="S17" s="103">
        <v>46235</v>
      </c>
      <c r="T17" s="96">
        <v>1</v>
      </c>
      <c r="U17" s="105" t="b">
        <v>0</v>
      </c>
      <c r="V17" s="96" t="s">
        <v>1861</v>
      </c>
      <c r="W17" s="79" t="b">
        <v>0</v>
      </c>
      <c r="X17" s="96"/>
      <c r="Y17" s="96"/>
      <c r="Z17" s="96"/>
      <c r="AA17" s="96"/>
      <c r="AB17" s="181"/>
      <c r="AC17" s="181"/>
      <c r="AD17" s="96"/>
      <c r="AE17" s="96"/>
      <c r="AF17" s="96"/>
      <c r="AG17" s="96"/>
      <c r="AH17" s="96"/>
      <c r="AI17" s="96"/>
      <c r="AJ17" s="96"/>
      <c r="AK17" s="96"/>
      <c r="AL17" s="96"/>
      <c r="AM17" s="96"/>
      <c r="AN17" s="96"/>
      <c r="AO17" s="106"/>
      <c r="AP17" s="96"/>
      <c r="AQ17" s="106"/>
      <c r="AR17" s="104">
        <v>46214</v>
      </c>
      <c r="AS17" s="105" t="b">
        <v>1</v>
      </c>
      <c r="AT17" s="96" t="s">
        <v>763</v>
      </c>
      <c r="AU17" s="102" t="s">
        <v>1862</v>
      </c>
      <c r="AV17" s="96" t="s">
        <v>215</v>
      </c>
      <c r="AW17" s="106" t="s">
        <v>215</v>
      </c>
      <c r="AX17" s="96" t="s">
        <v>215</v>
      </c>
      <c r="AY17" s="106" t="s">
        <v>215</v>
      </c>
      <c r="AZ17" s="96" t="s">
        <v>1206</v>
      </c>
      <c r="BA17" s="106">
        <v>9</v>
      </c>
      <c r="BB17" s="96"/>
      <c r="BC17" s="106"/>
      <c r="BD17" s="96"/>
      <c r="BE17" s="106"/>
      <c r="BF17" s="96"/>
      <c r="BG17" s="96"/>
      <c r="BH17" s="96"/>
      <c r="BI17" s="96"/>
      <c r="BJ17" s="96" t="s">
        <v>416</v>
      </c>
      <c r="BK17" s="96" t="s">
        <v>1863</v>
      </c>
      <c r="BL17" s="96"/>
      <c r="BM17" s="96"/>
      <c r="BN17" s="96"/>
      <c r="BO17" s="105" t="b">
        <v>0</v>
      </c>
      <c r="BP17" s="105" t="b">
        <v>1</v>
      </c>
      <c r="BQ17" s="105" t="b">
        <v>1</v>
      </c>
      <c r="BR17" s="105" t="b">
        <v>0</v>
      </c>
      <c r="BS17" s="105" t="b">
        <v>0</v>
      </c>
      <c r="BT17" s="105" t="b">
        <v>0</v>
      </c>
      <c r="BU17" s="105" t="b">
        <v>0</v>
      </c>
      <c r="BV17" s="76" t="s">
        <v>223</v>
      </c>
      <c r="BW17" s="76" t="s">
        <v>517</v>
      </c>
      <c r="BX17" s="76" t="s">
        <v>794</v>
      </c>
      <c r="BY17" s="102" t="s">
        <v>1864</v>
      </c>
      <c r="BZ17" s="96" t="s">
        <v>1865</v>
      </c>
      <c r="CA17" s="96"/>
      <c r="CB17" s="96" t="s">
        <v>1866</v>
      </c>
      <c r="CC17" s="96"/>
      <c r="CD17" s="96" t="s">
        <v>1867</v>
      </c>
      <c r="CE17" s="96"/>
      <c r="CF17" s="96" t="s">
        <v>1868</v>
      </c>
      <c r="CG17" s="102" t="s">
        <v>1869</v>
      </c>
      <c r="CH17" s="96"/>
      <c r="CI17" s="96"/>
      <c r="CJ17" s="96"/>
      <c r="CK17" s="96"/>
      <c r="CL17" s="96"/>
      <c r="CM17" s="96"/>
      <c r="CN17" s="96" t="b">
        <v>0</v>
      </c>
      <c r="CO17" s="96" t="b">
        <v>0</v>
      </c>
      <c r="CP17" s="96" t="b">
        <v>0</v>
      </c>
      <c r="CQ17" s="96"/>
      <c r="CR17" s="96"/>
      <c r="CS17" s="79"/>
      <c r="CT17" s="79" t="b">
        <v>0</v>
      </c>
      <c r="CU17" s="79"/>
      <c r="CV17" s="96" t="b">
        <v>0</v>
      </c>
      <c r="CW17" s="96"/>
    </row>
  </sheetData>
  <mergeCells count="27">
    <mergeCell ref="CK1:CR2"/>
    <mergeCell ref="CS1:CW2"/>
    <mergeCell ref="AR2:AU2"/>
    <mergeCell ref="AV2:AW2"/>
    <mergeCell ref="AX2:AY2"/>
    <mergeCell ref="AZ2:BA2"/>
    <mergeCell ref="BB2:BC2"/>
    <mergeCell ref="BD2:BE2"/>
    <mergeCell ref="BF2:BG2"/>
    <mergeCell ref="BH2:BI2"/>
    <mergeCell ref="AR1:BI1"/>
    <mergeCell ref="BJ1:BN2"/>
    <mergeCell ref="BO1:BU2"/>
    <mergeCell ref="BV1:BX2"/>
    <mergeCell ref="BY1:CC2"/>
    <mergeCell ref="X1:Y2"/>
    <mergeCell ref="Z1:AA2"/>
    <mergeCell ref="CD1:CF2"/>
    <mergeCell ref="CG1:CG2"/>
    <mergeCell ref="CH1:CJ2"/>
    <mergeCell ref="AB1:AC2"/>
    <mergeCell ref="AD1:AQ2"/>
    <mergeCell ref="A1:D2"/>
    <mergeCell ref="E1:G2"/>
    <mergeCell ref="H1:O2"/>
    <mergeCell ref="P1:Q2"/>
    <mergeCell ref="R1:W2"/>
  </mergeCells>
  <dataValidations count="6">
    <dataValidation type="custom" allowBlank="1" showInputMessage="1" showErrorMessage="1" prompt="Text - Maximum Length: 50 characters." sqref="K5:K17" xr:uid="{00000000-0002-0000-0100-000000000000}">
      <formula1>(LEN(K5) &lt;= (50))</formula1>
    </dataValidation>
    <dataValidation type="custom" allowBlank="1" showInputMessage="1" showErrorMessage="1" prompt="Text - Maximum Length: 80 characters." sqref="J5:J17" xr:uid="{00000000-0002-0000-0100-000006000000}">
      <formula1>(LEN(J5) &lt;= (80))</formula1>
    </dataValidation>
    <dataValidation type="decimal" allowBlank="1" showInputMessage="1" showErrorMessage="1" prompt="Decimal number - Minimum Value: -1000._x000d__x000a_Maximum Value: 1000._x000d__x000a_  " sqref="N5:O17" xr:uid="{00000000-0002-0000-0100-00000A000000}">
      <formula1>-1000</formula1>
      <formula2>1000</formula2>
    </dataValidation>
    <dataValidation type="list" allowBlank="1" showErrorMessage="1" sqref="V5:V17" xr:uid="{00000000-0002-0000-0100-00000D000000}">
      <formula1>"Monday,Tuesday,Wednesday,Thursday,Friday,Saturday,Sunday"</formula1>
    </dataValidation>
    <dataValidation type="custom" allowBlank="1" showInputMessage="1" showErrorMessage="1" prompt="Text - Maximum Length: 250 characters." sqref="I6:I12 H13:I17" xr:uid="{00000000-0002-0000-0100-00000F000000}">
      <formula1>(LEN(H6) &lt;= (250))</formula1>
    </dataValidation>
    <dataValidation type="custom" allowBlank="1" showInputMessage="1" showErrorMessage="1" prompt="Text (required) - Maximum Length: 20 characters." sqref="L5:L17" xr:uid="{00000000-0002-0000-0100-000014000000}">
      <formula1>(LEN(L5) &lt;= (20))</formula1>
    </dataValidation>
  </dataValidations>
  <pageMargins left="0" right="0" top="0" bottom="0" header="0" footer="0"/>
  <extLst>
    <ext xmlns:x14="http://schemas.microsoft.com/office/spreadsheetml/2009/9/main" uri="{CCE6A557-97BC-4b89-ADB6-D9C93CAAB3DF}">
      <x14:dataValidations xmlns:xm="http://schemas.microsoft.com/office/excel/2006/main" count="21">
        <x14:dataValidation type="list" allowBlank="1" showErrorMessage="1" xr:uid="{00000000-0002-0000-0100-000001000000}">
          <x14:formula1>
            <xm:f>Enums!$D$528:$D$574</xm:f>
          </x14:formula1>
          <xm:sqref>CA5:CA17</xm:sqref>
        </x14:dataValidation>
        <x14:dataValidation type="list" allowBlank="1" showErrorMessage="1" xr:uid="{00000000-0002-0000-0100-000002000000}">
          <x14:formula1>
            <xm:f>Enums!$D$461:$D$464</xm:f>
          </x14:formula1>
          <xm:sqref>BN5:BN17</xm:sqref>
        </x14:dataValidation>
        <x14:dataValidation type="list" allowBlank="1" showErrorMessage="1" xr:uid="{00000000-0002-0000-0100-000003000000}">
          <x14:formula1>
            <xm:f>Enums!$D$444:$D$460</xm:f>
          </x14:formula1>
          <xm:sqref>BL5:BL17</xm:sqref>
        </x14:dataValidation>
        <x14:dataValidation type="list" allowBlank="1" showErrorMessage="1" xr:uid="{00000000-0002-0000-0100-000004000000}">
          <x14:formula1>
            <xm:f>Enums!$D$711:$D$714</xm:f>
          </x14:formula1>
          <xm:sqref>CF5:CF17</xm:sqref>
        </x14:dataValidation>
        <x14:dataValidation type="list" allowBlank="1" showErrorMessage="1" xr:uid="{00000000-0002-0000-0100-000005000000}">
          <x14:formula1>
            <xm:f>Enums!$D$719:$D$736</xm:f>
          </x14:formula1>
          <xm:sqref>F5:F17</xm:sqref>
        </x14:dataValidation>
        <x14:dataValidation type="list" allowBlank="1" showErrorMessage="1" xr:uid="{00000000-0002-0000-0100-000007000000}">
          <x14:formula1>
            <xm:f>Enums!$D$375:$D$384</xm:f>
          </x14:formula1>
          <xm:sqref>Q5:Q17</xm:sqref>
        </x14:dataValidation>
        <x14:dataValidation type="list" allowBlank="1" showErrorMessage="1" xr:uid="{00000000-0002-0000-0100-000008000000}">
          <x14:formula1>
            <xm:f>Enums!$D$431:$D$443</xm:f>
          </x14:formula1>
          <xm:sqref>BM5:BM17</xm:sqref>
        </x14:dataValidation>
        <x14:dataValidation type="list" allowBlank="1" showErrorMessage="1" xr:uid="{00000000-0002-0000-0100-000009000000}">
          <x14:formula1>
            <xm:f>Enums!$D$13:$D$17</xm:f>
          </x14:formula1>
          <xm:sqref>E5:E17</xm:sqref>
        </x14:dataValidation>
        <x14:dataValidation type="list" allowBlank="1" showErrorMessage="1" xr:uid="{00000000-0002-0000-0100-00000B000000}">
          <x14:formula1>
            <xm:f>Enums!$D$409:$D$414</xm:f>
          </x14:formula1>
          <xm:sqref>BX5:BX17</xm:sqref>
        </x14:dataValidation>
        <x14:dataValidation type="list" allowBlank="1" showErrorMessage="1" xr:uid="{00000000-0002-0000-0100-00000C000000}">
          <x14:formula1>
            <xm:f>EHelper2!A5:AAY5</xm:f>
          </x14:formula1>
          <xm:sqref>CB5:CB17</xm:sqref>
        </x14:dataValidation>
        <x14:dataValidation type="list" allowBlank="1" showErrorMessage="1" xr:uid="{00000000-0002-0000-0100-00000E000000}">
          <x14:formula1>
            <xm:f>Enums!$D$628:$D$638</xm:f>
          </x14:formula1>
          <xm:sqref>CD5:CD17</xm:sqref>
        </x14:dataValidation>
        <x14:dataValidation type="list" allowBlank="1" showErrorMessage="1" xr:uid="{00000000-0002-0000-0100-000010000000}">
          <x14:formula1>
            <xm:f>Enums!$D$511:$D$526</xm:f>
          </x14:formula1>
          <xm:sqref>BZ5:BZ17</xm:sqref>
        </x14:dataValidation>
        <x14:dataValidation type="list" allowBlank="1" showErrorMessage="1" xr:uid="{00000000-0002-0000-0100-000011000000}">
          <x14:formula1>
            <xm:f>Enums!$D$467:$D$473</xm:f>
          </x14:formula1>
          <xm:sqref>BJ5:BJ17</xm:sqref>
        </x14:dataValidation>
        <x14:dataValidation type="list" allowBlank="1" showErrorMessage="1" xr:uid="{00000000-0002-0000-0100-000012000000}">
          <x14:formula1>
            <xm:f>Enums!$D$417:$D$430</xm:f>
          </x14:formula1>
          <xm:sqref>BK5:BK17</xm:sqref>
        </x14:dataValidation>
        <x14:dataValidation type="list" allowBlank="1" showErrorMessage="1" xr:uid="{00000000-0002-0000-0100-000013000000}">
          <x14:formula1>
            <xm:f>Enums!$D$742:$D$748</xm:f>
          </x14:formula1>
          <xm:sqref>AU5:AU17</xm:sqref>
        </x14:dataValidation>
        <x14:dataValidation type="list" allowBlank="1" showErrorMessage="1" xr:uid="{00000000-0002-0000-0100-000015000000}">
          <x14:formula1>
            <xm:f>Enums!$D$476:$D$506</xm:f>
          </x14:formula1>
          <xm:sqref>CC5:CC17</xm:sqref>
        </x14:dataValidation>
        <x14:dataValidation type="list" allowBlank="1" showErrorMessage="1" xr:uid="{00000000-0002-0000-0100-000016000000}">
          <x14:formula1>
            <xm:f>Enums!$D$387:$D$389</xm:f>
          </x14:formula1>
          <xm:sqref>P5:P17 BV5:BV17</xm:sqref>
        </x14:dataValidation>
        <x14:dataValidation type="list" allowBlank="1" showErrorMessage="1" xr:uid="{00000000-0002-0000-0100-000017000000}">
          <x14:formula1>
            <xm:f>EHelper!A5:ZZ5</xm:f>
          </x14:formula1>
          <xm:sqref>C5:C17</xm:sqref>
        </x14:dataValidation>
        <x14:dataValidation type="list" allowBlank="1" showErrorMessage="1" xr:uid="{00000000-0002-0000-0100-000018000000}">
          <x14:formula1>
            <xm:f>Enums!$D$736:$D$740</xm:f>
          </x14:formula1>
          <xm:sqref>AT5:AT17</xm:sqref>
        </x14:dataValidation>
        <x14:dataValidation type="list" allowBlank="1" showErrorMessage="1" xr:uid="{00000000-0002-0000-0100-000019000000}">
          <x14:formula1>
            <xm:f>Enums!$D$112:$D$132</xm:f>
          </x14:formula1>
          <xm:sqref>B5:B17</xm:sqref>
        </x14:dataValidation>
        <x14:dataValidation type="list" allowBlank="1" showErrorMessage="1" xr:uid="{00000000-0002-0000-0100-00001A000000}">
          <x14:formula1>
            <xm:f>Enums!$C$4:$C$7</xm:f>
          </x14:formula1>
          <xm:sqref>A5:A17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I18"/>
  <sheetViews>
    <sheetView workbookViewId="0">
      <pane xSplit="4" ySplit="4" topLeftCell="E5" activePane="bottomRight" state="frozen"/>
      <selection pane="bottomRight" activeCell="E5" sqref="E5"/>
      <selection pane="bottomLeft" activeCell="A5" sqref="A5"/>
      <selection pane="topRight" activeCell="E1" sqref="E1"/>
    </sheetView>
  </sheetViews>
  <sheetFormatPr defaultColWidth="12.5703125" defaultRowHeight="15.75" customHeight="1"/>
  <cols>
    <col min="2" max="2" width="15.85546875" customWidth="1"/>
    <col min="3" max="3" width="15.42578125" customWidth="1"/>
    <col min="4" max="4" width="24.85546875" customWidth="1"/>
    <col min="5" max="5" width="22" customWidth="1"/>
    <col min="6" max="8" width="12.42578125" customWidth="1"/>
    <col min="10" max="10" width="9.7109375" customWidth="1"/>
    <col min="12" max="12" width="11.85546875" hidden="1" customWidth="1"/>
    <col min="13" max="13" width="11.42578125" customWidth="1"/>
    <col min="14" max="14" width="10.140625" hidden="1" customWidth="1"/>
    <col min="15" max="15" width="11" customWidth="1"/>
    <col min="16" max="16" width="11.140625" customWidth="1"/>
    <col min="17" max="17" width="10.5703125" customWidth="1"/>
    <col min="18" max="18" width="10.85546875" customWidth="1"/>
    <col min="19" max="19" width="8.5703125" customWidth="1"/>
    <col min="20" max="20" width="9.7109375" customWidth="1"/>
    <col min="21" max="21" width="9" customWidth="1"/>
    <col min="22" max="22" width="11.5703125" customWidth="1"/>
    <col min="23" max="23" width="11.42578125" customWidth="1"/>
    <col min="26" max="39" width="8.28515625" customWidth="1"/>
    <col min="40" max="53" width="9.42578125" customWidth="1"/>
    <col min="59" max="59" width="17.42578125" customWidth="1"/>
    <col min="60" max="60" width="15" customWidth="1"/>
    <col min="61" max="74" width="9.42578125" customWidth="1"/>
    <col min="79" max="85" width="6.5703125" customWidth="1"/>
    <col min="86" max="86" width="17.42578125" customWidth="1"/>
    <col min="87" max="87" width="17.140625" customWidth="1"/>
    <col min="90" max="90" width="18.28515625" customWidth="1"/>
    <col min="94" max="94" width="15.140625" customWidth="1"/>
    <col min="95" max="95" width="16.7109375" customWidth="1"/>
    <col min="96" max="96" width="14.28515625" customWidth="1"/>
    <col min="97" max="99" width="8.42578125" hidden="1" customWidth="1"/>
    <col min="100" max="107" width="6.7109375" hidden="1" customWidth="1"/>
    <col min="108" max="108" width="9.42578125" hidden="1" customWidth="1"/>
    <col min="109" max="113" width="9.42578125" customWidth="1"/>
  </cols>
  <sheetData>
    <row r="1" spans="1:113">
      <c r="A1" s="231" t="s">
        <v>1663</v>
      </c>
      <c r="B1" s="216"/>
      <c r="C1" s="216"/>
      <c r="D1" s="216"/>
      <c r="E1" s="231"/>
      <c r="F1" s="216"/>
      <c r="G1" s="216"/>
      <c r="H1" s="216"/>
      <c r="I1" s="230" t="s">
        <v>1870</v>
      </c>
      <c r="J1" s="216"/>
      <c r="K1" s="216"/>
      <c r="L1" s="216"/>
      <c r="M1" s="216"/>
      <c r="N1" s="216"/>
      <c r="O1" s="216"/>
      <c r="P1" s="216"/>
      <c r="Q1" s="230" t="s">
        <v>1871</v>
      </c>
      <c r="R1" s="216"/>
      <c r="S1" s="230" t="s">
        <v>1872</v>
      </c>
      <c r="T1" s="216"/>
      <c r="U1" s="216"/>
      <c r="V1" s="216"/>
      <c r="W1" s="216"/>
      <c r="X1" s="216"/>
      <c r="Y1" s="216"/>
      <c r="Z1" s="216"/>
      <c r="AA1" s="216"/>
      <c r="AB1" s="216"/>
      <c r="AC1" s="216"/>
      <c r="AD1" s="216"/>
      <c r="AE1" s="216"/>
      <c r="AF1" s="216"/>
      <c r="AG1" s="216"/>
      <c r="AH1" s="216"/>
      <c r="AI1" s="216"/>
      <c r="AJ1" s="216"/>
      <c r="AK1" s="216"/>
      <c r="AL1" s="216"/>
      <c r="AM1" s="216"/>
      <c r="AN1" s="216"/>
      <c r="AO1" s="216"/>
      <c r="AP1" s="216"/>
      <c r="AQ1" s="216"/>
      <c r="AR1" s="216"/>
      <c r="AS1" s="216"/>
      <c r="AT1" s="216"/>
      <c r="AU1" s="216"/>
      <c r="AV1" s="216"/>
      <c r="AW1" s="216"/>
      <c r="AX1" s="216"/>
      <c r="AY1" s="216"/>
      <c r="AZ1" s="216"/>
      <c r="BA1" s="216"/>
      <c r="BB1" s="216"/>
      <c r="BC1" s="216"/>
      <c r="BD1" s="216"/>
      <c r="BE1" s="22"/>
      <c r="BF1" s="230" t="s">
        <v>1873</v>
      </c>
      <c r="BG1" s="216"/>
      <c r="BH1" s="216"/>
      <c r="BI1" s="216"/>
      <c r="BJ1" s="216"/>
      <c r="BK1" s="216"/>
      <c r="BL1" s="216"/>
      <c r="BM1" s="216"/>
      <c r="BN1" s="216"/>
      <c r="BO1" s="216"/>
      <c r="BP1" s="216"/>
      <c r="BQ1" s="216"/>
      <c r="BR1" s="216"/>
      <c r="BS1" s="216"/>
      <c r="BT1" s="216"/>
      <c r="BU1" s="216"/>
      <c r="BV1" s="216"/>
      <c r="BW1" s="231" t="s">
        <v>5</v>
      </c>
      <c r="BX1" s="216"/>
      <c r="BY1" s="216"/>
      <c r="BZ1" s="216"/>
      <c r="CA1" s="230" t="s">
        <v>6</v>
      </c>
      <c r="CB1" s="216"/>
      <c r="CC1" s="216"/>
      <c r="CD1" s="216"/>
      <c r="CE1" s="216"/>
      <c r="CF1" s="216"/>
      <c r="CG1" s="216"/>
      <c r="CH1" s="231" t="s">
        <v>7</v>
      </c>
      <c r="CI1" s="216"/>
      <c r="CJ1" s="231" t="s">
        <v>1672</v>
      </c>
      <c r="CK1" s="216"/>
      <c r="CL1" s="216"/>
      <c r="CM1" s="231" t="s">
        <v>1874</v>
      </c>
      <c r="CN1" s="216"/>
      <c r="CO1" s="216"/>
      <c r="CP1" s="216"/>
      <c r="CQ1" s="216"/>
      <c r="CR1" s="216"/>
      <c r="CS1" s="218" t="s">
        <v>9</v>
      </c>
      <c r="CT1" s="216"/>
      <c r="CU1" s="216"/>
      <c r="CV1" s="228" t="s">
        <v>10</v>
      </c>
      <c r="CW1" s="216"/>
      <c r="CX1" s="216"/>
      <c r="CY1" s="216"/>
      <c r="CZ1" s="216"/>
      <c r="DA1" s="216"/>
      <c r="DB1" s="216"/>
      <c r="DC1" s="216"/>
      <c r="DD1" s="229" t="s">
        <v>11</v>
      </c>
      <c r="DE1" s="216"/>
      <c r="DF1" s="216"/>
      <c r="DG1" s="216"/>
      <c r="DH1" s="216"/>
      <c r="DI1" s="4"/>
    </row>
    <row r="2" spans="1:113">
      <c r="A2" s="216"/>
      <c r="B2" s="216"/>
      <c r="C2" s="216"/>
      <c r="D2" s="216"/>
      <c r="E2" s="216"/>
      <c r="F2" s="216"/>
      <c r="G2" s="216"/>
      <c r="H2" s="216"/>
      <c r="I2" s="216"/>
      <c r="J2" s="216"/>
      <c r="K2" s="216"/>
      <c r="L2" s="216"/>
      <c r="M2" s="216"/>
      <c r="N2" s="216"/>
      <c r="O2" s="216"/>
      <c r="P2" s="216"/>
      <c r="Q2" s="216"/>
      <c r="R2" s="216"/>
      <c r="S2" s="230" t="s">
        <v>1875</v>
      </c>
      <c r="T2" s="216"/>
      <c r="U2" s="216"/>
      <c r="V2" s="230"/>
      <c r="W2" s="216"/>
      <c r="X2" s="230" t="s">
        <v>1876</v>
      </c>
      <c r="Y2" s="216"/>
      <c r="Z2" s="230" t="s">
        <v>1877</v>
      </c>
      <c r="AA2" s="216"/>
      <c r="AB2" s="216"/>
      <c r="AC2" s="216"/>
      <c r="AD2" s="216"/>
      <c r="AE2" s="216"/>
      <c r="AF2" s="216"/>
      <c r="AG2" s="216"/>
      <c r="AH2" s="216"/>
      <c r="AI2" s="216"/>
      <c r="AJ2" s="216"/>
      <c r="AK2" s="216"/>
      <c r="AL2" s="216"/>
      <c r="AM2" s="216"/>
      <c r="AN2" s="230" t="s">
        <v>1878</v>
      </c>
      <c r="AO2" s="216"/>
      <c r="AP2" s="216"/>
      <c r="AQ2" s="216"/>
      <c r="AR2" s="216"/>
      <c r="AS2" s="216"/>
      <c r="AT2" s="216"/>
      <c r="AU2" s="216"/>
      <c r="AV2" s="216"/>
      <c r="AW2" s="216"/>
      <c r="AX2" s="216"/>
      <c r="AY2" s="216"/>
      <c r="AZ2" s="216"/>
      <c r="BA2" s="216"/>
      <c r="BB2" s="230" t="s">
        <v>1879</v>
      </c>
      <c r="BC2" s="216"/>
      <c r="BD2" s="216"/>
      <c r="BE2" s="216"/>
      <c r="BF2" s="1" t="s">
        <v>16</v>
      </c>
      <c r="BG2" s="1" t="s">
        <v>17</v>
      </c>
      <c r="BH2" s="1" t="s">
        <v>18</v>
      </c>
      <c r="BI2" s="231" t="s">
        <v>19</v>
      </c>
      <c r="BJ2" s="216"/>
      <c r="BK2" s="231" t="s">
        <v>20</v>
      </c>
      <c r="BL2" s="216"/>
      <c r="BM2" s="231" t="s">
        <v>21</v>
      </c>
      <c r="BN2" s="216"/>
      <c r="BO2" s="231" t="s">
        <v>22</v>
      </c>
      <c r="BP2" s="216"/>
      <c r="BQ2" s="231" t="s">
        <v>23</v>
      </c>
      <c r="BR2" s="216"/>
      <c r="BS2" s="231" t="s">
        <v>24</v>
      </c>
      <c r="BT2" s="216"/>
      <c r="BU2" s="231" t="s">
        <v>25</v>
      </c>
      <c r="BV2" s="216"/>
      <c r="BW2" s="216"/>
      <c r="BX2" s="216"/>
      <c r="BY2" s="216"/>
      <c r="BZ2" s="216"/>
      <c r="CA2" s="216"/>
      <c r="CB2" s="216"/>
      <c r="CC2" s="216"/>
      <c r="CD2" s="216"/>
      <c r="CE2" s="216"/>
      <c r="CF2" s="216"/>
      <c r="CG2" s="216"/>
      <c r="CH2" s="216"/>
      <c r="CI2" s="216"/>
      <c r="CJ2" s="216"/>
      <c r="CK2" s="216"/>
      <c r="CL2" s="216"/>
      <c r="CM2" s="216"/>
      <c r="CN2" s="216"/>
      <c r="CO2" s="216"/>
      <c r="CP2" s="216"/>
      <c r="CQ2" s="216"/>
      <c r="CR2" s="216"/>
      <c r="CS2" s="216"/>
      <c r="CT2" s="216"/>
      <c r="CU2" s="216"/>
      <c r="CV2" s="216"/>
      <c r="CW2" s="216"/>
      <c r="CX2" s="216"/>
      <c r="CY2" s="216"/>
      <c r="CZ2" s="216"/>
      <c r="DA2" s="216"/>
      <c r="DB2" s="216"/>
      <c r="DC2" s="216"/>
      <c r="DD2" s="216"/>
      <c r="DE2" s="216"/>
      <c r="DF2" s="216"/>
      <c r="DG2" s="216"/>
      <c r="DH2" s="216"/>
      <c r="DI2" s="4"/>
    </row>
    <row r="3" spans="1:113" ht="66.75" customHeight="1">
      <c r="A3" s="13" t="s">
        <v>26</v>
      </c>
      <c r="B3" s="13" t="s">
        <v>1880</v>
      </c>
      <c r="C3" s="31" t="s">
        <v>1881</v>
      </c>
      <c r="D3" s="13" t="s">
        <v>1882</v>
      </c>
      <c r="E3" s="13" t="s">
        <v>32</v>
      </c>
      <c r="F3" s="13" t="s">
        <v>1883</v>
      </c>
      <c r="G3" s="13" t="s">
        <v>1884</v>
      </c>
      <c r="H3" s="31" t="s">
        <v>1885</v>
      </c>
      <c r="I3" s="20" t="s">
        <v>33</v>
      </c>
      <c r="J3" s="20" t="s">
        <v>34</v>
      </c>
      <c r="K3" s="20" t="s">
        <v>35</v>
      </c>
      <c r="L3" s="17" t="s">
        <v>1886</v>
      </c>
      <c r="M3" s="17" t="s">
        <v>37</v>
      </c>
      <c r="N3" s="20" t="s">
        <v>40</v>
      </c>
      <c r="O3" s="20" t="s">
        <v>38</v>
      </c>
      <c r="P3" s="20" t="s">
        <v>39</v>
      </c>
      <c r="Q3" s="22" t="s">
        <v>1887</v>
      </c>
      <c r="R3" s="22" t="s">
        <v>1888</v>
      </c>
      <c r="S3" s="23" t="s">
        <v>1889</v>
      </c>
      <c r="T3" s="23" t="s">
        <v>1890</v>
      </c>
      <c r="U3" s="23" t="s">
        <v>1891</v>
      </c>
      <c r="V3" s="23" t="s">
        <v>1892</v>
      </c>
      <c r="W3" s="23" t="s">
        <v>1893</v>
      </c>
      <c r="X3" s="23" t="s">
        <v>1894</v>
      </c>
      <c r="Y3" s="23" t="s">
        <v>1895</v>
      </c>
      <c r="Z3" s="23" t="s">
        <v>1896</v>
      </c>
      <c r="AA3" s="23" t="s">
        <v>1897</v>
      </c>
      <c r="AB3" s="23" t="s">
        <v>1898</v>
      </c>
      <c r="AC3" s="23" t="s">
        <v>1899</v>
      </c>
      <c r="AD3" s="23" t="s">
        <v>1900</v>
      </c>
      <c r="AE3" s="23" t="s">
        <v>1901</v>
      </c>
      <c r="AF3" s="23" t="s">
        <v>1902</v>
      </c>
      <c r="AG3" s="23" t="s">
        <v>1903</v>
      </c>
      <c r="AH3" s="23" t="s">
        <v>1904</v>
      </c>
      <c r="AI3" s="23" t="s">
        <v>1905</v>
      </c>
      <c r="AJ3" s="23" t="s">
        <v>1906</v>
      </c>
      <c r="AK3" s="23" t="s">
        <v>1907</v>
      </c>
      <c r="AL3" s="23" t="s">
        <v>1908</v>
      </c>
      <c r="AM3" s="23" t="s">
        <v>1909</v>
      </c>
      <c r="AN3" s="23" t="s">
        <v>1910</v>
      </c>
      <c r="AO3" s="23" t="s">
        <v>1911</v>
      </c>
      <c r="AP3" s="23" t="s">
        <v>1912</v>
      </c>
      <c r="AQ3" s="23" t="s">
        <v>1913</v>
      </c>
      <c r="AR3" s="23" t="s">
        <v>1914</v>
      </c>
      <c r="AS3" s="23" t="s">
        <v>1915</v>
      </c>
      <c r="AT3" s="23" t="s">
        <v>1916</v>
      </c>
      <c r="AU3" s="23" t="s">
        <v>1917</v>
      </c>
      <c r="AV3" s="23" t="s">
        <v>1918</v>
      </c>
      <c r="AW3" s="23" t="s">
        <v>1919</v>
      </c>
      <c r="AX3" s="23" t="s">
        <v>1920</v>
      </c>
      <c r="AY3" s="23" t="s">
        <v>1921</v>
      </c>
      <c r="AZ3" s="23" t="s">
        <v>1922</v>
      </c>
      <c r="BA3" s="23" t="s">
        <v>1923</v>
      </c>
      <c r="BB3" s="22" t="s">
        <v>1924</v>
      </c>
      <c r="BC3" s="22" t="s">
        <v>1925</v>
      </c>
      <c r="BD3" s="22" t="s">
        <v>1926</v>
      </c>
      <c r="BE3" s="22" t="s">
        <v>1927</v>
      </c>
      <c r="BF3" s="31" t="s">
        <v>62</v>
      </c>
      <c r="BG3" s="31" t="s">
        <v>1928</v>
      </c>
      <c r="BH3" s="31" t="s">
        <v>64</v>
      </c>
      <c r="BI3" s="7" t="s">
        <v>65</v>
      </c>
      <c r="BJ3" s="35" t="s">
        <v>66</v>
      </c>
      <c r="BK3" s="7" t="s">
        <v>67</v>
      </c>
      <c r="BL3" s="35" t="s">
        <v>68</v>
      </c>
      <c r="BM3" s="7" t="s">
        <v>69</v>
      </c>
      <c r="BN3" s="35" t="s">
        <v>70</v>
      </c>
      <c r="BO3" s="7" t="s">
        <v>71</v>
      </c>
      <c r="BP3" s="35" t="s">
        <v>72</v>
      </c>
      <c r="BQ3" s="7" t="s">
        <v>73</v>
      </c>
      <c r="BR3" s="35" t="s">
        <v>74</v>
      </c>
      <c r="BS3" s="7" t="s">
        <v>75</v>
      </c>
      <c r="BT3" s="35" t="s">
        <v>76</v>
      </c>
      <c r="BU3" s="7" t="s">
        <v>77</v>
      </c>
      <c r="BV3" s="35" t="s">
        <v>78</v>
      </c>
      <c r="BW3" s="13" t="s">
        <v>79</v>
      </c>
      <c r="BX3" s="13" t="s">
        <v>80</v>
      </c>
      <c r="BY3" s="13" t="s">
        <v>81</v>
      </c>
      <c r="BZ3" s="13" t="s">
        <v>82</v>
      </c>
      <c r="CA3" s="7" t="s">
        <v>84</v>
      </c>
      <c r="CB3" s="7" t="s">
        <v>85</v>
      </c>
      <c r="CC3" s="7" t="s">
        <v>86</v>
      </c>
      <c r="CD3" s="7" t="s">
        <v>87</v>
      </c>
      <c r="CE3" s="7" t="s">
        <v>88</v>
      </c>
      <c r="CF3" s="7" t="s">
        <v>89</v>
      </c>
      <c r="CG3" s="7" t="s">
        <v>90</v>
      </c>
      <c r="CH3" s="13" t="s">
        <v>1929</v>
      </c>
      <c r="CI3" s="13" t="s">
        <v>91</v>
      </c>
      <c r="CJ3" s="13" t="s">
        <v>1714</v>
      </c>
      <c r="CK3" s="13" t="s">
        <v>1715</v>
      </c>
      <c r="CL3" s="13" t="s">
        <v>1716</v>
      </c>
      <c r="CM3" s="13" t="s">
        <v>1712</v>
      </c>
      <c r="CN3" s="13" t="s">
        <v>95</v>
      </c>
      <c r="CO3" s="13" t="s">
        <v>96</v>
      </c>
      <c r="CP3" s="13" t="s">
        <v>1713</v>
      </c>
      <c r="CQ3" s="13" t="s">
        <v>98</v>
      </c>
      <c r="CR3" s="31" t="s">
        <v>1717</v>
      </c>
      <c r="CS3" s="39" t="s">
        <v>100</v>
      </c>
      <c r="CT3" s="39" t="s">
        <v>101</v>
      </c>
      <c r="CU3" s="39" t="s">
        <v>102</v>
      </c>
      <c r="CV3" s="39" t="s">
        <v>103</v>
      </c>
      <c r="CW3" s="39" t="s">
        <v>104</v>
      </c>
      <c r="CX3" s="39" t="s">
        <v>105</v>
      </c>
      <c r="CY3" s="39" t="s">
        <v>106</v>
      </c>
      <c r="CZ3" s="39" t="s">
        <v>107</v>
      </c>
      <c r="DA3" s="39" t="s">
        <v>108</v>
      </c>
      <c r="DB3" s="39" t="s">
        <v>109</v>
      </c>
      <c r="DC3" s="39" t="s">
        <v>110</v>
      </c>
      <c r="DD3" s="40" t="s">
        <v>30</v>
      </c>
      <c r="DE3" s="40" t="s">
        <v>111</v>
      </c>
      <c r="DF3" s="40" t="s">
        <v>112</v>
      </c>
      <c r="DG3" s="40" t="s">
        <v>1718</v>
      </c>
      <c r="DH3" s="40" t="s">
        <v>114</v>
      </c>
      <c r="DI3" s="40"/>
    </row>
    <row r="4" spans="1:113" hidden="1">
      <c r="A4" s="26" t="s">
        <v>115</v>
      </c>
      <c r="B4" s="26" t="s">
        <v>1930</v>
      </c>
      <c r="C4" s="26" t="s">
        <v>1931</v>
      </c>
      <c r="D4" s="26" t="s">
        <v>1932</v>
      </c>
      <c r="E4" s="26" t="s">
        <v>1933</v>
      </c>
      <c r="F4" s="26" t="s">
        <v>1934</v>
      </c>
      <c r="G4" s="26" t="s">
        <v>1935</v>
      </c>
      <c r="H4" s="27" t="s">
        <v>1936</v>
      </c>
      <c r="I4" s="26" t="s">
        <v>1937</v>
      </c>
      <c r="J4" s="26" t="s">
        <v>1938</v>
      </c>
      <c r="K4" s="26" t="s">
        <v>1939</v>
      </c>
      <c r="L4" s="26" t="s">
        <v>1940</v>
      </c>
      <c r="M4" s="26" t="s">
        <v>1941</v>
      </c>
      <c r="N4" s="26" t="s">
        <v>1942</v>
      </c>
      <c r="O4" s="26" t="s">
        <v>127</v>
      </c>
      <c r="P4" s="26" t="s">
        <v>128</v>
      </c>
      <c r="Q4" s="26" t="s">
        <v>1943</v>
      </c>
      <c r="R4" s="26" t="s">
        <v>1944</v>
      </c>
      <c r="S4" s="26" t="s">
        <v>1945</v>
      </c>
      <c r="T4" s="26" t="s">
        <v>1946</v>
      </c>
      <c r="U4" s="26" t="s">
        <v>1947</v>
      </c>
      <c r="V4" s="26" t="s">
        <v>1948</v>
      </c>
      <c r="W4" s="26" t="s">
        <v>1949</v>
      </c>
      <c r="X4" s="26" t="s">
        <v>1950</v>
      </c>
      <c r="Y4" s="26" t="s">
        <v>1951</v>
      </c>
      <c r="Z4" s="26" t="s">
        <v>1952</v>
      </c>
      <c r="AA4" s="26" t="s">
        <v>1953</v>
      </c>
      <c r="AB4" s="26" t="s">
        <v>1954</v>
      </c>
      <c r="AC4" s="26" t="s">
        <v>1955</v>
      </c>
      <c r="AD4" s="26" t="s">
        <v>1956</v>
      </c>
      <c r="AE4" s="26" t="s">
        <v>1957</v>
      </c>
      <c r="AF4" s="26" t="s">
        <v>1958</v>
      </c>
      <c r="AG4" s="26" t="s">
        <v>1959</v>
      </c>
      <c r="AH4" s="26" t="s">
        <v>1960</v>
      </c>
      <c r="AI4" s="26" t="s">
        <v>1961</v>
      </c>
      <c r="AJ4" s="26" t="s">
        <v>1962</v>
      </c>
      <c r="AK4" s="26" t="s">
        <v>1963</v>
      </c>
      <c r="AL4" s="26" t="s">
        <v>1964</v>
      </c>
      <c r="AM4" s="26" t="s">
        <v>1965</v>
      </c>
      <c r="AN4" s="26" t="s">
        <v>1966</v>
      </c>
      <c r="AO4" s="26" t="s">
        <v>1967</v>
      </c>
      <c r="AP4" s="26" t="s">
        <v>1968</v>
      </c>
      <c r="AQ4" s="26" t="s">
        <v>1969</v>
      </c>
      <c r="AR4" s="26" t="s">
        <v>1970</v>
      </c>
      <c r="AS4" s="26" t="s">
        <v>1971</v>
      </c>
      <c r="AT4" s="26" t="s">
        <v>1972</v>
      </c>
      <c r="AU4" s="26" t="s">
        <v>1973</v>
      </c>
      <c r="AV4" s="26" t="s">
        <v>1974</v>
      </c>
      <c r="AW4" s="26" t="s">
        <v>1975</v>
      </c>
      <c r="AX4" s="26" t="s">
        <v>1976</v>
      </c>
      <c r="AY4" s="26" t="s">
        <v>1977</v>
      </c>
      <c r="AZ4" s="26" t="s">
        <v>1978</v>
      </c>
      <c r="BA4" s="26" t="s">
        <v>1979</v>
      </c>
      <c r="BB4" s="26" t="s">
        <v>1980</v>
      </c>
      <c r="BC4" s="26" t="s">
        <v>1981</v>
      </c>
      <c r="BD4" s="26" t="s">
        <v>1982</v>
      </c>
      <c r="BE4" s="26" t="s">
        <v>1983</v>
      </c>
      <c r="BF4" s="26" t="s">
        <v>150</v>
      </c>
      <c r="BG4" s="26" t="s">
        <v>1984</v>
      </c>
      <c r="BH4" s="26" t="s">
        <v>152</v>
      </c>
      <c r="BI4" s="26" t="s">
        <v>153</v>
      </c>
      <c r="BJ4" s="54" t="s">
        <v>154</v>
      </c>
      <c r="BK4" s="26" t="s">
        <v>155</v>
      </c>
      <c r="BL4" s="54" t="s">
        <v>156</v>
      </c>
      <c r="BM4" s="26" t="s">
        <v>157</v>
      </c>
      <c r="BN4" s="54" t="s">
        <v>158</v>
      </c>
      <c r="BO4" s="26" t="s">
        <v>159</v>
      </c>
      <c r="BP4" s="54" t="s">
        <v>160</v>
      </c>
      <c r="BQ4" s="26" t="s">
        <v>161</v>
      </c>
      <c r="BR4" s="54" t="s">
        <v>162</v>
      </c>
      <c r="BS4" s="26" t="s">
        <v>163</v>
      </c>
      <c r="BT4" s="54" t="s">
        <v>164</v>
      </c>
      <c r="BU4" s="26" t="s">
        <v>165</v>
      </c>
      <c r="BV4" s="54" t="s">
        <v>166</v>
      </c>
      <c r="BW4" s="26" t="s">
        <v>1985</v>
      </c>
      <c r="BX4" s="26" t="s">
        <v>1986</v>
      </c>
      <c r="BY4" s="26" t="s">
        <v>1987</v>
      </c>
      <c r="BZ4" s="26" t="s">
        <v>1988</v>
      </c>
      <c r="CA4" s="26" t="s">
        <v>1989</v>
      </c>
      <c r="CB4" s="26" t="s">
        <v>1990</v>
      </c>
      <c r="CC4" s="26" t="s">
        <v>1991</v>
      </c>
      <c r="CD4" s="26" t="s">
        <v>1992</v>
      </c>
      <c r="CE4" s="26" t="s">
        <v>1993</v>
      </c>
      <c r="CF4" s="26" t="s">
        <v>1994</v>
      </c>
      <c r="CG4" s="26" t="s">
        <v>1995</v>
      </c>
      <c r="CH4" s="26" t="s">
        <v>1996</v>
      </c>
      <c r="CI4" s="26" t="s">
        <v>1997</v>
      </c>
      <c r="CJ4" s="26" t="s">
        <v>1998</v>
      </c>
      <c r="CK4" s="26" t="s">
        <v>1999</v>
      </c>
      <c r="CL4" s="26" t="s">
        <v>2000</v>
      </c>
      <c r="CM4" s="26" t="s">
        <v>2001</v>
      </c>
      <c r="CN4" s="26" t="s">
        <v>2002</v>
      </c>
      <c r="CO4" s="26" t="s">
        <v>2003</v>
      </c>
      <c r="CP4" s="26" t="s">
        <v>2004</v>
      </c>
      <c r="CQ4" s="26" t="s">
        <v>2005</v>
      </c>
      <c r="CR4" s="26" t="s">
        <v>187</v>
      </c>
      <c r="CS4" s="32" t="s">
        <v>188</v>
      </c>
      <c r="CT4" s="32" t="s">
        <v>189</v>
      </c>
      <c r="CU4" s="32" t="s">
        <v>190</v>
      </c>
      <c r="CV4" s="26" t="s">
        <v>1781</v>
      </c>
      <c r="CW4" s="26" t="s">
        <v>1782</v>
      </c>
      <c r="CX4" s="26" t="s">
        <v>1783</v>
      </c>
      <c r="CY4" s="26" t="s">
        <v>1784</v>
      </c>
      <c r="CZ4" s="26" t="s">
        <v>1785</v>
      </c>
      <c r="DA4" s="26" t="s">
        <v>1786</v>
      </c>
      <c r="DB4" s="26" t="s">
        <v>1787</v>
      </c>
      <c r="DC4" s="26" t="s">
        <v>1788</v>
      </c>
      <c r="DD4" s="32" t="s">
        <v>199</v>
      </c>
      <c r="DE4" s="32" t="s">
        <v>200</v>
      </c>
      <c r="DF4" s="32" t="s">
        <v>201</v>
      </c>
      <c r="DG4" s="32" t="s">
        <v>202</v>
      </c>
      <c r="DH4" s="32" t="s">
        <v>203</v>
      </c>
      <c r="DI4" s="32"/>
    </row>
    <row r="5" spans="1:113" ht="27.75" customHeight="1">
      <c r="A5" s="83" t="s">
        <v>2006</v>
      </c>
      <c r="B5" s="96" t="s">
        <v>758</v>
      </c>
      <c r="C5" s="102" t="s">
        <v>759</v>
      </c>
      <c r="D5" s="139" t="s">
        <v>2007</v>
      </c>
      <c r="E5" s="83" t="s">
        <v>2008</v>
      </c>
      <c r="F5" s="83" t="s">
        <v>2009</v>
      </c>
      <c r="G5" s="83" t="s">
        <v>2010</v>
      </c>
      <c r="H5" s="83" t="s">
        <v>2011</v>
      </c>
      <c r="I5" s="102" t="s">
        <v>762</v>
      </c>
      <c r="J5" s="102" t="s">
        <v>258</v>
      </c>
      <c r="K5" s="102" t="s">
        <v>259</v>
      </c>
      <c r="L5" s="78"/>
      <c r="M5" s="102" t="s">
        <v>260</v>
      </c>
      <c r="N5" s="78"/>
      <c r="O5" s="78"/>
      <c r="P5" s="78"/>
      <c r="Q5" s="62">
        <v>46023</v>
      </c>
      <c r="R5" s="62">
        <v>46753</v>
      </c>
      <c r="S5" s="84" t="b">
        <v>0</v>
      </c>
      <c r="T5" s="78"/>
      <c r="U5" s="78"/>
      <c r="V5" s="83" t="s">
        <v>570</v>
      </c>
      <c r="W5" s="84" t="b">
        <v>1</v>
      </c>
      <c r="X5" s="65">
        <v>0.64583333333333337</v>
      </c>
      <c r="Y5" s="65">
        <v>0.75</v>
      </c>
      <c r="Z5" s="83" t="s">
        <v>215</v>
      </c>
      <c r="AA5" s="83" t="s">
        <v>215</v>
      </c>
      <c r="AB5" s="83" t="s">
        <v>215</v>
      </c>
      <c r="AC5" s="83" t="s">
        <v>215</v>
      </c>
      <c r="AD5" s="83" t="s">
        <v>215</v>
      </c>
      <c r="AE5" s="83" t="s">
        <v>215</v>
      </c>
      <c r="AF5" s="83" t="s">
        <v>215</v>
      </c>
      <c r="AG5" s="83" t="s">
        <v>215</v>
      </c>
      <c r="AH5" s="83" t="s">
        <v>215</v>
      </c>
      <c r="AI5" s="83" t="s">
        <v>215</v>
      </c>
      <c r="AJ5" s="83" t="s">
        <v>215</v>
      </c>
      <c r="AK5" s="83" t="s">
        <v>215</v>
      </c>
      <c r="AL5" s="83" t="s">
        <v>215</v>
      </c>
      <c r="AM5" s="83" t="s">
        <v>215</v>
      </c>
      <c r="AN5" s="83" t="s">
        <v>215</v>
      </c>
      <c r="AO5" s="83" t="s">
        <v>215</v>
      </c>
      <c r="AP5" s="83" t="s">
        <v>215</v>
      </c>
      <c r="AQ5" s="83" t="s">
        <v>215</v>
      </c>
      <c r="AR5" s="83" t="s">
        <v>215</v>
      </c>
      <c r="AS5" s="83" t="s">
        <v>215</v>
      </c>
      <c r="AT5" s="83" t="s">
        <v>215</v>
      </c>
      <c r="AU5" s="83" t="s">
        <v>215</v>
      </c>
      <c r="AV5" s="83" t="s">
        <v>215</v>
      </c>
      <c r="AW5" s="83" t="s">
        <v>215</v>
      </c>
      <c r="AX5" s="83" t="s">
        <v>215</v>
      </c>
      <c r="AY5" s="78" t="s">
        <v>215</v>
      </c>
      <c r="AZ5" s="83" t="s">
        <v>215</v>
      </c>
      <c r="BA5" s="83" t="s">
        <v>215</v>
      </c>
      <c r="BB5" s="83" t="s">
        <v>215</v>
      </c>
      <c r="BC5" s="83" t="s">
        <v>215</v>
      </c>
      <c r="BD5" s="83" t="s">
        <v>215</v>
      </c>
      <c r="BE5" s="83" t="s">
        <v>215</v>
      </c>
      <c r="BF5" s="84" t="b">
        <v>1</v>
      </c>
      <c r="BG5" s="83" t="s">
        <v>763</v>
      </c>
      <c r="BH5" s="83" t="s">
        <v>2012</v>
      </c>
      <c r="BI5" s="83" t="s">
        <v>765</v>
      </c>
      <c r="BJ5" s="71">
        <v>1.5</v>
      </c>
      <c r="BK5" s="83" t="s">
        <v>215</v>
      </c>
      <c r="BL5" s="92" t="s">
        <v>215</v>
      </c>
      <c r="BM5" s="72">
        <v>46082</v>
      </c>
      <c r="BN5" s="71">
        <v>5.95</v>
      </c>
      <c r="BO5" s="72">
        <v>46330</v>
      </c>
      <c r="BP5" s="71">
        <v>6.95</v>
      </c>
      <c r="BQ5" s="83" t="s">
        <v>339</v>
      </c>
      <c r="BR5" s="71">
        <v>2</v>
      </c>
      <c r="BS5" s="83" t="s">
        <v>215</v>
      </c>
      <c r="BT5" s="92" t="s">
        <v>215</v>
      </c>
      <c r="BU5" s="83" t="s">
        <v>215</v>
      </c>
      <c r="BV5" s="92" t="s">
        <v>215</v>
      </c>
      <c r="BW5" s="83" t="s">
        <v>218</v>
      </c>
      <c r="BX5" s="83" t="s">
        <v>766</v>
      </c>
      <c r="BY5" s="83" t="s">
        <v>767</v>
      </c>
      <c r="BZ5" s="83" t="s">
        <v>2013</v>
      </c>
      <c r="CA5" s="84" t="b">
        <v>1</v>
      </c>
      <c r="CB5" s="84" t="b">
        <v>1</v>
      </c>
      <c r="CC5" s="84" t="b">
        <v>1</v>
      </c>
      <c r="CD5" s="84" t="b">
        <v>1</v>
      </c>
      <c r="CE5" s="84" t="b">
        <v>1</v>
      </c>
      <c r="CF5" s="84" t="b">
        <v>0</v>
      </c>
      <c r="CG5" s="84" t="b">
        <v>1</v>
      </c>
      <c r="CH5" s="83" t="s">
        <v>667</v>
      </c>
      <c r="CI5" s="83" t="s">
        <v>244</v>
      </c>
      <c r="CJ5" s="78"/>
      <c r="CK5" s="78"/>
      <c r="CL5" s="78"/>
      <c r="CM5" s="96" t="s">
        <v>2014</v>
      </c>
      <c r="CN5" s="78"/>
      <c r="CO5" s="78"/>
      <c r="CP5" s="83" t="s">
        <v>770</v>
      </c>
      <c r="CQ5" s="78"/>
      <c r="CR5" s="96" t="s">
        <v>771</v>
      </c>
      <c r="CS5" s="78"/>
      <c r="CT5" s="78"/>
      <c r="CU5" s="78"/>
      <c r="CV5" s="78"/>
      <c r="CW5" s="78"/>
      <c r="CX5" s="78"/>
      <c r="CY5" s="78"/>
      <c r="CZ5" s="78"/>
      <c r="DA5" s="78"/>
      <c r="DB5" s="78"/>
      <c r="DC5" s="78"/>
      <c r="DD5" s="78"/>
      <c r="DE5" s="78" t="b">
        <v>1</v>
      </c>
      <c r="DF5" s="79"/>
      <c r="DG5" s="78"/>
      <c r="DH5" s="78"/>
      <c r="DI5" s="78"/>
    </row>
    <row r="6" spans="1:113" ht="27.75" customHeight="1">
      <c r="A6" s="83" t="s">
        <v>2006</v>
      </c>
      <c r="B6" s="96" t="s">
        <v>758</v>
      </c>
      <c r="C6" s="102" t="s">
        <v>759</v>
      </c>
      <c r="D6" s="139" t="s">
        <v>760</v>
      </c>
      <c r="E6" s="83" t="s">
        <v>761</v>
      </c>
      <c r="F6" s="83" t="s">
        <v>2009</v>
      </c>
      <c r="G6" s="83" t="s">
        <v>2010</v>
      </c>
      <c r="H6" s="83" t="s">
        <v>2015</v>
      </c>
      <c r="I6" s="102" t="s">
        <v>762</v>
      </c>
      <c r="J6" s="102" t="s">
        <v>258</v>
      </c>
      <c r="K6" s="102" t="s">
        <v>259</v>
      </c>
      <c r="L6" s="78"/>
      <c r="M6" s="102" t="s">
        <v>260</v>
      </c>
      <c r="N6" s="78"/>
      <c r="O6" s="78"/>
      <c r="P6" s="78"/>
      <c r="Q6" s="62">
        <v>46024</v>
      </c>
      <c r="R6" s="62">
        <v>46754</v>
      </c>
      <c r="S6" s="84" t="b">
        <v>1</v>
      </c>
      <c r="T6" s="78"/>
      <c r="U6" s="78"/>
      <c r="V6" s="83" t="s">
        <v>1861</v>
      </c>
      <c r="W6" s="84" t="b">
        <v>0</v>
      </c>
      <c r="X6" s="83" t="s">
        <v>215</v>
      </c>
      <c r="Y6" s="83" t="s">
        <v>215</v>
      </c>
      <c r="Z6" s="83" t="s">
        <v>215</v>
      </c>
      <c r="AA6" s="83" t="s">
        <v>215</v>
      </c>
      <c r="AB6" s="83" t="s">
        <v>215</v>
      </c>
      <c r="AC6" s="83" t="s">
        <v>215</v>
      </c>
      <c r="AD6" s="83" t="s">
        <v>215</v>
      </c>
      <c r="AE6" s="83" t="s">
        <v>215</v>
      </c>
      <c r="AF6" s="83" t="s">
        <v>215</v>
      </c>
      <c r="AG6" s="83" t="s">
        <v>215</v>
      </c>
      <c r="AH6" s="83" t="s">
        <v>215</v>
      </c>
      <c r="AI6" s="83" t="s">
        <v>215</v>
      </c>
      <c r="AJ6" s="83" t="s">
        <v>215</v>
      </c>
      <c r="AK6" s="83" t="s">
        <v>215</v>
      </c>
      <c r="AL6" s="83" t="s">
        <v>215</v>
      </c>
      <c r="AM6" s="83" t="s">
        <v>215</v>
      </c>
      <c r="AN6" s="83" t="s">
        <v>215</v>
      </c>
      <c r="AO6" s="83" t="s">
        <v>215</v>
      </c>
      <c r="AP6" s="83" t="s">
        <v>215</v>
      </c>
      <c r="AQ6" s="83" t="s">
        <v>215</v>
      </c>
      <c r="AR6" s="83" t="s">
        <v>215</v>
      </c>
      <c r="AS6" s="83" t="s">
        <v>215</v>
      </c>
      <c r="AT6" s="83" t="s">
        <v>215</v>
      </c>
      <c r="AU6" s="83" t="s">
        <v>215</v>
      </c>
      <c r="AV6" s="83" t="s">
        <v>215</v>
      </c>
      <c r="AW6" s="83" t="s">
        <v>215</v>
      </c>
      <c r="AX6" s="82">
        <v>4</v>
      </c>
      <c r="AY6" s="83" t="s">
        <v>2016</v>
      </c>
      <c r="AZ6" s="83" t="s">
        <v>215</v>
      </c>
      <c r="BA6" s="83" t="s">
        <v>215</v>
      </c>
      <c r="BB6" s="83" t="s">
        <v>215</v>
      </c>
      <c r="BC6" s="83" t="s">
        <v>215</v>
      </c>
      <c r="BD6" s="83" t="s">
        <v>215</v>
      </c>
      <c r="BE6" s="83" t="s">
        <v>215</v>
      </c>
      <c r="BF6" s="84" t="b">
        <v>1</v>
      </c>
      <c r="BG6" s="83" t="s">
        <v>763</v>
      </c>
      <c r="BH6" s="83" t="s">
        <v>2012</v>
      </c>
      <c r="BI6" s="83" t="s">
        <v>765</v>
      </c>
      <c r="BJ6" s="71">
        <v>1.5</v>
      </c>
      <c r="BK6" s="83" t="s">
        <v>215</v>
      </c>
      <c r="BL6" s="92" t="s">
        <v>215</v>
      </c>
      <c r="BM6" s="72">
        <v>46082</v>
      </c>
      <c r="BN6" s="71">
        <v>6.95</v>
      </c>
      <c r="BO6" s="72">
        <v>46330</v>
      </c>
      <c r="BP6" s="71">
        <v>7.95</v>
      </c>
      <c r="BQ6" s="83" t="s">
        <v>339</v>
      </c>
      <c r="BR6" s="71">
        <v>2</v>
      </c>
      <c r="BS6" s="83" t="s">
        <v>215</v>
      </c>
      <c r="BT6" s="92" t="s">
        <v>215</v>
      </c>
      <c r="BU6" s="83" t="s">
        <v>215</v>
      </c>
      <c r="BV6" s="92" t="s">
        <v>215</v>
      </c>
      <c r="BW6" s="83" t="s">
        <v>218</v>
      </c>
      <c r="BX6" s="83" t="s">
        <v>766</v>
      </c>
      <c r="BY6" s="83" t="s">
        <v>767</v>
      </c>
      <c r="BZ6" s="83" t="s">
        <v>2013</v>
      </c>
      <c r="CA6" s="84" t="b">
        <v>1</v>
      </c>
      <c r="CB6" s="84" t="b">
        <v>1</v>
      </c>
      <c r="CC6" s="84" t="b">
        <v>1</v>
      </c>
      <c r="CD6" s="84" t="b">
        <v>1</v>
      </c>
      <c r="CE6" s="84" t="b">
        <v>1</v>
      </c>
      <c r="CF6" s="84" t="b">
        <v>0</v>
      </c>
      <c r="CG6" s="84" t="b">
        <v>1</v>
      </c>
      <c r="CH6" s="83" t="s">
        <v>667</v>
      </c>
      <c r="CI6" s="83" t="s">
        <v>244</v>
      </c>
      <c r="CJ6" s="78"/>
      <c r="CK6" s="78"/>
      <c r="CL6" s="78"/>
      <c r="CM6" s="96" t="s">
        <v>769</v>
      </c>
      <c r="CN6" s="78"/>
      <c r="CO6" s="78"/>
      <c r="CP6" s="83" t="s">
        <v>770</v>
      </c>
      <c r="CQ6" s="78"/>
      <c r="CR6" s="96" t="s">
        <v>771</v>
      </c>
      <c r="CS6" s="78"/>
      <c r="CT6" s="78"/>
      <c r="CU6" s="78"/>
      <c r="CV6" s="78"/>
      <c r="CW6" s="78"/>
      <c r="CX6" s="78"/>
      <c r="CY6" s="78"/>
      <c r="CZ6" s="78"/>
      <c r="DA6" s="78"/>
      <c r="DB6" s="78"/>
      <c r="DC6" s="78"/>
      <c r="DD6" s="78"/>
      <c r="DE6" s="78" t="b">
        <v>1</v>
      </c>
      <c r="DF6" s="79"/>
      <c r="DG6" s="78"/>
      <c r="DH6" s="78"/>
      <c r="DI6" s="78"/>
    </row>
    <row r="7" spans="1:113" ht="25.5" customHeight="1">
      <c r="A7" s="83" t="s">
        <v>2006</v>
      </c>
      <c r="B7" s="96" t="s">
        <v>758</v>
      </c>
      <c r="C7" s="102" t="s">
        <v>759</v>
      </c>
      <c r="D7" s="139" t="s">
        <v>760</v>
      </c>
      <c r="E7" s="83" t="s">
        <v>761</v>
      </c>
      <c r="F7" s="83" t="s">
        <v>2009</v>
      </c>
      <c r="G7" s="83" t="s">
        <v>2010</v>
      </c>
      <c r="H7" s="83" t="s">
        <v>2015</v>
      </c>
      <c r="I7" s="102" t="s">
        <v>762</v>
      </c>
      <c r="J7" s="102" t="s">
        <v>258</v>
      </c>
      <c r="K7" s="102" t="s">
        <v>259</v>
      </c>
      <c r="L7" s="78"/>
      <c r="M7" s="102" t="s">
        <v>260</v>
      </c>
      <c r="N7" s="78"/>
      <c r="O7" s="78"/>
      <c r="P7" s="78"/>
      <c r="Q7" s="62">
        <v>46025</v>
      </c>
      <c r="R7" s="62">
        <v>46755</v>
      </c>
      <c r="S7" s="84" t="b">
        <v>1</v>
      </c>
      <c r="T7" s="78"/>
      <c r="U7" s="78"/>
      <c r="V7" s="83" t="s">
        <v>1808</v>
      </c>
      <c r="W7" s="84" t="b">
        <v>0</v>
      </c>
      <c r="X7" s="83" t="s">
        <v>215</v>
      </c>
      <c r="Y7" s="83" t="s">
        <v>215</v>
      </c>
      <c r="Z7" s="85" t="s">
        <v>215</v>
      </c>
      <c r="AA7" s="85" t="s">
        <v>215</v>
      </c>
      <c r="AB7" s="85" t="s">
        <v>215</v>
      </c>
      <c r="AC7" s="85" t="s">
        <v>215</v>
      </c>
      <c r="AD7" s="85" t="s">
        <v>215</v>
      </c>
      <c r="AE7" s="85" t="s">
        <v>215</v>
      </c>
      <c r="AF7" s="85" t="s">
        <v>215</v>
      </c>
      <c r="AG7" s="85" t="s">
        <v>215</v>
      </c>
      <c r="AH7" s="85" t="s">
        <v>215</v>
      </c>
      <c r="AI7" s="85" t="s">
        <v>215</v>
      </c>
      <c r="AJ7" s="83" t="s">
        <v>215</v>
      </c>
      <c r="AK7" s="83" t="s">
        <v>215</v>
      </c>
      <c r="AL7" s="83" t="s">
        <v>215</v>
      </c>
      <c r="AM7" s="83" t="s">
        <v>215</v>
      </c>
      <c r="AN7" s="83" t="s">
        <v>215</v>
      </c>
      <c r="AO7" s="83" t="s">
        <v>215</v>
      </c>
      <c r="AP7" s="83" t="s">
        <v>215</v>
      </c>
      <c r="AQ7" s="83" t="s">
        <v>215</v>
      </c>
      <c r="AR7" s="83" t="s">
        <v>215</v>
      </c>
      <c r="AS7" s="83" t="s">
        <v>215</v>
      </c>
      <c r="AT7" s="83" t="s">
        <v>215</v>
      </c>
      <c r="AU7" s="83" t="s">
        <v>215</v>
      </c>
      <c r="AV7" s="83" t="s">
        <v>215</v>
      </c>
      <c r="AW7" s="83" t="s">
        <v>215</v>
      </c>
      <c r="AX7" s="83" t="s">
        <v>215</v>
      </c>
      <c r="AY7" s="83" t="s">
        <v>215</v>
      </c>
      <c r="AZ7" s="82">
        <v>3</v>
      </c>
      <c r="BA7" s="83" t="s">
        <v>2017</v>
      </c>
      <c r="BB7" s="83" t="s">
        <v>215</v>
      </c>
      <c r="BC7" s="83" t="s">
        <v>215</v>
      </c>
      <c r="BD7" s="83" t="s">
        <v>215</v>
      </c>
      <c r="BE7" s="83" t="s">
        <v>215</v>
      </c>
      <c r="BF7" s="84" t="b">
        <v>1</v>
      </c>
      <c r="BG7" s="83" t="s">
        <v>763</v>
      </c>
      <c r="BH7" s="83" t="s">
        <v>2012</v>
      </c>
      <c r="BI7" s="83" t="s">
        <v>765</v>
      </c>
      <c r="BJ7" s="71">
        <v>1.5</v>
      </c>
      <c r="BK7" s="83" t="s">
        <v>215</v>
      </c>
      <c r="BL7" s="92" t="s">
        <v>215</v>
      </c>
      <c r="BM7" s="72">
        <v>46082</v>
      </c>
      <c r="BN7" s="71">
        <v>6.95</v>
      </c>
      <c r="BO7" s="72">
        <v>46330</v>
      </c>
      <c r="BP7" s="71">
        <v>7.95</v>
      </c>
      <c r="BQ7" s="83" t="s">
        <v>339</v>
      </c>
      <c r="BR7" s="71">
        <v>2</v>
      </c>
      <c r="BS7" s="83" t="s">
        <v>215</v>
      </c>
      <c r="BT7" s="92" t="s">
        <v>215</v>
      </c>
      <c r="BU7" s="83" t="s">
        <v>215</v>
      </c>
      <c r="BV7" s="92" t="s">
        <v>215</v>
      </c>
      <c r="BW7" s="83" t="s">
        <v>218</v>
      </c>
      <c r="BX7" s="83" t="s">
        <v>766</v>
      </c>
      <c r="BY7" s="83" t="s">
        <v>767</v>
      </c>
      <c r="BZ7" s="83" t="s">
        <v>2013</v>
      </c>
      <c r="CA7" s="84" t="b">
        <v>1</v>
      </c>
      <c r="CB7" s="84" t="b">
        <v>1</v>
      </c>
      <c r="CC7" s="84" t="b">
        <v>1</v>
      </c>
      <c r="CD7" s="84" t="b">
        <v>1</v>
      </c>
      <c r="CE7" s="84" t="b">
        <v>1</v>
      </c>
      <c r="CF7" s="84" t="b">
        <v>0</v>
      </c>
      <c r="CG7" s="84" t="b">
        <v>1</v>
      </c>
      <c r="CH7" s="83" t="s">
        <v>667</v>
      </c>
      <c r="CI7" s="83" t="s">
        <v>244</v>
      </c>
      <c r="CJ7" s="78"/>
      <c r="CK7" s="78"/>
      <c r="CL7" s="78"/>
      <c r="CM7" s="96" t="s">
        <v>769</v>
      </c>
      <c r="CN7" s="78"/>
      <c r="CO7" s="78"/>
      <c r="CP7" s="83" t="s">
        <v>770</v>
      </c>
      <c r="CQ7" s="78"/>
      <c r="CR7" s="96" t="s">
        <v>771</v>
      </c>
      <c r="CS7" s="78"/>
      <c r="CT7" s="78"/>
      <c r="CU7" s="78"/>
      <c r="CV7" s="78"/>
      <c r="CW7" s="78"/>
      <c r="CX7" s="78"/>
      <c r="CY7" s="78"/>
      <c r="CZ7" s="78"/>
      <c r="DA7" s="78"/>
      <c r="DB7" s="78"/>
      <c r="DC7" s="78"/>
      <c r="DD7" s="78"/>
      <c r="DE7" s="78" t="b">
        <v>1</v>
      </c>
      <c r="DF7" s="79"/>
      <c r="DG7" s="78"/>
      <c r="DH7" s="78"/>
      <c r="DI7" s="78"/>
    </row>
    <row r="8" spans="1:113" ht="25.5" customHeight="1">
      <c r="A8" s="83" t="s">
        <v>2006</v>
      </c>
      <c r="B8" s="102" t="s">
        <v>758</v>
      </c>
      <c r="C8" s="102" t="s">
        <v>759</v>
      </c>
      <c r="D8" s="83" t="s">
        <v>2018</v>
      </c>
      <c r="E8" s="83" t="s">
        <v>2019</v>
      </c>
      <c r="F8" s="83" t="s">
        <v>2009</v>
      </c>
      <c r="G8" s="83" t="s">
        <v>2010</v>
      </c>
      <c r="H8" s="83" t="s">
        <v>2015</v>
      </c>
      <c r="I8" s="102" t="s">
        <v>762</v>
      </c>
      <c r="J8" s="102" t="s">
        <v>258</v>
      </c>
      <c r="K8" s="102" t="s">
        <v>259</v>
      </c>
      <c r="L8" s="102"/>
      <c r="M8" s="102" t="s">
        <v>260</v>
      </c>
      <c r="N8" s="83"/>
      <c r="O8" s="83"/>
      <c r="P8" s="83"/>
      <c r="Q8" s="62">
        <v>46025</v>
      </c>
      <c r="R8" s="62">
        <v>46755</v>
      </c>
      <c r="S8" s="84" t="b">
        <v>0</v>
      </c>
      <c r="T8" s="83"/>
      <c r="U8" s="83"/>
      <c r="V8" s="83" t="s">
        <v>2020</v>
      </c>
      <c r="W8" s="84" t="b">
        <v>1</v>
      </c>
      <c r="X8" s="85">
        <v>0.41666666666666669</v>
      </c>
      <c r="Y8" s="85">
        <v>0.5</v>
      </c>
      <c r="Z8" s="83" t="s">
        <v>215</v>
      </c>
      <c r="AA8" s="83" t="s">
        <v>215</v>
      </c>
      <c r="AB8" s="83" t="s">
        <v>215</v>
      </c>
      <c r="AC8" s="83" t="s">
        <v>215</v>
      </c>
      <c r="AD8" s="83" t="s">
        <v>215</v>
      </c>
      <c r="AE8" s="83" t="s">
        <v>215</v>
      </c>
      <c r="AF8" s="83" t="s">
        <v>215</v>
      </c>
      <c r="AG8" s="83" t="s">
        <v>215</v>
      </c>
      <c r="AH8" s="83" t="s">
        <v>215</v>
      </c>
      <c r="AI8" s="83" t="s">
        <v>215</v>
      </c>
      <c r="AJ8" s="83" t="s">
        <v>215</v>
      </c>
      <c r="AK8" s="83" t="s">
        <v>215</v>
      </c>
      <c r="AL8" s="83" t="s">
        <v>215</v>
      </c>
      <c r="AM8" s="83" t="s">
        <v>215</v>
      </c>
      <c r="AN8" s="83" t="s">
        <v>215</v>
      </c>
      <c r="AO8" s="83" t="s">
        <v>215</v>
      </c>
      <c r="AP8" s="83" t="s">
        <v>215</v>
      </c>
      <c r="AQ8" s="83" t="s">
        <v>215</v>
      </c>
      <c r="AR8" s="83" t="s">
        <v>215</v>
      </c>
      <c r="AS8" s="83" t="s">
        <v>215</v>
      </c>
      <c r="AT8" s="83" t="s">
        <v>215</v>
      </c>
      <c r="AU8" s="83" t="s">
        <v>215</v>
      </c>
      <c r="AV8" s="83" t="s">
        <v>215</v>
      </c>
      <c r="AW8" s="83" t="s">
        <v>215</v>
      </c>
      <c r="AX8" s="83" t="s">
        <v>215</v>
      </c>
      <c r="AY8" s="83" t="s">
        <v>215</v>
      </c>
      <c r="AZ8" s="83" t="s">
        <v>215</v>
      </c>
      <c r="BA8" s="83" t="s">
        <v>215</v>
      </c>
      <c r="BB8" s="83" t="s">
        <v>215</v>
      </c>
      <c r="BC8" s="83" t="s">
        <v>215</v>
      </c>
      <c r="BD8" s="83" t="s">
        <v>215</v>
      </c>
      <c r="BE8" s="83" t="s">
        <v>215</v>
      </c>
      <c r="BF8" s="84" t="b">
        <v>1</v>
      </c>
      <c r="BG8" s="83" t="s">
        <v>763</v>
      </c>
      <c r="BH8" s="83" t="s">
        <v>2012</v>
      </c>
      <c r="BI8" s="102" t="s">
        <v>765</v>
      </c>
      <c r="BJ8" s="187">
        <v>1.5</v>
      </c>
      <c r="BK8" s="102" t="s">
        <v>215</v>
      </c>
      <c r="BL8" s="188" t="s">
        <v>215</v>
      </c>
      <c r="BM8" s="86">
        <v>46082</v>
      </c>
      <c r="BN8" s="187">
        <v>5.95</v>
      </c>
      <c r="BO8" s="86">
        <v>46330</v>
      </c>
      <c r="BP8" s="187">
        <v>6.95</v>
      </c>
      <c r="BQ8" s="102" t="s">
        <v>339</v>
      </c>
      <c r="BR8" s="187">
        <v>2</v>
      </c>
      <c r="BS8" s="83" t="s">
        <v>215</v>
      </c>
      <c r="BT8" s="92" t="s">
        <v>215</v>
      </c>
      <c r="BU8" s="83" t="s">
        <v>215</v>
      </c>
      <c r="BV8" s="92" t="s">
        <v>215</v>
      </c>
      <c r="BW8" s="83" t="s">
        <v>218</v>
      </c>
      <c r="BX8" s="83" t="s">
        <v>766</v>
      </c>
      <c r="BY8" s="83" t="s">
        <v>767</v>
      </c>
      <c r="BZ8" s="83" t="s">
        <v>2013</v>
      </c>
      <c r="CA8" s="84" t="b">
        <v>1</v>
      </c>
      <c r="CB8" s="84" t="b">
        <v>1</v>
      </c>
      <c r="CC8" s="84" t="b">
        <v>1</v>
      </c>
      <c r="CD8" s="84" t="b">
        <v>1</v>
      </c>
      <c r="CE8" s="84" t="b">
        <v>1</v>
      </c>
      <c r="CF8" s="84" t="b">
        <v>0</v>
      </c>
      <c r="CG8" s="84" t="b">
        <v>1</v>
      </c>
      <c r="CH8" s="83" t="s">
        <v>667</v>
      </c>
      <c r="CI8" s="83" t="s">
        <v>244</v>
      </c>
      <c r="CJ8" s="83"/>
      <c r="CK8" s="83"/>
      <c r="CL8" s="83"/>
      <c r="CM8" s="83" t="s">
        <v>2021</v>
      </c>
      <c r="CN8" s="83"/>
      <c r="CO8" s="83"/>
      <c r="CP8" s="83" t="s">
        <v>2022</v>
      </c>
      <c r="CQ8" s="83"/>
      <c r="CR8" s="102" t="s">
        <v>2023</v>
      </c>
      <c r="CS8" s="83"/>
      <c r="CT8" s="83"/>
      <c r="CU8" s="83"/>
      <c r="CV8" s="83"/>
      <c r="CW8" s="83"/>
      <c r="CX8" s="83"/>
      <c r="CY8" s="83"/>
      <c r="CZ8" s="83"/>
      <c r="DA8" s="83"/>
      <c r="DB8" s="83"/>
      <c r="DC8" s="83"/>
      <c r="DD8" s="83"/>
      <c r="DE8" s="83" t="b">
        <v>1</v>
      </c>
      <c r="DF8" s="83"/>
      <c r="DG8" s="83" t="b">
        <v>0</v>
      </c>
      <c r="DH8" s="83" t="b">
        <v>0</v>
      </c>
      <c r="DI8" s="83"/>
    </row>
    <row r="9" spans="1:113" ht="25.5" customHeight="1">
      <c r="A9" s="83"/>
      <c r="B9" s="83"/>
      <c r="C9" s="83"/>
      <c r="D9" s="83"/>
      <c r="E9" s="83"/>
      <c r="F9" s="83"/>
      <c r="G9" s="83"/>
      <c r="H9" s="83"/>
      <c r="I9" s="87"/>
      <c r="J9" s="83"/>
      <c r="K9" s="83"/>
      <c r="L9" s="83"/>
      <c r="M9" s="88"/>
      <c r="N9" s="83"/>
      <c r="O9" s="83"/>
      <c r="P9" s="83"/>
      <c r="Q9" s="89"/>
      <c r="R9" s="83"/>
      <c r="S9" s="83"/>
      <c r="T9" s="83"/>
      <c r="U9" s="83"/>
      <c r="V9" s="83"/>
      <c r="W9" s="83"/>
      <c r="X9" s="85"/>
      <c r="Y9" s="85"/>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92"/>
      <c r="BK9" s="83"/>
      <c r="BL9" s="92"/>
      <c r="BM9" s="93"/>
      <c r="BN9" s="92"/>
      <c r="BO9" s="83"/>
      <c r="BP9" s="92"/>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c r="CY9" s="83"/>
      <c r="CZ9" s="83"/>
      <c r="DA9" s="83"/>
      <c r="DB9" s="83"/>
      <c r="DC9" s="83"/>
      <c r="DD9" s="83"/>
      <c r="DE9" s="83"/>
      <c r="DG9" s="83"/>
      <c r="DH9" s="83"/>
      <c r="DI9" s="83"/>
    </row>
    <row r="10" spans="1:113" ht="27.75" customHeight="1">
      <c r="A10" s="83"/>
      <c r="B10" s="83"/>
      <c r="C10" s="83"/>
      <c r="D10" s="94"/>
      <c r="E10" s="83"/>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92"/>
      <c r="BK10" s="83"/>
      <c r="BL10" s="92"/>
      <c r="BM10" s="83"/>
      <c r="BN10" s="92"/>
      <c r="BO10" s="83"/>
      <c r="BP10" s="92"/>
      <c r="BQ10" s="83"/>
      <c r="BR10" s="92"/>
      <c r="BS10" s="83"/>
      <c r="BT10" s="92"/>
      <c r="BU10" s="83"/>
      <c r="BV10" s="92"/>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c r="CY10" s="83"/>
      <c r="CZ10" s="83"/>
      <c r="DA10" s="83"/>
      <c r="DB10" s="83"/>
      <c r="DC10" s="83"/>
      <c r="DD10" s="83"/>
      <c r="DE10" s="83" t="b">
        <v>0</v>
      </c>
      <c r="DF10" s="83"/>
      <c r="DG10" s="83" t="b">
        <v>0</v>
      </c>
      <c r="DH10" s="83" t="b">
        <v>0</v>
      </c>
      <c r="DI10" s="83"/>
    </row>
    <row r="11" spans="1:113" ht="27.75" customHeight="1">
      <c r="A11" s="83"/>
      <c r="B11" s="83"/>
      <c r="C11" s="83"/>
      <c r="D11" s="94"/>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92"/>
      <c r="BK11" s="83"/>
      <c r="BL11" s="92"/>
      <c r="BM11" s="83"/>
      <c r="BN11" s="92"/>
      <c r="BO11" s="83"/>
      <c r="BP11" s="92"/>
      <c r="BQ11" s="83"/>
      <c r="BR11" s="92"/>
      <c r="BS11" s="83"/>
      <c r="BT11" s="92"/>
      <c r="BU11" s="83"/>
      <c r="BV11" s="92"/>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c r="CY11" s="83"/>
      <c r="CZ11" s="83"/>
      <c r="DA11" s="83"/>
      <c r="DB11" s="83"/>
      <c r="DC11" s="83"/>
      <c r="DD11" s="83"/>
      <c r="DE11" s="83" t="b">
        <v>0</v>
      </c>
      <c r="DF11" s="83"/>
      <c r="DG11" s="83" t="b">
        <v>0</v>
      </c>
      <c r="DH11" s="83" t="b">
        <v>0</v>
      </c>
      <c r="DI11" s="83"/>
    </row>
    <row r="12" spans="1:113" ht="27.75" customHeight="1">
      <c r="A12" s="83"/>
      <c r="B12" s="83"/>
      <c r="C12" s="83"/>
      <c r="D12" s="94"/>
      <c r="E12" s="83"/>
      <c r="F12" s="83"/>
      <c r="G12" s="83"/>
      <c r="H12" s="83"/>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92"/>
      <c r="BK12" s="83"/>
      <c r="BL12" s="92"/>
      <c r="BM12" s="83"/>
      <c r="BN12" s="92"/>
      <c r="BO12" s="83"/>
      <c r="BP12" s="92"/>
      <c r="BQ12" s="83"/>
      <c r="BR12" s="92"/>
      <c r="BS12" s="83"/>
      <c r="BT12" s="92"/>
      <c r="BU12" s="83"/>
      <c r="BV12" s="92"/>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c r="CY12" s="83"/>
      <c r="CZ12" s="83"/>
      <c r="DA12" s="83"/>
      <c r="DB12" s="83"/>
      <c r="DC12" s="83"/>
      <c r="DD12" s="83"/>
      <c r="DE12" s="83" t="b">
        <v>0</v>
      </c>
      <c r="DF12" s="83"/>
      <c r="DG12" s="83" t="b">
        <v>0</v>
      </c>
      <c r="DH12" s="83" t="b">
        <v>0</v>
      </c>
      <c r="DI12" s="83"/>
    </row>
    <row r="13" spans="1:113" ht="27.75" customHeight="1">
      <c r="A13" s="83"/>
      <c r="B13" s="83"/>
      <c r="C13" s="83"/>
      <c r="D13" s="94"/>
      <c r="E13" s="83"/>
      <c r="F13" s="83"/>
      <c r="G13" s="83"/>
      <c r="H13" s="83"/>
      <c r="I13" s="83"/>
      <c r="J13" s="83"/>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92"/>
      <c r="BK13" s="83"/>
      <c r="BL13" s="92"/>
      <c r="BM13" s="83"/>
      <c r="BN13" s="92"/>
      <c r="BO13" s="83"/>
      <c r="BP13" s="92"/>
      <c r="BQ13" s="83"/>
      <c r="BR13" s="92"/>
      <c r="BS13" s="83"/>
      <c r="BT13" s="92"/>
      <c r="BU13" s="83"/>
      <c r="BV13" s="92"/>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c r="CY13" s="83"/>
      <c r="CZ13" s="83"/>
      <c r="DA13" s="83"/>
      <c r="DB13" s="83"/>
      <c r="DC13" s="83"/>
      <c r="DD13" s="83"/>
      <c r="DE13" s="83" t="b">
        <v>0</v>
      </c>
      <c r="DF13" s="83"/>
      <c r="DG13" s="83" t="b">
        <v>0</v>
      </c>
      <c r="DH13" s="83" t="b">
        <v>0</v>
      </c>
      <c r="DI13" s="83"/>
    </row>
    <row r="14" spans="1:113" ht="27.75" customHeight="1">
      <c r="A14" s="83"/>
      <c r="B14" s="83"/>
      <c r="C14" s="83"/>
      <c r="D14" s="94"/>
      <c r="E14" s="83"/>
      <c r="F14" s="83"/>
      <c r="G14" s="83"/>
      <c r="H14" s="83"/>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92"/>
      <c r="BK14" s="83"/>
      <c r="BL14" s="92"/>
      <c r="BM14" s="83"/>
      <c r="BN14" s="92"/>
      <c r="BO14" s="83"/>
      <c r="BP14" s="92"/>
      <c r="BQ14" s="83"/>
      <c r="BR14" s="92"/>
      <c r="BS14" s="83"/>
      <c r="BT14" s="92"/>
      <c r="BU14" s="83"/>
      <c r="BV14" s="92"/>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t="b">
        <v>0</v>
      </c>
      <c r="DF14" s="83"/>
      <c r="DG14" s="83" t="b">
        <v>0</v>
      </c>
      <c r="DH14" s="83" t="b">
        <v>0</v>
      </c>
      <c r="DI14" s="83"/>
    </row>
    <row r="15" spans="1:113" ht="27.75" customHeight="1">
      <c r="A15" s="83"/>
      <c r="B15" s="83"/>
      <c r="C15" s="83"/>
      <c r="D15" s="94"/>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92"/>
      <c r="BK15" s="83"/>
      <c r="BL15" s="92"/>
      <c r="BM15" s="83"/>
      <c r="BN15" s="92"/>
      <c r="BO15" s="83"/>
      <c r="BP15" s="92"/>
      <c r="BQ15" s="83"/>
      <c r="BR15" s="92"/>
      <c r="BS15" s="83"/>
      <c r="BT15" s="92"/>
      <c r="BU15" s="83"/>
      <c r="BV15" s="92"/>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t="b">
        <v>0</v>
      </c>
      <c r="DF15" s="83"/>
      <c r="DG15" s="83" t="b">
        <v>0</v>
      </c>
      <c r="DH15" s="83" t="b">
        <v>0</v>
      </c>
      <c r="DI15" s="83"/>
    </row>
    <row r="16" spans="1:113" ht="27.75" customHeight="1">
      <c r="A16" s="83"/>
      <c r="B16" s="83"/>
      <c r="C16" s="83"/>
      <c r="D16" s="94"/>
      <c r="E16" s="83"/>
      <c r="F16" s="83"/>
      <c r="G16" s="83"/>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92"/>
      <c r="BK16" s="83"/>
      <c r="BL16" s="92"/>
      <c r="BM16" s="83"/>
      <c r="BN16" s="92"/>
      <c r="BO16" s="83"/>
      <c r="BP16" s="92"/>
      <c r="BQ16" s="83"/>
      <c r="BR16" s="92"/>
      <c r="BS16" s="83"/>
      <c r="BT16" s="92"/>
      <c r="BU16" s="83"/>
      <c r="BV16" s="92"/>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t="b">
        <v>0</v>
      </c>
      <c r="DF16" s="83"/>
      <c r="DG16" s="83" t="b">
        <v>0</v>
      </c>
      <c r="DH16" s="83" t="b">
        <v>0</v>
      </c>
      <c r="DI16" s="83"/>
    </row>
    <row r="17" spans="1:113" ht="27.75" customHeight="1">
      <c r="A17" s="83"/>
      <c r="B17" s="83"/>
      <c r="C17" s="83"/>
      <c r="D17" s="94"/>
      <c r="E17" s="83"/>
      <c r="F17" s="83"/>
      <c r="G17" s="83"/>
      <c r="H17" s="83"/>
      <c r="I17" s="83"/>
      <c r="J17" s="83"/>
      <c r="K17" s="83"/>
      <c r="L17" s="83"/>
      <c r="M17" s="83"/>
      <c r="N17" s="83"/>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92"/>
      <c r="BK17" s="83"/>
      <c r="BL17" s="92"/>
      <c r="BM17" s="83"/>
      <c r="BN17" s="92"/>
      <c r="BO17" s="83"/>
      <c r="BP17" s="92"/>
      <c r="BQ17" s="83"/>
      <c r="BR17" s="92"/>
      <c r="BS17" s="83"/>
      <c r="BT17" s="92"/>
      <c r="BU17" s="83"/>
      <c r="BV17" s="92"/>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t="b">
        <v>0</v>
      </c>
      <c r="DF17" s="83"/>
      <c r="DG17" s="83" t="b">
        <v>0</v>
      </c>
      <c r="DH17" s="83" t="b">
        <v>0</v>
      </c>
      <c r="DI17" s="83"/>
    </row>
    <row r="18" spans="1:113" ht="27.75" customHeight="1">
      <c r="A18" s="83"/>
      <c r="B18" s="83"/>
      <c r="C18" s="83"/>
      <c r="D18" s="94"/>
      <c r="E18" s="83"/>
      <c r="F18" s="83"/>
      <c r="G18" s="83"/>
      <c r="H18" s="83"/>
      <c r="I18" s="83"/>
      <c r="J18" s="83"/>
      <c r="K18" s="83"/>
      <c r="L18" s="83"/>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92"/>
      <c r="BK18" s="83"/>
      <c r="BL18" s="92"/>
      <c r="BM18" s="83"/>
      <c r="BN18" s="92"/>
      <c r="BO18" s="83"/>
      <c r="BP18" s="92"/>
      <c r="BQ18" s="83"/>
      <c r="BR18" s="92"/>
      <c r="BS18" s="83"/>
      <c r="BT18" s="92"/>
      <c r="BU18" s="83"/>
      <c r="BV18" s="92"/>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c r="CY18" s="83"/>
      <c r="CZ18" s="83"/>
      <c r="DA18" s="83"/>
      <c r="DB18" s="83"/>
      <c r="DC18" s="83"/>
      <c r="DD18" s="83"/>
      <c r="DE18" s="83" t="b">
        <v>0</v>
      </c>
      <c r="DF18" s="83"/>
      <c r="DG18" s="83" t="b">
        <v>0</v>
      </c>
      <c r="DH18" s="83" t="b">
        <v>0</v>
      </c>
      <c r="DI18" s="83"/>
    </row>
  </sheetData>
  <mergeCells count="27">
    <mergeCell ref="BU2:BV2"/>
    <mergeCell ref="A1:D2"/>
    <mergeCell ref="E1:H2"/>
    <mergeCell ref="I1:P2"/>
    <mergeCell ref="Q1:R2"/>
    <mergeCell ref="S1:BD1"/>
    <mergeCell ref="CV1:DC2"/>
    <mergeCell ref="DD1:DH2"/>
    <mergeCell ref="S2:U2"/>
    <mergeCell ref="V2:W2"/>
    <mergeCell ref="X2:Y2"/>
    <mergeCell ref="Z2:AM2"/>
    <mergeCell ref="AN2:BA2"/>
    <mergeCell ref="BB2:BE2"/>
    <mergeCell ref="BI2:BJ2"/>
    <mergeCell ref="BK2:BL2"/>
    <mergeCell ref="BM2:BN2"/>
    <mergeCell ref="BO2:BP2"/>
    <mergeCell ref="BQ2:BR2"/>
    <mergeCell ref="BS2:BT2"/>
    <mergeCell ref="BF1:BV1"/>
    <mergeCell ref="BW1:BZ2"/>
    <mergeCell ref="CA1:CG2"/>
    <mergeCell ref="CH1:CI2"/>
    <mergeCell ref="CJ1:CL2"/>
    <mergeCell ref="CM1:CR2"/>
    <mergeCell ref="CS1:CU2"/>
  </mergeCells>
  <dataValidations count="1">
    <dataValidation type="list" allowBlank="1" showErrorMessage="1" sqref="V5:V18" xr:uid="{00000000-0002-0000-0200-00000A000000}">
      <formula1>"Monday,Tuesday,Wednesday,Thursday,Friday,Saturday,Sunday"</formula1>
    </dataValidation>
  </dataValidations>
  <pageMargins left="0" right="0" top="0" bottom="0" header="0" footer="0"/>
  <extLst>
    <ext xmlns:x14="http://schemas.microsoft.com/office/spreadsheetml/2009/9/main" uri="{CCE6A557-97BC-4b89-ADB6-D9C93CAAB3DF}">
      <x14:dataValidations xmlns:xm="http://schemas.microsoft.com/office/excel/2006/main" count="29">
        <x14:dataValidation type="list" allowBlank="1" showErrorMessage="1" xr:uid="{00000000-0002-0000-0200-000000000000}">
          <x14:formula1>
            <xm:f>Enums!$D$532:$D$576</xm:f>
          </x14:formula1>
          <xm:sqref>CO5:CO7</xm:sqref>
        </x14:dataValidation>
        <x14:dataValidation type="list" allowBlank="1" showErrorMessage="1" xr:uid="{00000000-0002-0000-0200-000001000000}">
          <x14:formula1>
            <xm:f>Enums!$D$630:$D$640</xm:f>
          </x14:formula1>
          <xm:sqref>CJ5:CJ7</xm:sqref>
        </x14:dataValidation>
        <x14:dataValidation type="list" allowBlank="1" showErrorMessage="1" xr:uid="{00000000-0002-0000-0200-000002000000}">
          <x14:formula1>
            <xm:f>CHelper2!A46:AT46</xm:f>
          </x14:formula1>
          <xm:sqref>CP10:CP18</xm:sqref>
        </x14:dataValidation>
        <x14:dataValidation type="list" allowBlank="1" showErrorMessage="1" xr:uid="{00000000-0002-0000-0200-000003000000}">
          <x14:formula1>
            <xm:f>Enums!$D$444:$D$460</xm:f>
          </x14:formula1>
          <xm:sqref>BY5:BY18</xm:sqref>
        </x14:dataValidation>
        <x14:dataValidation type="list" allowBlank="1" showErrorMessage="1" xr:uid="{00000000-0002-0000-0200-000004000000}">
          <x14:formula1>
            <xm:f>Enums!$D$711:$D$714</xm:f>
          </x14:formula1>
          <xm:sqref>CL8:CL18</xm:sqref>
        </x14:dataValidation>
        <x14:dataValidation type="list" allowBlank="1" showErrorMessage="1" xr:uid="{00000000-0002-0000-0200-000005000000}">
          <x14:formula1>
            <xm:f>Enums!$D$620:$D$624</xm:f>
          </x14:formula1>
          <xm:sqref>G5:G18</xm:sqref>
        </x14:dataValidation>
        <x14:dataValidation type="list" allowBlank="1" showErrorMessage="1" xr:uid="{00000000-0002-0000-0200-000006000000}">
          <x14:formula1>
            <xm:f>Enums!$D$431:$D$443</xm:f>
          </x14:formula1>
          <xm:sqref>BZ5:BZ18</xm:sqref>
        </x14:dataValidation>
        <x14:dataValidation type="list" allowBlank="1" showErrorMessage="1" xr:uid="{00000000-0002-0000-0200-000007000000}">
          <x14:formula1>
            <xm:f>Enums!$D$526:$D$572</xm:f>
          </x14:formula1>
          <xm:sqref>CO8:CO18</xm:sqref>
        </x14:dataValidation>
        <x14:dataValidation type="list" allowBlank="1" showErrorMessage="1" xr:uid="{00000000-0002-0000-0200-000008000000}">
          <x14:formula1>
            <xm:f>Enums!$D$13:$D$17</xm:f>
          </x14:formula1>
          <xm:sqref>CH5:CH18</xm:sqref>
        </x14:dataValidation>
        <x14:dataValidation type="list" allowBlank="1" showErrorMessage="1" xr:uid="{00000000-0002-0000-0200-000009000000}">
          <x14:formula1>
            <xm:f>Enums!$D$509:$D$524</xm:f>
          </x14:formula1>
          <xm:sqref>CN8:CN18</xm:sqref>
        </x14:dataValidation>
        <x14:dataValidation type="list" allowBlank="1" showErrorMessage="1" xr:uid="{00000000-0002-0000-0200-00000B000000}">
          <x14:formula1>
            <xm:f>Enums!$D$607:$D$611</xm:f>
          </x14:formula1>
          <xm:sqref>F5:F18</xm:sqref>
        </x14:dataValidation>
        <x14:dataValidation type="list" allowBlank="1" showErrorMessage="1" xr:uid="{00000000-0002-0000-0200-00000C000000}">
          <x14:formula1>
            <xm:f>Enums!$D$638:$D$645</xm:f>
          </x14:formula1>
          <xm:sqref>CK8:CK18</xm:sqref>
        </x14:dataValidation>
        <x14:dataValidation type="list" allowBlank="1" showErrorMessage="1" xr:uid="{00000000-0002-0000-0200-00000D000000}">
          <x14:formula1>
            <xm:f>VHelper!A5:ZZ5</xm:f>
          </x14:formula1>
          <xm:sqref>C5:C9</xm:sqref>
        </x14:dataValidation>
        <x14:dataValidation type="list" allowBlank="1" showErrorMessage="1" xr:uid="{00000000-0002-0000-0200-00000E000000}">
          <x14:formula1>
            <xm:f>VHelper!A46:ZZ46</xm:f>
          </x14:formula1>
          <xm:sqref>C10:C18</xm:sqref>
        </x14:dataValidation>
        <x14:dataValidation type="list" allowBlank="1" showErrorMessage="1" xr:uid="{00000000-0002-0000-0200-00000F000000}">
          <x14:formula1>
            <xm:f>Enums!$D$715:$D$718</xm:f>
          </x14:formula1>
          <xm:sqref>CL5:CL7</xm:sqref>
        </x14:dataValidation>
        <x14:dataValidation type="list" allowBlank="1" showErrorMessage="1" xr:uid="{00000000-0002-0000-0200-000010000000}">
          <x14:formula1>
            <xm:f>Enums!$D$467:$D$473</xm:f>
          </x14:formula1>
          <xm:sqref>BW5:BW18</xm:sqref>
        </x14:dataValidation>
        <x14:dataValidation type="list" allowBlank="1" showErrorMessage="1" xr:uid="{00000000-0002-0000-0200-000011000000}">
          <x14:formula1>
            <xm:f>Enums!$D$417:$D$430</xm:f>
          </x14:formula1>
          <xm:sqref>BX5:BX18</xm:sqref>
        </x14:dataValidation>
        <x14:dataValidation type="list" allowBlank="1" showErrorMessage="1" xr:uid="{00000000-0002-0000-0200-000012000000}">
          <x14:formula1>
            <xm:f>Enums!$D$613:$D$618</xm:f>
          </x14:formula1>
          <xm:sqref>H5:H18</xm:sqref>
        </x14:dataValidation>
        <x14:dataValidation type="list" allowBlank="1" showErrorMessage="1" xr:uid="{00000000-0002-0000-0200-000013000000}">
          <x14:formula1>
            <xm:f>Enums!$D$742:$D$748</xm:f>
          </x14:formula1>
          <xm:sqref>BH5:BH18</xm:sqref>
        </x14:dataValidation>
        <x14:dataValidation type="list" allowBlank="1" showErrorMessage="1" xr:uid="{00000000-0002-0000-0200-000014000000}">
          <x14:formula1>
            <xm:f>Enums!$D$642:$D$649</xm:f>
          </x14:formula1>
          <xm:sqref>CK5:CK7</xm:sqref>
        </x14:dataValidation>
        <x14:dataValidation type="list" allowBlank="1" showErrorMessage="1" xr:uid="{00000000-0002-0000-0200-000015000000}">
          <x14:formula1>
            <xm:f>Enums!$D$478:$D$510</xm:f>
          </x14:formula1>
          <xm:sqref>CQ5:CQ7</xm:sqref>
        </x14:dataValidation>
        <x14:dataValidation type="list" allowBlank="1" showErrorMessage="1" xr:uid="{00000000-0002-0000-0200-000016000000}">
          <x14:formula1>
            <xm:f>Enums!$D$626:$D$636</xm:f>
          </x14:formula1>
          <xm:sqref>CJ8:CJ18</xm:sqref>
        </x14:dataValidation>
        <x14:dataValidation type="list" allowBlank="1" showErrorMessage="1" xr:uid="{00000000-0002-0000-0200-000017000000}">
          <x14:formula1>
            <xm:f>Enums!$D$476:$D$506</xm:f>
          </x14:formula1>
          <xm:sqref>CQ8:CQ18</xm:sqref>
        </x14:dataValidation>
        <x14:dataValidation type="list" allowBlank="1" showErrorMessage="1" xr:uid="{00000000-0002-0000-0200-000018000000}">
          <x14:formula1>
            <xm:f>Enums!$D$387:$D$389</xm:f>
          </x14:formula1>
          <xm:sqref>CI5:CI18</xm:sqref>
        </x14:dataValidation>
        <x14:dataValidation type="list" allowBlank="1" showErrorMessage="1" xr:uid="{00000000-0002-0000-0200-000019000000}">
          <x14:formula1>
            <xm:f>CHelper2!A5:AT5</xm:f>
          </x14:formula1>
          <xm:sqref>CP5:CP9</xm:sqref>
        </x14:dataValidation>
        <x14:dataValidation type="list" allowBlank="1" showErrorMessage="1" xr:uid="{00000000-0002-0000-0200-00001A000000}">
          <x14:formula1>
            <xm:f>Enums!$D$736:$D$740</xm:f>
          </x14:formula1>
          <xm:sqref>BG5:BG18</xm:sqref>
        </x14:dataValidation>
        <x14:dataValidation type="list" allowBlank="1" showErrorMessage="1" xr:uid="{00000000-0002-0000-0200-00001B000000}">
          <x14:formula1>
            <xm:f>Enums!$D$513:$D$528</xm:f>
          </x14:formula1>
          <xm:sqref>CN5:CN7</xm:sqref>
        </x14:dataValidation>
        <x14:dataValidation type="list" allowBlank="1" showErrorMessage="1" xr:uid="{00000000-0002-0000-0200-00001C000000}">
          <x14:formula1>
            <xm:f>Enums!$D$112:$D$132</xm:f>
          </x14:formula1>
          <xm:sqref>B5:B18</xm:sqref>
        </x14:dataValidation>
        <x14:dataValidation type="list" allowBlank="1" showErrorMessage="1" xr:uid="{00000000-0002-0000-0200-00001D000000}">
          <x14:formula1>
            <xm:f>Enums!$C$4:$C$7</xm:f>
          </x14:formula1>
          <xm:sqref>A5:A18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A53"/>
  <sheetViews>
    <sheetView workbookViewId="0">
      <pane xSplit="4" ySplit="4" topLeftCell="E5" activePane="bottomRight" state="frozen"/>
      <selection pane="bottomRight" activeCell="E5" sqref="E5"/>
      <selection pane="bottomLeft" activeCell="A5" sqref="A5"/>
      <selection pane="topRight" activeCell="E1" sqref="E1"/>
    </sheetView>
  </sheetViews>
  <sheetFormatPr defaultColWidth="12.5703125" defaultRowHeight="15.75" customHeight="1"/>
  <cols>
    <col min="1" max="1" width="12.5703125" hidden="1"/>
    <col min="2" max="2" width="19" customWidth="1"/>
    <col min="4" max="4" width="27.42578125" customWidth="1"/>
    <col min="5" max="5" width="15.42578125" customWidth="1"/>
    <col min="6" max="6" width="17.28515625" customWidth="1"/>
    <col min="13" max="14" width="11.28515625" customWidth="1"/>
    <col min="16" max="17" width="10.7109375" customWidth="1"/>
    <col min="18" max="22" width="15.5703125" customWidth="1"/>
    <col min="23" max="29" width="7" customWidth="1"/>
    <col min="30" max="30" width="18.140625" customWidth="1"/>
    <col min="31" max="31" width="15.140625" customWidth="1"/>
    <col min="32" max="32" width="16.42578125" customWidth="1"/>
    <col min="33" max="33" width="17" customWidth="1"/>
    <col min="34" max="34" width="14.42578125" customWidth="1"/>
    <col min="35" max="35" width="19.42578125" customWidth="1"/>
    <col min="36" max="36" width="20.42578125" customWidth="1"/>
    <col min="37" max="37" width="14" customWidth="1"/>
    <col min="39" max="41" width="10.7109375" hidden="1" customWidth="1"/>
    <col min="42" max="49" width="7.5703125" hidden="1" customWidth="1"/>
    <col min="50" max="53" width="10.7109375" customWidth="1"/>
  </cols>
  <sheetData>
    <row r="1" spans="1:53" ht="17.25" customHeight="1">
      <c r="A1" s="230" t="s">
        <v>1663</v>
      </c>
      <c r="B1" s="216"/>
      <c r="C1" s="216"/>
      <c r="D1" s="216"/>
      <c r="E1" s="230" t="s">
        <v>2024</v>
      </c>
      <c r="F1" s="216"/>
      <c r="G1" s="216"/>
      <c r="H1" s="216"/>
      <c r="I1" s="216"/>
      <c r="J1" s="216"/>
      <c r="K1" s="216"/>
      <c r="L1" s="230" t="s">
        <v>2025</v>
      </c>
      <c r="M1" s="216"/>
      <c r="N1" s="216"/>
      <c r="O1" s="216"/>
      <c r="P1" s="216"/>
      <c r="Q1" s="216"/>
      <c r="R1" s="231" t="s">
        <v>5</v>
      </c>
      <c r="S1" s="216"/>
      <c r="T1" s="216"/>
      <c r="U1" s="216"/>
      <c r="V1" s="216"/>
      <c r="W1" s="231" t="s">
        <v>6</v>
      </c>
      <c r="X1" s="216"/>
      <c r="Y1" s="216"/>
      <c r="Z1" s="216"/>
      <c r="AA1" s="216"/>
      <c r="AB1" s="216"/>
      <c r="AC1" s="216"/>
      <c r="AD1" s="231" t="s">
        <v>7</v>
      </c>
      <c r="AE1" s="216"/>
      <c r="AF1" s="216"/>
      <c r="AG1" s="230" t="s">
        <v>8</v>
      </c>
      <c r="AH1" s="216"/>
      <c r="AI1" s="216"/>
      <c r="AJ1" s="216"/>
      <c r="AK1" s="216"/>
      <c r="AL1" s="216"/>
      <c r="AM1" s="218" t="s">
        <v>9</v>
      </c>
      <c r="AN1" s="216"/>
      <c r="AO1" s="216"/>
      <c r="AP1" s="228" t="s">
        <v>10</v>
      </c>
      <c r="AQ1" s="216"/>
      <c r="AR1" s="216"/>
      <c r="AS1" s="216"/>
      <c r="AT1" s="216"/>
      <c r="AU1" s="216"/>
      <c r="AV1" s="216"/>
      <c r="AW1" s="216"/>
      <c r="AX1" s="229" t="s">
        <v>11</v>
      </c>
      <c r="AY1" s="216"/>
      <c r="AZ1" s="216"/>
      <c r="BA1" s="216"/>
    </row>
    <row r="2" spans="1:53" ht="24.75" customHeight="1">
      <c r="A2" s="216"/>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row>
    <row r="3" spans="1:53" ht="70.5" customHeight="1">
      <c r="A3" s="5" t="s">
        <v>26</v>
      </c>
      <c r="B3" s="5" t="s">
        <v>2026</v>
      </c>
      <c r="C3" s="5" t="s">
        <v>2027</v>
      </c>
      <c r="D3" s="5" t="s">
        <v>2028</v>
      </c>
      <c r="E3" s="5" t="s">
        <v>31</v>
      </c>
      <c r="F3" s="5" t="s">
        <v>32</v>
      </c>
      <c r="G3" s="5" t="s">
        <v>2029</v>
      </c>
      <c r="H3" s="5" t="s">
        <v>2030</v>
      </c>
      <c r="I3" s="5" t="s">
        <v>2031</v>
      </c>
      <c r="J3" s="5" t="s">
        <v>2032</v>
      </c>
      <c r="K3" s="5" t="s">
        <v>2033</v>
      </c>
      <c r="L3" s="8" t="s">
        <v>33</v>
      </c>
      <c r="M3" s="6" t="s">
        <v>2034</v>
      </c>
      <c r="N3" s="6" t="s">
        <v>1886</v>
      </c>
      <c r="O3" s="7" t="s">
        <v>37</v>
      </c>
      <c r="P3" s="7" t="s">
        <v>38</v>
      </c>
      <c r="Q3" s="7" t="s">
        <v>39</v>
      </c>
      <c r="R3" s="7" t="s">
        <v>79</v>
      </c>
      <c r="S3" s="7" t="s">
        <v>80</v>
      </c>
      <c r="T3" s="7" t="s">
        <v>81</v>
      </c>
      <c r="U3" s="7" t="s">
        <v>82</v>
      </c>
      <c r="V3" s="7" t="s">
        <v>83</v>
      </c>
      <c r="W3" s="8" t="s">
        <v>84</v>
      </c>
      <c r="X3" s="8" t="s">
        <v>85</v>
      </c>
      <c r="Y3" s="8" t="s">
        <v>86</v>
      </c>
      <c r="Z3" s="8" t="s">
        <v>87</v>
      </c>
      <c r="AA3" s="8" t="s">
        <v>88</v>
      </c>
      <c r="AB3" s="8" t="s">
        <v>89</v>
      </c>
      <c r="AC3" s="8" t="s">
        <v>90</v>
      </c>
      <c r="AD3" s="7" t="s">
        <v>91</v>
      </c>
      <c r="AE3" s="7" t="s">
        <v>1678</v>
      </c>
      <c r="AF3" s="7" t="s">
        <v>93</v>
      </c>
      <c r="AG3" s="5" t="s">
        <v>94</v>
      </c>
      <c r="AH3" s="7" t="s">
        <v>95</v>
      </c>
      <c r="AI3" s="7" t="s">
        <v>96</v>
      </c>
      <c r="AJ3" s="5" t="s">
        <v>97</v>
      </c>
      <c r="AK3" s="7" t="s">
        <v>98</v>
      </c>
      <c r="AL3" s="5" t="s">
        <v>1717</v>
      </c>
      <c r="AM3" s="15" t="s">
        <v>100</v>
      </c>
      <c r="AN3" s="15" t="s">
        <v>101</v>
      </c>
      <c r="AO3" s="15" t="s">
        <v>102</v>
      </c>
      <c r="AP3" s="15" t="s">
        <v>103</v>
      </c>
      <c r="AQ3" s="15" t="s">
        <v>104</v>
      </c>
      <c r="AR3" s="15" t="s">
        <v>105</v>
      </c>
      <c r="AS3" s="15" t="s">
        <v>106</v>
      </c>
      <c r="AT3" s="15" t="s">
        <v>107</v>
      </c>
      <c r="AU3" s="15" t="s">
        <v>108</v>
      </c>
      <c r="AV3" s="15" t="s">
        <v>109</v>
      </c>
      <c r="AW3" s="15" t="s">
        <v>110</v>
      </c>
      <c r="AX3" s="18" t="s">
        <v>30</v>
      </c>
      <c r="AY3" s="18" t="s">
        <v>111</v>
      </c>
      <c r="AZ3" s="18" t="s">
        <v>2035</v>
      </c>
      <c r="BA3" s="18" t="s">
        <v>114</v>
      </c>
    </row>
    <row r="4" spans="1:53" ht="33" hidden="1" customHeight="1">
      <c r="A4" s="27" t="s">
        <v>115</v>
      </c>
      <c r="B4" s="26" t="s">
        <v>2036</v>
      </c>
      <c r="C4" s="26" t="s">
        <v>2037</v>
      </c>
      <c r="D4" s="26" t="s">
        <v>2038</v>
      </c>
      <c r="E4" s="26" t="s">
        <v>2039</v>
      </c>
      <c r="F4" s="26" t="s">
        <v>2040</v>
      </c>
      <c r="G4" s="26" t="s">
        <v>2041</v>
      </c>
      <c r="H4" s="26" t="s">
        <v>2042</v>
      </c>
      <c r="I4" s="26" t="s">
        <v>2043</v>
      </c>
      <c r="J4" s="26" t="s">
        <v>2044</v>
      </c>
      <c r="K4" s="26" t="s">
        <v>2045</v>
      </c>
      <c r="L4" s="26" t="s">
        <v>2046</v>
      </c>
      <c r="M4" s="27" t="s">
        <v>2047</v>
      </c>
      <c r="N4" s="27" t="s">
        <v>2048</v>
      </c>
      <c r="O4" s="27" t="s">
        <v>2049</v>
      </c>
      <c r="P4" s="27" t="s">
        <v>127</v>
      </c>
      <c r="Q4" s="27" t="s">
        <v>128</v>
      </c>
      <c r="R4" s="26" t="s">
        <v>2050</v>
      </c>
      <c r="S4" s="26" t="s">
        <v>2051</v>
      </c>
      <c r="T4" s="26" t="s">
        <v>2052</v>
      </c>
      <c r="U4" s="26" t="s">
        <v>2053</v>
      </c>
      <c r="V4" s="26" t="s">
        <v>2054</v>
      </c>
      <c r="W4" s="27" t="s">
        <v>2055</v>
      </c>
      <c r="X4" s="27" t="s">
        <v>2056</v>
      </c>
      <c r="Y4" s="27" t="s">
        <v>2057</v>
      </c>
      <c r="Z4" s="27" t="s">
        <v>2058</v>
      </c>
      <c r="AA4" s="27" t="s">
        <v>2059</v>
      </c>
      <c r="AB4" s="27" t="s">
        <v>2060</v>
      </c>
      <c r="AC4" s="27" t="s">
        <v>2061</v>
      </c>
      <c r="AD4" s="29" t="s">
        <v>2062</v>
      </c>
      <c r="AE4" s="29" t="s">
        <v>2063</v>
      </c>
      <c r="AF4" s="29" t="s">
        <v>2064</v>
      </c>
      <c r="AG4" s="26" t="s">
        <v>2065</v>
      </c>
      <c r="AH4" s="26" t="s">
        <v>2066</v>
      </c>
      <c r="AI4" s="26" t="s">
        <v>2067</v>
      </c>
      <c r="AJ4" s="26" t="s">
        <v>2068</v>
      </c>
      <c r="AK4" s="26" t="s">
        <v>2069</v>
      </c>
      <c r="AL4" s="29" t="s">
        <v>187</v>
      </c>
      <c r="AM4" s="32" t="s">
        <v>188</v>
      </c>
      <c r="AN4" s="32" t="s">
        <v>189</v>
      </c>
      <c r="AO4" s="32" t="s">
        <v>190</v>
      </c>
      <c r="AP4" s="34" t="s">
        <v>1781</v>
      </c>
      <c r="AQ4" s="34" t="s">
        <v>1782</v>
      </c>
      <c r="AR4" s="34" t="s">
        <v>1783</v>
      </c>
      <c r="AS4" s="34" t="s">
        <v>1784</v>
      </c>
      <c r="AT4" s="34" t="s">
        <v>1785</v>
      </c>
      <c r="AU4" s="34" t="s">
        <v>1786</v>
      </c>
      <c r="AV4" s="34" t="s">
        <v>1787</v>
      </c>
      <c r="AW4" s="34" t="s">
        <v>1788</v>
      </c>
      <c r="AX4" s="32" t="s">
        <v>199</v>
      </c>
      <c r="AY4" s="32" t="s">
        <v>200</v>
      </c>
      <c r="AZ4" s="32" t="s">
        <v>202</v>
      </c>
      <c r="BA4" s="32" t="s">
        <v>203</v>
      </c>
    </row>
    <row r="5" spans="1:53" ht="19.5" customHeight="1">
      <c r="A5" s="100" t="s">
        <v>2070</v>
      </c>
      <c r="B5" s="100" t="s">
        <v>2071</v>
      </c>
      <c r="C5" s="100" t="s">
        <v>2072</v>
      </c>
      <c r="D5" s="100" t="s">
        <v>2073</v>
      </c>
      <c r="E5" s="100" t="s">
        <v>104</v>
      </c>
      <c r="F5" s="100" t="s">
        <v>2074</v>
      </c>
      <c r="G5" s="100" t="s">
        <v>2075</v>
      </c>
      <c r="H5" s="100" t="s">
        <v>2076</v>
      </c>
      <c r="I5" s="100" t="s">
        <v>2077</v>
      </c>
      <c r="J5" s="100" t="s">
        <v>2078</v>
      </c>
      <c r="K5" s="100" t="s">
        <v>2079</v>
      </c>
      <c r="L5" s="69" t="s">
        <v>2080</v>
      </c>
      <c r="M5" s="69" t="s">
        <v>2081</v>
      </c>
      <c r="N5" s="69" t="s">
        <v>212</v>
      </c>
      <c r="O5" s="69" t="s">
        <v>2082</v>
      </c>
      <c r="P5" s="70">
        <v>50.6957456705045</v>
      </c>
      <c r="Q5" s="70">
        <v>-3.7809837653148199</v>
      </c>
      <c r="R5" s="100" t="s">
        <v>416</v>
      </c>
      <c r="S5" s="100" t="s">
        <v>585</v>
      </c>
      <c r="T5" s="68"/>
      <c r="U5" s="100" t="s">
        <v>359</v>
      </c>
      <c r="V5" s="100" t="s">
        <v>731</v>
      </c>
      <c r="W5" s="74" t="b">
        <v>1</v>
      </c>
      <c r="X5" s="74" t="b">
        <v>0</v>
      </c>
      <c r="Y5" s="74" t="b">
        <v>1</v>
      </c>
      <c r="Z5" s="74" t="b">
        <v>1</v>
      </c>
      <c r="AA5" s="74" t="b">
        <v>1</v>
      </c>
      <c r="AB5" s="74" t="b">
        <v>1</v>
      </c>
      <c r="AC5" s="74" t="b">
        <v>1</v>
      </c>
      <c r="AD5" s="100" t="s">
        <v>223</v>
      </c>
      <c r="AE5" s="100" t="s">
        <v>285</v>
      </c>
      <c r="AF5" s="100" t="s">
        <v>322</v>
      </c>
      <c r="AG5" s="100" t="s">
        <v>2083</v>
      </c>
      <c r="AH5" s="100" t="s">
        <v>2084</v>
      </c>
      <c r="AI5" s="100" t="s">
        <v>2085</v>
      </c>
      <c r="AJ5" s="100" t="s">
        <v>2086</v>
      </c>
      <c r="AK5" s="100" t="s">
        <v>2087</v>
      </c>
      <c r="AL5" s="100" t="s">
        <v>2088</v>
      </c>
      <c r="AM5" s="75" t="s">
        <v>273</v>
      </c>
      <c r="AN5" s="68"/>
      <c r="AO5" s="68"/>
      <c r="AP5" s="68"/>
      <c r="AQ5" s="68"/>
      <c r="AR5" s="68"/>
      <c r="AS5" s="68"/>
      <c r="AT5" s="68"/>
      <c r="AU5" s="68"/>
      <c r="AV5" s="68"/>
      <c r="AW5" s="68"/>
      <c r="AX5" s="74"/>
      <c r="AY5" s="74" t="b">
        <v>1</v>
      </c>
      <c r="AZ5" s="68"/>
      <c r="BA5" s="83" t="b">
        <v>0</v>
      </c>
    </row>
    <row r="6" spans="1:53" ht="19.5" customHeight="1">
      <c r="A6" s="68"/>
      <c r="B6" s="100" t="s">
        <v>2071</v>
      </c>
      <c r="C6" s="100" t="s">
        <v>2072</v>
      </c>
      <c r="D6" s="100" t="s">
        <v>2089</v>
      </c>
      <c r="E6" s="100" t="s">
        <v>104</v>
      </c>
      <c r="F6" s="100" t="s">
        <v>2090</v>
      </c>
      <c r="G6" s="100" t="s">
        <v>2091</v>
      </c>
      <c r="H6" s="100" t="s">
        <v>2092</v>
      </c>
      <c r="I6" s="100" t="s">
        <v>2093</v>
      </c>
      <c r="J6" s="100" t="s">
        <v>2094</v>
      </c>
      <c r="K6" s="100" t="s">
        <v>2095</v>
      </c>
      <c r="L6" s="69" t="s">
        <v>2080</v>
      </c>
      <c r="M6" s="69" t="s">
        <v>2081</v>
      </c>
      <c r="N6" s="69" t="s">
        <v>212</v>
      </c>
      <c r="O6" s="69" t="s">
        <v>2082</v>
      </c>
      <c r="P6" s="70">
        <v>50.6957456705045</v>
      </c>
      <c r="Q6" s="70">
        <v>-3.7809837653148199</v>
      </c>
      <c r="R6" s="100" t="s">
        <v>416</v>
      </c>
      <c r="S6" s="100" t="s">
        <v>585</v>
      </c>
      <c r="T6" s="68"/>
      <c r="U6" s="100" t="s">
        <v>359</v>
      </c>
      <c r="V6" s="100" t="s">
        <v>731</v>
      </c>
      <c r="W6" s="74" t="b">
        <v>1</v>
      </c>
      <c r="X6" s="74" t="b">
        <v>1</v>
      </c>
      <c r="Y6" s="74" t="b">
        <v>1</v>
      </c>
      <c r="Z6" s="74" t="b">
        <v>1</v>
      </c>
      <c r="AA6" s="74" t="b">
        <v>1</v>
      </c>
      <c r="AB6" s="74" t="b">
        <v>1</v>
      </c>
      <c r="AC6" s="74" t="b">
        <v>1</v>
      </c>
      <c r="AD6" s="100" t="s">
        <v>223</v>
      </c>
      <c r="AE6" s="100" t="s">
        <v>285</v>
      </c>
      <c r="AF6" s="100" t="s">
        <v>794</v>
      </c>
      <c r="AG6" s="100" t="s">
        <v>2096</v>
      </c>
      <c r="AH6" s="100" t="s">
        <v>2084</v>
      </c>
      <c r="AI6" s="100" t="s">
        <v>2085</v>
      </c>
      <c r="AJ6" s="100" t="s">
        <v>2097</v>
      </c>
      <c r="AK6" s="68"/>
      <c r="AL6" s="100" t="s">
        <v>2098</v>
      </c>
      <c r="AM6" s="75" t="s">
        <v>252</v>
      </c>
      <c r="AN6" s="68"/>
      <c r="AO6" s="68"/>
      <c r="AP6" s="68"/>
      <c r="AQ6" s="68"/>
      <c r="AR6" s="68"/>
      <c r="AS6" s="68"/>
      <c r="AT6" s="68"/>
      <c r="AU6" s="68"/>
      <c r="AV6" s="68"/>
      <c r="AW6" s="68"/>
      <c r="AX6" s="74"/>
      <c r="AY6" s="74" t="b">
        <v>1</v>
      </c>
      <c r="AZ6" s="68"/>
      <c r="BA6" s="83" t="b">
        <v>0</v>
      </c>
    </row>
    <row r="7" spans="1:53" ht="19.5" customHeight="1">
      <c r="A7" s="100" t="s">
        <v>2070</v>
      </c>
      <c r="B7" s="100" t="s">
        <v>2071</v>
      </c>
      <c r="C7" s="100" t="s">
        <v>2099</v>
      </c>
      <c r="D7" s="100" t="s">
        <v>2100</v>
      </c>
      <c r="E7" s="100" t="s">
        <v>655</v>
      </c>
      <c r="F7" s="100" t="s">
        <v>2101</v>
      </c>
      <c r="G7" s="100" t="s">
        <v>2091</v>
      </c>
      <c r="H7" s="100" t="s">
        <v>2076</v>
      </c>
      <c r="I7" s="100" t="s">
        <v>2102</v>
      </c>
      <c r="J7" s="100" t="s">
        <v>2103</v>
      </c>
      <c r="K7" s="100" t="s">
        <v>2095</v>
      </c>
      <c r="L7" s="69" t="s">
        <v>2104</v>
      </c>
      <c r="M7" s="69" t="s">
        <v>1060</v>
      </c>
      <c r="N7" s="69" t="s">
        <v>280</v>
      </c>
      <c r="O7" s="69" t="s">
        <v>2105</v>
      </c>
      <c r="P7" s="70">
        <v>50.7191470515573</v>
      </c>
      <c r="Q7" s="70">
        <v>-3.2898148272293501</v>
      </c>
      <c r="R7" s="100" t="s">
        <v>416</v>
      </c>
      <c r="S7" s="100" t="s">
        <v>672</v>
      </c>
      <c r="T7" s="68"/>
      <c r="U7" s="100" t="s">
        <v>359</v>
      </c>
      <c r="V7" s="100" t="s">
        <v>284</v>
      </c>
      <c r="W7" s="74" t="b">
        <v>1</v>
      </c>
      <c r="X7" s="74" t="b">
        <v>1</v>
      </c>
      <c r="Y7" s="74" t="b">
        <v>1</v>
      </c>
      <c r="Z7" s="74" t="b">
        <v>1</v>
      </c>
      <c r="AA7" s="74" t="b">
        <v>1</v>
      </c>
      <c r="AB7" s="74" t="b">
        <v>1</v>
      </c>
      <c r="AC7" s="74" t="b">
        <v>1</v>
      </c>
      <c r="AD7" s="100" t="s">
        <v>223</v>
      </c>
      <c r="AE7" s="100" t="s">
        <v>623</v>
      </c>
      <c r="AF7" s="100" t="s">
        <v>2106</v>
      </c>
      <c r="AG7" s="100" t="s">
        <v>2107</v>
      </c>
      <c r="AH7" s="100" t="s">
        <v>2084</v>
      </c>
      <c r="AI7" s="100" t="s">
        <v>2108</v>
      </c>
      <c r="AJ7" s="100" t="s">
        <v>2109</v>
      </c>
      <c r="AK7" s="100" t="s">
        <v>2110</v>
      </c>
      <c r="AL7" s="100" t="s">
        <v>2111</v>
      </c>
      <c r="AM7" s="100" t="s">
        <v>252</v>
      </c>
      <c r="AN7" s="68"/>
      <c r="AO7" s="68"/>
      <c r="AP7" s="68"/>
      <c r="AQ7" s="68"/>
      <c r="AR7" s="68"/>
      <c r="AS7" s="68"/>
      <c r="AT7" s="68"/>
      <c r="AU7" s="68"/>
      <c r="AV7" s="68"/>
      <c r="AW7" s="68"/>
      <c r="AX7" s="74"/>
      <c r="AY7" s="74" t="b">
        <v>1</v>
      </c>
      <c r="AZ7" s="68"/>
      <c r="BA7" s="83" t="b">
        <v>0</v>
      </c>
    </row>
    <row r="8" spans="1:53" ht="19.5" customHeight="1">
      <c r="A8" s="68"/>
      <c r="B8" s="100" t="s">
        <v>2071</v>
      </c>
      <c r="C8" s="100" t="s">
        <v>2112</v>
      </c>
      <c r="D8" s="100" t="s">
        <v>2113</v>
      </c>
      <c r="E8" s="100" t="s">
        <v>655</v>
      </c>
      <c r="F8" s="100" t="s">
        <v>2114</v>
      </c>
      <c r="G8" s="100" t="s">
        <v>2115</v>
      </c>
      <c r="H8" s="100" t="s">
        <v>2116</v>
      </c>
      <c r="I8" s="100" t="s">
        <v>2102</v>
      </c>
      <c r="J8" s="100" t="s">
        <v>2117</v>
      </c>
      <c r="K8" s="100" t="s">
        <v>2095</v>
      </c>
      <c r="L8" s="69" t="s">
        <v>2118</v>
      </c>
      <c r="M8" s="68"/>
      <c r="N8" s="69" t="s">
        <v>280</v>
      </c>
      <c r="O8" s="69" t="s">
        <v>2119</v>
      </c>
      <c r="P8" s="70">
        <v>50.699906558275202</v>
      </c>
      <c r="Q8" s="70">
        <v>-3.3370821446979599</v>
      </c>
      <c r="R8" s="100" t="s">
        <v>416</v>
      </c>
      <c r="S8" s="100" t="s">
        <v>672</v>
      </c>
      <c r="T8" s="68"/>
      <c r="U8" s="100" t="s">
        <v>359</v>
      </c>
      <c r="V8" s="100" t="s">
        <v>731</v>
      </c>
      <c r="W8" s="74" t="b">
        <v>1</v>
      </c>
      <c r="X8" s="74" t="b">
        <v>1</v>
      </c>
      <c r="Y8" s="74" t="b">
        <v>1</v>
      </c>
      <c r="Z8" s="74" t="b">
        <v>1</v>
      </c>
      <c r="AA8" s="74" t="b">
        <v>1</v>
      </c>
      <c r="AB8" s="74" t="b">
        <v>1</v>
      </c>
      <c r="AC8" s="74" t="b">
        <v>1</v>
      </c>
      <c r="AD8" s="100" t="s">
        <v>223</v>
      </c>
      <c r="AE8" s="100" t="s">
        <v>2120</v>
      </c>
      <c r="AF8" s="100" t="s">
        <v>909</v>
      </c>
      <c r="AG8" s="100" t="s">
        <v>2121</v>
      </c>
      <c r="AH8" s="100" t="s">
        <v>2122</v>
      </c>
      <c r="AI8" s="100" t="s">
        <v>2123</v>
      </c>
      <c r="AJ8" s="100" t="s">
        <v>2124</v>
      </c>
      <c r="AK8" s="100" t="s">
        <v>347</v>
      </c>
      <c r="AL8" s="100" t="s">
        <v>2125</v>
      </c>
      <c r="AM8" s="100" t="s">
        <v>252</v>
      </c>
      <c r="AN8" s="68"/>
      <c r="AO8" s="68"/>
      <c r="AP8" s="68"/>
      <c r="AQ8" s="68"/>
      <c r="AR8" s="68"/>
      <c r="AS8" s="68"/>
      <c r="AT8" s="68"/>
      <c r="AU8" s="68"/>
      <c r="AV8" s="68"/>
      <c r="AW8" s="68"/>
      <c r="AX8" s="74"/>
      <c r="AY8" s="74" t="b">
        <v>1</v>
      </c>
      <c r="AZ8" s="68"/>
      <c r="BA8" s="83" t="b">
        <v>0</v>
      </c>
    </row>
    <row r="9" spans="1:53" ht="19.5" customHeight="1">
      <c r="A9" s="75" t="s">
        <v>2070</v>
      </c>
      <c r="B9" s="75" t="s">
        <v>2071</v>
      </c>
      <c r="C9" s="75" t="s">
        <v>2112</v>
      </c>
      <c r="D9" s="100" t="s">
        <v>2126</v>
      </c>
      <c r="E9" s="100" t="s">
        <v>105</v>
      </c>
      <c r="F9" s="100" t="s">
        <v>2127</v>
      </c>
      <c r="G9" s="75" t="s">
        <v>2075</v>
      </c>
      <c r="H9" s="100" t="s">
        <v>2128</v>
      </c>
      <c r="I9" s="75" t="s">
        <v>2129</v>
      </c>
      <c r="J9" s="75" t="s">
        <v>2130</v>
      </c>
      <c r="K9" s="75" t="s">
        <v>2095</v>
      </c>
      <c r="L9" s="69" t="s">
        <v>2131</v>
      </c>
      <c r="M9" s="69" t="s">
        <v>238</v>
      </c>
      <c r="N9" s="69" t="s">
        <v>212</v>
      </c>
      <c r="O9" s="69" t="s">
        <v>239</v>
      </c>
      <c r="P9" s="70">
        <v>50.681672395800298</v>
      </c>
      <c r="Q9" s="70">
        <v>-3.4569806187652401</v>
      </c>
      <c r="R9" s="75" t="s">
        <v>358</v>
      </c>
      <c r="S9" s="75" t="s">
        <v>672</v>
      </c>
      <c r="T9" s="68"/>
      <c r="U9" s="75" t="s">
        <v>359</v>
      </c>
      <c r="V9" s="75" t="s">
        <v>284</v>
      </c>
      <c r="W9" s="74" t="b">
        <v>1</v>
      </c>
      <c r="X9" s="74" t="b">
        <v>1</v>
      </c>
      <c r="Y9" s="74" t="b">
        <v>1</v>
      </c>
      <c r="Z9" s="74" t="b">
        <v>1</v>
      </c>
      <c r="AA9" s="74" t="b">
        <v>1</v>
      </c>
      <c r="AB9" s="74" t="b">
        <v>1</v>
      </c>
      <c r="AC9" s="74" t="b">
        <v>1</v>
      </c>
      <c r="AD9" s="75" t="s">
        <v>223</v>
      </c>
      <c r="AE9" s="100" t="s">
        <v>2120</v>
      </c>
      <c r="AF9" s="100" t="s">
        <v>1025</v>
      </c>
      <c r="AG9" s="100" t="s">
        <v>2132</v>
      </c>
      <c r="AH9" s="75" t="s">
        <v>2133</v>
      </c>
      <c r="AI9" s="75" t="s">
        <v>2134</v>
      </c>
      <c r="AJ9" s="75" t="s">
        <v>2135</v>
      </c>
      <c r="AK9" s="75" t="s">
        <v>250</v>
      </c>
      <c r="AL9" s="100" t="s">
        <v>2136</v>
      </c>
      <c r="AM9" s="100" t="s">
        <v>252</v>
      </c>
      <c r="AN9" s="68"/>
      <c r="AO9" s="68"/>
      <c r="AP9" s="68"/>
      <c r="AQ9" s="68"/>
      <c r="AR9" s="68"/>
      <c r="AS9" s="68"/>
      <c r="AT9" s="68"/>
      <c r="AU9" s="68"/>
      <c r="AV9" s="68"/>
      <c r="AW9" s="68"/>
      <c r="AX9" s="74"/>
      <c r="AY9" s="74" t="b">
        <v>1</v>
      </c>
      <c r="AZ9" s="68"/>
      <c r="BA9" s="83" t="b">
        <v>0</v>
      </c>
    </row>
    <row r="10" spans="1:53" ht="19.5" customHeight="1">
      <c r="A10" s="75" t="s">
        <v>2070</v>
      </c>
      <c r="B10" s="75" t="s">
        <v>2071</v>
      </c>
      <c r="C10" s="75" t="s">
        <v>2112</v>
      </c>
      <c r="D10" s="100" t="s">
        <v>2137</v>
      </c>
      <c r="E10" s="100" t="s">
        <v>307</v>
      </c>
      <c r="F10" s="100" t="s">
        <v>2138</v>
      </c>
      <c r="G10" s="75" t="s">
        <v>2139</v>
      </c>
      <c r="H10" s="100" t="s">
        <v>2128</v>
      </c>
      <c r="I10" s="75" t="s">
        <v>2140</v>
      </c>
      <c r="J10" s="75" t="s">
        <v>2130</v>
      </c>
      <c r="K10" s="75" t="s">
        <v>2095</v>
      </c>
      <c r="L10" s="69" t="s">
        <v>2141</v>
      </c>
      <c r="M10" s="68"/>
      <c r="N10" s="69" t="s">
        <v>853</v>
      </c>
      <c r="O10" s="69" t="s">
        <v>2142</v>
      </c>
      <c r="P10" s="70">
        <v>50.626177507848702</v>
      </c>
      <c r="Q10" s="70">
        <v>-3.4155158768883198</v>
      </c>
      <c r="R10" s="75" t="s">
        <v>917</v>
      </c>
      <c r="S10" s="75" t="s">
        <v>777</v>
      </c>
      <c r="T10" s="75" t="s">
        <v>265</v>
      </c>
      <c r="U10" s="75" t="s">
        <v>2143</v>
      </c>
      <c r="V10" s="68"/>
      <c r="W10" s="74" t="b">
        <v>1</v>
      </c>
      <c r="X10" s="74" t="b">
        <v>1</v>
      </c>
      <c r="Y10" s="74" t="b">
        <v>1</v>
      </c>
      <c r="Z10" s="74" t="b">
        <v>1</v>
      </c>
      <c r="AA10" s="74" t="b">
        <v>1</v>
      </c>
      <c r="AB10" s="74" t="b">
        <v>1</v>
      </c>
      <c r="AC10" s="74" t="b">
        <v>1</v>
      </c>
      <c r="AD10" s="75" t="s">
        <v>223</v>
      </c>
      <c r="AE10" s="75" t="s">
        <v>2144</v>
      </c>
      <c r="AF10" s="75" t="s">
        <v>379</v>
      </c>
      <c r="AG10" s="100" t="s">
        <v>2145</v>
      </c>
      <c r="AH10" s="68"/>
      <c r="AI10" s="75" t="s">
        <v>2146</v>
      </c>
      <c r="AJ10" s="75" t="s">
        <v>2147</v>
      </c>
      <c r="AK10" s="68"/>
      <c r="AL10" s="100" t="s">
        <v>2148</v>
      </c>
      <c r="AM10" s="100" t="s">
        <v>252</v>
      </c>
      <c r="AN10" s="68"/>
      <c r="AO10" s="68"/>
      <c r="AP10" s="68"/>
      <c r="AQ10" s="68"/>
      <c r="AR10" s="68"/>
      <c r="AS10" s="68"/>
      <c r="AT10" s="68"/>
      <c r="AU10" s="68"/>
      <c r="AV10" s="68"/>
      <c r="AW10" s="68"/>
      <c r="AX10" s="74"/>
      <c r="AY10" s="74" t="b">
        <v>1</v>
      </c>
      <c r="AZ10" s="68"/>
      <c r="BA10" s="83" t="b">
        <v>0</v>
      </c>
    </row>
    <row r="11" spans="1:53" ht="19.5" customHeight="1">
      <c r="A11" s="68"/>
      <c r="B11" s="75" t="s">
        <v>513</v>
      </c>
      <c r="C11" s="75" t="s">
        <v>2149</v>
      </c>
      <c r="D11" s="100" t="s">
        <v>2150</v>
      </c>
      <c r="E11" s="100" t="s">
        <v>104</v>
      </c>
      <c r="F11" s="100" t="s">
        <v>2151</v>
      </c>
      <c r="G11" s="75" t="s">
        <v>2091</v>
      </c>
      <c r="H11" s="100" t="s">
        <v>2128</v>
      </c>
      <c r="I11" s="75" t="s">
        <v>2152</v>
      </c>
      <c r="J11" s="75" t="s">
        <v>2130</v>
      </c>
      <c r="K11" s="75" t="s">
        <v>2095</v>
      </c>
      <c r="L11" s="68"/>
      <c r="M11" s="69" t="s">
        <v>295</v>
      </c>
      <c r="N11" s="69" t="s">
        <v>259</v>
      </c>
      <c r="O11" s="69" t="s">
        <v>2153</v>
      </c>
      <c r="P11" s="70">
        <v>50.647368210735003</v>
      </c>
      <c r="Q11" s="70">
        <v>-3.4297590644503102</v>
      </c>
      <c r="R11" s="75" t="s">
        <v>917</v>
      </c>
      <c r="S11" s="75" t="s">
        <v>777</v>
      </c>
      <c r="T11" s="68"/>
      <c r="U11" s="75" t="s">
        <v>359</v>
      </c>
      <c r="V11" s="68"/>
      <c r="W11" s="74" t="b">
        <v>1</v>
      </c>
      <c r="X11" s="74" t="b">
        <v>1</v>
      </c>
      <c r="Y11" s="74" t="b">
        <v>1</v>
      </c>
      <c r="Z11" s="74" t="b">
        <v>1</v>
      </c>
      <c r="AA11" s="74" t="b">
        <v>1</v>
      </c>
      <c r="AB11" s="74" t="b">
        <v>1</v>
      </c>
      <c r="AC11" s="74" t="b">
        <v>1</v>
      </c>
      <c r="AD11" s="75" t="s">
        <v>223</v>
      </c>
      <c r="AE11" s="75" t="s">
        <v>2144</v>
      </c>
      <c r="AF11" s="75" t="s">
        <v>1603</v>
      </c>
      <c r="AG11" s="100" t="s">
        <v>2154</v>
      </c>
      <c r="AH11" s="68"/>
      <c r="AI11" s="75" t="s">
        <v>2146</v>
      </c>
      <c r="AJ11" s="75" t="s">
        <v>2155</v>
      </c>
      <c r="AK11" s="68"/>
      <c r="AL11" s="100" t="s">
        <v>2156</v>
      </c>
      <c r="AM11" s="100" t="s">
        <v>252</v>
      </c>
      <c r="AN11" s="68"/>
      <c r="AO11" s="68"/>
      <c r="AP11" s="68"/>
      <c r="AQ11" s="68"/>
      <c r="AR11" s="68"/>
      <c r="AS11" s="68"/>
      <c r="AT11" s="68"/>
      <c r="AU11" s="68"/>
      <c r="AV11" s="68"/>
      <c r="AW11" s="68"/>
      <c r="AX11" s="74"/>
      <c r="AY11" s="74" t="b">
        <v>1</v>
      </c>
      <c r="AZ11" s="68"/>
      <c r="BA11" s="83" t="b">
        <v>0</v>
      </c>
    </row>
    <row r="12" spans="1:53" ht="19.5" customHeight="1">
      <c r="A12" s="68"/>
      <c r="B12" s="75" t="s">
        <v>513</v>
      </c>
      <c r="C12" s="75" t="s">
        <v>2149</v>
      </c>
      <c r="D12" s="100" t="s">
        <v>2157</v>
      </c>
      <c r="E12" s="100" t="s">
        <v>104</v>
      </c>
      <c r="F12" s="100" t="s">
        <v>2158</v>
      </c>
      <c r="G12" s="75" t="s">
        <v>2091</v>
      </c>
      <c r="H12" s="100" t="s">
        <v>2128</v>
      </c>
      <c r="I12" s="75" t="s">
        <v>2152</v>
      </c>
      <c r="J12" s="75" t="s">
        <v>2130</v>
      </c>
      <c r="K12" s="75" t="s">
        <v>2095</v>
      </c>
      <c r="L12" s="69" t="s">
        <v>2141</v>
      </c>
      <c r="M12" s="68"/>
      <c r="N12" s="69" t="s">
        <v>853</v>
      </c>
      <c r="O12" s="69" t="s">
        <v>2142</v>
      </c>
      <c r="P12" s="70">
        <v>50.626177507848702</v>
      </c>
      <c r="Q12" s="70">
        <v>-3.4155158768883198</v>
      </c>
      <c r="R12" s="75" t="s">
        <v>282</v>
      </c>
      <c r="S12" s="75" t="s">
        <v>777</v>
      </c>
      <c r="T12" s="68"/>
      <c r="U12" s="75" t="s">
        <v>359</v>
      </c>
      <c r="V12" s="68"/>
      <c r="W12" s="74" t="b">
        <v>1</v>
      </c>
      <c r="X12" s="74" t="b">
        <v>1</v>
      </c>
      <c r="Y12" s="74" t="b">
        <v>1</v>
      </c>
      <c r="Z12" s="74" t="b">
        <v>1</v>
      </c>
      <c r="AA12" s="74" t="b">
        <v>1</v>
      </c>
      <c r="AB12" s="74" t="b">
        <v>1</v>
      </c>
      <c r="AC12" s="74" t="b">
        <v>1</v>
      </c>
      <c r="AD12" s="75" t="s">
        <v>223</v>
      </c>
      <c r="AE12" s="75" t="s">
        <v>2144</v>
      </c>
      <c r="AF12" s="75" t="s">
        <v>1603</v>
      </c>
      <c r="AG12" s="100" t="s">
        <v>2159</v>
      </c>
      <c r="AH12" s="68"/>
      <c r="AI12" s="75" t="s">
        <v>2146</v>
      </c>
      <c r="AJ12" s="75" t="s">
        <v>2160</v>
      </c>
      <c r="AK12" s="68"/>
      <c r="AL12" s="100" t="s">
        <v>2161</v>
      </c>
      <c r="AM12" s="100" t="s">
        <v>252</v>
      </c>
      <c r="AN12" s="68"/>
      <c r="AO12" s="68"/>
      <c r="AP12" s="68"/>
      <c r="AQ12" s="68"/>
      <c r="AR12" s="68"/>
      <c r="AS12" s="68"/>
      <c r="AT12" s="68"/>
      <c r="AU12" s="68"/>
      <c r="AV12" s="68"/>
      <c r="AW12" s="68"/>
      <c r="AX12" s="74"/>
      <c r="AY12" s="74" t="b">
        <v>1</v>
      </c>
      <c r="AZ12" s="68"/>
      <c r="BA12" s="83" t="b">
        <v>0</v>
      </c>
    </row>
    <row r="13" spans="1:53" ht="19.5" customHeight="1">
      <c r="A13" s="68"/>
      <c r="B13" s="75" t="s">
        <v>513</v>
      </c>
      <c r="C13" s="75" t="s">
        <v>2162</v>
      </c>
      <c r="D13" s="100" t="s">
        <v>2163</v>
      </c>
      <c r="E13" s="100" t="s">
        <v>208</v>
      </c>
      <c r="F13" s="100" t="s">
        <v>2164</v>
      </c>
      <c r="G13" s="75" t="s">
        <v>2091</v>
      </c>
      <c r="H13" s="100" t="s">
        <v>2128</v>
      </c>
      <c r="I13" s="75" t="s">
        <v>2165</v>
      </c>
      <c r="J13" s="75" t="s">
        <v>2166</v>
      </c>
      <c r="K13" s="75" t="s">
        <v>2095</v>
      </c>
      <c r="L13" s="68"/>
      <c r="M13" s="69" t="s">
        <v>295</v>
      </c>
      <c r="N13" s="69" t="s">
        <v>259</v>
      </c>
      <c r="O13" s="69" t="s">
        <v>2153</v>
      </c>
      <c r="P13" s="70">
        <v>50.647368210735003</v>
      </c>
      <c r="Q13" s="70">
        <v>-3.4297590644503102</v>
      </c>
      <c r="R13" s="75" t="s">
        <v>282</v>
      </c>
      <c r="S13" s="75" t="s">
        <v>2167</v>
      </c>
      <c r="T13" s="75" t="s">
        <v>265</v>
      </c>
      <c r="U13" s="75" t="s">
        <v>2143</v>
      </c>
      <c r="V13" s="68"/>
      <c r="W13" s="74" t="b">
        <v>1</v>
      </c>
      <c r="X13" s="74" t="b">
        <v>1</v>
      </c>
      <c r="Y13" s="74" t="b">
        <v>1</v>
      </c>
      <c r="Z13" s="74" t="b">
        <v>1</v>
      </c>
      <c r="AA13" s="74" t="b">
        <v>1</v>
      </c>
      <c r="AB13" s="74" t="b">
        <v>1</v>
      </c>
      <c r="AC13" s="74" t="b">
        <v>1</v>
      </c>
      <c r="AD13" s="75" t="s">
        <v>223</v>
      </c>
      <c r="AE13" s="75" t="s">
        <v>2144</v>
      </c>
      <c r="AF13" s="75" t="s">
        <v>794</v>
      </c>
      <c r="AG13" s="100" t="s">
        <v>2168</v>
      </c>
      <c r="AH13" s="68"/>
      <c r="AI13" s="75" t="s">
        <v>2146</v>
      </c>
      <c r="AJ13" s="75" t="s">
        <v>2160</v>
      </c>
      <c r="AK13" s="68"/>
      <c r="AL13" s="100" t="s">
        <v>2169</v>
      </c>
      <c r="AM13" s="100" t="s">
        <v>252</v>
      </c>
      <c r="AN13" s="68"/>
      <c r="AO13" s="68"/>
      <c r="AP13" s="68"/>
      <c r="AQ13" s="68"/>
      <c r="AR13" s="68"/>
      <c r="AS13" s="68"/>
      <c r="AT13" s="68"/>
      <c r="AU13" s="68"/>
      <c r="AV13" s="68"/>
      <c r="AW13" s="68"/>
      <c r="AX13" s="74"/>
      <c r="AY13" s="74" t="b">
        <v>1</v>
      </c>
      <c r="AZ13" s="68"/>
      <c r="BA13" s="83" t="b">
        <v>0</v>
      </c>
    </row>
    <row r="14" spans="1:53" ht="19.5" customHeight="1">
      <c r="A14" s="68"/>
      <c r="B14" s="75" t="s">
        <v>513</v>
      </c>
      <c r="C14" s="75" t="s">
        <v>2162</v>
      </c>
      <c r="D14" s="100" t="s">
        <v>2170</v>
      </c>
      <c r="E14" s="100" t="s">
        <v>307</v>
      </c>
      <c r="F14" s="100" t="s">
        <v>2171</v>
      </c>
      <c r="G14" s="75" t="s">
        <v>2091</v>
      </c>
      <c r="H14" s="100" t="s">
        <v>2128</v>
      </c>
      <c r="I14" s="75" t="s">
        <v>2172</v>
      </c>
      <c r="J14" s="75" t="s">
        <v>2130</v>
      </c>
      <c r="K14" s="75" t="s">
        <v>2095</v>
      </c>
      <c r="L14" s="69" t="s">
        <v>294</v>
      </c>
      <c r="M14" s="69" t="s">
        <v>295</v>
      </c>
      <c r="N14" s="69" t="s">
        <v>259</v>
      </c>
      <c r="O14" s="69" t="s">
        <v>2173</v>
      </c>
      <c r="P14" s="70">
        <v>50.6482628781485</v>
      </c>
      <c r="Q14" s="70">
        <v>-3.4311864281646201</v>
      </c>
      <c r="R14" s="75" t="s">
        <v>282</v>
      </c>
      <c r="S14" s="75" t="s">
        <v>777</v>
      </c>
      <c r="T14" s="68"/>
      <c r="U14" s="75" t="s">
        <v>359</v>
      </c>
      <c r="V14" s="68"/>
      <c r="W14" s="74" t="b">
        <v>1</v>
      </c>
      <c r="X14" s="74" t="b">
        <v>1</v>
      </c>
      <c r="Y14" s="74" t="b">
        <v>1</v>
      </c>
      <c r="Z14" s="74" t="b">
        <v>1</v>
      </c>
      <c r="AA14" s="74" t="b">
        <v>1</v>
      </c>
      <c r="AB14" s="74" t="b">
        <v>1</v>
      </c>
      <c r="AC14" s="74" t="b">
        <v>1</v>
      </c>
      <c r="AD14" s="75" t="s">
        <v>223</v>
      </c>
      <c r="AE14" s="75" t="s">
        <v>2144</v>
      </c>
      <c r="AF14" s="75" t="s">
        <v>794</v>
      </c>
      <c r="AG14" s="100" t="s">
        <v>2174</v>
      </c>
      <c r="AH14" s="75" t="s">
        <v>2175</v>
      </c>
      <c r="AI14" s="75" t="s">
        <v>2176</v>
      </c>
      <c r="AJ14" s="75" t="s">
        <v>2177</v>
      </c>
      <c r="AK14" s="68"/>
      <c r="AL14" s="100" t="s">
        <v>2178</v>
      </c>
      <c r="AM14" s="68"/>
      <c r="AN14" s="68"/>
      <c r="AO14" s="68"/>
      <c r="AP14" s="68"/>
      <c r="AQ14" s="68"/>
      <c r="AR14" s="68"/>
      <c r="AS14" s="68"/>
      <c r="AT14" s="68"/>
      <c r="AU14" s="68"/>
      <c r="AV14" s="68"/>
      <c r="AW14" s="68"/>
      <c r="AX14" s="74"/>
      <c r="AY14" s="74" t="b">
        <v>1</v>
      </c>
      <c r="AZ14" s="68"/>
      <c r="BA14" s="83" t="b">
        <v>0</v>
      </c>
    </row>
    <row r="15" spans="1:53" ht="19.5" customHeight="1">
      <c r="A15" s="68"/>
      <c r="B15" s="75" t="s">
        <v>513</v>
      </c>
      <c r="C15" s="75" t="s">
        <v>2162</v>
      </c>
      <c r="D15" s="100" t="s">
        <v>2179</v>
      </c>
      <c r="E15" s="100" t="s">
        <v>307</v>
      </c>
      <c r="F15" s="100" t="s">
        <v>2180</v>
      </c>
      <c r="G15" s="75" t="s">
        <v>2091</v>
      </c>
      <c r="H15" s="100" t="s">
        <v>2128</v>
      </c>
      <c r="I15" s="75" t="s">
        <v>2172</v>
      </c>
      <c r="J15" s="75" t="s">
        <v>2130</v>
      </c>
      <c r="K15" s="75" t="s">
        <v>2095</v>
      </c>
      <c r="L15" s="68"/>
      <c r="M15" s="69" t="s">
        <v>2181</v>
      </c>
      <c r="N15" s="69" t="s">
        <v>212</v>
      </c>
      <c r="O15" s="69" t="s">
        <v>2182</v>
      </c>
      <c r="P15" s="70">
        <v>50.668273371447597</v>
      </c>
      <c r="Q15" s="70">
        <v>-3.4440023956738099</v>
      </c>
      <c r="R15" s="75" t="s">
        <v>282</v>
      </c>
      <c r="S15" s="75" t="s">
        <v>777</v>
      </c>
      <c r="T15" s="68"/>
      <c r="U15" s="75" t="s">
        <v>359</v>
      </c>
      <c r="V15" s="68"/>
      <c r="W15" s="74" t="b">
        <v>1</v>
      </c>
      <c r="X15" s="74" t="b">
        <v>1</v>
      </c>
      <c r="Y15" s="74" t="b">
        <v>1</v>
      </c>
      <c r="Z15" s="74" t="b">
        <v>1</v>
      </c>
      <c r="AA15" s="74" t="b">
        <v>1</v>
      </c>
      <c r="AB15" s="74" t="b">
        <v>1</v>
      </c>
      <c r="AC15" s="74" t="b">
        <v>1</v>
      </c>
      <c r="AD15" s="75" t="s">
        <v>223</v>
      </c>
      <c r="AE15" s="75" t="s">
        <v>2144</v>
      </c>
      <c r="AF15" s="75" t="s">
        <v>794</v>
      </c>
      <c r="AG15" s="100" t="s">
        <v>2183</v>
      </c>
      <c r="AH15" s="75" t="s">
        <v>2175</v>
      </c>
      <c r="AI15" s="75" t="s">
        <v>2184</v>
      </c>
      <c r="AJ15" s="75" t="s">
        <v>2160</v>
      </c>
      <c r="AK15" s="68"/>
      <c r="AL15" s="100" t="s">
        <v>2185</v>
      </c>
      <c r="AM15" s="68"/>
      <c r="AN15" s="68"/>
      <c r="AO15" s="68"/>
      <c r="AP15" s="68"/>
      <c r="AQ15" s="68"/>
      <c r="AR15" s="68"/>
      <c r="AS15" s="68"/>
      <c r="AT15" s="68"/>
      <c r="AU15" s="68"/>
      <c r="AV15" s="68"/>
      <c r="AW15" s="68"/>
      <c r="AX15" s="74"/>
      <c r="AY15" s="74" t="b">
        <v>1</v>
      </c>
      <c r="AZ15" s="68"/>
      <c r="BA15" s="83" t="b">
        <v>0</v>
      </c>
    </row>
    <row r="16" spans="1:53" ht="19.5" customHeight="1">
      <c r="A16" s="68"/>
      <c r="B16" s="75" t="s">
        <v>513</v>
      </c>
      <c r="C16" s="75" t="s">
        <v>2149</v>
      </c>
      <c r="D16" s="100" t="s">
        <v>2186</v>
      </c>
      <c r="E16" s="100" t="s">
        <v>104</v>
      </c>
      <c r="F16" s="100" t="s">
        <v>2187</v>
      </c>
      <c r="G16" s="75" t="s">
        <v>2091</v>
      </c>
      <c r="H16" s="100" t="s">
        <v>2128</v>
      </c>
      <c r="I16" s="75" t="s">
        <v>2188</v>
      </c>
      <c r="J16" s="75" t="s">
        <v>2130</v>
      </c>
      <c r="K16" s="75" t="s">
        <v>2095</v>
      </c>
      <c r="L16" s="69" t="s">
        <v>2141</v>
      </c>
      <c r="M16" s="68"/>
      <c r="N16" s="69" t="s">
        <v>853</v>
      </c>
      <c r="O16" s="69" t="s">
        <v>2142</v>
      </c>
      <c r="P16" s="70">
        <v>50.626177507848702</v>
      </c>
      <c r="Q16" s="70">
        <v>-3.4155158768883198</v>
      </c>
      <c r="R16" s="75" t="s">
        <v>282</v>
      </c>
      <c r="S16" s="75" t="s">
        <v>777</v>
      </c>
      <c r="T16" s="68"/>
      <c r="U16" s="75" t="s">
        <v>359</v>
      </c>
      <c r="V16" s="68"/>
      <c r="W16" s="74" t="b">
        <v>1</v>
      </c>
      <c r="X16" s="74" t="b">
        <v>1</v>
      </c>
      <c r="Y16" s="74" t="b">
        <v>1</v>
      </c>
      <c r="Z16" s="74" t="b">
        <v>1</v>
      </c>
      <c r="AA16" s="74" t="b">
        <v>1</v>
      </c>
      <c r="AB16" s="74" t="b">
        <v>1</v>
      </c>
      <c r="AC16" s="74" t="b">
        <v>1</v>
      </c>
      <c r="AD16" s="75" t="s">
        <v>223</v>
      </c>
      <c r="AE16" s="75" t="s">
        <v>2144</v>
      </c>
      <c r="AF16" s="75" t="s">
        <v>466</v>
      </c>
      <c r="AG16" s="100" t="s">
        <v>2189</v>
      </c>
      <c r="AH16" s="75" t="s">
        <v>2175</v>
      </c>
      <c r="AI16" s="75" t="s">
        <v>2176</v>
      </c>
      <c r="AJ16" s="75" t="s">
        <v>2190</v>
      </c>
      <c r="AK16" s="68"/>
      <c r="AL16" s="100" t="s">
        <v>2191</v>
      </c>
      <c r="AM16" s="68"/>
      <c r="AN16" s="68"/>
      <c r="AO16" s="68"/>
      <c r="AP16" s="68"/>
      <c r="AQ16" s="68"/>
      <c r="AR16" s="68"/>
      <c r="AS16" s="68"/>
      <c r="AT16" s="68"/>
      <c r="AU16" s="68"/>
      <c r="AV16" s="68"/>
      <c r="AW16" s="68"/>
      <c r="AX16" s="74"/>
      <c r="AY16" s="74" t="b">
        <v>1</v>
      </c>
      <c r="AZ16" s="68"/>
      <c r="BA16" s="83" t="b">
        <v>0</v>
      </c>
    </row>
    <row r="17" spans="1:53" ht="19.5" customHeight="1">
      <c r="A17" s="68"/>
      <c r="B17" s="75" t="s">
        <v>2071</v>
      </c>
      <c r="C17" s="75" t="s">
        <v>2112</v>
      </c>
      <c r="D17" s="100" t="s">
        <v>2192</v>
      </c>
      <c r="E17" s="199" t="s">
        <v>307</v>
      </c>
      <c r="F17" s="100" t="s">
        <v>2193</v>
      </c>
      <c r="G17" s="75" t="s">
        <v>2194</v>
      </c>
      <c r="H17" s="100" t="s">
        <v>2195</v>
      </c>
      <c r="I17" s="75" t="s">
        <v>2196</v>
      </c>
      <c r="J17" s="75" t="s">
        <v>2130</v>
      </c>
      <c r="K17" s="75" t="s">
        <v>2095</v>
      </c>
      <c r="L17" s="68"/>
      <c r="M17" s="68"/>
      <c r="N17" s="69" t="s">
        <v>259</v>
      </c>
      <c r="O17" s="69" t="s">
        <v>2197</v>
      </c>
      <c r="P17" s="70">
        <v>50.617480431980397</v>
      </c>
      <c r="Q17" s="69" t="s">
        <v>2198</v>
      </c>
      <c r="R17" s="75" t="s">
        <v>218</v>
      </c>
      <c r="S17" s="75" t="s">
        <v>298</v>
      </c>
      <c r="T17" s="68"/>
      <c r="U17" s="75" t="s">
        <v>682</v>
      </c>
      <c r="V17" s="75" t="s">
        <v>222</v>
      </c>
      <c r="W17" s="74" t="b">
        <v>1</v>
      </c>
      <c r="X17" s="74" t="b">
        <v>1</v>
      </c>
      <c r="Y17" s="74" t="b">
        <v>1</v>
      </c>
      <c r="Z17" s="74" t="b">
        <v>1</v>
      </c>
      <c r="AA17" s="74" t="b">
        <v>1</v>
      </c>
      <c r="AB17" s="74" t="b">
        <v>1</v>
      </c>
      <c r="AC17" s="74" t="b">
        <v>1</v>
      </c>
      <c r="AD17" s="75" t="s">
        <v>223</v>
      </c>
      <c r="AE17" s="75" t="s">
        <v>2144</v>
      </c>
      <c r="AF17" s="75" t="s">
        <v>2106</v>
      </c>
      <c r="AG17" s="100" t="s">
        <v>2199</v>
      </c>
      <c r="AH17" s="68"/>
      <c r="AI17" s="68"/>
      <c r="AJ17" s="75" t="s">
        <v>2200</v>
      </c>
      <c r="AK17" s="68"/>
      <c r="AL17" s="100" t="s">
        <v>2201</v>
      </c>
      <c r="AM17" s="75" t="s">
        <v>252</v>
      </c>
      <c r="AN17" s="68"/>
      <c r="AO17" s="68"/>
      <c r="AP17" s="68"/>
      <c r="AQ17" s="68"/>
      <c r="AR17" s="68"/>
      <c r="AS17" s="68"/>
      <c r="AT17" s="68"/>
      <c r="AU17" s="68"/>
      <c r="AV17" s="68"/>
      <c r="AW17" s="68"/>
      <c r="AX17" s="74"/>
      <c r="AY17" s="74" t="b">
        <v>1</v>
      </c>
      <c r="AZ17" s="68"/>
      <c r="BA17" s="83" t="b">
        <v>0</v>
      </c>
    </row>
    <row r="18" spans="1:53" ht="19.5" customHeight="1">
      <c r="A18" s="75" t="s">
        <v>2070</v>
      </c>
      <c r="B18" s="75" t="s">
        <v>2071</v>
      </c>
      <c r="C18" s="75" t="s">
        <v>2112</v>
      </c>
      <c r="D18" s="100" t="s">
        <v>2202</v>
      </c>
      <c r="E18" s="199" t="s">
        <v>276</v>
      </c>
      <c r="F18" s="100" t="s">
        <v>2203</v>
      </c>
      <c r="G18" s="75" t="s">
        <v>2091</v>
      </c>
      <c r="H18" s="100" t="s">
        <v>2195</v>
      </c>
      <c r="I18" s="75" t="s">
        <v>2204</v>
      </c>
      <c r="J18" s="75" t="s">
        <v>2130</v>
      </c>
      <c r="K18" s="75" t="s">
        <v>2095</v>
      </c>
      <c r="L18" s="69" t="s">
        <v>2205</v>
      </c>
      <c r="M18" s="69" t="s">
        <v>2206</v>
      </c>
      <c r="N18" s="69" t="s">
        <v>280</v>
      </c>
      <c r="O18" s="69" t="s">
        <v>2207</v>
      </c>
      <c r="P18" s="70">
        <v>50.701737537284401</v>
      </c>
      <c r="Q18" s="70">
        <v>-3.22544020289441</v>
      </c>
      <c r="R18" s="75" t="s">
        <v>917</v>
      </c>
      <c r="S18" s="75" t="s">
        <v>298</v>
      </c>
      <c r="T18" s="68"/>
      <c r="U18" s="68"/>
      <c r="V18" s="75" t="s">
        <v>222</v>
      </c>
      <c r="W18" s="74" t="b">
        <v>1</v>
      </c>
      <c r="X18" s="74" t="b">
        <v>1</v>
      </c>
      <c r="Y18" s="74" t="b">
        <v>1</v>
      </c>
      <c r="Z18" s="74" t="b">
        <v>1</v>
      </c>
      <c r="AA18" s="74" t="b">
        <v>1</v>
      </c>
      <c r="AB18" s="74" t="b">
        <v>1</v>
      </c>
      <c r="AC18" s="74" t="b">
        <v>1</v>
      </c>
      <c r="AD18" s="75" t="s">
        <v>223</v>
      </c>
      <c r="AE18" s="75" t="s">
        <v>285</v>
      </c>
      <c r="AF18" s="75" t="s">
        <v>225</v>
      </c>
      <c r="AG18" s="100" t="s">
        <v>2208</v>
      </c>
      <c r="AH18" s="75" t="s">
        <v>1570</v>
      </c>
      <c r="AI18" s="75" t="s">
        <v>2209</v>
      </c>
      <c r="AJ18" s="75" t="s">
        <v>2210</v>
      </c>
      <c r="AK18" s="68"/>
      <c r="AL18" s="100" t="s">
        <v>2211</v>
      </c>
      <c r="AM18" s="75" t="s">
        <v>252</v>
      </c>
      <c r="AN18" s="68"/>
      <c r="AO18" s="68"/>
      <c r="AP18" s="68"/>
      <c r="AQ18" s="68"/>
      <c r="AR18" s="68"/>
      <c r="AS18" s="68"/>
      <c r="AT18" s="68"/>
      <c r="AU18" s="68"/>
      <c r="AV18" s="68"/>
      <c r="AW18" s="68"/>
      <c r="AX18" s="74"/>
      <c r="AY18" s="74" t="b">
        <v>1</v>
      </c>
      <c r="AZ18" s="68"/>
      <c r="BA18" s="83" t="b">
        <v>0</v>
      </c>
    </row>
    <row r="19" spans="1:53" ht="19.5" customHeight="1">
      <c r="A19" s="68"/>
      <c r="B19" s="75" t="s">
        <v>2071</v>
      </c>
      <c r="C19" s="75" t="s">
        <v>2212</v>
      </c>
      <c r="D19" s="100" t="s">
        <v>2213</v>
      </c>
      <c r="E19" s="199" t="s">
        <v>256</v>
      </c>
      <c r="F19" s="100" t="s">
        <v>2214</v>
      </c>
      <c r="G19" s="75" t="s">
        <v>2215</v>
      </c>
      <c r="H19" s="100" t="s">
        <v>2216</v>
      </c>
      <c r="I19" s="75" t="s">
        <v>2217</v>
      </c>
      <c r="J19" s="75" t="s">
        <v>2218</v>
      </c>
      <c r="K19" s="75" t="s">
        <v>2095</v>
      </c>
      <c r="L19" s="68"/>
      <c r="M19" s="68"/>
      <c r="N19" s="69" t="s">
        <v>2219</v>
      </c>
      <c r="O19" s="69" t="s">
        <v>2220</v>
      </c>
      <c r="P19" s="70">
        <v>50.579026116894902</v>
      </c>
      <c r="Q19" s="70">
        <v>-3.8997069379893801</v>
      </c>
      <c r="R19" s="75" t="s">
        <v>218</v>
      </c>
      <c r="S19" s="75" t="s">
        <v>672</v>
      </c>
      <c r="T19" s="68"/>
      <c r="U19" s="68"/>
      <c r="V19" s="75" t="s">
        <v>284</v>
      </c>
      <c r="W19" s="74" t="b">
        <v>1</v>
      </c>
      <c r="X19" s="74" t="b">
        <v>1</v>
      </c>
      <c r="Y19" s="74" t="b">
        <v>1</v>
      </c>
      <c r="Z19" s="74" t="b">
        <v>1</v>
      </c>
      <c r="AA19" s="74" t="b">
        <v>1</v>
      </c>
      <c r="AB19" s="74" t="b">
        <v>1</v>
      </c>
      <c r="AC19" s="74" t="b">
        <v>1</v>
      </c>
      <c r="AD19" s="75" t="s">
        <v>223</v>
      </c>
      <c r="AE19" s="75" t="s">
        <v>285</v>
      </c>
      <c r="AF19" s="75" t="s">
        <v>2221</v>
      </c>
      <c r="AG19" s="100" t="s">
        <v>2222</v>
      </c>
      <c r="AH19" s="75" t="s">
        <v>2122</v>
      </c>
      <c r="AI19" s="75" t="s">
        <v>2223</v>
      </c>
      <c r="AJ19" s="75" t="s">
        <v>2224</v>
      </c>
      <c r="AK19" s="75" t="s">
        <v>2225</v>
      </c>
      <c r="AL19" s="100" t="s">
        <v>2226</v>
      </c>
      <c r="AM19" s="75" t="s">
        <v>252</v>
      </c>
      <c r="AN19" s="68"/>
      <c r="AO19" s="68"/>
      <c r="AP19" s="68"/>
      <c r="AQ19" s="68"/>
      <c r="AR19" s="68"/>
      <c r="AS19" s="68"/>
      <c r="AT19" s="68"/>
      <c r="AU19" s="68"/>
      <c r="AV19" s="68"/>
      <c r="AW19" s="68"/>
      <c r="AX19" s="74"/>
      <c r="AY19" s="74" t="b">
        <v>1</v>
      </c>
      <c r="AZ19" s="68"/>
      <c r="BA19" s="83" t="b">
        <v>0</v>
      </c>
    </row>
    <row r="20" spans="1:53" ht="19.5" customHeight="1">
      <c r="A20" s="75" t="s">
        <v>2070</v>
      </c>
      <c r="B20" s="75" t="s">
        <v>2071</v>
      </c>
      <c r="C20" s="75" t="s">
        <v>2227</v>
      </c>
      <c r="D20" s="100" t="s">
        <v>2228</v>
      </c>
      <c r="E20" s="199" t="s">
        <v>208</v>
      </c>
      <c r="F20" s="100" t="s">
        <v>2229</v>
      </c>
      <c r="G20" s="75" t="s">
        <v>2215</v>
      </c>
      <c r="H20" s="100" t="s">
        <v>2230</v>
      </c>
      <c r="I20" s="75" t="s">
        <v>2231</v>
      </c>
      <c r="J20" s="75" t="s">
        <v>2232</v>
      </c>
      <c r="K20" s="75" t="s">
        <v>2095</v>
      </c>
      <c r="L20" s="68"/>
      <c r="M20" s="69" t="s">
        <v>2233</v>
      </c>
      <c r="N20" s="69" t="s">
        <v>356</v>
      </c>
      <c r="O20" s="69" t="s">
        <v>1071</v>
      </c>
      <c r="P20" s="70">
        <v>50.594679928435198</v>
      </c>
      <c r="Q20" s="70">
        <v>-3.6883742892211302</v>
      </c>
      <c r="R20" s="75" t="s">
        <v>218</v>
      </c>
      <c r="S20" s="75" t="s">
        <v>672</v>
      </c>
      <c r="T20" s="75" t="s">
        <v>2234</v>
      </c>
      <c r="U20" s="75" t="s">
        <v>2235</v>
      </c>
      <c r="V20" s="75" t="s">
        <v>284</v>
      </c>
      <c r="W20" s="74" t="b">
        <v>1</v>
      </c>
      <c r="X20" s="74" t="b">
        <v>1</v>
      </c>
      <c r="Y20" s="74" t="b">
        <v>1</v>
      </c>
      <c r="Z20" s="74" t="b">
        <v>1</v>
      </c>
      <c r="AA20" s="74" t="b">
        <v>1</v>
      </c>
      <c r="AB20" s="74" t="b">
        <v>1</v>
      </c>
      <c r="AC20" s="74" t="b">
        <v>1</v>
      </c>
      <c r="AD20" s="75" t="s">
        <v>223</v>
      </c>
      <c r="AE20" s="75" t="s">
        <v>285</v>
      </c>
      <c r="AF20" s="75" t="s">
        <v>322</v>
      </c>
      <c r="AG20" s="100" t="s">
        <v>2236</v>
      </c>
      <c r="AH20" s="75" t="s">
        <v>1570</v>
      </c>
      <c r="AI20" s="75" t="s">
        <v>2237</v>
      </c>
      <c r="AJ20" s="75" t="s">
        <v>2086</v>
      </c>
      <c r="AK20" s="75" t="s">
        <v>2238</v>
      </c>
      <c r="AL20" s="100" t="s">
        <v>2239</v>
      </c>
      <c r="AM20" s="75" t="s">
        <v>252</v>
      </c>
      <c r="AN20" s="68"/>
      <c r="AO20" s="68"/>
      <c r="AP20" s="68"/>
      <c r="AQ20" s="68"/>
      <c r="AR20" s="68"/>
      <c r="AS20" s="68"/>
      <c r="AT20" s="68"/>
      <c r="AU20" s="68"/>
      <c r="AV20" s="68"/>
      <c r="AW20" s="68"/>
      <c r="AX20" s="74"/>
      <c r="AY20" s="74" t="b">
        <v>1</v>
      </c>
      <c r="AZ20" s="68"/>
      <c r="BA20" s="83" t="b">
        <v>0</v>
      </c>
    </row>
    <row r="21" spans="1:53" ht="19.5" customHeight="1">
      <c r="A21" s="68"/>
      <c r="B21" s="75" t="s">
        <v>2071</v>
      </c>
      <c r="C21" s="75" t="s">
        <v>2099</v>
      </c>
      <c r="D21" s="100" t="s">
        <v>2240</v>
      </c>
      <c r="E21" s="199" t="s">
        <v>748</v>
      </c>
      <c r="F21" s="100" t="s">
        <v>2241</v>
      </c>
      <c r="G21" s="75" t="s">
        <v>2215</v>
      </c>
      <c r="H21" s="100" t="s">
        <v>2242</v>
      </c>
      <c r="I21" s="75" t="s">
        <v>2243</v>
      </c>
      <c r="J21" s="75" t="s">
        <v>2244</v>
      </c>
      <c r="K21" s="75" t="s">
        <v>2095</v>
      </c>
      <c r="L21" s="69" t="s">
        <v>2245</v>
      </c>
      <c r="M21" s="69" t="s">
        <v>2246</v>
      </c>
      <c r="N21" s="69" t="s">
        <v>905</v>
      </c>
      <c r="O21" s="69" t="s">
        <v>1051</v>
      </c>
      <c r="P21" s="70">
        <v>50.651334840204697</v>
      </c>
      <c r="Q21" s="70">
        <v>-3.3621255560674301</v>
      </c>
      <c r="R21" s="75" t="s">
        <v>416</v>
      </c>
      <c r="S21" s="68"/>
      <c r="T21" s="68"/>
      <c r="U21" s="68"/>
      <c r="V21" s="75" t="s">
        <v>284</v>
      </c>
      <c r="W21" s="74" t="b">
        <v>1</v>
      </c>
      <c r="X21" s="74" t="b">
        <v>1</v>
      </c>
      <c r="Y21" s="74" t="b">
        <v>1</v>
      </c>
      <c r="Z21" s="74" t="b">
        <v>1</v>
      </c>
      <c r="AA21" s="74" t="b">
        <v>1</v>
      </c>
      <c r="AB21" s="74" t="b">
        <v>1</v>
      </c>
      <c r="AC21" s="74" t="b">
        <v>1</v>
      </c>
      <c r="AD21" s="75" t="s">
        <v>223</v>
      </c>
      <c r="AE21" s="75" t="s">
        <v>285</v>
      </c>
      <c r="AF21" s="75" t="s">
        <v>286</v>
      </c>
      <c r="AG21" s="100" t="s">
        <v>2247</v>
      </c>
      <c r="AH21" s="75" t="s">
        <v>2248</v>
      </c>
      <c r="AI21" s="75" t="s">
        <v>2249</v>
      </c>
      <c r="AJ21" s="75" t="s">
        <v>2250</v>
      </c>
      <c r="AK21" s="68"/>
      <c r="AL21" s="100" t="s">
        <v>2251</v>
      </c>
      <c r="AM21" s="100" t="s">
        <v>273</v>
      </c>
      <c r="AN21" s="68"/>
      <c r="AO21" s="68"/>
      <c r="AP21" s="68"/>
      <c r="AQ21" s="68"/>
      <c r="AR21" s="68"/>
      <c r="AS21" s="68"/>
      <c r="AT21" s="68"/>
      <c r="AU21" s="68"/>
      <c r="AV21" s="68"/>
      <c r="AW21" s="68"/>
      <c r="AX21" s="74"/>
      <c r="AY21" s="74" t="b">
        <v>1</v>
      </c>
      <c r="AZ21" s="68"/>
      <c r="BA21" s="83" t="b">
        <v>0</v>
      </c>
    </row>
    <row r="22" spans="1:53" ht="19.5" customHeight="1">
      <c r="A22" s="68"/>
      <c r="B22" s="75" t="s">
        <v>2071</v>
      </c>
      <c r="C22" s="75" t="s">
        <v>2252</v>
      </c>
      <c r="D22" s="100" t="s">
        <v>2253</v>
      </c>
      <c r="E22" s="199" t="s">
        <v>208</v>
      </c>
      <c r="F22" s="100" t="s">
        <v>2254</v>
      </c>
      <c r="G22" s="75" t="s">
        <v>2255</v>
      </c>
      <c r="H22" s="100" t="s">
        <v>2242</v>
      </c>
      <c r="I22" s="75" t="s">
        <v>2102</v>
      </c>
      <c r="J22" s="75" t="s">
        <v>2256</v>
      </c>
      <c r="K22" s="75" t="s">
        <v>2095</v>
      </c>
      <c r="L22" s="68"/>
      <c r="M22" s="69" t="s">
        <v>2257</v>
      </c>
      <c r="N22" s="69" t="s">
        <v>212</v>
      </c>
      <c r="O22" s="69" t="s">
        <v>2258</v>
      </c>
      <c r="P22" s="70">
        <v>50.639075136356901</v>
      </c>
      <c r="Q22" s="70">
        <v>-3.4646131111002401</v>
      </c>
      <c r="R22" s="75" t="s">
        <v>218</v>
      </c>
      <c r="S22" s="68"/>
      <c r="T22" s="68"/>
      <c r="U22" s="68"/>
      <c r="V22" s="75" t="s">
        <v>284</v>
      </c>
      <c r="W22" s="74" t="b">
        <v>1</v>
      </c>
      <c r="X22" s="74" t="b">
        <v>1</v>
      </c>
      <c r="Y22" s="74" t="b">
        <v>1</v>
      </c>
      <c r="Z22" s="74" t="b">
        <v>1</v>
      </c>
      <c r="AA22" s="74" t="b">
        <v>1</v>
      </c>
      <c r="AB22" s="74" t="b">
        <v>1</v>
      </c>
      <c r="AC22" s="74" t="b">
        <v>1</v>
      </c>
      <c r="AD22" s="75" t="s">
        <v>223</v>
      </c>
      <c r="AE22" s="75" t="s">
        <v>1545</v>
      </c>
      <c r="AF22" s="75" t="s">
        <v>1034</v>
      </c>
      <c r="AG22" s="100" t="s">
        <v>2259</v>
      </c>
      <c r="AH22" s="75" t="s">
        <v>2175</v>
      </c>
      <c r="AI22" s="75" t="s">
        <v>2260</v>
      </c>
      <c r="AJ22" s="75" t="s">
        <v>2261</v>
      </c>
      <c r="AK22" s="68"/>
      <c r="AL22" s="100" t="s">
        <v>2262</v>
      </c>
      <c r="AM22" s="75" t="s">
        <v>252</v>
      </c>
      <c r="AN22" s="68"/>
      <c r="AO22" s="68"/>
      <c r="AP22" s="68"/>
      <c r="AQ22" s="68"/>
      <c r="AR22" s="68"/>
      <c r="AS22" s="68"/>
      <c r="AT22" s="68"/>
      <c r="AU22" s="68"/>
      <c r="AV22" s="68"/>
      <c r="AW22" s="68"/>
      <c r="AX22" s="74"/>
      <c r="AY22" s="74" t="b">
        <v>1</v>
      </c>
      <c r="AZ22" s="68"/>
      <c r="BA22" s="83" t="b">
        <v>0</v>
      </c>
    </row>
    <row r="23" spans="1:53" ht="19.5" customHeight="1">
      <c r="A23" s="68"/>
      <c r="B23" s="75" t="s">
        <v>2071</v>
      </c>
      <c r="C23" s="75" t="s">
        <v>2212</v>
      </c>
      <c r="D23" s="97" t="s">
        <v>2263</v>
      </c>
      <c r="E23" s="199" t="s">
        <v>104</v>
      </c>
      <c r="F23" s="100" t="s">
        <v>2264</v>
      </c>
      <c r="G23" s="75" t="s">
        <v>2255</v>
      </c>
      <c r="H23" s="100" t="s">
        <v>2265</v>
      </c>
      <c r="I23" s="75" t="s">
        <v>2129</v>
      </c>
      <c r="J23" s="75" t="s">
        <v>2266</v>
      </c>
      <c r="K23" s="75" t="s">
        <v>2095</v>
      </c>
      <c r="L23" s="68"/>
      <c r="M23" s="68"/>
      <c r="N23" s="69" t="s">
        <v>2267</v>
      </c>
      <c r="O23" s="69" t="s">
        <v>2268</v>
      </c>
      <c r="P23" s="70">
        <v>50.726096667612701</v>
      </c>
      <c r="Q23" s="70">
        <v>-3.1524670113403701</v>
      </c>
      <c r="R23" s="75" t="s">
        <v>416</v>
      </c>
      <c r="S23" s="68"/>
      <c r="T23" s="68"/>
      <c r="U23" s="68"/>
      <c r="V23" s="75" t="s">
        <v>284</v>
      </c>
      <c r="W23" s="74" t="b">
        <v>1</v>
      </c>
      <c r="X23" s="74" t="b">
        <v>1</v>
      </c>
      <c r="Y23" s="74" t="b">
        <v>1</v>
      </c>
      <c r="Z23" s="74" t="b">
        <v>1</v>
      </c>
      <c r="AA23" s="74" t="b">
        <v>1</v>
      </c>
      <c r="AB23" s="74" t="b">
        <v>1</v>
      </c>
      <c r="AC23" s="74" t="b">
        <v>1</v>
      </c>
      <c r="AD23" s="75" t="s">
        <v>223</v>
      </c>
      <c r="AE23" s="75" t="s">
        <v>1545</v>
      </c>
      <c r="AF23" s="75" t="s">
        <v>794</v>
      </c>
      <c r="AG23" s="100" t="s">
        <v>2269</v>
      </c>
      <c r="AH23" s="75" t="s">
        <v>2122</v>
      </c>
      <c r="AI23" s="75" t="s">
        <v>2270</v>
      </c>
      <c r="AJ23" s="75" t="s">
        <v>2271</v>
      </c>
      <c r="AK23" s="68"/>
      <c r="AL23" s="100" t="s">
        <v>2272</v>
      </c>
      <c r="AM23" s="75" t="s">
        <v>273</v>
      </c>
      <c r="AN23" s="68"/>
      <c r="AO23" s="68"/>
      <c r="AP23" s="68"/>
      <c r="AQ23" s="68"/>
      <c r="AR23" s="68"/>
      <c r="AS23" s="68"/>
      <c r="AT23" s="68"/>
      <c r="AU23" s="68"/>
      <c r="AV23" s="68"/>
      <c r="AW23" s="68"/>
      <c r="AX23" s="74"/>
      <c r="AY23" s="74" t="b">
        <v>1</v>
      </c>
      <c r="AZ23" s="68"/>
      <c r="BA23" s="83" t="b">
        <v>0</v>
      </c>
    </row>
    <row r="24" spans="1:53" ht="19.5" customHeight="1">
      <c r="A24" s="68"/>
      <c r="B24" s="75" t="s">
        <v>2071</v>
      </c>
      <c r="C24" s="75" t="s">
        <v>2273</v>
      </c>
      <c r="D24" s="97" t="s">
        <v>2274</v>
      </c>
      <c r="E24" s="199" t="s">
        <v>208</v>
      </c>
      <c r="F24" s="100" t="s">
        <v>2275</v>
      </c>
      <c r="G24" s="75" t="s">
        <v>2075</v>
      </c>
      <c r="H24" s="100" t="s">
        <v>2276</v>
      </c>
      <c r="I24" s="75" t="s">
        <v>2277</v>
      </c>
      <c r="J24" s="75" t="s">
        <v>2278</v>
      </c>
      <c r="K24" s="75" t="s">
        <v>2079</v>
      </c>
      <c r="L24" s="69" t="s">
        <v>2279</v>
      </c>
      <c r="M24" s="68"/>
      <c r="N24" s="69" t="s">
        <v>259</v>
      </c>
      <c r="O24" s="69" t="s">
        <v>2280</v>
      </c>
      <c r="P24" s="70">
        <v>50.6112303709751</v>
      </c>
      <c r="Q24" s="70">
        <v>-3.39715558940481</v>
      </c>
      <c r="R24" s="75" t="s">
        <v>218</v>
      </c>
      <c r="S24" s="68"/>
      <c r="T24" s="68"/>
      <c r="U24" s="68"/>
      <c r="V24" s="75" t="s">
        <v>284</v>
      </c>
      <c r="W24" s="74" t="b">
        <v>1</v>
      </c>
      <c r="X24" s="74" t="b">
        <v>1</v>
      </c>
      <c r="Y24" s="74" t="b">
        <v>1</v>
      </c>
      <c r="Z24" s="74" t="b">
        <v>1</v>
      </c>
      <c r="AA24" s="74" t="b">
        <v>1</v>
      </c>
      <c r="AB24" s="74" t="b">
        <v>1</v>
      </c>
      <c r="AC24" s="74" t="b">
        <v>1</v>
      </c>
      <c r="AD24" s="75" t="s">
        <v>223</v>
      </c>
      <c r="AE24" s="75" t="s">
        <v>1545</v>
      </c>
      <c r="AF24" s="75" t="s">
        <v>794</v>
      </c>
      <c r="AG24" s="100" t="s">
        <v>2281</v>
      </c>
      <c r="AH24" s="68"/>
      <c r="AI24" s="68"/>
      <c r="AJ24" s="75" t="s">
        <v>2282</v>
      </c>
      <c r="AK24" s="68"/>
      <c r="AL24" s="100" t="s">
        <v>2283</v>
      </c>
      <c r="AM24" s="75" t="s">
        <v>783</v>
      </c>
      <c r="AN24" s="68"/>
      <c r="AO24" s="68"/>
      <c r="AP24" s="68"/>
      <c r="AQ24" s="68"/>
      <c r="AR24" s="68"/>
      <c r="AS24" s="68"/>
      <c r="AT24" s="68"/>
      <c r="AU24" s="68"/>
      <c r="AV24" s="68"/>
      <c r="AW24" s="68"/>
      <c r="AX24" s="74"/>
      <c r="AY24" s="74" t="b">
        <v>1</v>
      </c>
      <c r="AZ24" s="68"/>
      <c r="BA24" s="83" t="b">
        <v>0</v>
      </c>
    </row>
    <row r="25" spans="1:53" ht="19.5" customHeight="1">
      <c r="A25" s="68"/>
      <c r="B25" s="75" t="s">
        <v>2071</v>
      </c>
      <c r="C25" s="75" t="s">
        <v>2273</v>
      </c>
      <c r="D25" s="97" t="s">
        <v>2284</v>
      </c>
      <c r="E25" s="199" t="s">
        <v>104</v>
      </c>
      <c r="F25" s="100" t="s">
        <v>2285</v>
      </c>
      <c r="G25" s="75" t="s">
        <v>2091</v>
      </c>
      <c r="H25" s="100" t="s">
        <v>2276</v>
      </c>
      <c r="I25" s="75" t="s">
        <v>2286</v>
      </c>
      <c r="J25" s="75" t="s">
        <v>2287</v>
      </c>
      <c r="K25" s="75" t="s">
        <v>2079</v>
      </c>
      <c r="L25" s="69" t="s">
        <v>2288</v>
      </c>
      <c r="M25" s="69" t="s">
        <v>2289</v>
      </c>
      <c r="N25" s="69" t="s">
        <v>1262</v>
      </c>
      <c r="O25" s="69" t="s">
        <v>2290</v>
      </c>
      <c r="P25" s="70">
        <v>51.185563868660303</v>
      </c>
      <c r="Q25" s="70">
        <v>-4.2078656451991101</v>
      </c>
      <c r="R25" s="75" t="s">
        <v>218</v>
      </c>
      <c r="S25" s="75" t="s">
        <v>672</v>
      </c>
      <c r="T25" s="68"/>
      <c r="U25" s="68"/>
      <c r="V25" s="75" t="s">
        <v>284</v>
      </c>
      <c r="W25" s="74" t="b">
        <v>0</v>
      </c>
      <c r="X25" s="74" t="b">
        <v>0</v>
      </c>
      <c r="Y25" s="74" t="b">
        <v>0</v>
      </c>
      <c r="Z25" s="74" t="b">
        <v>1</v>
      </c>
      <c r="AA25" s="74" t="b">
        <v>1</v>
      </c>
      <c r="AB25" s="74" t="b">
        <v>1</v>
      </c>
      <c r="AC25" s="74" t="b">
        <v>1</v>
      </c>
      <c r="AD25" s="75" t="s">
        <v>223</v>
      </c>
      <c r="AE25" s="75" t="s">
        <v>1545</v>
      </c>
      <c r="AF25" s="75" t="s">
        <v>2106</v>
      </c>
      <c r="AG25" s="100" t="s">
        <v>2291</v>
      </c>
      <c r="AH25" s="68"/>
      <c r="AI25" s="68"/>
      <c r="AJ25" s="68"/>
      <c r="AK25" s="68"/>
      <c r="AL25" s="100" t="s">
        <v>2292</v>
      </c>
      <c r="AM25" s="75" t="s">
        <v>273</v>
      </c>
      <c r="AN25" s="68"/>
      <c r="AO25" s="68"/>
      <c r="AP25" s="68"/>
      <c r="AQ25" s="68"/>
      <c r="AR25" s="68"/>
      <c r="AS25" s="68"/>
      <c r="AT25" s="68"/>
      <c r="AU25" s="68"/>
      <c r="AV25" s="68"/>
      <c r="AW25" s="68"/>
      <c r="AX25" s="74"/>
      <c r="AY25" s="74" t="b">
        <v>1</v>
      </c>
      <c r="AZ25" s="68"/>
      <c r="BA25" s="83" t="b">
        <v>0</v>
      </c>
    </row>
    <row r="26" spans="1:53" ht="19.5" customHeight="1">
      <c r="A26" s="68"/>
      <c r="B26" s="75" t="s">
        <v>2071</v>
      </c>
      <c r="C26" s="75" t="s">
        <v>2273</v>
      </c>
      <c r="D26" s="97" t="s">
        <v>2293</v>
      </c>
      <c r="E26" s="199" t="s">
        <v>104</v>
      </c>
      <c r="F26" s="100" t="s">
        <v>2294</v>
      </c>
      <c r="G26" s="75" t="s">
        <v>2091</v>
      </c>
      <c r="H26" s="100" t="s">
        <v>2076</v>
      </c>
      <c r="I26" s="75" t="s">
        <v>2295</v>
      </c>
      <c r="J26" s="75" t="s">
        <v>2287</v>
      </c>
      <c r="K26" s="75" t="s">
        <v>2079</v>
      </c>
      <c r="L26" s="69" t="s">
        <v>2288</v>
      </c>
      <c r="M26" s="69" t="s">
        <v>2289</v>
      </c>
      <c r="N26" s="69" t="s">
        <v>1262</v>
      </c>
      <c r="O26" s="69" t="s">
        <v>2290</v>
      </c>
      <c r="P26" s="70">
        <v>51.185563868660303</v>
      </c>
      <c r="Q26" s="70">
        <v>-4.2078656451991101</v>
      </c>
      <c r="R26" s="75" t="s">
        <v>218</v>
      </c>
      <c r="S26" s="75" t="s">
        <v>672</v>
      </c>
      <c r="T26" s="68"/>
      <c r="U26" s="68"/>
      <c r="V26" s="75" t="s">
        <v>284</v>
      </c>
      <c r="W26" s="74" t="b">
        <v>0</v>
      </c>
      <c r="X26" s="74" t="b">
        <v>0</v>
      </c>
      <c r="Y26" s="74" t="b">
        <v>0</v>
      </c>
      <c r="Z26" s="74" t="b">
        <v>1</v>
      </c>
      <c r="AA26" s="74" t="b">
        <v>1</v>
      </c>
      <c r="AB26" s="74" t="b">
        <v>1</v>
      </c>
      <c r="AC26" s="74" t="b">
        <v>1</v>
      </c>
      <c r="AD26" s="75" t="s">
        <v>223</v>
      </c>
      <c r="AE26" s="75" t="s">
        <v>1545</v>
      </c>
      <c r="AF26" s="75" t="s">
        <v>225</v>
      </c>
      <c r="AG26" s="100" t="s">
        <v>2296</v>
      </c>
      <c r="AH26" s="68"/>
      <c r="AI26" s="68"/>
      <c r="AJ26" s="68"/>
      <c r="AK26" s="68"/>
      <c r="AL26" s="100" t="s">
        <v>2297</v>
      </c>
      <c r="AM26" s="75" t="s">
        <v>273</v>
      </c>
      <c r="AN26" s="68"/>
      <c r="AO26" s="68"/>
      <c r="AP26" s="68"/>
      <c r="AQ26" s="68"/>
      <c r="AR26" s="68"/>
      <c r="AS26" s="68"/>
      <c r="AT26" s="68"/>
      <c r="AU26" s="68"/>
      <c r="AV26" s="68"/>
      <c r="AW26" s="68"/>
      <c r="AX26" s="74"/>
      <c r="AY26" s="74" t="b">
        <v>1</v>
      </c>
      <c r="AZ26" s="68"/>
      <c r="BA26" s="83" t="b">
        <v>0</v>
      </c>
    </row>
    <row r="27" spans="1:53" ht="19.5" customHeight="1">
      <c r="A27" s="68"/>
      <c r="B27" s="75" t="s">
        <v>513</v>
      </c>
      <c r="C27" s="75" t="s">
        <v>2149</v>
      </c>
      <c r="D27" s="97" t="s">
        <v>2298</v>
      </c>
      <c r="E27" s="199" t="s">
        <v>104</v>
      </c>
      <c r="F27" s="100" t="s">
        <v>2299</v>
      </c>
      <c r="G27" s="75" t="s">
        <v>2139</v>
      </c>
      <c r="H27" s="100" t="s">
        <v>2128</v>
      </c>
      <c r="I27" s="75" t="s">
        <v>2300</v>
      </c>
      <c r="J27" s="75" t="s">
        <v>2130</v>
      </c>
      <c r="K27" s="75" t="s">
        <v>2095</v>
      </c>
      <c r="L27" s="69" t="s">
        <v>2301</v>
      </c>
      <c r="M27" s="68"/>
      <c r="N27" s="69" t="s">
        <v>905</v>
      </c>
      <c r="O27" s="69" t="s">
        <v>527</v>
      </c>
      <c r="P27" s="70">
        <v>50.6304988193775</v>
      </c>
      <c r="Q27" s="70">
        <v>-3.3129901993970901</v>
      </c>
      <c r="R27" s="75" t="s">
        <v>282</v>
      </c>
      <c r="S27" s="75" t="s">
        <v>672</v>
      </c>
      <c r="T27" s="68"/>
      <c r="U27" s="68"/>
      <c r="V27" s="68"/>
      <c r="W27" s="74" t="b">
        <v>1</v>
      </c>
      <c r="X27" s="74" t="b">
        <v>1</v>
      </c>
      <c r="Y27" s="74" t="b">
        <v>1</v>
      </c>
      <c r="Z27" s="74" t="b">
        <v>1</v>
      </c>
      <c r="AA27" s="74" t="b">
        <v>1</v>
      </c>
      <c r="AB27" s="74" t="b">
        <v>1</v>
      </c>
      <c r="AC27" s="74" t="b">
        <v>1</v>
      </c>
      <c r="AD27" s="75" t="s">
        <v>223</v>
      </c>
      <c r="AE27" s="75" t="s">
        <v>285</v>
      </c>
      <c r="AF27" s="75" t="s">
        <v>1603</v>
      </c>
      <c r="AG27" s="100" t="s">
        <v>2302</v>
      </c>
      <c r="AH27" s="68"/>
      <c r="AI27" s="68"/>
      <c r="AJ27" s="75" t="s">
        <v>2303</v>
      </c>
      <c r="AK27" s="68"/>
      <c r="AL27" s="100" t="s">
        <v>2304</v>
      </c>
      <c r="AM27" s="75" t="s">
        <v>273</v>
      </c>
      <c r="AN27" s="68"/>
      <c r="AO27" s="68"/>
      <c r="AP27" s="68"/>
      <c r="AQ27" s="68"/>
      <c r="AR27" s="68"/>
      <c r="AS27" s="68"/>
      <c r="AT27" s="68"/>
      <c r="AU27" s="68"/>
      <c r="AV27" s="68"/>
      <c r="AW27" s="68"/>
      <c r="AX27" s="74"/>
      <c r="AY27" s="74" t="b">
        <v>1</v>
      </c>
      <c r="AZ27" s="68"/>
      <c r="BA27" s="83" t="b">
        <v>0</v>
      </c>
    </row>
    <row r="28" spans="1:53" ht="19.5" customHeight="1">
      <c r="A28" s="68"/>
      <c r="B28" s="75" t="s">
        <v>513</v>
      </c>
      <c r="C28" s="75" t="s">
        <v>2149</v>
      </c>
      <c r="D28" s="97" t="s">
        <v>2305</v>
      </c>
      <c r="E28" s="199" t="s">
        <v>104</v>
      </c>
      <c r="F28" s="100" t="s">
        <v>2306</v>
      </c>
      <c r="G28" s="75" t="s">
        <v>2139</v>
      </c>
      <c r="H28" s="100" t="s">
        <v>2128</v>
      </c>
      <c r="I28" s="75" t="s">
        <v>2300</v>
      </c>
      <c r="J28" s="75" t="s">
        <v>2130</v>
      </c>
      <c r="K28" s="75" t="s">
        <v>2095</v>
      </c>
      <c r="L28" s="69" t="s">
        <v>2307</v>
      </c>
      <c r="M28" s="69" t="s">
        <v>2308</v>
      </c>
      <c r="N28" s="69" t="s">
        <v>259</v>
      </c>
      <c r="O28" s="69" t="s">
        <v>2309</v>
      </c>
      <c r="P28" s="70">
        <v>50.624749955834197</v>
      </c>
      <c r="Q28" s="70">
        <v>-3.38140187406308</v>
      </c>
      <c r="R28" s="75" t="s">
        <v>282</v>
      </c>
      <c r="S28" s="75" t="s">
        <v>672</v>
      </c>
      <c r="T28" s="68"/>
      <c r="U28" s="68"/>
      <c r="V28" s="68"/>
      <c r="W28" s="74" t="b">
        <v>1</v>
      </c>
      <c r="X28" s="74" t="b">
        <v>1</v>
      </c>
      <c r="Y28" s="74" t="b">
        <v>1</v>
      </c>
      <c r="Z28" s="74" t="b">
        <v>1</v>
      </c>
      <c r="AA28" s="74" t="b">
        <v>1</v>
      </c>
      <c r="AB28" s="74" t="b">
        <v>1</v>
      </c>
      <c r="AC28" s="74" t="b">
        <v>1</v>
      </c>
      <c r="AD28" s="75" t="s">
        <v>223</v>
      </c>
      <c r="AE28" s="75" t="s">
        <v>285</v>
      </c>
      <c r="AF28" s="75" t="s">
        <v>1603</v>
      </c>
      <c r="AG28" s="100" t="s">
        <v>2310</v>
      </c>
      <c r="AH28" s="68"/>
      <c r="AI28" s="68"/>
      <c r="AJ28" s="75" t="s">
        <v>2303</v>
      </c>
      <c r="AK28" s="68"/>
      <c r="AL28" s="100" t="s">
        <v>2311</v>
      </c>
      <c r="AM28" s="75" t="s">
        <v>273</v>
      </c>
      <c r="AN28" s="68"/>
      <c r="AO28" s="68"/>
      <c r="AP28" s="68"/>
      <c r="AQ28" s="68"/>
      <c r="AR28" s="68"/>
      <c r="AS28" s="68"/>
      <c r="AT28" s="68"/>
      <c r="AU28" s="68"/>
      <c r="AV28" s="68"/>
      <c r="AW28" s="68"/>
      <c r="AX28" s="74"/>
      <c r="AY28" s="74" t="b">
        <v>1</v>
      </c>
      <c r="AZ28" s="68"/>
      <c r="BA28" s="83" t="b">
        <v>0</v>
      </c>
    </row>
    <row r="29" spans="1:53" ht="19.5" customHeight="1">
      <c r="A29" s="68"/>
      <c r="B29" s="75" t="s">
        <v>2071</v>
      </c>
      <c r="C29" s="75" t="s">
        <v>2312</v>
      </c>
      <c r="D29" s="97" t="s">
        <v>2313</v>
      </c>
      <c r="E29" s="199" t="s">
        <v>748</v>
      </c>
      <c r="F29" s="100" t="s">
        <v>2314</v>
      </c>
      <c r="G29" s="75" t="s">
        <v>2075</v>
      </c>
      <c r="H29" s="100" t="s">
        <v>2128</v>
      </c>
      <c r="I29" s="75" t="s">
        <v>2315</v>
      </c>
      <c r="J29" s="75" t="s">
        <v>2130</v>
      </c>
      <c r="K29" s="75" t="s">
        <v>2095</v>
      </c>
      <c r="L29" s="69" t="s">
        <v>2316</v>
      </c>
      <c r="M29" s="69" t="s">
        <v>1204</v>
      </c>
      <c r="N29" s="69" t="s">
        <v>212</v>
      </c>
      <c r="O29" s="69" t="s">
        <v>1205</v>
      </c>
      <c r="P29" s="70">
        <v>50.716095431657003</v>
      </c>
      <c r="Q29" s="70">
        <v>-3.5315308451381999</v>
      </c>
      <c r="R29" s="75" t="s">
        <v>218</v>
      </c>
      <c r="S29" s="75" t="s">
        <v>777</v>
      </c>
      <c r="T29" s="68"/>
      <c r="U29" s="75" t="s">
        <v>2317</v>
      </c>
      <c r="V29" s="68"/>
      <c r="W29" s="74" t="b">
        <v>1</v>
      </c>
      <c r="X29" s="74" t="b">
        <v>1</v>
      </c>
      <c r="Y29" s="74" t="b">
        <v>1</v>
      </c>
      <c r="Z29" s="74" t="b">
        <v>1</v>
      </c>
      <c r="AA29" s="74" t="b">
        <v>1</v>
      </c>
      <c r="AB29" s="74" t="b">
        <v>1</v>
      </c>
      <c r="AC29" s="74" t="b">
        <v>1</v>
      </c>
      <c r="AD29" s="75" t="s">
        <v>223</v>
      </c>
      <c r="AE29" s="75" t="s">
        <v>2318</v>
      </c>
      <c r="AF29" s="75" t="s">
        <v>794</v>
      </c>
      <c r="AG29" s="100" t="s">
        <v>2319</v>
      </c>
      <c r="AH29" s="68"/>
      <c r="AI29" s="68"/>
      <c r="AJ29" s="75" t="s">
        <v>2320</v>
      </c>
      <c r="AK29" s="68"/>
      <c r="AL29" s="100" t="s">
        <v>2321</v>
      </c>
      <c r="AM29" s="75" t="s">
        <v>273</v>
      </c>
      <c r="AN29" s="68"/>
      <c r="AO29" s="68"/>
      <c r="AP29" s="68"/>
      <c r="AQ29" s="68"/>
      <c r="AR29" s="68"/>
      <c r="AS29" s="68"/>
      <c r="AT29" s="68"/>
      <c r="AU29" s="68"/>
      <c r="AV29" s="68"/>
      <c r="AW29" s="68"/>
      <c r="AX29" s="74"/>
      <c r="AY29" s="74" t="b">
        <v>1</v>
      </c>
      <c r="AZ29" s="68"/>
      <c r="BA29" s="83" t="b">
        <v>0</v>
      </c>
    </row>
    <row r="30" spans="1:53" ht="19.5" customHeight="1">
      <c r="A30" s="75" t="s">
        <v>2070</v>
      </c>
      <c r="B30" s="75" t="s">
        <v>2071</v>
      </c>
      <c r="C30" s="75" t="s">
        <v>2322</v>
      </c>
      <c r="D30" s="100" t="s">
        <v>2323</v>
      </c>
      <c r="E30" s="199" t="s">
        <v>748</v>
      </c>
      <c r="F30" s="100" t="s">
        <v>2324</v>
      </c>
      <c r="G30" s="75" t="s">
        <v>2194</v>
      </c>
      <c r="H30" s="100" t="s">
        <v>2128</v>
      </c>
      <c r="I30" s="68"/>
      <c r="J30" s="75" t="s">
        <v>2130</v>
      </c>
      <c r="K30" s="75" t="s">
        <v>2095</v>
      </c>
      <c r="L30" s="69" t="s">
        <v>2325</v>
      </c>
      <c r="M30" s="69" t="s">
        <v>2326</v>
      </c>
      <c r="N30" s="69" t="s">
        <v>259</v>
      </c>
      <c r="O30" s="69" t="s">
        <v>2327</v>
      </c>
      <c r="P30" s="70">
        <v>50.619184250516298</v>
      </c>
      <c r="Q30" s="70">
        <v>-3.4144873047454101</v>
      </c>
      <c r="R30" s="75" t="s">
        <v>263</v>
      </c>
      <c r="S30" s="75" t="s">
        <v>777</v>
      </c>
      <c r="T30" s="75" t="s">
        <v>1072</v>
      </c>
      <c r="U30" s="75" t="s">
        <v>2317</v>
      </c>
      <c r="V30" s="68"/>
      <c r="W30" s="74" t="b">
        <v>1</v>
      </c>
      <c r="X30" s="74" t="b">
        <v>1</v>
      </c>
      <c r="Y30" s="74" t="b">
        <v>1</v>
      </c>
      <c r="Z30" s="74" t="b">
        <v>1</v>
      </c>
      <c r="AA30" s="74" t="b">
        <v>0</v>
      </c>
      <c r="AB30" s="74" t="b">
        <v>0</v>
      </c>
      <c r="AC30" s="74" t="b">
        <v>0</v>
      </c>
      <c r="AD30" s="75" t="s">
        <v>223</v>
      </c>
      <c r="AE30" s="75" t="s">
        <v>2318</v>
      </c>
      <c r="AF30" s="75" t="s">
        <v>286</v>
      </c>
      <c r="AG30" s="100" t="s">
        <v>2328</v>
      </c>
      <c r="AH30" s="75" t="s">
        <v>2248</v>
      </c>
      <c r="AI30" s="68"/>
      <c r="AJ30" s="75" t="s">
        <v>2329</v>
      </c>
      <c r="AK30" s="68"/>
      <c r="AL30" s="100" t="s">
        <v>2330</v>
      </c>
      <c r="AM30" s="75" t="s">
        <v>252</v>
      </c>
      <c r="AN30" s="68"/>
      <c r="AO30" s="68"/>
      <c r="AP30" s="68"/>
      <c r="AQ30" s="68"/>
      <c r="AR30" s="68"/>
      <c r="AS30" s="68"/>
      <c r="AT30" s="68"/>
      <c r="AU30" s="68"/>
      <c r="AV30" s="68"/>
      <c r="AW30" s="68"/>
      <c r="AX30" s="74"/>
      <c r="AY30" s="74" t="b">
        <v>1</v>
      </c>
      <c r="AZ30" s="68"/>
      <c r="BA30" s="83" t="b">
        <v>0</v>
      </c>
    </row>
    <row r="31" spans="1:53" ht="19.5" customHeight="1">
      <c r="A31" s="68"/>
      <c r="B31" s="75" t="s">
        <v>2071</v>
      </c>
      <c r="C31" s="75" t="s">
        <v>2212</v>
      </c>
      <c r="D31" s="97" t="s">
        <v>2331</v>
      </c>
      <c r="E31" s="199" t="s">
        <v>748</v>
      </c>
      <c r="F31" s="100" t="s">
        <v>2332</v>
      </c>
      <c r="G31" s="75" t="s">
        <v>2075</v>
      </c>
      <c r="H31" s="100" t="s">
        <v>2333</v>
      </c>
      <c r="I31" s="75" t="s">
        <v>2277</v>
      </c>
      <c r="J31" s="75" t="s">
        <v>2334</v>
      </c>
      <c r="K31" s="75" t="s">
        <v>2095</v>
      </c>
      <c r="L31" s="69" t="s">
        <v>2335</v>
      </c>
      <c r="M31" s="69" t="s">
        <v>210</v>
      </c>
      <c r="N31" s="69" t="s">
        <v>212</v>
      </c>
      <c r="O31" s="69" t="s">
        <v>213</v>
      </c>
      <c r="P31" s="70">
        <v>50.6524373131545</v>
      </c>
      <c r="Q31" s="70">
        <v>-3.58038117377829</v>
      </c>
      <c r="R31" s="75" t="s">
        <v>218</v>
      </c>
      <c r="S31" s="75" t="s">
        <v>2336</v>
      </c>
      <c r="T31" s="75" t="s">
        <v>2337</v>
      </c>
      <c r="U31" s="75" t="s">
        <v>2338</v>
      </c>
      <c r="V31" s="75" t="s">
        <v>222</v>
      </c>
      <c r="W31" s="108" t="b">
        <v>1</v>
      </c>
      <c r="X31" s="108" t="b">
        <v>1</v>
      </c>
      <c r="Y31" s="108" t="b">
        <v>1</v>
      </c>
      <c r="Z31" s="108" t="b">
        <v>1</v>
      </c>
      <c r="AA31" s="108" t="b">
        <v>1</v>
      </c>
      <c r="AB31" s="108" t="b">
        <v>1</v>
      </c>
      <c r="AC31" s="108" t="b">
        <v>1</v>
      </c>
      <c r="AD31" s="75" t="s">
        <v>223</v>
      </c>
      <c r="AE31" s="75" t="s">
        <v>285</v>
      </c>
      <c r="AF31" s="75" t="s">
        <v>794</v>
      </c>
      <c r="AG31" s="100" t="s">
        <v>2339</v>
      </c>
      <c r="AH31" s="68"/>
      <c r="AI31" s="68"/>
      <c r="AJ31" s="75" t="s">
        <v>2340</v>
      </c>
      <c r="AK31" s="68"/>
      <c r="AL31" s="69" t="s">
        <v>2341</v>
      </c>
      <c r="AM31" s="75" t="s">
        <v>252</v>
      </c>
      <c r="AN31" s="68"/>
      <c r="AO31" s="68"/>
      <c r="AP31" s="68"/>
      <c r="AQ31" s="68"/>
      <c r="AR31" s="68"/>
      <c r="AS31" s="68"/>
      <c r="AT31" s="68"/>
      <c r="AU31" s="68"/>
      <c r="AV31" s="68"/>
      <c r="AW31" s="68"/>
      <c r="AX31" s="74"/>
      <c r="AY31" s="74" t="b">
        <v>1</v>
      </c>
      <c r="AZ31" s="68"/>
      <c r="BA31" s="83" t="b">
        <v>0</v>
      </c>
    </row>
    <row r="32" spans="1:53" ht="19.5" customHeight="1">
      <c r="A32" s="68"/>
      <c r="B32" s="75" t="s">
        <v>2071</v>
      </c>
      <c r="C32" s="75" t="s">
        <v>2212</v>
      </c>
      <c r="D32" s="97" t="s">
        <v>2342</v>
      </c>
      <c r="E32" s="199" t="s">
        <v>104</v>
      </c>
      <c r="F32" s="100" t="s">
        <v>2343</v>
      </c>
      <c r="G32" s="75" t="s">
        <v>2075</v>
      </c>
      <c r="H32" s="100" t="s">
        <v>2333</v>
      </c>
      <c r="I32" s="75" t="s">
        <v>2152</v>
      </c>
      <c r="J32" s="75" t="s">
        <v>2334</v>
      </c>
      <c r="K32" s="75" t="s">
        <v>2079</v>
      </c>
      <c r="L32" s="69" t="s">
        <v>2335</v>
      </c>
      <c r="M32" s="69" t="s">
        <v>210</v>
      </c>
      <c r="N32" s="69" t="s">
        <v>212</v>
      </c>
      <c r="O32" s="69" t="s">
        <v>213</v>
      </c>
      <c r="P32" s="70">
        <v>50.6524373131545</v>
      </c>
      <c r="Q32" s="70">
        <v>-3.58038117377829</v>
      </c>
      <c r="R32" s="75" t="s">
        <v>218</v>
      </c>
      <c r="S32" s="75" t="s">
        <v>2336</v>
      </c>
      <c r="T32" s="75" t="s">
        <v>2337</v>
      </c>
      <c r="U32" s="75" t="s">
        <v>2338</v>
      </c>
      <c r="V32" s="75" t="s">
        <v>222</v>
      </c>
      <c r="W32" s="108" t="b">
        <v>1</v>
      </c>
      <c r="X32" s="108" t="b">
        <v>1</v>
      </c>
      <c r="Y32" s="108" t="b">
        <v>1</v>
      </c>
      <c r="Z32" s="108" t="b">
        <v>1</v>
      </c>
      <c r="AA32" s="108" t="b">
        <v>1</v>
      </c>
      <c r="AB32" s="108" t="b">
        <v>1</v>
      </c>
      <c r="AC32" s="108" t="b">
        <v>1</v>
      </c>
      <c r="AD32" s="75" t="s">
        <v>223</v>
      </c>
      <c r="AE32" s="75" t="s">
        <v>285</v>
      </c>
      <c r="AF32" s="75" t="s">
        <v>322</v>
      </c>
      <c r="AG32" s="100" t="s">
        <v>2344</v>
      </c>
      <c r="AH32" s="68"/>
      <c r="AI32" s="68"/>
      <c r="AJ32" s="75" t="s">
        <v>2345</v>
      </c>
      <c r="AK32" s="68"/>
      <c r="AL32" s="100" t="s">
        <v>2346</v>
      </c>
      <c r="AM32" s="75" t="s">
        <v>2347</v>
      </c>
      <c r="AN32" s="68"/>
      <c r="AO32" s="68"/>
      <c r="AP32" s="68"/>
      <c r="AQ32" s="68"/>
      <c r="AR32" s="68"/>
      <c r="AS32" s="68"/>
      <c r="AT32" s="68"/>
      <c r="AU32" s="68"/>
      <c r="AV32" s="68"/>
      <c r="AW32" s="68"/>
      <c r="AX32" s="74"/>
      <c r="AY32" s="74" t="b">
        <v>1</v>
      </c>
      <c r="AZ32" s="68"/>
      <c r="BA32" s="83" t="b">
        <v>0</v>
      </c>
    </row>
    <row r="33" spans="1:53" ht="19.5" customHeight="1">
      <c r="A33" s="68"/>
      <c r="B33" s="75" t="s">
        <v>513</v>
      </c>
      <c r="C33" s="75" t="s">
        <v>2162</v>
      </c>
      <c r="D33" s="97" t="s">
        <v>2348</v>
      </c>
      <c r="E33" s="199" t="s">
        <v>208</v>
      </c>
      <c r="F33" s="100" t="s">
        <v>2349</v>
      </c>
      <c r="G33" s="75" t="s">
        <v>2075</v>
      </c>
      <c r="H33" s="100" t="s">
        <v>2350</v>
      </c>
      <c r="I33" s="75" t="s">
        <v>2277</v>
      </c>
      <c r="J33" s="75" t="s">
        <v>2334</v>
      </c>
      <c r="K33" s="75" t="s">
        <v>2095</v>
      </c>
      <c r="L33" s="69" t="s">
        <v>2335</v>
      </c>
      <c r="M33" s="69" t="s">
        <v>210</v>
      </c>
      <c r="N33" s="69" t="s">
        <v>212</v>
      </c>
      <c r="O33" s="69" t="s">
        <v>213</v>
      </c>
      <c r="P33" s="70">
        <v>50.6524373131545</v>
      </c>
      <c r="Q33" s="70">
        <v>-3.58038117377829</v>
      </c>
      <c r="R33" s="75" t="s">
        <v>218</v>
      </c>
      <c r="S33" s="75" t="s">
        <v>2336</v>
      </c>
      <c r="T33" s="75" t="s">
        <v>2337</v>
      </c>
      <c r="U33" s="75" t="s">
        <v>2338</v>
      </c>
      <c r="V33" s="75" t="s">
        <v>222</v>
      </c>
      <c r="W33" s="108" t="b">
        <v>1</v>
      </c>
      <c r="X33" s="108" t="b">
        <v>1</v>
      </c>
      <c r="Y33" s="108" t="b">
        <v>1</v>
      </c>
      <c r="Z33" s="108" t="b">
        <v>1</v>
      </c>
      <c r="AA33" s="108" t="b">
        <v>1</v>
      </c>
      <c r="AB33" s="108" t="b">
        <v>1</v>
      </c>
      <c r="AC33" s="108" t="b">
        <v>1</v>
      </c>
      <c r="AD33" s="75" t="s">
        <v>223</v>
      </c>
      <c r="AE33" s="75" t="s">
        <v>285</v>
      </c>
      <c r="AF33" s="75" t="s">
        <v>509</v>
      </c>
      <c r="AG33" s="100" t="s">
        <v>2351</v>
      </c>
      <c r="AH33" s="68"/>
      <c r="AI33" s="68"/>
      <c r="AJ33" s="75" t="s">
        <v>2352</v>
      </c>
      <c r="AK33" s="68"/>
      <c r="AL33" s="100" t="s">
        <v>2353</v>
      </c>
      <c r="AM33" s="75" t="s">
        <v>2347</v>
      </c>
      <c r="AN33" s="68"/>
      <c r="AO33" s="68"/>
      <c r="AP33" s="68"/>
      <c r="AQ33" s="68"/>
      <c r="AR33" s="68"/>
      <c r="AS33" s="68"/>
      <c r="AT33" s="68"/>
      <c r="AU33" s="68"/>
      <c r="AV33" s="68"/>
      <c r="AW33" s="68"/>
      <c r="AX33" s="74"/>
      <c r="AY33" s="74" t="b">
        <v>1</v>
      </c>
      <c r="AZ33" s="68"/>
      <c r="BA33" s="83" t="b">
        <v>0</v>
      </c>
    </row>
    <row r="34" spans="1:53" ht="19.5" customHeight="1">
      <c r="A34" s="68"/>
      <c r="B34" s="75" t="s">
        <v>2071</v>
      </c>
      <c r="C34" s="75" t="s">
        <v>2212</v>
      </c>
      <c r="D34" s="97" t="s">
        <v>2354</v>
      </c>
      <c r="E34" s="199" t="s">
        <v>748</v>
      </c>
      <c r="F34" s="100" t="s">
        <v>2355</v>
      </c>
      <c r="G34" s="75" t="s">
        <v>2255</v>
      </c>
      <c r="H34" s="100" t="s">
        <v>2356</v>
      </c>
      <c r="I34" s="75" t="s">
        <v>2357</v>
      </c>
      <c r="J34" s="75" t="s">
        <v>2358</v>
      </c>
      <c r="K34" s="75" t="s">
        <v>2095</v>
      </c>
      <c r="L34" s="69" t="s">
        <v>2354</v>
      </c>
      <c r="M34" s="68"/>
      <c r="N34" s="69" t="s">
        <v>212</v>
      </c>
      <c r="O34" s="69" t="s">
        <v>2359</v>
      </c>
      <c r="P34" s="70">
        <v>50.782172519973301</v>
      </c>
      <c r="Q34" s="70">
        <v>-3.4642854956401901</v>
      </c>
      <c r="R34" s="75" t="s">
        <v>416</v>
      </c>
      <c r="S34" s="75" t="s">
        <v>672</v>
      </c>
      <c r="T34" s="68"/>
      <c r="U34" s="68"/>
      <c r="V34" s="68"/>
      <c r="W34" s="108" t="b">
        <v>1</v>
      </c>
      <c r="X34" s="108" t="b">
        <v>1</v>
      </c>
      <c r="Y34" s="108" t="b">
        <v>1</v>
      </c>
      <c r="Z34" s="108" t="b">
        <v>1</v>
      </c>
      <c r="AA34" s="108" t="b">
        <v>1</v>
      </c>
      <c r="AB34" s="108" t="b">
        <v>1</v>
      </c>
      <c r="AC34" s="108" t="b">
        <v>1</v>
      </c>
      <c r="AD34" s="75" t="s">
        <v>223</v>
      </c>
      <c r="AE34" s="75" t="s">
        <v>285</v>
      </c>
      <c r="AF34" s="75" t="s">
        <v>886</v>
      </c>
      <c r="AG34" s="100" t="s">
        <v>2360</v>
      </c>
      <c r="AH34" s="75" t="s">
        <v>2122</v>
      </c>
      <c r="AI34" s="75" t="s">
        <v>2361</v>
      </c>
      <c r="AJ34" s="75" t="s">
        <v>2362</v>
      </c>
      <c r="AK34" s="68"/>
      <c r="AL34" s="100" t="s">
        <v>2363</v>
      </c>
      <c r="AM34" s="75" t="s">
        <v>252</v>
      </c>
      <c r="AN34" s="68"/>
      <c r="AO34" s="68"/>
      <c r="AP34" s="68"/>
      <c r="AQ34" s="68"/>
      <c r="AR34" s="68"/>
      <c r="AS34" s="68"/>
      <c r="AT34" s="68"/>
      <c r="AU34" s="68"/>
      <c r="AV34" s="68"/>
      <c r="AW34" s="68"/>
      <c r="AX34" s="74"/>
      <c r="AY34" s="74" t="b">
        <v>1</v>
      </c>
      <c r="AZ34" s="68"/>
      <c r="BA34" s="83" t="b">
        <v>0</v>
      </c>
    </row>
    <row r="35" spans="1:53" ht="19.5" customHeight="1">
      <c r="A35" s="68"/>
      <c r="B35" s="75" t="s">
        <v>2071</v>
      </c>
      <c r="C35" s="75" t="s">
        <v>2252</v>
      </c>
      <c r="D35" s="97" t="s">
        <v>2364</v>
      </c>
      <c r="E35" s="199" t="s">
        <v>748</v>
      </c>
      <c r="F35" s="100" t="s">
        <v>2365</v>
      </c>
      <c r="G35" s="75" t="s">
        <v>2366</v>
      </c>
      <c r="H35" s="100" t="s">
        <v>2367</v>
      </c>
      <c r="I35" s="75" t="s">
        <v>2102</v>
      </c>
      <c r="J35" s="75" t="s">
        <v>2358</v>
      </c>
      <c r="K35" s="75" t="s">
        <v>2095</v>
      </c>
      <c r="L35" s="69" t="s">
        <v>2364</v>
      </c>
      <c r="M35" s="69" t="s">
        <v>1468</v>
      </c>
      <c r="N35" s="69" t="s">
        <v>212</v>
      </c>
      <c r="O35" s="69" t="s">
        <v>1469</v>
      </c>
      <c r="P35" s="70">
        <v>50.791677745190498</v>
      </c>
      <c r="Q35" s="70">
        <v>-3.4528347035301699</v>
      </c>
      <c r="R35" s="75" t="s">
        <v>605</v>
      </c>
      <c r="S35" s="75" t="s">
        <v>2368</v>
      </c>
      <c r="T35" s="75" t="s">
        <v>2369</v>
      </c>
      <c r="U35" s="68"/>
      <c r="V35" s="68"/>
      <c r="W35" s="108" t="b">
        <v>1</v>
      </c>
      <c r="X35" s="108" t="b">
        <v>1</v>
      </c>
      <c r="Y35" s="108" t="b">
        <v>1</v>
      </c>
      <c r="Z35" s="108" t="b">
        <v>1</v>
      </c>
      <c r="AA35" s="108" t="b">
        <v>1</v>
      </c>
      <c r="AB35" s="108" t="b">
        <v>1</v>
      </c>
      <c r="AC35" s="108" t="b">
        <v>1</v>
      </c>
      <c r="AD35" s="75" t="s">
        <v>223</v>
      </c>
      <c r="AE35" s="75" t="s">
        <v>1545</v>
      </c>
      <c r="AF35" s="75" t="s">
        <v>2370</v>
      </c>
      <c r="AG35" s="100" t="s">
        <v>2371</v>
      </c>
      <c r="AH35" s="75" t="s">
        <v>2175</v>
      </c>
      <c r="AI35" s="75" t="s">
        <v>2372</v>
      </c>
      <c r="AJ35" s="75" t="s">
        <v>2373</v>
      </c>
      <c r="AK35" s="68"/>
      <c r="AL35" s="100" t="s">
        <v>1481</v>
      </c>
      <c r="AM35" s="75" t="s">
        <v>252</v>
      </c>
      <c r="AN35" s="68"/>
      <c r="AO35" s="68"/>
      <c r="AP35" s="68"/>
      <c r="AQ35" s="68"/>
      <c r="AR35" s="68"/>
      <c r="AS35" s="68"/>
      <c r="AT35" s="68"/>
      <c r="AU35" s="68"/>
      <c r="AV35" s="68"/>
      <c r="AW35" s="68"/>
      <c r="AX35" s="74"/>
      <c r="AY35" s="74" t="b">
        <v>1</v>
      </c>
      <c r="AZ35" s="68"/>
      <c r="BA35" s="83" t="b">
        <v>0</v>
      </c>
    </row>
    <row r="36" spans="1:53" ht="19.5" customHeight="1">
      <c r="A36" s="68"/>
      <c r="B36" s="75" t="s">
        <v>2071</v>
      </c>
      <c r="C36" s="75" t="s">
        <v>2212</v>
      </c>
      <c r="D36" s="97" t="s">
        <v>2374</v>
      </c>
      <c r="E36" s="199" t="s">
        <v>104</v>
      </c>
      <c r="F36" s="100" t="s">
        <v>2375</v>
      </c>
      <c r="G36" s="75" t="s">
        <v>2376</v>
      </c>
      <c r="H36" s="100" t="s">
        <v>2377</v>
      </c>
      <c r="I36" s="75" t="s">
        <v>2378</v>
      </c>
      <c r="J36" s="75" t="s">
        <v>2379</v>
      </c>
      <c r="K36" s="75" t="s">
        <v>2095</v>
      </c>
      <c r="L36" s="69" t="s">
        <v>2380</v>
      </c>
      <c r="M36" s="69" t="s">
        <v>2381</v>
      </c>
      <c r="N36" s="69" t="s">
        <v>212</v>
      </c>
      <c r="O36" s="69" t="s">
        <v>2382</v>
      </c>
      <c r="P36" s="70">
        <v>50.801404584851397</v>
      </c>
      <c r="Q36" s="70">
        <v>-3.4550206964610299</v>
      </c>
      <c r="R36" s="75" t="s">
        <v>416</v>
      </c>
      <c r="S36" s="75" t="s">
        <v>672</v>
      </c>
      <c r="T36" s="68"/>
      <c r="U36" s="68"/>
      <c r="V36" s="68"/>
      <c r="W36" s="108" t="b">
        <v>1</v>
      </c>
      <c r="X36" s="108" t="b">
        <v>1</v>
      </c>
      <c r="Y36" s="108" t="b">
        <v>1</v>
      </c>
      <c r="Z36" s="108" t="b">
        <v>1</v>
      </c>
      <c r="AA36" s="108" t="b">
        <v>1</v>
      </c>
      <c r="AB36" s="108" t="b">
        <v>1</v>
      </c>
      <c r="AC36" s="108" t="b">
        <v>1</v>
      </c>
      <c r="AD36" s="75" t="s">
        <v>223</v>
      </c>
      <c r="AE36" s="75" t="s">
        <v>1545</v>
      </c>
      <c r="AF36" s="75" t="s">
        <v>322</v>
      </c>
      <c r="AG36" s="100" t="s">
        <v>2383</v>
      </c>
      <c r="AH36" s="68"/>
      <c r="AI36" s="68"/>
      <c r="AJ36" s="75" t="s">
        <v>2362</v>
      </c>
      <c r="AK36" s="68"/>
      <c r="AL36" s="100" t="s">
        <v>2384</v>
      </c>
      <c r="AM36" s="75" t="s">
        <v>252</v>
      </c>
      <c r="AN36" s="68"/>
      <c r="AO36" s="68"/>
      <c r="AP36" s="68"/>
      <c r="AQ36" s="68"/>
      <c r="AR36" s="68"/>
      <c r="AS36" s="68"/>
      <c r="AT36" s="68"/>
      <c r="AU36" s="68"/>
      <c r="AV36" s="68"/>
      <c r="AW36" s="68"/>
      <c r="AX36" s="74"/>
      <c r="AY36" s="74" t="b">
        <v>1</v>
      </c>
      <c r="AZ36" s="68"/>
      <c r="BA36" s="83" t="b">
        <v>0</v>
      </c>
    </row>
    <row r="37" spans="1:53" ht="19.5" customHeight="1">
      <c r="A37" s="68"/>
      <c r="B37" s="75" t="s">
        <v>2071</v>
      </c>
      <c r="C37" s="75" t="s">
        <v>2212</v>
      </c>
      <c r="D37" s="97" t="s">
        <v>2385</v>
      </c>
      <c r="E37" s="199" t="s">
        <v>104</v>
      </c>
      <c r="F37" s="100" t="s">
        <v>2386</v>
      </c>
      <c r="G37" s="75" t="s">
        <v>2387</v>
      </c>
      <c r="H37" s="100" t="s">
        <v>2377</v>
      </c>
      <c r="I37" s="75" t="s">
        <v>2388</v>
      </c>
      <c r="J37" s="75" t="s">
        <v>2379</v>
      </c>
      <c r="K37" s="75" t="s">
        <v>2095</v>
      </c>
      <c r="L37" s="69" t="s">
        <v>2380</v>
      </c>
      <c r="M37" s="69" t="s">
        <v>2381</v>
      </c>
      <c r="N37" s="69" t="s">
        <v>212</v>
      </c>
      <c r="O37" s="69" t="s">
        <v>2382</v>
      </c>
      <c r="P37" s="70">
        <v>50.801404584851397</v>
      </c>
      <c r="Q37" s="70">
        <v>-3.4550206964610299</v>
      </c>
      <c r="R37" s="75" t="s">
        <v>416</v>
      </c>
      <c r="S37" s="75" t="s">
        <v>672</v>
      </c>
      <c r="T37" s="68"/>
      <c r="U37" s="68"/>
      <c r="V37" s="68"/>
      <c r="W37" s="108" t="b">
        <v>1</v>
      </c>
      <c r="X37" s="108" t="b">
        <v>1</v>
      </c>
      <c r="Y37" s="108" t="b">
        <v>1</v>
      </c>
      <c r="Z37" s="108" t="b">
        <v>1</v>
      </c>
      <c r="AA37" s="108" t="b">
        <v>1</v>
      </c>
      <c r="AB37" s="108" t="b">
        <v>1</v>
      </c>
      <c r="AC37" s="108" t="b">
        <v>1</v>
      </c>
      <c r="AD37" s="75" t="s">
        <v>223</v>
      </c>
      <c r="AE37" s="75" t="s">
        <v>1545</v>
      </c>
      <c r="AF37" s="75" t="s">
        <v>322</v>
      </c>
      <c r="AG37" s="100" t="s">
        <v>2389</v>
      </c>
      <c r="AH37" s="68"/>
      <c r="AI37" s="68"/>
      <c r="AJ37" s="75" t="s">
        <v>2362</v>
      </c>
      <c r="AK37" s="68"/>
      <c r="AL37" s="100" t="s">
        <v>2390</v>
      </c>
      <c r="AM37" s="75" t="s">
        <v>252</v>
      </c>
      <c r="AN37" s="68"/>
      <c r="AO37" s="68"/>
      <c r="AP37" s="68"/>
      <c r="AQ37" s="68"/>
      <c r="AR37" s="68"/>
      <c r="AS37" s="68"/>
      <c r="AT37" s="68"/>
      <c r="AU37" s="68"/>
      <c r="AV37" s="68"/>
      <c r="AW37" s="68"/>
      <c r="AX37" s="74"/>
      <c r="AY37" s="74" t="b">
        <v>1</v>
      </c>
      <c r="AZ37" s="68"/>
      <c r="BA37" s="83" t="b">
        <v>0</v>
      </c>
    </row>
    <row r="38" spans="1:53" ht="19.5" customHeight="1">
      <c r="A38" s="68"/>
      <c r="B38" s="75" t="s">
        <v>513</v>
      </c>
      <c r="C38" s="75" t="s">
        <v>2149</v>
      </c>
      <c r="D38" s="97" t="s">
        <v>2391</v>
      </c>
      <c r="E38" s="199" t="s">
        <v>104</v>
      </c>
      <c r="F38" s="100" t="s">
        <v>2392</v>
      </c>
      <c r="G38" s="75" t="s">
        <v>2091</v>
      </c>
      <c r="H38" s="100" t="s">
        <v>2128</v>
      </c>
      <c r="I38" s="75" t="s">
        <v>2393</v>
      </c>
      <c r="J38" s="75" t="s">
        <v>2394</v>
      </c>
      <c r="K38" s="75" t="s">
        <v>2079</v>
      </c>
      <c r="L38" s="68"/>
      <c r="M38" s="69" t="s">
        <v>1468</v>
      </c>
      <c r="N38" s="69" t="s">
        <v>212</v>
      </c>
      <c r="O38" s="69" t="s">
        <v>1469</v>
      </c>
      <c r="P38" s="70">
        <v>50.790550930731897</v>
      </c>
      <c r="Q38" s="70">
        <v>-3.4526107083323998</v>
      </c>
      <c r="R38" s="75" t="s">
        <v>605</v>
      </c>
      <c r="S38" s="75" t="s">
        <v>672</v>
      </c>
      <c r="T38" s="68"/>
      <c r="U38" s="68"/>
      <c r="V38" s="68"/>
      <c r="W38" s="108" t="b">
        <v>1</v>
      </c>
      <c r="X38" s="108" t="b">
        <v>1</v>
      </c>
      <c r="Y38" s="108" t="b">
        <v>1</v>
      </c>
      <c r="Z38" s="108" t="b">
        <v>1</v>
      </c>
      <c r="AA38" s="108" t="b">
        <v>1</v>
      </c>
      <c r="AB38" s="108" t="b">
        <v>1</v>
      </c>
      <c r="AC38" s="108" t="b">
        <v>1</v>
      </c>
      <c r="AD38" s="75" t="s">
        <v>223</v>
      </c>
      <c r="AE38" s="75" t="s">
        <v>1545</v>
      </c>
      <c r="AF38" s="75" t="s">
        <v>2395</v>
      </c>
      <c r="AG38" s="100" t="s">
        <v>2396</v>
      </c>
      <c r="AH38" s="68"/>
      <c r="AI38" s="68"/>
      <c r="AJ38" s="75" t="s">
        <v>2362</v>
      </c>
      <c r="AK38" s="68"/>
      <c r="AL38" s="100" t="s">
        <v>2397</v>
      </c>
      <c r="AM38" s="75" t="s">
        <v>252</v>
      </c>
      <c r="AN38" s="68"/>
      <c r="AO38" s="68"/>
      <c r="AP38" s="68"/>
      <c r="AQ38" s="68"/>
      <c r="AR38" s="68"/>
      <c r="AS38" s="68"/>
      <c r="AT38" s="68"/>
      <c r="AU38" s="68"/>
      <c r="AV38" s="68"/>
      <c r="AW38" s="68"/>
      <c r="AX38" s="74"/>
      <c r="AY38" s="74" t="b">
        <v>1</v>
      </c>
      <c r="AZ38" s="68"/>
      <c r="BA38" s="83" t="b">
        <v>0</v>
      </c>
    </row>
    <row r="39" spans="1:53" ht="19.5" customHeight="1">
      <c r="A39" s="68"/>
      <c r="B39" s="75" t="s">
        <v>2071</v>
      </c>
      <c r="C39" s="75" t="s">
        <v>2273</v>
      </c>
      <c r="D39" s="97" t="s">
        <v>2398</v>
      </c>
      <c r="E39" s="199" t="s">
        <v>104</v>
      </c>
      <c r="F39" s="100" t="s">
        <v>2399</v>
      </c>
      <c r="G39" s="75" t="s">
        <v>2075</v>
      </c>
      <c r="H39" s="100" t="s">
        <v>2276</v>
      </c>
      <c r="I39" s="75" t="s">
        <v>2393</v>
      </c>
      <c r="J39" s="75" t="s">
        <v>2400</v>
      </c>
      <c r="K39" s="75" t="s">
        <v>2079</v>
      </c>
      <c r="L39" s="68"/>
      <c r="M39" s="69" t="s">
        <v>871</v>
      </c>
      <c r="N39" s="69" t="s">
        <v>872</v>
      </c>
      <c r="O39" s="69" t="s">
        <v>2401</v>
      </c>
      <c r="P39" s="70">
        <v>50.694358030963102</v>
      </c>
      <c r="Q39" s="70">
        <v>-3.0948939189316498</v>
      </c>
      <c r="R39" s="75" t="s">
        <v>358</v>
      </c>
      <c r="S39" s="75" t="s">
        <v>672</v>
      </c>
      <c r="T39" s="68"/>
      <c r="U39" s="68"/>
      <c r="V39" s="68"/>
      <c r="W39" s="108" t="b">
        <v>1</v>
      </c>
      <c r="X39" s="108" t="b">
        <v>1</v>
      </c>
      <c r="Y39" s="108" t="b">
        <v>1</v>
      </c>
      <c r="Z39" s="108" t="b">
        <v>1</v>
      </c>
      <c r="AA39" s="108" t="b">
        <v>1</v>
      </c>
      <c r="AB39" s="108" t="b">
        <v>1</v>
      </c>
      <c r="AC39" s="108" t="b">
        <v>1</v>
      </c>
      <c r="AD39" s="75" t="s">
        <v>223</v>
      </c>
      <c r="AE39" s="75" t="s">
        <v>1545</v>
      </c>
      <c r="AF39" s="75" t="s">
        <v>1144</v>
      </c>
      <c r="AG39" s="100" t="s">
        <v>2402</v>
      </c>
      <c r="AH39" s="75" t="s">
        <v>2122</v>
      </c>
      <c r="AI39" s="75" t="s">
        <v>2403</v>
      </c>
      <c r="AJ39" s="75" t="s">
        <v>2362</v>
      </c>
      <c r="AK39" s="68"/>
      <c r="AL39" s="100" t="s">
        <v>2404</v>
      </c>
      <c r="AM39" s="75" t="s">
        <v>783</v>
      </c>
      <c r="AN39" s="68"/>
      <c r="AO39" s="68"/>
      <c r="AP39" s="68"/>
      <c r="AQ39" s="68"/>
      <c r="AR39" s="68"/>
      <c r="AS39" s="68"/>
      <c r="AT39" s="68"/>
      <c r="AU39" s="68"/>
      <c r="AV39" s="68"/>
      <c r="AW39" s="68"/>
      <c r="AX39" s="74"/>
      <c r="AY39" s="74" t="b">
        <v>1</v>
      </c>
      <c r="AZ39" s="68"/>
      <c r="BA39" s="83" t="b">
        <v>0</v>
      </c>
    </row>
    <row r="40" spans="1:53" ht="19.5" customHeight="1">
      <c r="A40" s="68"/>
      <c r="B40" s="75" t="s">
        <v>2071</v>
      </c>
      <c r="C40" s="75" t="s">
        <v>2312</v>
      </c>
      <c r="D40" s="97" t="s">
        <v>2405</v>
      </c>
      <c r="E40" s="199" t="s">
        <v>104</v>
      </c>
      <c r="F40" s="100" t="s">
        <v>2406</v>
      </c>
      <c r="G40" s="75" t="s">
        <v>2091</v>
      </c>
      <c r="H40" s="100" t="s">
        <v>2128</v>
      </c>
      <c r="I40" s="75" t="s">
        <v>2407</v>
      </c>
      <c r="J40" s="75" t="s">
        <v>2130</v>
      </c>
      <c r="K40" s="75" t="s">
        <v>2095</v>
      </c>
      <c r="L40" s="69" t="s">
        <v>2408</v>
      </c>
      <c r="M40" s="69" t="s">
        <v>2409</v>
      </c>
      <c r="N40" s="69" t="s">
        <v>212</v>
      </c>
      <c r="O40" s="69" t="s">
        <v>2410</v>
      </c>
      <c r="P40" s="70">
        <v>50.650477637264402</v>
      </c>
      <c r="Q40" s="70">
        <v>-3.4547365163912702</v>
      </c>
      <c r="R40" s="75" t="s">
        <v>416</v>
      </c>
      <c r="S40" s="75" t="s">
        <v>777</v>
      </c>
      <c r="T40" s="68"/>
      <c r="U40" s="68"/>
      <c r="V40" s="68"/>
      <c r="W40" s="108" t="b">
        <v>1</v>
      </c>
      <c r="X40" s="108" t="b">
        <v>1</v>
      </c>
      <c r="Y40" s="108" t="b">
        <v>1</v>
      </c>
      <c r="Z40" s="108" t="b">
        <v>1</v>
      </c>
      <c r="AA40" s="108" t="b">
        <v>1</v>
      </c>
      <c r="AB40" s="108" t="b">
        <v>1</v>
      </c>
      <c r="AC40" s="108" t="b">
        <v>1</v>
      </c>
      <c r="AD40" s="75" t="s">
        <v>223</v>
      </c>
      <c r="AE40" s="75" t="s">
        <v>2120</v>
      </c>
      <c r="AF40" s="75" t="s">
        <v>322</v>
      </c>
      <c r="AG40" s="100" t="s">
        <v>2411</v>
      </c>
      <c r="AH40" s="68"/>
      <c r="AI40" s="68"/>
      <c r="AJ40" s="75" t="s">
        <v>2135</v>
      </c>
      <c r="AK40" s="68"/>
      <c r="AL40" s="100" t="s">
        <v>2412</v>
      </c>
      <c r="AM40" s="75" t="s">
        <v>252</v>
      </c>
      <c r="AN40" s="68"/>
      <c r="AO40" s="68"/>
      <c r="AP40" s="68"/>
      <c r="AQ40" s="68"/>
      <c r="AR40" s="68"/>
      <c r="AS40" s="68"/>
      <c r="AT40" s="68"/>
      <c r="AU40" s="68"/>
      <c r="AV40" s="68"/>
      <c r="AW40" s="68"/>
      <c r="AX40" s="74"/>
      <c r="AY40" s="74" t="b">
        <v>1</v>
      </c>
      <c r="AZ40" s="68"/>
      <c r="BA40" s="83" t="b">
        <v>0</v>
      </c>
    </row>
    <row r="41" spans="1:53" ht="19.5" customHeight="1">
      <c r="A41" s="68"/>
      <c r="B41" s="75" t="s">
        <v>2071</v>
      </c>
      <c r="C41" s="75" t="s">
        <v>2312</v>
      </c>
      <c r="D41" s="97" t="s">
        <v>2413</v>
      </c>
      <c r="E41" s="199" t="s">
        <v>208</v>
      </c>
      <c r="F41" s="100" t="s">
        <v>2414</v>
      </c>
      <c r="G41" s="75" t="s">
        <v>2091</v>
      </c>
      <c r="H41" s="100" t="s">
        <v>2128</v>
      </c>
      <c r="I41" s="75" t="s">
        <v>2217</v>
      </c>
      <c r="J41" s="75" t="s">
        <v>2130</v>
      </c>
      <c r="K41" s="75" t="s">
        <v>2095</v>
      </c>
      <c r="L41" s="68"/>
      <c r="M41" s="69" t="s">
        <v>2415</v>
      </c>
      <c r="N41" s="69" t="s">
        <v>212</v>
      </c>
      <c r="O41" s="69" t="s">
        <v>2416</v>
      </c>
      <c r="P41" s="70">
        <v>50.676968751946703</v>
      </c>
      <c r="Q41" s="70">
        <v>-3.4705980562058301</v>
      </c>
      <c r="R41" s="75" t="s">
        <v>416</v>
      </c>
      <c r="S41" s="75" t="s">
        <v>777</v>
      </c>
      <c r="T41" s="68"/>
      <c r="U41" s="68"/>
      <c r="V41" s="68"/>
      <c r="W41" s="108" t="b">
        <v>1</v>
      </c>
      <c r="X41" s="108" t="b">
        <v>1</v>
      </c>
      <c r="Y41" s="108" t="b">
        <v>1</v>
      </c>
      <c r="Z41" s="108" t="b">
        <v>1</v>
      </c>
      <c r="AA41" s="108" t="b">
        <v>1</v>
      </c>
      <c r="AB41" s="108" t="b">
        <v>1</v>
      </c>
      <c r="AC41" s="108" t="b">
        <v>1</v>
      </c>
      <c r="AD41" s="75" t="s">
        <v>223</v>
      </c>
      <c r="AE41" s="75" t="s">
        <v>2120</v>
      </c>
      <c r="AF41" s="75" t="s">
        <v>509</v>
      </c>
      <c r="AG41" s="100" t="s">
        <v>2417</v>
      </c>
      <c r="AH41" s="68"/>
      <c r="AI41" s="68"/>
      <c r="AJ41" s="75" t="s">
        <v>2135</v>
      </c>
      <c r="AK41" s="68"/>
      <c r="AL41" s="100" t="s">
        <v>2418</v>
      </c>
      <c r="AM41" s="75" t="s">
        <v>252</v>
      </c>
      <c r="AN41" s="68"/>
      <c r="AO41" s="68"/>
      <c r="AP41" s="68"/>
      <c r="AQ41" s="68"/>
      <c r="AR41" s="68"/>
      <c r="AS41" s="68"/>
      <c r="AT41" s="68"/>
      <c r="AU41" s="68"/>
      <c r="AV41" s="68"/>
      <c r="AW41" s="68"/>
      <c r="AX41" s="74"/>
      <c r="AY41" s="74" t="b">
        <v>1</v>
      </c>
      <c r="AZ41" s="68"/>
      <c r="BA41" s="83" t="b">
        <v>0</v>
      </c>
    </row>
    <row r="42" spans="1:53" ht="19.5" customHeight="1">
      <c r="A42" s="68"/>
      <c r="B42" s="75" t="s">
        <v>2071</v>
      </c>
      <c r="C42" s="75" t="s">
        <v>2419</v>
      </c>
      <c r="D42" s="115" t="s">
        <v>2420</v>
      </c>
      <c r="E42" s="199" t="s">
        <v>208</v>
      </c>
      <c r="F42" s="100" t="s">
        <v>2421</v>
      </c>
      <c r="G42" s="75" t="s">
        <v>2091</v>
      </c>
      <c r="H42" s="100" t="s">
        <v>2377</v>
      </c>
      <c r="I42" s="100" t="s">
        <v>2077</v>
      </c>
      <c r="J42" s="75" t="s">
        <v>2422</v>
      </c>
      <c r="K42" s="75" t="s">
        <v>2095</v>
      </c>
      <c r="L42" s="69" t="s">
        <v>2301</v>
      </c>
      <c r="M42" s="68"/>
      <c r="N42" s="69" t="s">
        <v>905</v>
      </c>
      <c r="O42" s="69" t="s">
        <v>527</v>
      </c>
      <c r="P42" s="70">
        <v>50.6304988193775</v>
      </c>
      <c r="Q42" s="70">
        <v>-3.3129901993970901</v>
      </c>
      <c r="R42" s="75" t="s">
        <v>218</v>
      </c>
      <c r="S42" s="75" t="s">
        <v>672</v>
      </c>
      <c r="T42" s="68"/>
      <c r="U42" s="68"/>
      <c r="V42" s="68"/>
      <c r="W42" s="108" t="b">
        <v>1</v>
      </c>
      <c r="X42" s="108" t="b">
        <v>1</v>
      </c>
      <c r="Y42" s="108" t="b">
        <v>1</v>
      </c>
      <c r="Z42" s="108" t="b">
        <v>1</v>
      </c>
      <c r="AA42" s="108" t="b">
        <v>1</v>
      </c>
      <c r="AB42" s="108" t="b">
        <v>1</v>
      </c>
      <c r="AC42" s="108" t="b">
        <v>1</v>
      </c>
      <c r="AD42" s="75" t="s">
        <v>223</v>
      </c>
      <c r="AE42" s="75" t="s">
        <v>2120</v>
      </c>
      <c r="AF42" s="75" t="s">
        <v>509</v>
      </c>
      <c r="AG42" s="100" t="s">
        <v>2423</v>
      </c>
      <c r="AH42" s="75" t="s">
        <v>2424</v>
      </c>
      <c r="AI42" s="75" t="s">
        <v>2425</v>
      </c>
      <c r="AJ42" s="75" t="s">
        <v>2426</v>
      </c>
      <c r="AK42" s="75" t="s">
        <v>250</v>
      </c>
      <c r="AL42" s="100" t="s">
        <v>2427</v>
      </c>
      <c r="AM42" s="75" t="s">
        <v>252</v>
      </c>
      <c r="AN42" s="68"/>
      <c r="AO42" s="68"/>
      <c r="AP42" s="68"/>
      <c r="AQ42" s="68"/>
      <c r="AR42" s="68"/>
      <c r="AS42" s="68"/>
      <c r="AT42" s="68"/>
      <c r="AU42" s="68"/>
      <c r="AV42" s="68"/>
      <c r="AW42" s="68"/>
      <c r="AX42" s="74"/>
      <c r="AY42" s="74" t="b">
        <v>1</v>
      </c>
      <c r="AZ42" s="68"/>
      <c r="BA42" s="83" t="b">
        <v>0</v>
      </c>
    </row>
    <row r="43" spans="1:53" ht="19.5" customHeight="1">
      <c r="A43" s="100" t="s">
        <v>2070</v>
      </c>
      <c r="B43" s="100" t="s">
        <v>2071</v>
      </c>
      <c r="C43" s="100" t="s">
        <v>2428</v>
      </c>
      <c r="D43" s="97" t="s">
        <v>2429</v>
      </c>
      <c r="E43" s="199" t="s">
        <v>104</v>
      </c>
      <c r="F43" s="100" t="s">
        <v>2430</v>
      </c>
      <c r="G43" s="100" t="s">
        <v>2255</v>
      </c>
      <c r="H43" s="100" t="s">
        <v>2367</v>
      </c>
      <c r="I43" s="100" t="s">
        <v>2243</v>
      </c>
      <c r="J43" s="75" t="s">
        <v>2431</v>
      </c>
      <c r="K43" s="75" t="s">
        <v>2095</v>
      </c>
      <c r="L43" s="68"/>
      <c r="M43" s="69" t="s">
        <v>739</v>
      </c>
      <c r="N43" s="69" t="s">
        <v>212</v>
      </c>
      <c r="O43" s="69" t="s">
        <v>2432</v>
      </c>
      <c r="P43" s="70">
        <v>50.676800764370299</v>
      </c>
      <c r="Q43" s="70">
        <v>-3.3708031237769802</v>
      </c>
      <c r="R43" s="100" t="s">
        <v>416</v>
      </c>
      <c r="S43" s="75" t="s">
        <v>672</v>
      </c>
      <c r="T43" s="68"/>
      <c r="U43" s="68"/>
      <c r="V43" s="68"/>
      <c r="W43" s="108" t="b">
        <v>1</v>
      </c>
      <c r="X43" s="108" t="b">
        <v>1</v>
      </c>
      <c r="Y43" s="108" t="b">
        <v>1</v>
      </c>
      <c r="Z43" s="108" t="b">
        <v>1</v>
      </c>
      <c r="AA43" s="108" t="b">
        <v>1</v>
      </c>
      <c r="AB43" s="108" t="b">
        <v>1</v>
      </c>
      <c r="AC43" s="108" t="b">
        <v>1</v>
      </c>
      <c r="AD43" s="75" t="s">
        <v>223</v>
      </c>
      <c r="AE43" s="75" t="s">
        <v>1545</v>
      </c>
      <c r="AF43" s="100" t="s">
        <v>286</v>
      </c>
      <c r="AG43" s="100" t="s">
        <v>2433</v>
      </c>
      <c r="AH43" s="68"/>
      <c r="AI43" s="75" t="s">
        <v>2434</v>
      </c>
      <c r="AJ43" s="68"/>
      <c r="AK43" s="68"/>
      <c r="AL43" s="100" t="s">
        <v>2435</v>
      </c>
      <c r="AM43" s="75" t="s">
        <v>252</v>
      </c>
      <c r="AN43" s="68"/>
      <c r="AO43" s="68"/>
      <c r="AP43" s="68"/>
      <c r="AQ43" s="68"/>
      <c r="AR43" s="68"/>
      <c r="AS43" s="68"/>
      <c r="AT43" s="68"/>
      <c r="AU43" s="68"/>
      <c r="AV43" s="68"/>
      <c r="AW43" s="68"/>
      <c r="AX43" s="74"/>
      <c r="AY43" s="74" t="b">
        <v>1</v>
      </c>
      <c r="AZ43" s="68"/>
      <c r="BA43" s="83" t="b">
        <v>0</v>
      </c>
    </row>
    <row r="44" spans="1:53" ht="19.5" customHeight="1">
      <c r="A44" s="100" t="s">
        <v>2070</v>
      </c>
      <c r="B44" s="100" t="s">
        <v>2071</v>
      </c>
      <c r="C44" s="100" t="s">
        <v>2428</v>
      </c>
      <c r="D44" s="97" t="s">
        <v>2436</v>
      </c>
      <c r="E44" s="199" t="s">
        <v>104</v>
      </c>
      <c r="F44" s="100" t="s">
        <v>2437</v>
      </c>
      <c r="G44" s="100" t="s">
        <v>2255</v>
      </c>
      <c r="H44" s="100" t="s">
        <v>2367</v>
      </c>
      <c r="I44" s="100" t="s">
        <v>2217</v>
      </c>
      <c r="J44" s="75" t="s">
        <v>2431</v>
      </c>
      <c r="K44" s="75" t="s">
        <v>2095</v>
      </c>
      <c r="L44" s="68"/>
      <c r="M44" s="69" t="s">
        <v>739</v>
      </c>
      <c r="N44" s="69" t="s">
        <v>212</v>
      </c>
      <c r="O44" s="69" t="s">
        <v>2432</v>
      </c>
      <c r="P44" s="70">
        <v>50.669307538866398</v>
      </c>
      <c r="Q44" s="70">
        <v>-3.3631313557122402</v>
      </c>
      <c r="R44" s="100" t="s">
        <v>416</v>
      </c>
      <c r="S44" s="75" t="s">
        <v>672</v>
      </c>
      <c r="T44" s="68"/>
      <c r="U44" s="68"/>
      <c r="V44" s="68"/>
      <c r="W44" s="108" t="b">
        <v>1</v>
      </c>
      <c r="X44" s="108" t="b">
        <v>1</v>
      </c>
      <c r="Y44" s="108" t="b">
        <v>1</v>
      </c>
      <c r="Z44" s="108" t="b">
        <v>1</v>
      </c>
      <c r="AA44" s="108" t="b">
        <v>1</v>
      </c>
      <c r="AB44" s="108" t="b">
        <v>1</v>
      </c>
      <c r="AC44" s="108" t="b">
        <v>1</v>
      </c>
      <c r="AD44" s="75" t="s">
        <v>223</v>
      </c>
      <c r="AE44" s="75" t="s">
        <v>1545</v>
      </c>
      <c r="AF44" s="100" t="s">
        <v>2438</v>
      </c>
      <c r="AG44" s="100" t="s">
        <v>2439</v>
      </c>
      <c r="AH44" s="68"/>
      <c r="AI44" s="75" t="s">
        <v>2434</v>
      </c>
      <c r="AJ44" s="75" t="s">
        <v>2440</v>
      </c>
      <c r="AK44" s="68"/>
      <c r="AL44" s="100" t="s">
        <v>2441</v>
      </c>
      <c r="AM44" s="75" t="s">
        <v>252</v>
      </c>
      <c r="AN44" s="68"/>
      <c r="AO44" s="68"/>
      <c r="AP44" s="68"/>
      <c r="AQ44" s="68"/>
      <c r="AR44" s="68"/>
      <c r="AS44" s="68"/>
      <c r="AT44" s="68"/>
      <c r="AU44" s="68"/>
      <c r="AV44" s="68"/>
      <c r="AW44" s="68"/>
      <c r="AX44" s="74"/>
      <c r="AY44" s="74" t="b">
        <v>1</v>
      </c>
      <c r="AZ44" s="68"/>
      <c r="BA44" s="83" t="b">
        <v>0</v>
      </c>
    </row>
    <row r="45" spans="1:53" ht="19.5" customHeight="1">
      <c r="A45" s="68"/>
      <c r="B45" s="100" t="s">
        <v>2071</v>
      </c>
      <c r="C45" s="100" t="s">
        <v>2212</v>
      </c>
      <c r="D45" s="97" t="s">
        <v>2442</v>
      </c>
      <c r="E45" s="199" t="s">
        <v>104</v>
      </c>
      <c r="F45" s="100" t="s">
        <v>2443</v>
      </c>
      <c r="G45" s="100" t="s">
        <v>2091</v>
      </c>
      <c r="H45" s="100" t="s">
        <v>2367</v>
      </c>
      <c r="I45" s="100" t="s">
        <v>2102</v>
      </c>
      <c r="J45" s="75" t="s">
        <v>2431</v>
      </c>
      <c r="K45" s="75" t="s">
        <v>2095</v>
      </c>
      <c r="L45" s="68"/>
      <c r="M45" s="69" t="s">
        <v>739</v>
      </c>
      <c r="N45" s="69" t="s">
        <v>212</v>
      </c>
      <c r="O45" s="69" t="s">
        <v>2432</v>
      </c>
      <c r="P45" s="70">
        <v>50.676691235212701</v>
      </c>
      <c r="Q45" s="70">
        <v>-3.3719610901231301</v>
      </c>
      <c r="R45" s="100" t="s">
        <v>416</v>
      </c>
      <c r="S45" s="75" t="s">
        <v>672</v>
      </c>
      <c r="T45" s="68"/>
      <c r="U45" s="68"/>
      <c r="V45" s="68"/>
      <c r="W45" s="108" t="b">
        <v>1</v>
      </c>
      <c r="X45" s="108" t="b">
        <v>1</v>
      </c>
      <c r="Y45" s="108" t="b">
        <v>1</v>
      </c>
      <c r="Z45" s="108" t="b">
        <v>1</v>
      </c>
      <c r="AA45" s="108" t="b">
        <v>1</v>
      </c>
      <c r="AB45" s="108" t="b">
        <v>1</v>
      </c>
      <c r="AC45" s="108" t="b">
        <v>1</v>
      </c>
      <c r="AD45" s="75" t="s">
        <v>223</v>
      </c>
      <c r="AE45" s="75" t="s">
        <v>1545</v>
      </c>
      <c r="AF45" s="100" t="s">
        <v>379</v>
      </c>
      <c r="AG45" s="100" t="s">
        <v>2444</v>
      </c>
      <c r="AH45" s="68"/>
      <c r="AI45" s="75" t="s">
        <v>2434</v>
      </c>
      <c r="AJ45" s="75" t="s">
        <v>2445</v>
      </c>
      <c r="AK45" s="68"/>
      <c r="AL45" s="100" t="s">
        <v>2446</v>
      </c>
      <c r="AM45" s="75" t="s">
        <v>252</v>
      </c>
      <c r="AN45" s="68"/>
      <c r="AO45" s="68"/>
      <c r="AP45" s="68"/>
      <c r="AQ45" s="68"/>
      <c r="AR45" s="68"/>
      <c r="AS45" s="68"/>
      <c r="AT45" s="68"/>
      <c r="AU45" s="68"/>
      <c r="AV45" s="68"/>
      <c r="AW45" s="68"/>
      <c r="AX45" s="74"/>
      <c r="AY45" s="74" t="b">
        <v>1</v>
      </c>
      <c r="AZ45" s="68"/>
      <c r="BA45" s="83" t="b">
        <v>0</v>
      </c>
    </row>
    <row r="46" spans="1:53" ht="19.5" customHeight="1">
      <c r="A46" s="68"/>
      <c r="B46" s="75" t="s">
        <v>2071</v>
      </c>
      <c r="C46" s="75" t="s">
        <v>2072</v>
      </c>
      <c r="D46" s="115" t="s">
        <v>1031</v>
      </c>
      <c r="E46" s="199" t="s">
        <v>2447</v>
      </c>
      <c r="F46" s="100" t="s">
        <v>2448</v>
      </c>
      <c r="G46" s="100" t="s">
        <v>2255</v>
      </c>
      <c r="H46" s="100" t="s">
        <v>2449</v>
      </c>
      <c r="I46" s="100" t="s">
        <v>2450</v>
      </c>
      <c r="J46" s="75" t="s">
        <v>2358</v>
      </c>
      <c r="K46" s="75" t="s">
        <v>2095</v>
      </c>
      <c r="L46" s="68"/>
      <c r="M46" s="69" t="s">
        <v>1031</v>
      </c>
      <c r="N46" s="69" t="s">
        <v>356</v>
      </c>
      <c r="O46" s="69" t="s">
        <v>1402</v>
      </c>
      <c r="P46" s="70">
        <v>50.562471615067999</v>
      </c>
      <c r="Q46" s="70">
        <v>-3.6501001808634999</v>
      </c>
      <c r="R46" s="100" t="s">
        <v>218</v>
      </c>
      <c r="S46" s="75" t="s">
        <v>2451</v>
      </c>
      <c r="T46" s="75" t="s">
        <v>1072</v>
      </c>
      <c r="U46" s="68"/>
      <c r="V46" s="68"/>
      <c r="W46" s="108" t="b">
        <v>1</v>
      </c>
      <c r="X46" s="108" t="b">
        <v>1</v>
      </c>
      <c r="Y46" s="108" t="b">
        <v>1</v>
      </c>
      <c r="Z46" s="108" t="b">
        <v>1</v>
      </c>
      <c r="AA46" s="108" t="b">
        <v>1</v>
      </c>
      <c r="AB46" s="108" t="b">
        <v>1</v>
      </c>
      <c r="AC46" s="108" t="b">
        <v>1</v>
      </c>
      <c r="AD46" s="75" t="s">
        <v>223</v>
      </c>
      <c r="AE46" s="75" t="s">
        <v>1545</v>
      </c>
      <c r="AF46" s="100" t="s">
        <v>794</v>
      </c>
      <c r="AG46" s="100" t="s">
        <v>2452</v>
      </c>
      <c r="AH46" s="68"/>
      <c r="AI46" s="75" t="s">
        <v>1646</v>
      </c>
      <c r="AJ46" s="75" t="s">
        <v>2250</v>
      </c>
      <c r="AK46" s="75" t="s">
        <v>250</v>
      </c>
      <c r="AL46" s="100" t="s">
        <v>2453</v>
      </c>
      <c r="AM46" s="100" t="s">
        <v>252</v>
      </c>
      <c r="AN46" s="68"/>
      <c r="AO46" s="68"/>
      <c r="AP46" s="68"/>
      <c r="AQ46" s="68"/>
      <c r="AR46" s="68"/>
      <c r="AS46" s="68"/>
      <c r="AT46" s="68"/>
      <c r="AU46" s="68"/>
      <c r="AV46" s="68"/>
      <c r="AW46" s="68"/>
      <c r="AX46" s="74"/>
      <c r="AY46" s="74" t="b">
        <v>1</v>
      </c>
      <c r="AZ46" s="68"/>
      <c r="BA46" s="83" t="b">
        <v>0</v>
      </c>
    </row>
    <row r="47" spans="1:53" ht="19.5" customHeight="1">
      <c r="A47" s="68"/>
      <c r="B47" s="75" t="s">
        <v>2071</v>
      </c>
      <c r="C47" s="75" t="s">
        <v>2072</v>
      </c>
      <c r="D47" s="115" t="s">
        <v>1551</v>
      </c>
      <c r="E47" s="199" t="s">
        <v>2447</v>
      </c>
      <c r="F47" s="100" t="s">
        <v>2454</v>
      </c>
      <c r="G47" s="100" t="s">
        <v>2215</v>
      </c>
      <c r="H47" s="100" t="s">
        <v>2367</v>
      </c>
      <c r="I47" s="100" t="s">
        <v>2455</v>
      </c>
      <c r="J47" s="75" t="s">
        <v>2358</v>
      </c>
      <c r="K47" s="75" t="s">
        <v>2095</v>
      </c>
      <c r="L47" s="68"/>
      <c r="M47" s="69" t="s">
        <v>1553</v>
      </c>
      <c r="N47" s="69" t="s">
        <v>356</v>
      </c>
      <c r="O47" s="69" t="s">
        <v>1554</v>
      </c>
      <c r="P47" s="70">
        <v>50.5211732272966</v>
      </c>
      <c r="Q47" s="70">
        <v>-3.6001730663885101</v>
      </c>
      <c r="R47" s="100" t="s">
        <v>218</v>
      </c>
      <c r="S47" s="75" t="s">
        <v>2456</v>
      </c>
      <c r="T47" s="75" t="s">
        <v>742</v>
      </c>
      <c r="U47" s="68"/>
      <c r="V47" s="68"/>
      <c r="W47" s="108" t="b">
        <v>1</v>
      </c>
      <c r="X47" s="108" t="b">
        <v>1</v>
      </c>
      <c r="Y47" s="108" t="b">
        <v>1</v>
      </c>
      <c r="Z47" s="108" t="b">
        <v>1</v>
      </c>
      <c r="AA47" s="108" t="b">
        <v>1</v>
      </c>
      <c r="AB47" s="108" t="b">
        <v>1</v>
      </c>
      <c r="AC47" s="108" t="b">
        <v>1</v>
      </c>
      <c r="AD47" s="75" t="s">
        <v>223</v>
      </c>
      <c r="AE47" s="75" t="s">
        <v>1545</v>
      </c>
      <c r="AF47" s="100" t="s">
        <v>286</v>
      </c>
      <c r="AG47" s="100" t="s">
        <v>2457</v>
      </c>
      <c r="AH47" s="68"/>
      <c r="AI47" s="75" t="s">
        <v>1646</v>
      </c>
      <c r="AJ47" s="75" t="s">
        <v>2440</v>
      </c>
      <c r="AK47" s="68"/>
      <c r="AL47" s="100" t="s">
        <v>2458</v>
      </c>
      <c r="AM47" s="100" t="s">
        <v>252</v>
      </c>
      <c r="AN47" s="68"/>
      <c r="AO47" s="68"/>
      <c r="AP47" s="68"/>
      <c r="AQ47" s="68"/>
      <c r="AR47" s="68"/>
      <c r="AS47" s="68"/>
      <c r="AT47" s="68"/>
      <c r="AU47" s="68"/>
      <c r="AV47" s="68"/>
      <c r="AW47" s="68"/>
      <c r="AX47" s="74"/>
      <c r="AY47" s="74" t="b">
        <v>1</v>
      </c>
      <c r="AZ47" s="68"/>
      <c r="BA47" s="83" t="b">
        <v>0</v>
      </c>
    </row>
    <row r="48" spans="1:53" ht="19.5" customHeight="1">
      <c r="A48" s="68"/>
      <c r="B48" s="75" t="s">
        <v>2071</v>
      </c>
      <c r="C48" s="75" t="s">
        <v>2112</v>
      </c>
      <c r="D48" s="115" t="s">
        <v>2459</v>
      </c>
      <c r="E48" s="199" t="s">
        <v>104</v>
      </c>
      <c r="F48" s="100" t="s">
        <v>2460</v>
      </c>
      <c r="G48" s="100" t="s">
        <v>2075</v>
      </c>
      <c r="H48" s="100" t="s">
        <v>2461</v>
      </c>
      <c r="I48" s="140" t="s">
        <v>2455</v>
      </c>
      <c r="J48" s="75" t="s">
        <v>2462</v>
      </c>
      <c r="K48" s="75" t="s">
        <v>2095</v>
      </c>
      <c r="L48" s="69" t="s">
        <v>2463</v>
      </c>
      <c r="M48" s="69" t="s">
        <v>295</v>
      </c>
      <c r="N48" s="69" t="s">
        <v>259</v>
      </c>
      <c r="O48" s="68"/>
      <c r="P48" s="70">
        <v>50.6489693253761</v>
      </c>
      <c r="Q48" s="70">
        <v>-3.4239901114073601</v>
      </c>
      <c r="R48" s="100" t="s">
        <v>917</v>
      </c>
      <c r="S48" s="75" t="s">
        <v>298</v>
      </c>
      <c r="T48" s="68"/>
      <c r="U48" s="68"/>
      <c r="V48" s="68"/>
      <c r="W48" s="108" t="b">
        <v>1</v>
      </c>
      <c r="X48" s="108" t="b">
        <v>1</v>
      </c>
      <c r="Y48" s="108" t="b">
        <v>1</v>
      </c>
      <c r="Z48" s="108" t="b">
        <v>1</v>
      </c>
      <c r="AA48" s="108" t="b">
        <v>1</v>
      </c>
      <c r="AB48" s="108" t="b">
        <v>1</v>
      </c>
      <c r="AC48" s="108" t="b">
        <v>1</v>
      </c>
      <c r="AD48" s="75" t="s">
        <v>223</v>
      </c>
      <c r="AE48" s="75" t="s">
        <v>1545</v>
      </c>
      <c r="AF48" s="100" t="s">
        <v>754</v>
      </c>
      <c r="AG48" s="100" t="s">
        <v>2464</v>
      </c>
      <c r="AH48" s="68"/>
      <c r="AI48" s="68"/>
      <c r="AJ48" s="75" t="s">
        <v>2465</v>
      </c>
      <c r="AK48" s="68"/>
      <c r="AL48" s="100" t="s">
        <v>2466</v>
      </c>
      <c r="AM48" s="100" t="s">
        <v>252</v>
      </c>
      <c r="AN48" s="68"/>
      <c r="AO48" s="68"/>
      <c r="AP48" s="68"/>
      <c r="AQ48" s="68"/>
      <c r="AR48" s="68"/>
      <c r="AS48" s="68"/>
      <c r="AT48" s="68"/>
      <c r="AU48" s="68"/>
      <c r="AV48" s="68"/>
      <c r="AW48" s="68"/>
      <c r="AX48" s="74"/>
      <c r="AY48" s="74" t="b">
        <v>1</v>
      </c>
      <c r="AZ48" s="68"/>
      <c r="BA48" s="83" t="b">
        <v>0</v>
      </c>
    </row>
    <row r="49" spans="1:53" ht="19.5" customHeight="1">
      <c r="A49" s="68"/>
      <c r="B49" s="75" t="s">
        <v>2071</v>
      </c>
      <c r="C49" s="100" t="s">
        <v>2419</v>
      </c>
      <c r="D49" s="115" t="s">
        <v>2467</v>
      </c>
      <c r="E49" s="199" t="s">
        <v>104</v>
      </c>
      <c r="F49" s="100" t="s">
        <v>2468</v>
      </c>
      <c r="G49" s="100" t="s">
        <v>2255</v>
      </c>
      <c r="H49" s="100" t="s">
        <v>2367</v>
      </c>
      <c r="I49" s="140" t="s">
        <v>2469</v>
      </c>
      <c r="J49" s="75" t="s">
        <v>2379</v>
      </c>
      <c r="K49" s="75" t="s">
        <v>2095</v>
      </c>
      <c r="L49" s="69" t="s">
        <v>1543</v>
      </c>
      <c r="M49" s="68"/>
      <c r="N49" s="69" t="s">
        <v>212</v>
      </c>
      <c r="O49" s="69" t="s">
        <v>1544</v>
      </c>
      <c r="P49" s="70">
        <v>50.740452438987802</v>
      </c>
      <c r="Q49" s="70">
        <v>-3.51127932595567</v>
      </c>
      <c r="R49" s="100" t="s">
        <v>416</v>
      </c>
      <c r="S49" s="75" t="s">
        <v>672</v>
      </c>
      <c r="T49" s="75" t="s">
        <v>542</v>
      </c>
      <c r="U49" s="68"/>
      <c r="V49" s="68"/>
      <c r="W49" s="108" t="b">
        <v>1</v>
      </c>
      <c r="X49" s="108" t="b">
        <v>1</v>
      </c>
      <c r="Y49" s="108" t="b">
        <v>1</v>
      </c>
      <c r="Z49" s="108" t="b">
        <v>1</v>
      </c>
      <c r="AA49" s="108" t="b">
        <v>1</v>
      </c>
      <c r="AB49" s="108" t="b">
        <v>1</v>
      </c>
      <c r="AC49" s="108" t="b">
        <v>1</v>
      </c>
      <c r="AD49" s="75" t="s">
        <v>223</v>
      </c>
      <c r="AE49" s="75" t="s">
        <v>1545</v>
      </c>
      <c r="AF49" s="100" t="s">
        <v>286</v>
      </c>
      <c r="AG49" s="100" t="s">
        <v>2470</v>
      </c>
      <c r="AH49" s="75" t="s">
        <v>2122</v>
      </c>
      <c r="AI49" s="75" t="s">
        <v>1547</v>
      </c>
      <c r="AJ49" s="75" t="s">
        <v>2471</v>
      </c>
      <c r="AK49" s="68"/>
      <c r="AL49" s="100" t="s">
        <v>1550</v>
      </c>
      <c r="AM49" s="100" t="s">
        <v>252</v>
      </c>
      <c r="AN49" s="68"/>
      <c r="AO49" s="68"/>
      <c r="AP49" s="68"/>
      <c r="AQ49" s="68"/>
      <c r="AR49" s="68"/>
      <c r="AS49" s="68"/>
      <c r="AT49" s="68"/>
      <c r="AU49" s="68"/>
      <c r="AV49" s="68"/>
      <c r="AW49" s="68"/>
      <c r="AX49" s="74"/>
      <c r="AY49" s="74" t="b">
        <v>1</v>
      </c>
      <c r="AZ49" s="68"/>
      <c r="BA49" s="83" t="b">
        <v>0</v>
      </c>
    </row>
    <row r="50" spans="1:53" ht="19.5" customHeight="1">
      <c r="A50" s="68"/>
      <c r="B50" s="75" t="s">
        <v>2071</v>
      </c>
      <c r="C50" s="100" t="s">
        <v>2472</v>
      </c>
      <c r="D50" s="115" t="s">
        <v>2473</v>
      </c>
      <c r="E50" s="199" t="s">
        <v>104</v>
      </c>
      <c r="F50" s="100" t="s">
        <v>2474</v>
      </c>
      <c r="G50" s="100" t="s">
        <v>2215</v>
      </c>
      <c r="H50" s="100" t="s">
        <v>2076</v>
      </c>
      <c r="I50" s="140" t="s">
        <v>2102</v>
      </c>
      <c r="J50" s="75" t="s">
        <v>2218</v>
      </c>
      <c r="K50" s="75" t="s">
        <v>2095</v>
      </c>
      <c r="L50" s="68"/>
      <c r="M50" s="68"/>
      <c r="N50" s="69" t="s">
        <v>2219</v>
      </c>
      <c r="O50" s="69" t="s">
        <v>2475</v>
      </c>
      <c r="P50" s="70">
        <v>50.5442442119096</v>
      </c>
      <c r="Q50" s="70">
        <v>-3.8753579602713102</v>
      </c>
      <c r="R50" s="100" t="s">
        <v>218</v>
      </c>
      <c r="S50" s="75" t="s">
        <v>672</v>
      </c>
      <c r="T50" s="68"/>
      <c r="U50" s="68"/>
      <c r="V50" s="68"/>
      <c r="W50" s="108" t="b">
        <v>1</v>
      </c>
      <c r="X50" s="108" t="b">
        <v>1</v>
      </c>
      <c r="Y50" s="108" t="b">
        <v>1</v>
      </c>
      <c r="Z50" s="108" t="b">
        <v>1</v>
      </c>
      <c r="AA50" s="108" t="b">
        <v>1</v>
      </c>
      <c r="AB50" s="108" t="b">
        <v>1</v>
      </c>
      <c r="AC50" s="108" t="b">
        <v>1</v>
      </c>
      <c r="AD50" s="75" t="s">
        <v>223</v>
      </c>
      <c r="AE50" s="75" t="s">
        <v>1545</v>
      </c>
      <c r="AF50" s="100" t="s">
        <v>794</v>
      </c>
      <c r="AG50" s="100" t="s">
        <v>2476</v>
      </c>
      <c r="AH50" s="75" t="s">
        <v>2477</v>
      </c>
      <c r="AI50" s="75" t="s">
        <v>2478</v>
      </c>
      <c r="AJ50" s="75" t="s">
        <v>2479</v>
      </c>
      <c r="AK50" s="68"/>
      <c r="AL50" s="100" t="s">
        <v>2480</v>
      </c>
      <c r="AM50" s="100" t="s">
        <v>1595</v>
      </c>
      <c r="AN50" s="68"/>
      <c r="AO50" s="68"/>
      <c r="AP50" s="68"/>
      <c r="AQ50" s="68"/>
      <c r="AR50" s="68"/>
      <c r="AS50" s="68"/>
      <c r="AT50" s="68"/>
      <c r="AU50" s="68"/>
      <c r="AV50" s="68"/>
      <c r="AW50" s="68"/>
      <c r="AX50" s="74"/>
      <c r="AY50" s="74" t="b">
        <v>1</v>
      </c>
      <c r="AZ50" s="68"/>
      <c r="BA50" s="83" t="b">
        <v>0</v>
      </c>
    </row>
    <row r="51" spans="1:53" ht="19.5" customHeight="1">
      <c r="A51" s="68"/>
      <c r="B51" s="75" t="s">
        <v>2071</v>
      </c>
      <c r="C51" s="75" t="s">
        <v>2212</v>
      </c>
      <c r="D51" s="97" t="s">
        <v>2481</v>
      </c>
      <c r="E51" s="199" t="s">
        <v>104</v>
      </c>
      <c r="F51" s="100" t="s">
        <v>2482</v>
      </c>
      <c r="G51" s="75" t="s">
        <v>2255</v>
      </c>
      <c r="H51" s="100" t="s">
        <v>2483</v>
      </c>
      <c r="I51" s="140" t="s">
        <v>2484</v>
      </c>
      <c r="J51" s="75" t="s">
        <v>2485</v>
      </c>
      <c r="K51" s="75" t="s">
        <v>2095</v>
      </c>
      <c r="L51" s="68"/>
      <c r="M51" s="69" t="s">
        <v>739</v>
      </c>
      <c r="N51" s="69" t="s">
        <v>212</v>
      </c>
      <c r="O51" s="69" t="s">
        <v>2432</v>
      </c>
      <c r="P51" s="70">
        <v>50.676800764370299</v>
      </c>
      <c r="Q51" s="70">
        <v>-3.3708031237769802</v>
      </c>
      <c r="R51" s="75" t="s">
        <v>416</v>
      </c>
      <c r="S51" s="75" t="s">
        <v>672</v>
      </c>
      <c r="T51" s="68"/>
      <c r="U51" s="68"/>
      <c r="V51" s="68"/>
      <c r="W51" s="108" t="b">
        <v>1</v>
      </c>
      <c r="X51" s="108" t="b">
        <v>1</v>
      </c>
      <c r="Y51" s="108" t="b">
        <v>1</v>
      </c>
      <c r="Z51" s="108" t="b">
        <v>1</v>
      </c>
      <c r="AA51" s="108" t="b">
        <v>1</v>
      </c>
      <c r="AB51" s="108" t="b">
        <v>1</v>
      </c>
      <c r="AC51" s="108" t="b">
        <v>1</v>
      </c>
      <c r="AD51" s="75" t="s">
        <v>223</v>
      </c>
      <c r="AE51" s="75" t="s">
        <v>285</v>
      </c>
      <c r="AF51" s="75" t="s">
        <v>379</v>
      </c>
      <c r="AG51" s="100" t="s">
        <v>2486</v>
      </c>
      <c r="AH51" s="68"/>
      <c r="AI51" s="68"/>
      <c r="AJ51" s="75" t="s">
        <v>2440</v>
      </c>
      <c r="AK51" s="68"/>
      <c r="AL51" s="100" t="s">
        <v>2487</v>
      </c>
      <c r="AM51" s="75" t="s">
        <v>252</v>
      </c>
      <c r="AN51" s="68"/>
      <c r="AO51" s="68"/>
      <c r="AP51" s="68"/>
      <c r="AQ51" s="68"/>
      <c r="AR51" s="68"/>
      <c r="AS51" s="68"/>
      <c r="AT51" s="68"/>
      <c r="AU51" s="68"/>
      <c r="AV51" s="68"/>
      <c r="AW51" s="68"/>
      <c r="AX51" s="74"/>
      <c r="AY51" s="74" t="b">
        <v>1</v>
      </c>
      <c r="AZ51" s="68"/>
      <c r="BA51" s="83" t="b">
        <v>0</v>
      </c>
    </row>
    <row r="52" spans="1:53" ht="19.5" customHeight="1">
      <c r="A52" s="75" t="s">
        <v>2070</v>
      </c>
      <c r="B52" s="75" t="s">
        <v>2071</v>
      </c>
      <c r="C52" s="75" t="s">
        <v>2212</v>
      </c>
      <c r="D52" s="97" t="s">
        <v>2488</v>
      </c>
      <c r="E52" s="199" t="s">
        <v>104</v>
      </c>
      <c r="F52" s="100" t="s">
        <v>2489</v>
      </c>
      <c r="G52" s="75" t="s">
        <v>2255</v>
      </c>
      <c r="H52" s="100" t="s">
        <v>2490</v>
      </c>
      <c r="I52" s="140" t="s">
        <v>2243</v>
      </c>
      <c r="J52" s="75" t="s">
        <v>2491</v>
      </c>
      <c r="K52" s="75" t="s">
        <v>2095</v>
      </c>
      <c r="L52" s="68"/>
      <c r="M52" s="68"/>
      <c r="N52" s="69" t="s">
        <v>356</v>
      </c>
      <c r="O52" s="69" t="s">
        <v>2492</v>
      </c>
      <c r="P52" s="70">
        <v>50.507693417819397</v>
      </c>
      <c r="Q52" s="70">
        <v>-3.6699852064902099</v>
      </c>
      <c r="R52" s="75" t="s">
        <v>358</v>
      </c>
      <c r="S52" s="75" t="s">
        <v>672</v>
      </c>
      <c r="T52" s="68"/>
      <c r="U52" s="68"/>
      <c r="V52" s="68"/>
      <c r="W52" s="108" t="b">
        <v>1</v>
      </c>
      <c r="X52" s="108" t="b">
        <v>1</v>
      </c>
      <c r="Y52" s="108" t="b">
        <v>1</v>
      </c>
      <c r="Z52" s="108" t="b">
        <v>1</v>
      </c>
      <c r="AA52" s="108" t="b">
        <v>1</v>
      </c>
      <c r="AB52" s="108" t="b">
        <v>1</v>
      </c>
      <c r="AC52" s="108" t="b">
        <v>1</v>
      </c>
      <c r="AD52" s="75" t="s">
        <v>223</v>
      </c>
      <c r="AE52" s="75" t="s">
        <v>285</v>
      </c>
      <c r="AF52" s="75" t="s">
        <v>794</v>
      </c>
      <c r="AG52" s="100" t="s">
        <v>2493</v>
      </c>
      <c r="AH52" s="75" t="s">
        <v>2122</v>
      </c>
      <c r="AI52" s="75" t="s">
        <v>2494</v>
      </c>
      <c r="AJ52" s="75" t="s">
        <v>2495</v>
      </c>
      <c r="AK52" s="68"/>
      <c r="AL52" s="100" t="s">
        <v>2496</v>
      </c>
      <c r="AM52" s="75" t="s">
        <v>252</v>
      </c>
      <c r="AN52" s="68"/>
      <c r="AO52" s="68"/>
      <c r="AP52" s="68"/>
      <c r="AQ52" s="68"/>
      <c r="AR52" s="68"/>
      <c r="AS52" s="68"/>
      <c r="AT52" s="68"/>
      <c r="AU52" s="68"/>
      <c r="AV52" s="68"/>
      <c r="AW52" s="68"/>
      <c r="AX52" s="74"/>
      <c r="AY52" s="74" t="b">
        <v>1</v>
      </c>
      <c r="AZ52" s="68"/>
      <c r="BA52" s="83" t="b">
        <v>0</v>
      </c>
    </row>
    <row r="53" spans="1:53" ht="19.5" customHeight="1">
      <c r="A53" s="68"/>
      <c r="B53" s="75" t="s">
        <v>2071</v>
      </c>
      <c r="C53" s="75" t="s">
        <v>2112</v>
      </c>
      <c r="D53" s="97" t="s">
        <v>967</v>
      </c>
      <c r="E53" s="199" t="s">
        <v>366</v>
      </c>
      <c r="F53" s="100" t="s">
        <v>2497</v>
      </c>
      <c r="G53" s="75" t="s">
        <v>2255</v>
      </c>
      <c r="H53" s="100" t="s">
        <v>2128</v>
      </c>
      <c r="I53" s="75" t="s">
        <v>2498</v>
      </c>
      <c r="J53" s="75" t="s">
        <v>2462</v>
      </c>
      <c r="K53" s="75" t="s">
        <v>2095</v>
      </c>
      <c r="L53" s="69" t="s">
        <v>967</v>
      </c>
      <c r="M53" s="69" t="s">
        <v>2499</v>
      </c>
      <c r="N53" s="69" t="s">
        <v>259</v>
      </c>
      <c r="O53" s="69" t="s">
        <v>2500</v>
      </c>
      <c r="P53" s="70">
        <v>50.625405294317503</v>
      </c>
      <c r="Q53" s="70">
        <v>-3.4069358558282401</v>
      </c>
      <c r="R53" s="75" t="s">
        <v>416</v>
      </c>
      <c r="S53" s="75" t="s">
        <v>2501</v>
      </c>
      <c r="T53" s="75" t="s">
        <v>1849</v>
      </c>
      <c r="U53" s="68"/>
      <c r="V53" s="68"/>
      <c r="W53" s="108" t="b">
        <v>1</v>
      </c>
      <c r="X53" s="108" t="b">
        <v>1</v>
      </c>
      <c r="Y53" s="108" t="b">
        <v>1</v>
      </c>
      <c r="Z53" s="108" t="b">
        <v>1</v>
      </c>
      <c r="AA53" s="108" t="b">
        <v>1</v>
      </c>
      <c r="AB53" s="108" t="b">
        <v>1</v>
      </c>
      <c r="AC53" s="108" t="b">
        <v>1</v>
      </c>
      <c r="AD53" s="75" t="s">
        <v>223</v>
      </c>
      <c r="AE53" s="75" t="s">
        <v>2318</v>
      </c>
      <c r="AF53" s="75" t="s">
        <v>379</v>
      </c>
      <c r="AG53" s="100" t="s">
        <v>2502</v>
      </c>
      <c r="AH53" s="68"/>
      <c r="AI53" s="75" t="s">
        <v>2503</v>
      </c>
      <c r="AJ53" s="75" t="s">
        <v>2504</v>
      </c>
      <c r="AK53" s="68"/>
      <c r="AL53" s="100" t="s">
        <v>973</v>
      </c>
      <c r="AM53" s="75" t="s">
        <v>252</v>
      </c>
      <c r="AN53" s="68"/>
      <c r="AO53" s="68"/>
      <c r="AP53" s="68"/>
      <c r="AQ53" s="68"/>
      <c r="AR53" s="68"/>
      <c r="AS53" s="68"/>
      <c r="AT53" s="68"/>
      <c r="AU53" s="68"/>
      <c r="AV53" s="68"/>
      <c r="AW53" s="68"/>
      <c r="AX53" s="74"/>
      <c r="AY53" s="74" t="b">
        <v>0</v>
      </c>
      <c r="AZ53" s="74" t="b">
        <v>0</v>
      </c>
      <c r="BA53" s="68"/>
    </row>
  </sheetData>
  <mergeCells count="10">
    <mergeCell ref="AM1:AO2"/>
    <mergeCell ref="AP1:AW2"/>
    <mergeCell ref="AX1:BA2"/>
    <mergeCell ref="A1:D2"/>
    <mergeCell ref="E1:K2"/>
    <mergeCell ref="L1:Q2"/>
    <mergeCell ref="R1:V2"/>
    <mergeCell ref="W1:AC2"/>
    <mergeCell ref="AD1:AF2"/>
    <mergeCell ref="AG1:AL2"/>
  </mergeCells>
  <pageMargins left="0" right="0" top="0" bottom="0" header="0" footer="0"/>
  <extLst>
    <ext xmlns:x14="http://schemas.microsoft.com/office/spreadsheetml/2009/9/main" uri="{CCE6A557-97BC-4b89-ADB6-D9C93CAAB3DF}">
      <x14:dataValidations xmlns:xm="http://schemas.microsoft.com/office/excel/2006/main" count="32">
        <x14:dataValidation type="list" allowBlank="1" showErrorMessage="1" xr:uid="{00000000-0002-0000-0300-000000000000}">
          <x14:formula1>
            <xm:f>Enums!$D$581:$D$585</xm:f>
          </x14:formula1>
          <xm:sqref>G5:G53</xm:sqref>
        </x14:dataValidation>
        <x14:dataValidation type="list" allowBlank="1" showErrorMessage="1" xr:uid="{00000000-0002-0000-0300-000001000000}">
          <x14:formula1>
            <xm:f>Enums!$D$468:$D$470</xm:f>
          </x14:formula1>
          <xm:sqref>V5:V53</xm:sqref>
        </x14:dataValidation>
        <x14:dataValidation type="list" allowBlank="1" showErrorMessage="1" xr:uid="{00000000-0002-0000-0300-000002000000}">
          <x14:formula1>
            <xm:f>Enums!$D$424:$D$437</xm:f>
          </x14:formula1>
          <xm:sqref>S5:S53</xm:sqref>
        </x14:dataValidation>
        <x14:dataValidation type="list" allowBlank="1" showErrorMessage="1" xr:uid="{00000000-0002-0000-0300-000003000000}">
          <x14:formula1>
            <xm:f>RHelper!A63:Z63</xm:f>
          </x14:formula1>
          <xm:sqref>C34:C50</xm:sqref>
        </x14:dataValidation>
        <x14:dataValidation type="list" allowBlank="1" showErrorMessage="1" xr:uid="{00000000-0002-0000-0300-000004000000}">
          <x14:formula1>
            <xm:f>RHelper2!A84:Z84</xm:f>
          </x14:formula1>
          <xm:sqref>AJ53</xm:sqref>
        </x14:dataValidation>
        <x14:dataValidation type="list" allowBlank="1" showErrorMessage="1" xr:uid="{00000000-0002-0000-0300-000005000000}">
          <x14:formula1>
            <xm:f>Enums!$D$416:$D$421</xm:f>
          </x14:formula1>
          <xm:sqref>AF5:AF53</xm:sqref>
        </x14:dataValidation>
        <x14:dataValidation type="list" allowBlank="1" showErrorMessage="1" xr:uid="{00000000-0002-0000-0300-000006000000}">
          <x14:formula1>
            <xm:f>RHelper2!A82:Z82</xm:f>
          </x14:formula1>
          <xm:sqref>AJ52</xm:sqref>
        </x14:dataValidation>
        <x14:dataValidation type="list" allowBlank="1" showErrorMessage="1" xr:uid="{00000000-0002-0000-0300-000007000000}">
          <x14:formula1>
            <xm:f>Enums!$D$596:$D$606</xm:f>
          </x14:formula1>
          <xm:sqref>J5:J53</xm:sqref>
        </x14:dataValidation>
        <x14:dataValidation type="list" allowBlank="1" showErrorMessage="1" xr:uid="{00000000-0002-0000-0300-000008000000}">
          <x14:formula1>
            <xm:f>RHelper!A84:Z84</xm:f>
          </x14:formula1>
          <xm:sqref>C53</xm:sqref>
        </x14:dataValidation>
        <x14:dataValidation type="list" allowBlank="1" showErrorMessage="1" xr:uid="{00000000-0002-0000-0300-000009000000}">
          <x14:formula1>
            <xm:f>Enums!$D$532:$D$578</xm:f>
          </x14:formula1>
          <xm:sqref>AI5:AI53</xm:sqref>
        </x14:dataValidation>
        <x14:dataValidation type="list" allowBlank="1" showErrorMessage="1" xr:uid="{00000000-0002-0000-0300-00000A000000}">
          <x14:formula1>
            <xm:f>RHelper!A5:Z5</xm:f>
          </x14:formula1>
          <xm:sqref>C5:C13</xm:sqref>
        </x14:dataValidation>
        <x14:dataValidation type="list" allowBlank="1" showErrorMessage="1" xr:uid="{00000000-0002-0000-0300-00000B000000}">
          <x14:formula1>
            <xm:f>RHelper2!A5:Z5</xm:f>
          </x14:formula1>
          <xm:sqref>AJ5:AJ13</xm:sqref>
        </x14:dataValidation>
        <x14:dataValidation type="list" allowBlank="1" showErrorMessage="1" xr:uid="{00000000-0002-0000-0300-00000C000000}">
          <x14:formula1>
            <xm:f>RHelper2!A59:Z59</xm:f>
          </x14:formula1>
          <xm:sqref>AJ32:AJ33</xm:sqref>
        </x14:dataValidation>
        <x14:dataValidation type="list" allowBlank="1" showErrorMessage="1" xr:uid="{00000000-0002-0000-0300-00000D000000}">
          <x14:formula1>
            <xm:f>Enums!$D$13:$D$17</xm:f>
          </x14:formula1>
          <xm:sqref>E5:E53</xm:sqref>
        </x14:dataValidation>
        <x14:dataValidation type="list" allowBlank="1" showErrorMessage="1" xr:uid="{00000000-0002-0000-0300-00000E000000}">
          <x14:formula1>
            <xm:f>Enums!$D$515:$D$530</xm:f>
          </x14:formula1>
          <xm:sqref>AH5:AH53</xm:sqref>
        </x14:dataValidation>
        <x14:dataValidation type="list" allowBlank="1" showErrorMessage="1" xr:uid="{00000000-0002-0000-0300-00000F000000}">
          <x14:formula1>
            <xm:f>RHelper!A59:Z59</xm:f>
          </x14:formula1>
          <xm:sqref>C32:C33</xm:sqref>
        </x14:dataValidation>
        <x14:dataValidation type="list" allowBlank="1" showErrorMessage="1" xr:uid="{00000000-0002-0000-0300-000010000000}">
          <x14:formula1>
            <xm:f>RHelper2!A29:Z29</xm:f>
          </x14:formula1>
          <xm:sqref>AJ17:AJ31</xm:sqref>
        </x14:dataValidation>
        <x14:dataValidation type="list" allowBlank="1" showErrorMessage="1" xr:uid="{00000000-0002-0000-0300-000011000000}">
          <x14:formula1>
            <xm:f>Enums!$D$108:$D$110</xm:f>
          </x14:formula1>
          <xm:sqref>B5:B53</xm:sqref>
        </x14:dataValidation>
        <x14:dataValidation type="list" allowBlank="1" showErrorMessage="1" xr:uid="{00000000-0002-0000-0300-000012000000}">
          <x14:formula1>
            <xm:f>Enums!$D$451:$D$467</xm:f>
          </x14:formula1>
          <xm:sqref>T5:T53</xm:sqref>
        </x14:dataValidation>
        <x14:dataValidation type="list" allowBlank="1" showErrorMessage="1" xr:uid="{00000000-0002-0000-0300-000013000000}">
          <x14:formula1>
            <xm:f>RHelper2!A63:Z63</xm:f>
          </x14:formula1>
          <xm:sqref>AJ34:AJ51</xm:sqref>
        </x14:dataValidation>
        <x14:dataValidation type="list" allowBlank="1" showErrorMessage="1" xr:uid="{00000000-0002-0000-0300-000014000000}">
          <x14:formula1>
            <xm:f>Enums!$D$382:$D$391</xm:f>
          </x14:formula1>
          <xm:sqref>AE5:AE53</xm:sqref>
        </x14:dataValidation>
        <x14:dataValidation type="list" allowBlank="1" showErrorMessage="1" xr:uid="{00000000-0002-0000-0300-000015000000}">
          <x14:formula1>
            <xm:f>RHelper!A81:Z81</xm:f>
          </x14:formula1>
          <xm:sqref>C51:C52</xm:sqref>
        </x14:dataValidation>
        <x14:dataValidation type="list" allowBlank="1" showErrorMessage="1" xr:uid="{00000000-0002-0000-0300-000016000000}">
          <x14:formula1>
            <xm:f>Enums!$D$587:$D$594</xm:f>
          </x14:formula1>
          <xm:sqref>H5:H53</xm:sqref>
        </x14:dataValidation>
        <x14:dataValidation type="list" allowBlank="1" showErrorMessage="1" xr:uid="{00000000-0002-0000-0300-000017000000}">
          <x14:formula1>
            <xm:f>Enums!$D$394:$D$396</xm:f>
          </x14:formula1>
          <xm:sqref>AD5:AD53</xm:sqref>
        </x14:dataValidation>
        <x14:dataValidation type="list" allowBlank="1" showErrorMessage="1" xr:uid="{00000000-0002-0000-0300-000018000000}">
          <x14:formula1>
            <xm:f>Enums!$D$608:$D$610</xm:f>
          </x14:formula1>
          <xm:sqref>K5:K53</xm:sqref>
        </x14:dataValidation>
        <x14:dataValidation type="list" allowBlank="1" showErrorMessage="1" xr:uid="{00000000-0002-0000-0300-000019000000}">
          <x14:formula1>
            <xm:f>Enums!$D$438:$D$450</xm:f>
          </x14:formula1>
          <xm:sqref>U5:U53</xm:sqref>
        </x14:dataValidation>
        <x14:dataValidation type="list" allowBlank="1" showErrorMessage="1" xr:uid="{00000000-0002-0000-0300-00001A000000}">
          <x14:formula1>
            <xm:f>RHelper2!A23:Z23</xm:f>
          </x14:formula1>
          <xm:sqref>AJ14:AJ16</xm:sqref>
        </x14:dataValidation>
        <x14:dataValidation type="list" allowBlank="1" showErrorMessage="1" xr:uid="{00000000-0002-0000-0300-00001B000000}">
          <x14:formula1>
            <xm:f>RHelper!A29:Z29</xm:f>
          </x14:formula1>
          <xm:sqref>C17:C31</xm:sqref>
        </x14:dataValidation>
        <x14:dataValidation type="list" allowBlank="1" showErrorMessage="1" xr:uid="{00000000-0002-0000-0300-00001C000000}">
          <x14:formula1>
            <xm:f>RHelper!A23:Z23</xm:f>
          </x14:formula1>
          <xm:sqref>C14:C16</xm:sqref>
        </x14:dataValidation>
        <x14:dataValidation type="list" allowBlank="1" showErrorMessage="1" xr:uid="{00000000-0002-0000-0300-00001D000000}">
          <x14:formula1>
            <xm:f>Enums!$C$4:$C$7</xm:f>
          </x14:formula1>
          <xm:sqref>A5:A53</xm:sqref>
        </x14:dataValidation>
        <x14:dataValidation type="list" allowBlank="1" showErrorMessage="1" xr:uid="{00000000-0002-0000-0300-00001E000000}">
          <x14:formula1>
            <xm:f>Enums!$D$473:$D$479</xm:f>
          </x14:formula1>
          <xm:sqref>R5:R53</xm:sqref>
        </x14:dataValidation>
        <x14:dataValidation type="list" allowBlank="1" showErrorMessage="1" xr:uid="{00000000-0002-0000-0300-00001F000000}">
          <x14:formula1>
            <xm:f>Enums!$D$482:$D$512</xm:f>
          </x14:formula1>
          <xm:sqref>AK5:AK53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5:F90"/>
  <sheetViews>
    <sheetView workbookViewId="0"/>
  </sheetViews>
  <sheetFormatPr defaultColWidth="12.5703125" defaultRowHeight="15.75" customHeight="1"/>
  <sheetData>
    <row r="5" spans="1:6">
      <c r="A5" s="107" t="str" cm="1">
        <f t="array" aca="1" ref="A5:F5" ca="1">TRANSPOSE(INDIRECT(_xlfn.SWITCH(Clubs!B5,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Soft Play Centre</v>
      </c>
      <c r="B5" s="107" t="str">
        <f ca="1"/>
        <v>Toddler Play Space</v>
      </c>
      <c r="C5" s="107" t="str">
        <f ca="1"/>
        <v>Indoor Climbing</v>
      </c>
      <c r="D5" s="107" t="str">
        <f ca="1"/>
        <v>Inside Course</v>
      </c>
      <c r="E5" s="107" t="str">
        <f ca="1"/>
        <v>Trampoline Park</v>
      </c>
      <c r="F5" s="107" t="str">
        <f ca="1"/>
        <v>Multi-Activity Centre</v>
      </c>
    </row>
    <row r="6" spans="1:6">
      <c r="A6" s="107" t="str" cm="1">
        <f t="array" aca="1" ref="A6:F6" ca="1">TRANSPOSE(INDIRECT(_xlfn.SWITCH(Clubs!B6,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Soft Play Centre</v>
      </c>
      <c r="B6" s="107" t="str">
        <f ca="1"/>
        <v>Toddler Play Space</v>
      </c>
      <c r="C6" s="107" t="str">
        <f ca="1"/>
        <v>Indoor Climbing</v>
      </c>
      <c r="D6" s="107" t="str">
        <f ca="1"/>
        <v>Inside Course</v>
      </c>
      <c r="E6" s="107" t="str">
        <f ca="1"/>
        <v>Trampoline Park</v>
      </c>
      <c r="F6" s="107" t="str">
        <f ca="1"/>
        <v>Multi-Activity Centre</v>
      </c>
    </row>
    <row r="7" spans="1:6">
      <c r="A7" s="107" t="str" cm="1">
        <f t="array" aca="1" ref="A7:F7" ca="1">TRANSPOSE(INDIRECT(_xlfn.SWITCH(Clubs!B7,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Soft Play Centre</v>
      </c>
      <c r="B7" s="107" t="str">
        <f ca="1"/>
        <v>Toddler Play Space</v>
      </c>
      <c r="C7" s="107" t="str">
        <f ca="1"/>
        <v>Indoor Climbing</v>
      </c>
      <c r="D7" s="107" t="str">
        <f ca="1"/>
        <v>Inside Course</v>
      </c>
      <c r="E7" s="107" t="str">
        <f ca="1"/>
        <v>Trampoline Park</v>
      </c>
      <c r="F7" s="107" t="str">
        <f ca="1"/>
        <v>Multi-Activity Centre</v>
      </c>
    </row>
    <row r="8" spans="1:6">
      <c r="A8" s="107" t="str" cm="1">
        <f t="array" aca="1" ref="A8:F8" ca="1">TRANSPOSE(INDIRECT(_xlfn.SWITCH(Clubs!B8,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Soft Play Centre</v>
      </c>
      <c r="B8" s="107" t="str">
        <f ca="1"/>
        <v>Toddler Play Space</v>
      </c>
      <c r="C8" s="107" t="str">
        <f ca="1"/>
        <v>Indoor Climbing</v>
      </c>
      <c r="D8" s="107" t="str">
        <f ca="1"/>
        <v>Inside Course</v>
      </c>
      <c r="E8" s="107" t="str">
        <f ca="1"/>
        <v>Trampoline Park</v>
      </c>
      <c r="F8" s="107" t="str">
        <f ca="1"/>
        <v>Multi-Activity Centre</v>
      </c>
    </row>
    <row r="9" spans="1:6">
      <c r="A9" s="107" t="e" cm="1">
        <f t="array" aca="1" ref="A9" ca="1">TRANSPOSE(INDIRECT(_xlfn.SWITCH(Clubs!B9,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v>
      </c>
    </row>
    <row r="10" spans="1:6">
      <c r="A10"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11" spans="1:6">
      <c r="A11"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12" spans="1:6">
      <c r="A12"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13" spans="1:6">
      <c r="A13"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14" spans="1:6">
      <c r="A14"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15" spans="1:6">
      <c r="A15"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16" spans="1:6">
      <c r="A16"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17" spans="1:1">
      <c r="A17"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18" spans="1:1">
      <c r="A18"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19" spans="1:1">
      <c r="A19"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0" spans="1:1">
      <c r="A20"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1" spans="1:1">
      <c r="A21"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2" spans="1:1">
      <c r="A22"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3" spans="1:1">
      <c r="A23"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4" spans="1:1">
      <c r="A24"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5" spans="1:1">
      <c r="A25"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6" spans="1:1">
      <c r="A26"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7" spans="1:1">
      <c r="A27"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8" spans="1:1">
      <c r="A28"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29" spans="1:1">
      <c r="A29"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0" spans="1:1">
      <c r="A30"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1" spans="1:1">
      <c r="A31"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2" spans="1:1">
      <c r="A32"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3" spans="1:1">
      <c r="A33"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4" spans="1:1">
      <c r="A34"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5" spans="1:1">
      <c r="A35"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6" spans="1:1">
      <c r="A36"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7" spans="1:1">
      <c r="A37"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8" spans="1:1">
      <c r="A38"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39" spans="1:1">
      <c r="A39"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0" spans="1:1">
      <c r="A40"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1" spans="1:1">
      <c r="A41"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2" spans="1:1">
      <c r="A42"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3" spans="1:1">
      <c r="A43"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4" spans="1:1">
      <c r="A44"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5" spans="1:1">
      <c r="A45"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6" spans="1:1">
      <c r="A46"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7" spans="1:1">
      <c r="A47"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8" spans="1:1">
      <c r="A48"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49" spans="1:1">
      <c r="A49"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0" spans="1:1">
      <c r="A50"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1" spans="1:1">
      <c r="A51"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2" spans="1:1">
      <c r="A52"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3" spans="1:1">
      <c r="A53"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4" spans="1:1">
      <c r="A54"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5" spans="1:1">
      <c r="A55"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6" spans="1:1">
      <c r="A56"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7" spans="1:1">
      <c r="A57"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8" spans="1:1">
      <c r="A58"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59" spans="1:1">
      <c r="A59"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0" spans="1:1">
      <c r="A60"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1" spans="1:1">
      <c r="A61"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2" spans="1:1">
      <c r="A62"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3" spans="1:1">
      <c r="A63"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4" spans="1:1">
      <c r="A64"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5" spans="1:1">
      <c r="A65"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6" spans="1:1">
      <c r="A66"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7" spans="1:1">
      <c r="A67"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8" spans="1:1">
      <c r="A68"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69" spans="1:1">
      <c r="A69"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0" spans="1:1">
      <c r="A70"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1" spans="1:1">
      <c r="A71"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2" spans="1:1">
      <c r="A72"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3" spans="1:1">
      <c r="A73"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4" spans="1:1">
      <c r="A74"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5" spans="1:1">
      <c r="A75"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6" spans="1:1">
      <c r="A76"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7" spans="1:1">
      <c r="A77"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8" spans="1:1">
      <c r="A78"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79" spans="1:1">
      <c r="A79"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80" spans="1:1">
      <c r="A80"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81" spans="1:1">
      <c r="A81"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82" spans="1:1">
      <c r="A82"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83" spans="1:1">
      <c r="A83"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84" spans="1:1">
      <c r="A84"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85" spans="1:1">
      <c r="A85"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86" spans="1:1">
      <c r="A86"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87" spans="1:1">
      <c r="A87" s="107" t="e">
        <f ca="1">_xlfn.SINGLE(TRANSPOSE(_xlfn.SINGLE(INDIRECT(_xlfn.SINGLE(_xlfn.SWITCH(#REF!,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#REF!</v>
      </c>
    </row>
    <row r="88" spans="1:1">
      <c r="A88" s="107" t="e" cm="1">
        <f t="array" aca="1" ref="A88" ca="1">TRANSPOSE(INDIRECT(_xlfn.SWITCH(Clubs!B19,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v>
      </c>
    </row>
    <row r="89" spans="1:1">
      <c r="A89" s="107" t="e" cm="1">
        <f t="array" aca="1" ref="A89" ca="1">TRANSPOSE(INDIRECT(_xlfn.SWITCH(Clubs!B20,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v>
      </c>
    </row>
    <row r="90" spans="1:1">
      <c r="A90" s="107" t="e" cm="1">
        <f t="array" aca="1" ref="A90" ca="1">TRANSPOSE(INDIRECT(_xlfn.SWITCH(Clubs!B21,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5:M90"/>
  <sheetViews>
    <sheetView workbookViewId="0"/>
  </sheetViews>
  <sheetFormatPr defaultColWidth="12.5703125" defaultRowHeight="15.75" customHeight="1"/>
  <sheetData>
    <row r="5" spans="1:13">
      <c r="A5" s="107" t="str" cm="1">
        <f t="array" aca="1" ref="A5:M5" ca="1">TRANSPOSE(INDIRECT(_xlfn.SWITCH(Routes!B5, "Scenic Walks &amp; Trails", "scenicwalks", "Nature &amp; Wildlife Exploration", "natureexploration", "Coastal Adventures", "coastaladventure", "Rideable Routes", "wheelsroutes",)))</f>
        <v>Woodland Walk</v>
      </c>
      <c r="B5" s="107" t="str">
        <f ca="1"/>
        <v>Coastal or Clifftop Walk</v>
      </c>
      <c r="C5" s="107" t="str">
        <f ca="1"/>
        <v>River or Lakeside Ramble</v>
      </c>
      <c r="D5" s="107" t="str">
        <f ca="1"/>
        <v>Nature Trail</v>
      </c>
      <c r="E5" s="107" t="str">
        <f ca="1"/>
        <v>National Park</v>
      </c>
      <c r="F5" s="107" t="str">
        <f ca="1"/>
        <v>Waymarked Trail</v>
      </c>
      <c r="G5" s="107" t="str">
        <f ca="1"/>
        <v>Estate Grounds</v>
      </c>
      <c r="H5" s="107" t="str">
        <f ca="1"/>
        <v>Heathland</v>
      </c>
      <c r="I5" s="107" t="str">
        <f ca="1"/>
        <v>Feature Walk</v>
      </c>
      <c r="J5" s="107" t="str">
        <f ca="1"/>
        <v>Local Wander</v>
      </c>
      <c r="K5" s="107" t="str">
        <f ca="1"/>
        <v>Challenging Hike</v>
      </c>
      <c r="L5" s="107" t="str">
        <f ca="1"/>
        <v>City Circuit</v>
      </c>
      <c r="M5" s="107" t="str">
        <f ca="1"/>
        <v>Towpath</v>
      </c>
    </row>
    <row r="6" spans="1:13">
      <c r="A6" s="107" t="str" cm="1">
        <f t="array" aca="1" ref="A6:M6" ca="1">TRANSPOSE(INDIRECT(_xlfn.SWITCH(Routes!B6, "Scenic Walks &amp; Trails", "scenicwalks", "Nature &amp; Wildlife Exploration", "natureexploration", "Coastal Adventures", "coastaladventure", "Rideable Routes", "wheelsroutes",)))</f>
        <v>Woodland Walk</v>
      </c>
      <c r="B6" s="107" t="str">
        <f ca="1"/>
        <v>Coastal or Clifftop Walk</v>
      </c>
      <c r="C6" s="107" t="str">
        <f ca="1"/>
        <v>River or Lakeside Ramble</v>
      </c>
      <c r="D6" s="107" t="str">
        <f ca="1"/>
        <v>Nature Trail</v>
      </c>
      <c r="E6" s="107" t="str">
        <f ca="1"/>
        <v>National Park</v>
      </c>
      <c r="F6" s="107" t="str">
        <f ca="1"/>
        <v>Waymarked Trail</v>
      </c>
      <c r="G6" s="107" t="str">
        <f ca="1"/>
        <v>Estate Grounds</v>
      </c>
      <c r="H6" s="107" t="str">
        <f ca="1"/>
        <v>Heathland</v>
      </c>
      <c r="I6" s="107" t="str">
        <f ca="1"/>
        <v>Feature Walk</v>
      </c>
      <c r="J6" s="107" t="str">
        <f ca="1"/>
        <v>Local Wander</v>
      </c>
      <c r="K6" s="107" t="str">
        <f ca="1"/>
        <v>Challenging Hike</v>
      </c>
      <c r="L6" s="107" t="str">
        <f ca="1"/>
        <v>City Circuit</v>
      </c>
      <c r="M6" s="107" t="str">
        <f ca="1"/>
        <v>Towpath</v>
      </c>
    </row>
    <row r="7" spans="1:13">
      <c r="A7" s="107" t="str" cm="1">
        <f t="array" aca="1" ref="A7:M7" ca="1">TRANSPOSE(INDIRECT(_xlfn.SWITCH(Routes!B7, "Scenic Walks &amp; Trails", "scenicwalks", "Nature &amp; Wildlife Exploration", "natureexploration", "Coastal Adventures", "coastaladventure", "Rideable Routes", "wheelsroutes",)))</f>
        <v>Woodland Walk</v>
      </c>
      <c r="B7" s="107" t="str">
        <f ca="1"/>
        <v>Coastal or Clifftop Walk</v>
      </c>
      <c r="C7" s="107" t="str">
        <f ca="1"/>
        <v>River or Lakeside Ramble</v>
      </c>
      <c r="D7" s="107" t="str">
        <f ca="1"/>
        <v>Nature Trail</v>
      </c>
      <c r="E7" s="107" t="str">
        <f ca="1"/>
        <v>National Park</v>
      </c>
      <c r="F7" s="107" t="str">
        <f ca="1"/>
        <v>Waymarked Trail</v>
      </c>
      <c r="G7" s="107" t="str">
        <f ca="1"/>
        <v>Estate Grounds</v>
      </c>
      <c r="H7" s="107" t="str">
        <f ca="1"/>
        <v>Heathland</v>
      </c>
      <c r="I7" s="107" t="str">
        <f ca="1"/>
        <v>Feature Walk</v>
      </c>
      <c r="J7" s="107" t="str">
        <f ca="1"/>
        <v>Local Wander</v>
      </c>
      <c r="K7" s="107" t="str">
        <f ca="1"/>
        <v>Challenging Hike</v>
      </c>
      <c r="L7" s="107" t="str">
        <f ca="1"/>
        <v>City Circuit</v>
      </c>
      <c r="M7" s="107" t="str">
        <f ca="1"/>
        <v>Towpath</v>
      </c>
    </row>
    <row r="8" spans="1:13">
      <c r="A8" s="107" t="str" cm="1">
        <f t="array" aca="1" ref="A8:M8" ca="1">TRANSPOSE(INDIRECT(_xlfn.SWITCH(Routes!B8, "Scenic Walks &amp; Trails", "scenicwalks", "Nature &amp; Wildlife Exploration", "natureexploration", "Coastal Adventures", "coastaladventure", "Rideable Routes", "wheelsroutes",)))</f>
        <v>Woodland Walk</v>
      </c>
      <c r="B8" s="107" t="str">
        <f ca="1"/>
        <v>Coastal or Clifftop Walk</v>
      </c>
      <c r="C8" s="107" t="str">
        <f ca="1"/>
        <v>River or Lakeside Ramble</v>
      </c>
      <c r="D8" s="107" t="str">
        <f ca="1"/>
        <v>Nature Trail</v>
      </c>
      <c r="E8" s="107" t="str">
        <f ca="1"/>
        <v>National Park</v>
      </c>
      <c r="F8" s="107" t="str">
        <f ca="1"/>
        <v>Waymarked Trail</v>
      </c>
      <c r="G8" s="107" t="str">
        <f ca="1"/>
        <v>Estate Grounds</v>
      </c>
      <c r="H8" s="107" t="str">
        <f ca="1"/>
        <v>Heathland</v>
      </c>
      <c r="I8" s="107" t="str">
        <f ca="1"/>
        <v>Feature Walk</v>
      </c>
      <c r="J8" s="107" t="str">
        <f ca="1"/>
        <v>Local Wander</v>
      </c>
      <c r="K8" s="107" t="str">
        <f ca="1"/>
        <v>Challenging Hike</v>
      </c>
      <c r="L8" s="107" t="str">
        <f ca="1"/>
        <v>City Circuit</v>
      </c>
      <c r="M8" s="107" t="str">
        <f ca="1"/>
        <v>Towpath</v>
      </c>
    </row>
    <row r="9" spans="1:13">
      <c r="A9" s="107" t="str" cm="1">
        <f t="array" aca="1" ref="A9:M9" ca="1">TRANSPOSE(INDIRECT(_xlfn.SWITCH(Routes!B9, "Scenic Walks &amp; Trails", "scenicwalks", "Nature &amp; Wildlife Exploration", "natureexploration", "Coastal Adventures", "coastaladventure", "Rideable Routes", "wheelsroutes",)))</f>
        <v>Woodland Walk</v>
      </c>
      <c r="B9" s="107" t="str">
        <f ca="1"/>
        <v>Coastal or Clifftop Walk</v>
      </c>
      <c r="C9" s="107" t="str">
        <f ca="1"/>
        <v>River or Lakeside Ramble</v>
      </c>
      <c r="D9" s="107" t="str">
        <f ca="1"/>
        <v>Nature Trail</v>
      </c>
      <c r="E9" s="107" t="str">
        <f ca="1"/>
        <v>National Park</v>
      </c>
      <c r="F9" s="107" t="str">
        <f ca="1"/>
        <v>Waymarked Trail</v>
      </c>
      <c r="G9" s="107" t="str">
        <f ca="1"/>
        <v>Estate Grounds</v>
      </c>
      <c r="H9" s="107" t="str">
        <f ca="1"/>
        <v>Heathland</v>
      </c>
      <c r="I9" s="107" t="str">
        <f ca="1"/>
        <v>Feature Walk</v>
      </c>
      <c r="J9" s="107" t="str">
        <f ca="1"/>
        <v>Local Wander</v>
      </c>
      <c r="K9" s="107" t="str">
        <f ca="1"/>
        <v>Challenging Hike</v>
      </c>
      <c r="L9" s="107" t="str">
        <f ca="1"/>
        <v>City Circuit</v>
      </c>
      <c r="M9" s="107" t="str">
        <f ca="1"/>
        <v>Towpath</v>
      </c>
    </row>
    <row r="10" spans="1:13">
      <c r="A10" s="107" t="str" cm="1">
        <f t="array" aca="1" ref="A10:M10" ca="1">TRANSPOSE(INDIRECT(_xlfn.SWITCH(Routes!B10, "Scenic Walks &amp; Trails", "scenicwalks", "Nature &amp; Wildlife Exploration", "natureexploration", "Coastal Adventures", "coastaladventure", "Rideable Routes", "wheelsroutes",)))</f>
        <v>Woodland Walk</v>
      </c>
      <c r="B10" s="107" t="str">
        <f ca="1"/>
        <v>Coastal or Clifftop Walk</v>
      </c>
      <c r="C10" s="107" t="str">
        <f ca="1"/>
        <v>River or Lakeside Ramble</v>
      </c>
      <c r="D10" s="107" t="str">
        <f ca="1"/>
        <v>Nature Trail</v>
      </c>
      <c r="E10" s="107" t="str">
        <f ca="1"/>
        <v>National Park</v>
      </c>
      <c r="F10" s="107" t="str">
        <f ca="1"/>
        <v>Waymarked Trail</v>
      </c>
      <c r="G10" s="107" t="str">
        <f ca="1"/>
        <v>Estate Grounds</v>
      </c>
      <c r="H10" s="107" t="str">
        <f ca="1"/>
        <v>Heathland</v>
      </c>
      <c r="I10" s="107" t="str">
        <f ca="1"/>
        <v>Feature Walk</v>
      </c>
      <c r="J10" s="107" t="str">
        <f ca="1"/>
        <v>Local Wander</v>
      </c>
      <c r="K10" s="107" t="str">
        <f ca="1"/>
        <v>Challenging Hike</v>
      </c>
      <c r="L10" s="107" t="str">
        <f ca="1"/>
        <v>City Circuit</v>
      </c>
      <c r="M10" s="107" t="str">
        <f ca="1"/>
        <v>Towpath</v>
      </c>
    </row>
    <row r="11" spans="1:13">
      <c r="A11" s="107" t="str" cm="1">
        <f t="array" aca="1" ref="A11:D11" ca="1">TRANSPOSE(INDIRECT(_xlfn.SWITCH(Routes!B11, "Scenic Walks &amp; Trails", "scenicwalks", "Nature &amp; Wildlife Exploration", "natureexploration", "Coastal Adventures", "coastaladventure", "Rideable Routes", "wheelsroutes",)))</f>
        <v>Quick spin</v>
      </c>
      <c r="B11" s="107" t="str">
        <f ca="1"/>
        <v>Longer ride</v>
      </c>
      <c r="C11" s="107" t="str">
        <f ca="1"/>
        <v>Practise Space</v>
      </c>
      <c r="D11" s="107" t="str">
        <f ca="1"/>
        <v>Skills &amp; Stunts Space</v>
      </c>
    </row>
    <row r="12" spans="1:13">
      <c r="A12" s="107" t="str" cm="1">
        <f t="array" aca="1" ref="A12:D12" ca="1">TRANSPOSE(INDIRECT(_xlfn.SWITCH(Routes!B12, "Scenic Walks &amp; Trails", "scenicwalks", "Nature &amp; Wildlife Exploration", "natureexploration", "Coastal Adventures", "coastaladventure", "Rideable Routes", "wheelsroutes",)))</f>
        <v>Quick spin</v>
      </c>
      <c r="B12" s="107" t="str">
        <f ca="1"/>
        <v>Longer ride</v>
      </c>
      <c r="C12" s="107" t="str">
        <f ca="1"/>
        <v>Practise Space</v>
      </c>
      <c r="D12" s="107" t="str">
        <f ca="1"/>
        <v>Skills &amp; Stunts Space</v>
      </c>
    </row>
    <row r="13" spans="1:13">
      <c r="A13" s="107" t="str" cm="1">
        <f t="array" aca="1" ref="A13:D13" ca="1">TRANSPOSE(INDIRECT(_xlfn.SWITCH(Routes!B13, "Scenic Walks &amp; Trails", "scenicwalks", "Nature &amp; Wildlife Exploration", "natureexploration", "Coastal Adventures", "coastaladventure", "Rideable Routes", "wheelsroutes",)))</f>
        <v>Quick spin</v>
      </c>
      <c r="B13" s="107" t="str">
        <f ca="1"/>
        <v>Longer ride</v>
      </c>
      <c r="C13" s="107" t="str">
        <f ca="1"/>
        <v>Practise Space</v>
      </c>
      <c r="D13" s="107" t="str">
        <f ca="1"/>
        <v>Skills &amp; Stunts Space</v>
      </c>
    </row>
    <row r="14" spans="1:13">
      <c r="A14" s="107" t="str" cm="1">
        <f t="array" aca="1" ref="A14:D14" ca="1">TRANSPOSE(INDIRECT(_xlfn.SWITCH(Routes!B14, "Scenic Walks &amp; Trails", "scenicwalks", "Nature &amp; Wildlife Exploration", "natureexploration", "Coastal Adventures", "coastaladventure", "Rideable Routes", "wheelsroutes",)))</f>
        <v>Quick spin</v>
      </c>
      <c r="B14" s="107" t="str">
        <f ca="1"/>
        <v>Longer ride</v>
      </c>
      <c r="C14" s="107" t="str">
        <f ca="1"/>
        <v>Practise Space</v>
      </c>
      <c r="D14" s="107" t="str">
        <f ca="1"/>
        <v>Skills &amp; Stunts Space</v>
      </c>
    </row>
    <row r="15" spans="1:13">
      <c r="A15" s="107" t="e">
        <f ca="1">_xlfn.SINGLE(TRANSPOSE(_xlfn.SINGLE(INDIRECT(_xlfn.SINGLE(_xlfn.SWITCH(#REF!, "Scenic Walks &amp; Trails", "scenicwalks", "Nature &amp; Wildlife Exploration", "natureexploration", "Coastal Adventures", "coastaladventure", "Rideable Routes", "wheelsroutes",))))))</f>
        <v>#REF!</v>
      </c>
    </row>
    <row r="16" spans="1:13">
      <c r="A16" s="107" t="e">
        <f ca="1">_xlfn.SINGLE(TRANSPOSE(_xlfn.SINGLE(INDIRECT(_xlfn.SINGLE(_xlfn.SWITCH(#REF!, "Scenic Walks &amp; Trails", "scenicwalks", "Nature &amp; Wildlife Exploration", "natureexploration", "Coastal Adventures", "coastaladventure", "Rideable Routes", "wheelsroutes",))))))</f>
        <v>#REF!</v>
      </c>
    </row>
    <row r="17" spans="1:1">
      <c r="A17" s="107" t="e">
        <f ca="1">_xlfn.SINGLE(TRANSPOSE(_xlfn.SINGLE(INDIRECT(_xlfn.SINGLE(_xlfn.SWITCH(#REF!, "Scenic Walks &amp; Trails", "scenicwalks", "Nature &amp; Wildlife Exploration", "natureexploration", "Coastal Adventures", "coastaladventure", "Rideable Routes", "wheelsroutes",))))))</f>
        <v>#REF!</v>
      </c>
    </row>
    <row r="18" spans="1:1">
      <c r="A18" s="107" t="e">
        <f ca="1">_xlfn.SINGLE(TRANSPOSE(_xlfn.SINGLE(INDIRECT(_xlfn.SINGLE(_xlfn.SWITCH(#REF!, "Scenic Walks &amp; Trails", "scenicwalks", "Nature &amp; Wildlife Exploration", "natureexploration", "Coastal Adventures", "coastaladventure", "Rideable Routes", "wheelsroutes",))))))</f>
        <v>#REF!</v>
      </c>
    </row>
    <row r="19" spans="1:1">
      <c r="A19" s="107" t="e">
        <f ca="1">_xlfn.SINGLE(TRANSPOSE(_xlfn.SINGLE(INDIRECT(_xlfn.SINGLE(_xlfn.SWITCH(#REF!, "Scenic Walks &amp; Trails", "scenicwalks", "Nature &amp; Wildlife Exploration", "natureexploration", "Coastal Adventures", "coastaladventure", "Rideable Routes", "wheelsroutes",))))))</f>
        <v>#REF!</v>
      </c>
    </row>
    <row r="20" spans="1:1">
      <c r="A20" s="107" t="e">
        <f ca="1">_xlfn.SINGLE(TRANSPOSE(_xlfn.SINGLE(INDIRECT(_xlfn.SINGLE(_xlfn.SWITCH(#REF!, "Scenic Walks &amp; Trails", "scenicwalks", "Nature &amp; Wildlife Exploration", "natureexploration", "Coastal Adventures", "coastaladventure", "Rideable Routes", "wheelsroutes",))))))</f>
        <v>#REF!</v>
      </c>
    </row>
    <row r="21" spans="1:1">
      <c r="A21" s="107" t="e">
        <f ca="1">_xlfn.SINGLE(TRANSPOSE(_xlfn.SINGLE(INDIRECT(_xlfn.SINGLE(_xlfn.SWITCH(#REF!, "Scenic Walks &amp; Trails", "scenicwalks", "Nature &amp; Wildlife Exploration", "natureexploration", "Coastal Adventures", "coastaladventure", "Rideable Routes", "wheelsroutes",))))))</f>
        <v>#REF!</v>
      </c>
    </row>
    <row r="22" spans="1:1">
      <c r="A22" s="107" t="e">
        <f ca="1">_xlfn.SINGLE(TRANSPOSE(_xlfn.SINGLE(INDIRECT(_xlfn.SINGLE(_xlfn.SWITCH(#REF!, "Scenic Walks &amp; Trails", "scenicwalks", "Nature &amp; Wildlife Exploration", "natureexploration", "Coastal Adventures", "coastaladventure", "Rideable Routes", "wheelsroutes",))))))</f>
        <v>#REF!</v>
      </c>
    </row>
    <row r="23" spans="1:1">
      <c r="A23" s="107" t="e">
        <f ca="1">_xlfn.SINGLE(TRANSPOSE(_xlfn.SINGLE(INDIRECT(_xlfn.SINGLE(_xlfn.SWITCH(#REF!, "Scenic Walks &amp; Trails", "scenicwalks", "Nature &amp; Wildlife Exploration", "natureexploration", "Coastal Adventures", "coastaladventure", "Rideable Routes", "wheelsroutes",))))))</f>
        <v>#REF!</v>
      </c>
    </row>
    <row r="24" spans="1:1">
      <c r="A24" s="107" t="e">
        <f ca="1">_xlfn.SINGLE(TRANSPOSE(_xlfn.SINGLE(INDIRECT(_xlfn.SINGLE(_xlfn.SWITCH(#REF!, "Scenic Walks &amp; Trails", "scenicwalks", "Nature &amp; Wildlife Exploration", "natureexploration", "Coastal Adventures", "coastaladventure", "Rideable Routes", "wheelsroutes",))))))</f>
        <v>#REF!</v>
      </c>
    </row>
    <row r="25" spans="1:1">
      <c r="A25" s="107" t="e">
        <f ca="1">_xlfn.SINGLE(TRANSPOSE(_xlfn.SINGLE(INDIRECT(_xlfn.SINGLE(_xlfn.SWITCH(#REF!, "Scenic Walks &amp; Trails", "scenicwalks", "Nature &amp; Wildlife Exploration", "natureexploration", "Coastal Adventures", "coastaladventure", "Rideable Routes", "wheelsroutes",))))))</f>
        <v>#REF!</v>
      </c>
    </row>
    <row r="26" spans="1:1">
      <c r="A26" s="107" t="e">
        <f ca="1">_xlfn.SINGLE(TRANSPOSE(_xlfn.SINGLE(INDIRECT(_xlfn.SINGLE(_xlfn.SWITCH(#REF!, "Scenic Walks &amp; Trails", "scenicwalks", "Nature &amp; Wildlife Exploration", "natureexploration", "Coastal Adventures", "coastaladventure", "Rideable Routes", "wheelsroutes",))))))</f>
        <v>#REF!</v>
      </c>
    </row>
    <row r="27" spans="1:1">
      <c r="A27" s="107" t="e">
        <f ca="1">_xlfn.SINGLE(TRANSPOSE(_xlfn.SINGLE(INDIRECT(_xlfn.SINGLE(_xlfn.SWITCH(#REF!, "Scenic Walks &amp; Trails", "scenicwalks", "Nature &amp; Wildlife Exploration", "natureexploration", "Coastal Adventures", "coastaladventure", "Rideable Routes", "wheelsroutes",))))))</f>
        <v>#REF!</v>
      </c>
    </row>
    <row r="28" spans="1:1">
      <c r="A28" s="107" t="e">
        <f ca="1">_xlfn.SINGLE(TRANSPOSE(_xlfn.SINGLE(INDIRECT(_xlfn.SINGLE(_xlfn.SWITCH(#REF!, "Scenic Walks &amp; Trails", "scenicwalks", "Nature &amp; Wildlife Exploration", "natureexploration", "Coastal Adventures", "coastaladventure", "Rideable Routes", "wheelsroutes",))))))</f>
        <v>#REF!</v>
      </c>
    </row>
    <row r="29" spans="1:1">
      <c r="A29" s="107" t="e">
        <f ca="1">_xlfn.SINGLE(TRANSPOSE(_xlfn.SINGLE(INDIRECT(_xlfn.SINGLE(_xlfn.SWITCH(#REF!, "Scenic Walks &amp; Trails", "scenicwalks", "Nature &amp; Wildlife Exploration", "natureexploration", "Coastal Adventures", "coastaladventure", "Rideable Routes", "wheelsroutes",))))))</f>
        <v>#REF!</v>
      </c>
    </row>
    <row r="30" spans="1:1">
      <c r="A30" s="107" t="e">
        <f ca="1">_xlfn.SINGLE(TRANSPOSE(_xlfn.SINGLE(INDIRECT(_xlfn.SINGLE(_xlfn.SWITCH(#REF!, "Scenic Walks &amp; Trails", "scenicwalks", "Nature &amp; Wildlife Exploration", "natureexploration", "Coastal Adventures", "coastaladventure", "Rideable Routes", "wheelsroutes",))))))</f>
        <v>#REF!</v>
      </c>
    </row>
    <row r="31" spans="1:1">
      <c r="A31" s="107" t="e">
        <f ca="1">_xlfn.SINGLE(TRANSPOSE(_xlfn.SINGLE(INDIRECT(_xlfn.SINGLE(_xlfn.SWITCH(#REF!, "Scenic Walks &amp; Trails", "scenicwalks", "Nature &amp; Wildlife Exploration", "natureexploration", "Coastal Adventures", "coastaladventure", "Rideable Routes", "wheelsroutes",))))))</f>
        <v>#REF!</v>
      </c>
    </row>
    <row r="32" spans="1:1">
      <c r="A32" s="107" t="e">
        <f ca="1">_xlfn.SINGLE(TRANSPOSE(_xlfn.SINGLE(INDIRECT(_xlfn.SINGLE(_xlfn.SWITCH(#REF!, "Scenic Walks &amp; Trails", "scenicwalks", "Nature &amp; Wildlife Exploration", "natureexploration", "Coastal Adventures", "coastaladventure", "Rideable Routes", "wheelsroutes",))))))</f>
        <v>#REF!</v>
      </c>
    </row>
    <row r="33" spans="1:1">
      <c r="A33" s="107" t="e">
        <f ca="1">_xlfn.SINGLE(TRANSPOSE(_xlfn.SINGLE(INDIRECT(_xlfn.SINGLE(_xlfn.SWITCH(#REF!, "Scenic Walks &amp; Trails", "scenicwalks", "Nature &amp; Wildlife Exploration", "natureexploration", "Coastal Adventures", "coastaladventure", "Rideable Routes", "wheelsroutes",))))))</f>
        <v>#REF!</v>
      </c>
    </row>
    <row r="34" spans="1:1">
      <c r="A34" s="107" t="e">
        <f ca="1">_xlfn.SINGLE(TRANSPOSE(_xlfn.SINGLE(INDIRECT(_xlfn.SINGLE(_xlfn.SWITCH(#REF!, "Scenic Walks &amp; Trails", "scenicwalks", "Nature &amp; Wildlife Exploration", "natureexploration", "Coastal Adventures", "coastaladventure", "Rideable Routes", "wheelsroutes",))))))</f>
        <v>#REF!</v>
      </c>
    </row>
    <row r="35" spans="1:1">
      <c r="A35" s="107" t="e">
        <f ca="1">_xlfn.SINGLE(TRANSPOSE(_xlfn.SINGLE(INDIRECT(_xlfn.SINGLE(_xlfn.SWITCH(#REF!, "Scenic Walks &amp; Trails", "scenicwalks", "Nature &amp; Wildlife Exploration", "natureexploration", "Coastal Adventures", "coastaladventure", "Rideable Routes", "wheelsroutes",))))))</f>
        <v>#REF!</v>
      </c>
    </row>
    <row r="36" spans="1:1">
      <c r="A36" s="107" t="e">
        <f ca="1">_xlfn.SINGLE(TRANSPOSE(_xlfn.SINGLE(INDIRECT(_xlfn.SINGLE(_xlfn.SWITCH(#REF!, "Scenic Walks &amp; Trails", "scenicwalks", "Nature &amp; Wildlife Exploration", "natureexploration", "Coastal Adventures", "coastaladventure", "Rideable Routes", "wheelsroutes",))))))</f>
        <v>#REF!</v>
      </c>
    </row>
    <row r="37" spans="1:1">
      <c r="A37" s="107" t="e">
        <f ca="1">_xlfn.SINGLE(TRANSPOSE(_xlfn.SINGLE(INDIRECT(_xlfn.SINGLE(_xlfn.SWITCH(#REF!, "Scenic Walks &amp; Trails", "scenicwalks", "Nature &amp; Wildlife Exploration", "natureexploration", "Coastal Adventures", "coastaladventure", "Rideable Routes", "wheelsroutes",))))))</f>
        <v>#REF!</v>
      </c>
    </row>
    <row r="38" spans="1:1">
      <c r="A38" s="107" t="e">
        <f ca="1">_xlfn.SINGLE(TRANSPOSE(_xlfn.SINGLE(INDIRECT(_xlfn.SINGLE(_xlfn.SWITCH(#REF!, "Scenic Walks &amp; Trails", "scenicwalks", "Nature &amp; Wildlife Exploration", "natureexploration", "Coastal Adventures", "coastaladventure", "Rideable Routes", "wheelsroutes",))))))</f>
        <v>#REF!</v>
      </c>
    </row>
    <row r="39" spans="1:1">
      <c r="A39" s="107" t="e">
        <f ca="1">_xlfn.SINGLE(TRANSPOSE(_xlfn.SINGLE(INDIRECT(_xlfn.SINGLE(_xlfn.SWITCH(#REF!, "Scenic Walks &amp; Trails", "scenicwalks", "Nature &amp; Wildlife Exploration", "natureexploration", "Coastal Adventures", "coastaladventure", "Rideable Routes", "wheelsroutes",))))))</f>
        <v>#REF!</v>
      </c>
    </row>
    <row r="40" spans="1:1">
      <c r="A40" s="107" t="e">
        <f ca="1">_xlfn.SINGLE(TRANSPOSE(_xlfn.SINGLE(INDIRECT(_xlfn.SINGLE(_xlfn.SWITCH(#REF!, "Scenic Walks &amp; Trails", "scenicwalks", "Nature &amp; Wildlife Exploration", "natureexploration", "Coastal Adventures", "coastaladventure", "Rideable Routes", "wheelsroutes",))))))</f>
        <v>#REF!</v>
      </c>
    </row>
    <row r="41" spans="1:1">
      <c r="A41" s="107" t="e">
        <f ca="1">_xlfn.SINGLE(TRANSPOSE(_xlfn.SINGLE(INDIRECT(_xlfn.SINGLE(_xlfn.SWITCH(#REF!, "Scenic Walks &amp; Trails", "scenicwalks", "Nature &amp; Wildlife Exploration", "natureexploration", "Coastal Adventures", "coastaladventure", "Rideable Routes", "wheelsroutes",))))))</f>
        <v>#REF!</v>
      </c>
    </row>
    <row r="42" spans="1:1">
      <c r="A42" s="107" t="e">
        <f ca="1">_xlfn.SINGLE(TRANSPOSE(_xlfn.SINGLE(INDIRECT(_xlfn.SINGLE(_xlfn.SWITCH(#REF!, "Scenic Walks &amp; Trails", "scenicwalks", "Nature &amp; Wildlife Exploration", "natureexploration", "Coastal Adventures", "coastaladventure", "Rideable Routes", "wheelsroutes",))))))</f>
        <v>#REF!</v>
      </c>
    </row>
    <row r="43" spans="1:1">
      <c r="A43" s="107" t="e">
        <f ca="1">_xlfn.SINGLE(TRANSPOSE(_xlfn.SINGLE(INDIRECT(_xlfn.SINGLE(_xlfn.SWITCH(#REF!, "Scenic Walks &amp; Trails", "scenicwalks", "Nature &amp; Wildlife Exploration", "natureexploration", "Coastal Adventures", "coastaladventure", "Rideable Routes", "wheelsroutes",))))))</f>
        <v>#REF!</v>
      </c>
    </row>
    <row r="44" spans="1:1">
      <c r="A44" s="107" t="e">
        <f ca="1">_xlfn.SINGLE(TRANSPOSE(_xlfn.SINGLE(INDIRECT(_xlfn.SINGLE(_xlfn.SWITCH(#REF!, "Scenic Walks &amp; Trails", "scenicwalks", "Nature &amp; Wildlife Exploration", "natureexploration", "Coastal Adventures", "coastaladventure", "Rideable Routes", "wheelsroutes",))))))</f>
        <v>#REF!</v>
      </c>
    </row>
    <row r="45" spans="1:1">
      <c r="A45" s="107" t="e">
        <f ca="1">_xlfn.SINGLE(TRANSPOSE(_xlfn.SINGLE(INDIRECT(_xlfn.SINGLE(_xlfn.SWITCH(#REF!, "Scenic Walks &amp; Trails", "scenicwalks", "Nature &amp; Wildlife Exploration", "natureexploration", "Coastal Adventures", "coastaladventure", "Rideable Routes", "wheelsroutes",))))))</f>
        <v>#REF!</v>
      </c>
    </row>
    <row r="46" spans="1:1">
      <c r="A46" s="107" t="e">
        <f ca="1">_xlfn.SINGLE(TRANSPOSE(_xlfn.SINGLE(INDIRECT(_xlfn.SINGLE(_xlfn.SWITCH(#REF!, "Scenic Walks &amp; Trails", "scenicwalks", "Nature &amp; Wildlife Exploration", "natureexploration", "Coastal Adventures", "coastaladventure", "Rideable Routes", "wheelsroutes",))))))</f>
        <v>#REF!</v>
      </c>
    </row>
    <row r="47" spans="1:1">
      <c r="A47" s="107" t="e">
        <f ca="1">_xlfn.SINGLE(TRANSPOSE(_xlfn.SINGLE(INDIRECT(_xlfn.SINGLE(_xlfn.SWITCH(#REF!, "Scenic Walks &amp; Trails", "scenicwalks", "Nature &amp; Wildlife Exploration", "natureexploration", "Coastal Adventures", "coastaladventure", "Rideable Routes", "wheelsroutes",))))))</f>
        <v>#REF!</v>
      </c>
    </row>
    <row r="48" spans="1:1">
      <c r="A48" s="107" t="e">
        <f ca="1">_xlfn.SINGLE(TRANSPOSE(_xlfn.SINGLE(INDIRECT(_xlfn.SINGLE(_xlfn.SWITCH(#REF!, "Scenic Walks &amp; Trails", "scenicwalks", "Nature &amp; Wildlife Exploration", "natureexploration", "Coastal Adventures", "coastaladventure", "Rideable Routes", "wheelsroutes",))))))</f>
        <v>#REF!</v>
      </c>
    </row>
    <row r="49" spans="1:1">
      <c r="A49" s="107" t="e">
        <f ca="1">_xlfn.SINGLE(TRANSPOSE(_xlfn.SINGLE(INDIRECT(_xlfn.SINGLE(_xlfn.SWITCH(#REF!, "Scenic Walks &amp; Trails", "scenicwalks", "Nature &amp; Wildlife Exploration", "natureexploration", "Coastal Adventures", "coastaladventure", "Rideable Routes", "wheelsroutes",))))))</f>
        <v>#REF!</v>
      </c>
    </row>
    <row r="50" spans="1:1">
      <c r="A50" s="107" t="e">
        <f ca="1">_xlfn.SINGLE(TRANSPOSE(_xlfn.SINGLE(INDIRECT(_xlfn.SINGLE(_xlfn.SWITCH(#REF!, "Scenic Walks &amp; Trails", "scenicwalks", "Nature &amp; Wildlife Exploration", "natureexploration", "Coastal Adventures", "coastaladventure", "Rideable Routes", "wheelsroutes",))))))</f>
        <v>#REF!</v>
      </c>
    </row>
    <row r="51" spans="1:1">
      <c r="A51" s="107" t="e">
        <f ca="1">_xlfn.SINGLE(TRANSPOSE(_xlfn.SINGLE(INDIRECT(_xlfn.SINGLE(_xlfn.SWITCH(#REF!, "Scenic Walks &amp; Trails", "scenicwalks", "Nature &amp; Wildlife Exploration", "natureexploration", "Coastal Adventures", "coastaladventure", "Rideable Routes", "wheelsroutes",))))))</f>
        <v>#REF!</v>
      </c>
    </row>
    <row r="52" spans="1:1">
      <c r="A52" s="107" t="e">
        <f ca="1">_xlfn.SINGLE(TRANSPOSE(_xlfn.SINGLE(INDIRECT(_xlfn.SINGLE(_xlfn.SWITCH(#REF!, "Scenic Walks &amp; Trails", "scenicwalks", "Nature &amp; Wildlife Exploration", "natureexploration", "Coastal Adventures", "coastaladventure", "Rideable Routes", "wheelsroutes",))))))</f>
        <v>#REF!</v>
      </c>
    </row>
    <row r="53" spans="1:1">
      <c r="A53" s="107" t="e">
        <f ca="1">_xlfn.SINGLE(TRANSPOSE(_xlfn.SINGLE(INDIRECT(_xlfn.SINGLE(_xlfn.SWITCH(#REF!, "Scenic Walks &amp; Trails", "scenicwalks", "Nature &amp; Wildlife Exploration", "natureexploration", "Coastal Adventures", "coastaladventure", "Rideable Routes", "wheelsroutes",))))))</f>
        <v>#REF!</v>
      </c>
    </row>
    <row r="54" spans="1:1">
      <c r="A54" s="107" t="e">
        <f ca="1">_xlfn.SINGLE(TRANSPOSE(_xlfn.SINGLE(INDIRECT(_xlfn.SINGLE(_xlfn.SWITCH(#REF!, "Scenic Walks &amp; Trails", "scenicwalks", "Nature &amp; Wildlife Exploration", "natureexploration", "Coastal Adventures", "coastaladventure", "Rideable Routes", "wheelsroutes",))))))</f>
        <v>#REF!</v>
      </c>
    </row>
    <row r="55" spans="1:1">
      <c r="A55" s="107" t="e">
        <f ca="1">_xlfn.SINGLE(TRANSPOSE(_xlfn.SINGLE(INDIRECT(_xlfn.SINGLE(_xlfn.SWITCH(#REF!, "Scenic Walks &amp; Trails", "scenicwalks", "Nature &amp; Wildlife Exploration", "natureexploration", "Coastal Adventures", "coastaladventure", "Rideable Routes", "wheelsroutes",))))))</f>
        <v>#REF!</v>
      </c>
    </row>
    <row r="56" spans="1:1">
      <c r="A56" s="107" t="e">
        <f ca="1">_xlfn.SINGLE(TRANSPOSE(_xlfn.SINGLE(INDIRECT(_xlfn.SINGLE(_xlfn.SWITCH(#REF!, "Scenic Walks &amp; Trails", "scenicwalks", "Nature &amp; Wildlife Exploration", "natureexploration", "Coastal Adventures", "coastaladventure", "Rideable Routes", "wheelsroutes",))))))</f>
        <v>#REF!</v>
      </c>
    </row>
    <row r="57" spans="1:1">
      <c r="A57" s="107" t="e">
        <f ca="1">_xlfn.SINGLE(TRANSPOSE(_xlfn.SINGLE(INDIRECT(_xlfn.SINGLE(_xlfn.SWITCH(#REF!, "Scenic Walks &amp; Trails", "scenicwalks", "Nature &amp; Wildlife Exploration", "natureexploration", "Coastal Adventures", "coastaladventure", "Rideable Routes", "wheelsroutes",))))))</f>
        <v>#REF!</v>
      </c>
    </row>
    <row r="58" spans="1:1">
      <c r="A58" s="107" t="e">
        <f ca="1">_xlfn.SINGLE(TRANSPOSE(_xlfn.SINGLE(INDIRECT(_xlfn.SINGLE(_xlfn.SWITCH(#REF!, "Scenic Walks &amp; Trails", "scenicwalks", "Nature &amp; Wildlife Exploration", "natureexploration", "Coastal Adventures", "coastaladventure", "Rideable Routes", "wheelsroutes",))))))</f>
        <v>#REF!</v>
      </c>
    </row>
    <row r="59" spans="1:1">
      <c r="A59" s="107" t="e">
        <f ca="1">_xlfn.SINGLE(TRANSPOSE(_xlfn.SINGLE(INDIRECT(_xlfn.SINGLE(_xlfn.SWITCH(#REF!, "Scenic Walks &amp; Trails", "scenicwalks", "Nature &amp; Wildlife Exploration", "natureexploration", "Coastal Adventures", "coastaladventure", "Rideable Routes", "wheelsroutes",))))))</f>
        <v>#REF!</v>
      </c>
    </row>
    <row r="60" spans="1:1">
      <c r="A60" s="107" t="e">
        <f ca="1">_xlfn.SINGLE(TRANSPOSE(_xlfn.SINGLE(INDIRECT(_xlfn.SINGLE(_xlfn.SWITCH(#REF!, "Scenic Walks &amp; Trails", "scenicwalks", "Nature &amp; Wildlife Exploration", "natureexploration", "Coastal Adventures", "coastaladventure", "Rideable Routes", "wheelsroutes",))))))</f>
        <v>#REF!</v>
      </c>
    </row>
    <row r="61" spans="1:1">
      <c r="A61" s="107" t="e">
        <f ca="1">_xlfn.SINGLE(TRANSPOSE(_xlfn.SINGLE(INDIRECT(_xlfn.SINGLE(_xlfn.SWITCH(#REF!, "Scenic Walks &amp; Trails", "scenicwalks", "Nature &amp; Wildlife Exploration", "natureexploration", "Coastal Adventures", "coastaladventure", "Rideable Routes", "wheelsroutes",))))))</f>
        <v>#REF!</v>
      </c>
    </row>
    <row r="62" spans="1:1">
      <c r="A62" s="107" t="e">
        <f ca="1">_xlfn.SINGLE(TRANSPOSE(_xlfn.SINGLE(INDIRECT(_xlfn.SINGLE(_xlfn.SWITCH(#REF!, "Scenic Walks &amp; Trails", "scenicwalks", "Nature &amp; Wildlife Exploration", "natureexploration", "Coastal Adventures", "coastaladventure", "Rideable Routes", "wheelsroutes",))))))</f>
        <v>#REF!</v>
      </c>
    </row>
    <row r="63" spans="1:1">
      <c r="A63" s="107" t="e">
        <f ca="1">_xlfn.SINGLE(TRANSPOSE(_xlfn.SINGLE(INDIRECT(_xlfn.SINGLE(_xlfn.SWITCH(#REF!, "Scenic Walks &amp; Trails", "scenicwalks", "Nature &amp; Wildlife Exploration", "natureexploration", "Coastal Adventures", "coastaladventure", "Rideable Routes", "wheelsroutes",))))))</f>
        <v>#REF!</v>
      </c>
    </row>
    <row r="64" spans="1:1">
      <c r="A64" s="107" t="e">
        <f ca="1">_xlfn.SINGLE(TRANSPOSE(_xlfn.SINGLE(INDIRECT(_xlfn.SINGLE(_xlfn.SWITCH(#REF!, "Scenic Walks &amp; Trails", "scenicwalks", "Nature &amp; Wildlife Exploration", "natureexploration", "Coastal Adventures", "coastaladventure", "Rideable Routes", "wheelsroutes",))))))</f>
        <v>#REF!</v>
      </c>
    </row>
    <row r="65" spans="1:1">
      <c r="A65" s="107" t="e">
        <f ca="1">_xlfn.SINGLE(TRANSPOSE(_xlfn.SINGLE(INDIRECT(_xlfn.SINGLE(_xlfn.SWITCH(#REF!, "Scenic Walks &amp; Trails", "scenicwalks", "Nature &amp; Wildlife Exploration", "natureexploration", "Coastal Adventures", "coastaladventure", "Rideable Routes", "wheelsroutes",))))))</f>
        <v>#REF!</v>
      </c>
    </row>
    <row r="66" spans="1:1">
      <c r="A66" s="107" t="e">
        <f ca="1">_xlfn.SINGLE(TRANSPOSE(_xlfn.SINGLE(INDIRECT(_xlfn.SINGLE(_xlfn.SWITCH(#REF!, "Scenic Walks &amp; Trails", "scenicwalks", "Nature &amp; Wildlife Exploration", "natureexploration", "Coastal Adventures", "coastaladventure", "Rideable Routes", "wheelsroutes",))))))</f>
        <v>#REF!</v>
      </c>
    </row>
    <row r="67" spans="1:1">
      <c r="A67" s="107" t="e">
        <f ca="1">_xlfn.SINGLE(TRANSPOSE(_xlfn.SINGLE(INDIRECT(_xlfn.SINGLE(_xlfn.SWITCH(#REF!, "Scenic Walks &amp; Trails", "scenicwalks", "Nature &amp; Wildlife Exploration", "natureexploration", "Coastal Adventures", "coastaladventure", "Rideable Routes", "wheelsroutes",))))))</f>
        <v>#REF!</v>
      </c>
    </row>
    <row r="68" spans="1:1">
      <c r="A68" s="107" t="e">
        <f ca="1">_xlfn.SINGLE(TRANSPOSE(_xlfn.SINGLE(INDIRECT(_xlfn.SINGLE(_xlfn.SWITCH(#REF!, "Scenic Walks &amp; Trails", "scenicwalks", "Nature &amp; Wildlife Exploration", "natureexploration", "Coastal Adventures", "coastaladventure", "Rideable Routes", "wheelsroutes",))))))</f>
        <v>#REF!</v>
      </c>
    </row>
    <row r="69" spans="1:1">
      <c r="A69" s="107" t="e">
        <f ca="1">_xlfn.SINGLE(TRANSPOSE(_xlfn.SINGLE(INDIRECT(_xlfn.SINGLE(_xlfn.SWITCH(#REF!, "Scenic Walks &amp; Trails", "scenicwalks", "Nature &amp; Wildlife Exploration", "natureexploration", "Coastal Adventures", "coastaladventure", "Rideable Routes", "wheelsroutes",))))))</f>
        <v>#REF!</v>
      </c>
    </row>
    <row r="70" spans="1:1">
      <c r="A70" s="107" t="e">
        <f ca="1">_xlfn.SINGLE(TRANSPOSE(_xlfn.SINGLE(INDIRECT(_xlfn.SINGLE(_xlfn.SWITCH(#REF!, "Scenic Walks &amp; Trails", "scenicwalks", "Nature &amp; Wildlife Exploration", "natureexploration", "Coastal Adventures", "coastaladventure", "Rideable Routes", "wheelsroutes",))))))</f>
        <v>#REF!</v>
      </c>
    </row>
    <row r="71" spans="1:1">
      <c r="A71" s="107" t="e">
        <f ca="1">_xlfn.SINGLE(TRANSPOSE(_xlfn.SINGLE(INDIRECT(_xlfn.SINGLE(_xlfn.SWITCH(#REF!, "Scenic Walks &amp; Trails", "scenicwalks", "Nature &amp; Wildlife Exploration", "natureexploration", "Coastal Adventures", "coastaladventure", "Rideable Routes", "wheelsroutes",))))))</f>
        <v>#REF!</v>
      </c>
    </row>
    <row r="72" spans="1:1">
      <c r="A72" s="107" t="e">
        <f ca="1">_xlfn.SINGLE(TRANSPOSE(_xlfn.SINGLE(INDIRECT(_xlfn.SINGLE(_xlfn.SWITCH(#REF!, "Scenic Walks &amp; Trails", "scenicwalks", "Nature &amp; Wildlife Exploration", "natureexploration", "Coastal Adventures", "coastaladventure", "Rideable Routes", "wheelsroutes",))))))</f>
        <v>#REF!</v>
      </c>
    </row>
    <row r="73" spans="1:1">
      <c r="A73" s="107" t="e">
        <f ca="1">_xlfn.SINGLE(TRANSPOSE(_xlfn.SINGLE(INDIRECT(_xlfn.SINGLE(_xlfn.SWITCH(#REF!, "Scenic Walks &amp; Trails", "scenicwalks", "Nature &amp; Wildlife Exploration", "natureexploration", "Coastal Adventures", "coastaladventure", "Rideable Routes", "wheelsroutes",))))))</f>
        <v>#REF!</v>
      </c>
    </row>
    <row r="74" spans="1:1">
      <c r="A74" s="107" t="e">
        <f ca="1">_xlfn.SINGLE(TRANSPOSE(_xlfn.SINGLE(INDIRECT(_xlfn.SINGLE(_xlfn.SWITCH(#REF!, "Scenic Walks &amp; Trails", "scenicwalks", "Nature &amp; Wildlife Exploration", "natureexploration", "Coastal Adventures", "coastaladventure", "Rideable Routes", "wheelsroutes",))))))</f>
        <v>#REF!</v>
      </c>
    </row>
    <row r="75" spans="1:1">
      <c r="A75" s="107" t="e">
        <f ca="1">_xlfn.SINGLE(TRANSPOSE(_xlfn.SINGLE(INDIRECT(_xlfn.SINGLE(_xlfn.SWITCH(#REF!, "Scenic Walks &amp; Trails", "scenicwalks", "Nature &amp; Wildlife Exploration", "natureexploration", "Coastal Adventures", "coastaladventure", "Rideable Routes", "wheelsroutes",))))))</f>
        <v>#REF!</v>
      </c>
    </row>
    <row r="76" spans="1:1">
      <c r="A76" s="107" t="e">
        <f ca="1">_xlfn.SINGLE(TRANSPOSE(_xlfn.SINGLE(INDIRECT(_xlfn.SINGLE(_xlfn.SWITCH(#REF!, "Scenic Walks &amp; Trails", "scenicwalks", "Nature &amp; Wildlife Exploration", "natureexploration", "Coastal Adventures", "coastaladventure", "Rideable Routes", "wheelsroutes",))))))</f>
        <v>#REF!</v>
      </c>
    </row>
    <row r="77" spans="1:1">
      <c r="A77" s="107" t="e">
        <f ca="1">_xlfn.SINGLE(TRANSPOSE(_xlfn.SINGLE(INDIRECT(_xlfn.SINGLE(_xlfn.SWITCH(#REF!, "Scenic Walks &amp; Trails", "scenicwalks", "Nature &amp; Wildlife Exploration", "natureexploration", "Coastal Adventures", "coastaladventure", "Rideable Routes", "wheelsroutes",))))))</f>
        <v>#REF!</v>
      </c>
    </row>
    <row r="78" spans="1:1">
      <c r="A78" s="107" t="e">
        <f ca="1">_xlfn.SINGLE(TRANSPOSE(_xlfn.SINGLE(INDIRECT(_xlfn.SINGLE(_xlfn.SWITCH(#REF!, "Scenic Walks &amp; Trails", "scenicwalks", "Nature &amp; Wildlife Exploration", "natureexploration", "Coastal Adventures", "coastaladventure", "Rideable Routes", "wheelsroutes",))))))</f>
        <v>#REF!</v>
      </c>
    </row>
    <row r="79" spans="1:1">
      <c r="A79" s="107" t="e">
        <f ca="1">_xlfn.SINGLE(TRANSPOSE(_xlfn.SINGLE(INDIRECT(_xlfn.SINGLE(_xlfn.SWITCH(#REF!, "Scenic Walks &amp; Trails", "scenicwalks", "Nature &amp; Wildlife Exploration", "natureexploration", "Coastal Adventures", "coastaladventure", "Rideable Routes", "wheelsroutes",))))))</f>
        <v>#REF!</v>
      </c>
    </row>
    <row r="80" spans="1:1">
      <c r="A80" s="107" t="e">
        <f ca="1">_xlfn.SINGLE(TRANSPOSE(_xlfn.SINGLE(INDIRECT(_xlfn.SINGLE(_xlfn.SWITCH(#REF!, "Scenic Walks &amp; Trails", "scenicwalks", "Nature &amp; Wildlife Exploration", "natureexploration", "Coastal Adventures", "coastaladventure", "Rideable Routes", "wheelsroutes",))))))</f>
        <v>#REF!</v>
      </c>
    </row>
    <row r="81" spans="1:1">
      <c r="A81" s="107" t="e">
        <f ca="1">_xlfn.SINGLE(TRANSPOSE(_xlfn.SINGLE(INDIRECT(_xlfn.SINGLE(_xlfn.SWITCH(#REF!, "Scenic Walks &amp; Trails", "scenicwalks", "Nature &amp; Wildlife Exploration", "natureexploration", "Coastal Adventures", "coastaladventure", "Rideable Routes", "wheelsroutes",))))))</f>
        <v>#REF!</v>
      </c>
    </row>
    <row r="82" spans="1:1">
      <c r="A82" s="107" t="e">
        <f ca="1">_xlfn.SINGLE(TRANSPOSE(_xlfn.SINGLE(INDIRECT(_xlfn.SINGLE(_xlfn.SWITCH(#REF!, "Scenic Walks &amp; Trails", "scenicwalks", "Nature &amp; Wildlife Exploration", "natureexploration", "Coastal Adventures", "coastaladventure", "Rideable Routes", "wheelsroutes",))))))</f>
        <v>#REF!</v>
      </c>
    </row>
    <row r="83" spans="1:1">
      <c r="A83" s="107" t="e">
        <f ca="1">_xlfn.SINGLE(TRANSPOSE(_xlfn.SINGLE(INDIRECT(_xlfn.SINGLE(_xlfn.SWITCH(#REF!, "Scenic Walks &amp; Trails", "scenicwalks", "Nature &amp; Wildlife Exploration", "natureexploration", "Coastal Adventures", "coastaladventure", "Rideable Routes", "wheelsroutes",))))))</f>
        <v>#REF!</v>
      </c>
    </row>
    <row r="84" spans="1:1">
      <c r="A84" s="107" t="e">
        <f ca="1">_xlfn.SINGLE(TRANSPOSE(_xlfn.SINGLE(INDIRECT(_xlfn.SINGLE(_xlfn.SWITCH(#REF!, "Scenic Walks &amp; Trails", "scenicwalks", "Nature &amp; Wildlife Exploration", "natureexploration", "Coastal Adventures", "coastaladventure", "Rideable Routes", "wheelsroutes",))))))</f>
        <v>#REF!</v>
      </c>
    </row>
    <row r="85" spans="1:1">
      <c r="A85" s="107" t="e">
        <f ca="1">_xlfn.SINGLE(TRANSPOSE(_xlfn.SINGLE(INDIRECT(_xlfn.SINGLE(_xlfn.SWITCH(#REF!, "Scenic Walks &amp; Trails", "scenicwalks", "Nature &amp; Wildlife Exploration", "natureexploration", "Coastal Adventures", "coastaladventure", "Rideable Routes", "wheelsroutes",))))))</f>
        <v>#REF!</v>
      </c>
    </row>
    <row r="86" spans="1:1">
      <c r="A86" s="107" t="e">
        <f ca="1">_xlfn.SINGLE(TRANSPOSE(_xlfn.SINGLE(INDIRECT(_xlfn.SINGLE(_xlfn.SWITCH(#REF!, "Scenic Walks &amp; Trails", "scenicwalks", "Nature &amp; Wildlife Exploration", "natureexploration", "Coastal Adventures", "coastaladventure", "Rideable Routes", "wheelsroutes",))))))</f>
        <v>#REF!</v>
      </c>
    </row>
    <row r="87" spans="1:1">
      <c r="A87" s="107" t="e">
        <f ca="1">_xlfn.SINGLE(TRANSPOSE(_xlfn.SINGLE(INDIRECT(_xlfn.SINGLE(_xlfn.SWITCH(#REF!, "Scenic Walks &amp; Trails", "scenicwalks", "Nature &amp; Wildlife Exploration", "natureexploration", "Coastal Adventures", "coastaladventure", "Rideable Routes", "wheelsroutes",))))))</f>
        <v>#REF!</v>
      </c>
    </row>
    <row r="88" spans="1:1">
      <c r="A88" s="107" t="e">
        <f ca="1">_xlfn.SINGLE(TRANSPOSE(_xlfn.SINGLE(INDIRECT(_xlfn.SINGLE(_xlfn.SWITCH(#REF!, "Scenic Walks &amp; Trails", "scenicwalks", "Nature &amp; Wildlife Exploration", "natureexploration", "Coastal Adventures", "coastaladventure", "Rideable Routes", "wheelsroutes",))))))</f>
        <v>#REF!</v>
      </c>
    </row>
    <row r="89" spans="1:1">
      <c r="A89" s="107" t="e">
        <f ca="1">_xlfn.SINGLE(TRANSPOSE(_xlfn.SINGLE(INDIRECT(_xlfn.SINGLE(_xlfn.SWITCH(#REF!, "Scenic Walks &amp; Trails", "scenicwalks", "Nature &amp; Wildlife Exploration", "natureexploration", "Coastal Adventures", "coastaladventure", "Rideable Routes", "wheelsroutes",))))))</f>
        <v>#REF!</v>
      </c>
    </row>
    <row r="90" spans="1:1">
      <c r="A90" s="107" t="e">
        <f ca="1">_xlfn.SINGLE(TRANSPOSE(_xlfn.SINGLE(INDIRECT(_xlfn.SINGLE(_xlfn.SWITCH(#REF!, "Scenic Walks &amp; Trails", "scenicwalks", "Nature &amp; Wildlife Exploration", "natureexploration", "Coastal Adventures", "coastaladventure", "Rideable Routes", "wheelsroutes",))))))</f>
        <v>#REF!</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5:O125"/>
  <sheetViews>
    <sheetView workbookViewId="0"/>
  </sheetViews>
  <sheetFormatPr defaultColWidth="12.5703125" defaultRowHeight="15.75" customHeight="1"/>
  <sheetData>
    <row r="5" spans="1:15">
      <c r="A5" s="107" t="str" cm="1">
        <f t="array" aca="1" ref="A5:G5" ca="1">TRANSPOSE(INDIRECT(_xlfn.SWITCH(Venues!B5,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Country Park</v>
      </c>
      <c r="B5" s="107" t="str">
        <f ca="1"/>
        <v>Parkland or Meadow</v>
      </c>
      <c r="C5" s="107" t="str">
        <f ca="1"/>
        <v>Village Green</v>
      </c>
      <c r="D5" s="107" t="str">
        <f ca="1"/>
        <v>Village Park</v>
      </c>
      <c r="E5" s="107" t="str">
        <f ca="1"/>
        <v>Urban Green Space</v>
      </c>
      <c r="F5" s="107" t="str">
        <f ca="1"/>
        <v>Castle Grounds</v>
      </c>
      <c r="G5" s="107" t="str">
        <f ca="1"/>
        <v>Estate Grounds</v>
      </c>
    </row>
    <row r="6" spans="1:15">
      <c r="A6" s="107" t="str" cm="1">
        <f t="array" aca="1" ref="A6:H6" ca="1">TRANSPOSE(INDIRECT(_xlfn.SWITCH(Venues!B6,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Nature Reserve</v>
      </c>
      <c r="B6" s="107" t="str">
        <f ca="1"/>
        <v>Wildlife Hotspot</v>
      </c>
      <c r="C6" s="107" t="str">
        <f ca="1"/>
        <v>Hydes or Cabins</v>
      </c>
      <c r="D6" s="107" t="str">
        <f ca="1"/>
        <v>Information Hut or Learning Centre</v>
      </c>
      <c r="E6" s="107" t="str">
        <f ca="1"/>
        <v>Forest School</v>
      </c>
      <c r="F6" s="107" t="str">
        <f ca="1"/>
        <v>Natural Play Area</v>
      </c>
      <c r="G6" s="107" t="str">
        <f ca="1"/>
        <v>Den-Building &amp; Nature Craft</v>
      </c>
      <c r="H6" s="107" t="str">
        <f ca="1"/>
        <v>Discovery Trail</v>
      </c>
    </row>
    <row r="7" spans="1:15">
      <c r="A7" s="107" t="str" cm="1">
        <f t="array" aca="1" ref="A7:L7" ca="1">TRANSPOSE(INDIRECT(_xlfn.SWITCH(Venues!B7,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7" s="107" t="str">
        <f ca="1"/>
        <v>Pebble or Shingle Beach</v>
      </c>
      <c r="C7" s="107" t="str">
        <f ca="1"/>
        <v>RNLI Beach</v>
      </c>
      <c r="D7" s="107" t="str">
        <f ca="1"/>
        <v>Rocky Cove</v>
      </c>
      <c r="E7" s="107" t="str">
        <f ca="1"/>
        <v>Coasteering Beach</v>
      </c>
      <c r="F7" s="107" t="str">
        <f ca="1"/>
        <v>Wild or Remote Beach</v>
      </c>
      <c r="G7" s="107" t="str">
        <f ca="1"/>
        <v>Dog-Friendly Beach</v>
      </c>
      <c r="H7" s="107" t="str">
        <f ca="1"/>
        <v>Mixed Sand &amp; Shingle Beach</v>
      </c>
      <c r="I7" s="107" t="str">
        <f ca="1"/>
        <v>Sheltered Cove or Bay</v>
      </c>
      <c r="J7" s="107" t="str">
        <f ca="1"/>
        <v>Surf Beach</v>
      </c>
      <c r="K7" s="107" t="str">
        <f ca="1"/>
        <v>Harbour or Village Beach</v>
      </c>
      <c r="L7" s="107" t="str">
        <f ca="1"/>
        <v>Estuary Beach</v>
      </c>
    </row>
    <row r="8" spans="1:15">
      <c r="A8" s="107" t="str" cm="1">
        <f t="array" aca="1" ref="A8:L8" ca="1">TRANSPOSE(INDIRECT(_xlfn.SWITCH(Venues!B8,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8" s="107" t="str">
        <f ca="1"/>
        <v>Pebble or Shingle Beach</v>
      </c>
      <c r="C8" s="107" t="str">
        <f ca="1"/>
        <v>RNLI Beach</v>
      </c>
      <c r="D8" s="107" t="str">
        <f ca="1"/>
        <v>Rocky Cove</v>
      </c>
      <c r="E8" s="107" t="str">
        <f ca="1"/>
        <v>Coasteering Beach</v>
      </c>
      <c r="F8" s="107" t="str">
        <f ca="1"/>
        <v>Wild or Remote Beach</v>
      </c>
      <c r="G8" s="107" t="str">
        <f ca="1"/>
        <v>Dog-Friendly Beach</v>
      </c>
      <c r="H8" s="107" t="str">
        <f ca="1"/>
        <v>Mixed Sand &amp; Shingle Beach</v>
      </c>
      <c r="I8" s="107" t="str">
        <f ca="1"/>
        <v>Sheltered Cove or Bay</v>
      </c>
      <c r="J8" s="107" t="str">
        <f ca="1"/>
        <v>Surf Beach</v>
      </c>
      <c r="K8" s="107" t="str">
        <f ca="1"/>
        <v>Harbour or Village Beach</v>
      </c>
      <c r="L8" s="107" t="str">
        <f ca="1"/>
        <v>Estuary Beach</v>
      </c>
    </row>
    <row r="9" spans="1:15">
      <c r="A9" s="107" t="str" cm="1">
        <f t="array" aca="1" ref="A9:L9" ca="1">TRANSPOSE(INDIRECT(_xlfn.SWITCH(Venues!B9,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9" s="107" t="str">
        <f ca="1"/>
        <v>Pebble or Shingle Beach</v>
      </c>
      <c r="C9" s="107" t="str">
        <f ca="1"/>
        <v>RNLI Beach</v>
      </c>
      <c r="D9" s="107" t="str">
        <f ca="1"/>
        <v>Rocky Cove</v>
      </c>
      <c r="E9" s="107" t="str">
        <f ca="1"/>
        <v>Coasteering Beach</v>
      </c>
      <c r="F9" s="107" t="str">
        <f ca="1"/>
        <v>Wild or Remote Beach</v>
      </c>
      <c r="G9" s="107" t="str">
        <f ca="1"/>
        <v>Dog-Friendly Beach</v>
      </c>
      <c r="H9" s="107" t="str">
        <f ca="1"/>
        <v>Mixed Sand &amp; Shingle Beach</v>
      </c>
      <c r="I9" s="107" t="str">
        <f ca="1"/>
        <v>Sheltered Cove or Bay</v>
      </c>
      <c r="J9" s="107" t="str">
        <f ca="1"/>
        <v>Surf Beach</v>
      </c>
      <c r="K9" s="107" t="str">
        <f ca="1"/>
        <v>Harbour or Village Beach</v>
      </c>
      <c r="L9" s="107" t="str">
        <f ca="1"/>
        <v>Estuary Beach</v>
      </c>
    </row>
    <row r="10" spans="1:15">
      <c r="A10" s="107" t="str" cm="1">
        <f t="array" aca="1" ref="A10:G10" ca="1">TRANSPOSE(INDIRECT(_xlfn.SWITCH(Venues!B10,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Botanical Garden</v>
      </c>
      <c r="B10" s="107" t="str">
        <f ca="1"/>
        <v>Arboretum</v>
      </c>
      <c r="C10" s="107" t="str">
        <f ca="1"/>
        <v>Historic Estate Garden</v>
      </c>
      <c r="D10" s="107" t="str">
        <f ca="1"/>
        <v>Landscaped Garden</v>
      </c>
      <c r="E10" s="107" t="str">
        <f ca="1"/>
        <v>Community Garden</v>
      </c>
      <c r="F10" s="107" t="str">
        <f ca="1"/>
        <v>Themed Garden</v>
      </c>
      <c r="G10" s="107" t="str">
        <f ca="1"/>
        <v>Enclosed Garden</v>
      </c>
    </row>
    <row r="11" spans="1:15">
      <c r="A11" s="107" t="str" cm="1">
        <f t="array" aca="1" ref="A11:G11" ca="1">TRANSPOSE(INDIRECT(_xlfn.SWITCH(Venues!B11,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Botanical Garden</v>
      </c>
      <c r="B11" s="107" t="str">
        <f ca="1"/>
        <v>Arboretum</v>
      </c>
      <c r="C11" s="107" t="str">
        <f ca="1"/>
        <v>Historic Estate Garden</v>
      </c>
      <c r="D11" s="107" t="str">
        <f ca="1"/>
        <v>Landscaped Garden</v>
      </c>
      <c r="E11" s="107" t="str">
        <f ca="1"/>
        <v>Community Garden</v>
      </c>
      <c r="F11" s="107" t="str">
        <f ca="1"/>
        <v>Themed Garden</v>
      </c>
      <c r="G11" s="107" t="str">
        <f ca="1"/>
        <v>Enclosed Garden</v>
      </c>
    </row>
    <row r="12" spans="1:15">
      <c r="A12" s="107" t="str" cm="1">
        <f t="array" aca="1" ref="A12:G12" ca="1">TRANSPOSE(INDIRECT(_xlfn.SWITCH(Venues!B12,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12" s="107" t="str">
        <f ca="1"/>
        <v>Local park</v>
      </c>
      <c r="C12" s="107" t="str">
        <f ca="1"/>
        <v>Adventure Playground</v>
      </c>
      <c r="D12" s="107" t="str">
        <f ca="1"/>
        <v>Natural Obstacle Course</v>
      </c>
      <c r="E12" s="107" t="str">
        <f ca="1"/>
        <v>Skate Park</v>
      </c>
      <c r="F12" s="107" t="str">
        <f ca="1"/>
        <v>Orienteering Course</v>
      </c>
      <c r="G12" s="107" t="str">
        <f ca="1"/>
        <v>Letterboxing Site</v>
      </c>
    </row>
    <row r="13" spans="1:15">
      <c r="A13" s="107" t="str" cm="1">
        <f t="array" aca="1" ref="A13:G13" ca="1">TRANSPOSE(INDIRECT(_xlfn.SWITCH(Venues!B13,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13" s="107" t="str">
        <f ca="1"/>
        <v>Local park</v>
      </c>
      <c r="C13" s="107" t="str">
        <f ca="1"/>
        <v>Adventure Playground</v>
      </c>
      <c r="D13" s="107" t="str">
        <f ca="1"/>
        <v>Natural Obstacle Course</v>
      </c>
      <c r="E13" s="107" t="str">
        <f ca="1"/>
        <v>Skate Park</v>
      </c>
      <c r="F13" s="107" t="str">
        <f ca="1"/>
        <v>Orienteering Course</v>
      </c>
      <c r="G13" s="107" t="str">
        <f ca="1"/>
        <v>Letterboxing Site</v>
      </c>
    </row>
    <row r="14" spans="1:15">
      <c r="A14" s="107" t="str" cm="1">
        <f t="array" aca="1" ref="A14:O14" ca="1">TRANSPOSE(INDIRECT(_xlfn.SWITCH(Venues!B14,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Leisure Centre</v>
      </c>
      <c r="B14" s="107" t="str">
        <f ca="1"/>
        <v>Adventure / Assault Course</v>
      </c>
      <c r="C14" s="107" t="str">
        <f ca="1"/>
        <v>Climbing Centre</v>
      </c>
      <c r="D14" s="107" t="str">
        <f ca="1"/>
        <v>Multisports Centre</v>
      </c>
      <c r="E14" s="107" t="str">
        <f ca="1"/>
        <v>Sport Stadium</v>
      </c>
      <c r="F14" s="107" t="str">
        <f ca="1"/>
        <v>Sport Arena</v>
      </c>
      <c r="G14" s="107" t="str">
        <f ca="1"/>
        <v>Swimming Pool</v>
      </c>
      <c r="H14" s="107" t="str">
        <f ca="1"/>
        <v>Community Centre</v>
      </c>
      <c r="I14" s="107" t="str">
        <f ca="1"/>
        <v>Range</v>
      </c>
      <c r="J14" s="107" t="str">
        <f ca="1"/>
        <v>Sports Track</v>
      </c>
      <c r="K14" s="107" t="str">
        <f ca="1"/>
        <v>Indoor Court</v>
      </c>
      <c r="L14" s="107" t="str">
        <f ca="1"/>
        <v>Outdoor Court</v>
      </c>
      <c r="M14" s="107" t="str">
        <f ca="1"/>
        <v>Specialist Facility</v>
      </c>
      <c r="N14" s="107" t="str">
        <f ca="1"/>
        <v>Outdoor Pitch</v>
      </c>
      <c r="O14" s="107" t="str">
        <f ca="1"/>
        <v>Gym</v>
      </c>
    </row>
    <row r="15" spans="1:15">
      <c r="A15" s="107" t="str" cm="1">
        <f t="array" aca="1" ref="A15:I15" ca="1">TRANSPOSE(INDIRECT(_xlfn.SWITCH(Venues!B15,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Farm or Smallholding</v>
      </c>
      <c r="B15" s="107" t="str">
        <f ca="1"/>
        <v>Wildlife Reserve</v>
      </c>
      <c r="C15" s="107" t="str">
        <f ca="1"/>
        <v>Animal Parks &amp; Zoos</v>
      </c>
      <c r="D15" s="107" t="str">
        <f ca="1"/>
        <v>Conservation Project</v>
      </c>
      <c r="E15" s="107" t="str">
        <f ca="1"/>
        <v>Animal Sanctuary</v>
      </c>
      <c r="F15" s="107" t="str">
        <f ca="1"/>
        <v>Marine Aquarium</v>
      </c>
      <c r="G15" s="107" t="str">
        <f ca="1"/>
        <v>Reptiles &amp; Exotics</v>
      </c>
      <c r="H15" s="107" t="str">
        <f ca="1"/>
        <v>Bird of Prey Centre</v>
      </c>
      <c r="I15" s="107" t="str">
        <f ca="1"/>
        <v>Stables or Yard</v>
      </c>
    </row>
    <row r="16" spans="1:15">
      <c r="A16" s="107" t="str" cm="1">
        <f t="array" aca="1" ref="A16:I16" ca="1">TRANSPOSE(INDIRECT(_xlfn.SWITCH(Venues!B16,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Farm or Smallholding</v>
      </c>
      <c r="B16" s="107" t="str">
        <f ca="1"/>
        <v>Wildlife Reserve</v>
      </c>
      <c r="C16" s="107" t="str">
        <f ca="1"/>
        <v>Animal Parks &amp; Zoos</v>
      </c>
      <c r="D16" s="107" t="str">
        <f ca="1"/>
        <v>Conservation Project</v>
      </c>
      <c r="E16" s="107" t="str">
        <f ca="1"/>
        <v>Animal Sanctuary</v>
      </c>
      <c r="F16" s="107" t="str">
        <f ca="1"/>
        <v>Marine Aquarium</v>
      </c>
      <c r="G16" s="107" t="str">
        <f ca="1"/>
        <v>Reptiles &amp; Exotics</v>
      </c>
      <c r="H16" s="107" t="str">
        <f ca="1"/>
        <v>Bird of Prey Centre</v>
      </c>
      <c r="I16" s="107" t="str">
        <f ca="1"/>
        <v>Stables or Yard</v>
      </c>
    </row>
    <row r="17" spans="1:15">
      <c r="A17" s="107" t="str" cm="1">
        <f t="array" aca="1" ref="A17:O17" ca="1">TRANSPOSE(INDIRECT(_xlfn.SWITCH(Venues!B17,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Leisure Centre</v>
      </c>
      <c r="B17" s="107" t="str">
        <f ca="1"/>
        <v>Adventure / Assault Course</v>
      </c>
      <c r="C17" s="107" t="str">
        <f ca="1"/>
        <v>Climbing Centre</v>
      </c>
      <c r="D17" s="107" t="str">
        <f ca="1"/>
        <v>Multisports Centre</v>
      </c>
      <c r="E17" s="107" t="str">
        <f ca="1"/>
        <v>Sport Stadium</v>
      </c>
      <c r="F17" s="107" t="str">
        <f ca="1"/>
        <v>Sport Arena</v>
      </c>
      <c r="G17" s="107" t="str">
        <f ca="1"/>
        <v>Swimming Pool</v>
      </c>
      <c r="H17" s="107" t="str">
        <f ca="1"/>
        <v>Community Centre</v>
      </c>
      <c r="I17" s="107" t="str">
        <f ca="1"/>
        <v>Range</v>
      </c>
      <c r="J17" s="107" t="str">
        <f ca="1"/>
        <v>Sports Track</v>
      </c>
      <c r="K17" s="107" t="str">
        <f ca="1"/>
        <v>Indoor Court</v>
      </c>
      <c r="L17" s="107" t="str">
        <f ca="1"/>
        <v>Outdoor Court</v>
      </c>
      <c r="M17" s="107" t="str">
        <f ca="1"/>
        <v>Specialist Facility</v>
      </c>
      <c r="N17" s="107" t="str">
        <f ca="1"/>
        <v>Outdoor Pitch</v>
      </c>
      <c r="O17" s="107" t="str">
        <f ca="1"/>
        <v>Gym</v>
      </c>
    </row>
    <row r="18" spans="1:15">
      <c r="A18" s="107" t="str" cm="1">
        <f t="array" aca="1" ref="A18:E18" ca="1">TRANSPOSE(INDIRECT(_xlfn.SWITCH(Venues!B18,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18" s="107" t="str">
        <f ca="1"/>
        <v>Quiet Cafés</v>
      </c>
      <c r="C18" s="107" t="str">
        <f ca="1"/>
        <v>Cafés with Outdoor Space</v>
      </c>
      <c r="D18" s="107" t="str">
        <f ca="1"/>
        <v>Coffee Cabin / Truck</v>
      </c>
      <c r="E18" s="107" t="str">
        <f ca="1"/>
        <v>Easy Pit-Stops</v>
      </c>
    </row>
    <row r="19" spans="1:15">
      <c r="A19" s="107" t="str" cm="1">
        <f t="array" aca="1" ref="A19:E19" ca="1">TRANSPOSE(INDIRECT(_xlfn.SWITCH(Venues!B19,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19" s="107" t="str">
        <f ca="1"/>
        <v>Quiet Cafés</v>
      </c>
      <c r="C19" s="107" t="str">
        <f ca="1"/>
        <v>Cafés with Outdoor Space</v>
      </c>
      <c r="D19" s="107" t="str">
        <f ca="1"/>
        <v>Coffee Cabin / Truck</v>
      </c>
      <c r="E19" s="107" t="str">
        <f ca="1"/>
        <v>Easy Pit-Stops</v>
      </c>
    </row>
    <row r="20" spans="1:15">
      <c r="A20" s="107" t="str" cm="1">
        <f t="array" aca="1" ref="A20:E20" ca="1">TRANSPOSE(INDIRECT(_xlfn.SWITCH(Venues!B20,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20" s="107" t="str">
        <f ca="1"/>
        <v>Quiet Cafés</v>
      </c>
      <c r="C20" s="107" t="str">
        <f ca="1"/>
        <v>Cafés with Outdoor Space</v>
      </c>
      <c r="D20" s="107" t="str">
        <f ca="1"/>
        <v>Coffee Cabin / Truck</v>
      </c>
      <c r="E20" s="107" t="str">
        <f ca="1"/>
        <v>Easy Pit-Stops</v>
      </c>
    </row>
    <row r="21" spans="1:15">
      <c r="A21" s="107" t="str" cm="1">
        <f t="array" aca="1" ref="A21:E21" ca="1">TRANSPOSE(INDIRECT(_xlfn.SWITCH(Venues!B21,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21" s="107" t="str">
        <f ca="1"/>
        <v>Quiet Cafés</v>
      </c>
      <c r="C21" s="107" t="str">
        <f ca="1"/>
        <v>Cafés with Outdoor Space</v>
      </c>
      <c r="D21" s="107" t="str">
        <f ca="1"/>
        <v>Coffee Cabin / Truck</v>
      </c>
      <c r="E21" s="107" t="str">
        <f ca="1"/>
        <v>Easy Pit-Stops</v>
      </c>
    </row>
    <row r="22" spans="1:15">
      <c r="A22" s="107" t="str" cm="1">
        <f t="array" aca="1" ref="A22:E22" ca="1">TRANSPOSE(INDIRECT(_xlfn.SWITCH(Venues!B22,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22" s="107" t="str">
        <f ca="1"/>
        <v>Quiet Cafés</v>
      </c>
      <c r="C22" s="107" t="str">
        <f ca="1"/>
        <v>Cafés with Outdoor Space</v>
      </c>
      <c r="D22" s="107" t="str">
        <f ca="1"/>
        <v>Coffee Cabin / Truck</v>
      </c>
      <c r="E22" s="107" t="str">
        <f ca="1"/>
        <v>Easy Pit-Stops</v>
      </c>
    </row>
    <row r="23" spans="1:15">
      <c r="A23" s="107" t="str" cm="1">
        <f t="array" aca="1" ref="A23:D23" ca="1">TRANSPOSE(INDIRECT(_xlfn.SWITCH(Venues!B23,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Quick spin</v>
      </c>
      <c r="B23" s="107" t="str">
        <f ca="1"/>
        <v>Longer ride</v>
      </c>
      <c r="C23" s="107" t="str">
        <f ca="1"/>
        <v>Practise Space</v>
      </c>
      <c r="D23" s="107" t="str">
        <f ca="1"/>
        <v>Skills &amp; Stunts Space</v>
      </c>
    </row>
    <row r="24" spans="1:15">
      <c r="A24" s="107" t="str" cm="1">
        <f t="array" aca="1" ref="A24:G24" ca="1">TRANSPOSE(INDIRECT(_xlfn.SWITCH(Venues!B24,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24" s="107" t="str">
        <f ca="1"/>
        <v>Local park</v>
      </c>
      <c r="C24" s="107" t="str">
        <f ca="1"/>
        <v>Adventure Playground</v>
      </c>
      <c r="D24" s="107" t="str">
        <f ca="1"/>
        <v>Natural Obstacle Course</v>
      </c>
      <c r="E24" s="107" t="str">
        <f ca="1"/>
        <v>Skate Park</v>
      </c>
      <c r="F24" s="107" t="str">
        <f ca="1"/>
        <v>Orienteering Course</v>
      </c>
      <c r="G24" s="107" t="str">
        <f ca="1"/>
        <v>Letterboxing Site</v>
      </c>
    </row>
    <row r="25" spans="1:15">
      <c r="A25" s="107" t="str" cm="1">
        <f t="array" aca="1" ref="A25:G25" ca="1">TRANSPOSE(INDIRECT(_xlfn.SWITCH(Venues!B25,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25" s="107" t="str">
        <f ca="1"/>
        <v>Local park</v>
      </c>
      <c r="C25" s="107" t="str">
        <f ca="1"/>
        <v>Adventure Playground</v>
      </c>
      <c r="D25" s="107" t="str">
        <f ca="1"/>
        <v>Natural Obstacle Course</v>
      </c>
      <c r="E25" s="107" t="str">
        <f ca="1"/>
        <v>Skate Park</v>
      </c>
      <c r="F25" s="107" t="str">
        <f ca="1"/>
        <v>Orienteering Course</v>
      </c>
      <c r="G25" s="107" t="str">
        <f ca="1"/>
        <v>Letterboxing Site</v>
      </c>
    </row>
    <row r="26" spans="1:15">
      <c r="A26" s="107" t="str" cm="1">
        <f t="array" aca="1" ref="A26:L26" ca="1">TRANSPOSE(INDIRECT(_xlfn.SWITCH(Venues!B26,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26" s="107" t="str">
        <f ca="1"/>
        <v>Pebble or Shingle Beach</v>
      </c>
      <c r="C26" s="107" t="str">
        <f ca="1"/>
        <v>RNLI Beach</v>
      </c>
      <c r="D26" s="107" t="str">
        <f ca="1"/>
        <v>Rocky Cove</v>
      </c>
      <c r="E26" s="107" t="str">
        <f ca="1"/>
        <v>Coasteering Beach</v>
      </c>
      <c r="F26" s="107" t="str">
        <f ca="1"/>
        <v>Wild or Remote Beach</v>
      </c>
      <c r="G26" s="107" t="str">
        <f ca="1"/>
        <v>Dog-Friendly Beach</v>
      </c>
      <c r="H26" s="107" t="str">
        <f ca="1"/>
        <v>Mixed Sand &amp; Shingle Beach</v>
      </c>
      <c r="I26" s="107" t="str">
        <f ca="1"/>
        <v>Sheltered Cove or Bay</v>
      </c>
      <c r="J26" s="107" t="str">
        <f ca="1"/>
        <v>Surf Beach</v>
      </c>
      <c r="K26" s="107" t="str">
        <f ca="1"/>
        <v>Harbour or Village Beach</v>
      </c>
      <c r="L26" s="107" t="str">
        <f ca="1"/>
        <v>Estuary Beach</v>
      </c>
    </row>
    <row r="27" spans="1:15">
      <c r="A27" s="107" t="str" cm="1">
        <f t="array" aca="1" ref="A27:I27" ca="1">TRANSPOSE(INDIRECT(_xlfn.SWITCH(Venues!B27,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Farm or Smallholding</v>
      </c>
      <c r="B27" s="107" t="str">
        <f ca="1"/>
        <v>Wildlife Reserve</v>
      </c>
      <c r="C27" s="107" t="str">
        <f ca="1"/>
        <v>Animal Parks &amp; Zoos</v>
      </c>
      <c r="D27" s="107" t="str">
        <f ca="1"/>
        <v>Conservation Project</v>
      </c>
      <c r="E27" s="107" t="str">
        <f ca="1"/>
        <v>Animal Sanctuary</v>
      </c>
      <c r="F27" s="107" t="str">
        <f ca="1"/>
        <v>Marine Aquarium</v>
      </c>
      <c r="G27" s="107" t="str">
        <f ca="1"/>
        <v>Reptiles &amp; Exotics</v>
      </c>
      <c r="H27" s="107" t="str">
        <f ca="1"/>
        <v>Bird of Prey Centre</v>
      </c>
      <c r="I27" s="107" t="str">
        <f ca="1"/>
        <v>Stables or Yard</v>
      </c>
    </row>
    <row r="28" spans="1:15">
      <c r="A28" s="107" t="str" cm="1">
        <f t="array" aca="1" ref="A28:E28" ca="1">TRANSPOSE(INDIRECT(_xlfn.SWITCH(Venues!B28,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28" s="107" t="str">
        <f ca="1"/>
        <v>Quiet Cafés</v>
      </c>
      <c r="C28" s="107" t="str">
        <f ca="1"/>
        <v>Cafés with Outdoor Space</v>
      </c>
      <c r="D28" s="107" t="str">
        <f ca="1"/>
        <v>Coffee Cabin / Truck</v>
      </c>
      <c r="E28" s="107" t="str">
        <f ca="1"/>
        <v>Easy Pit-Stops</v>
      </c>
    </row>
    <row r="29" spans="1:15">
      <c r="A29" s="107" t="str" cm="1">
        <f t="array" aca="1" ref="A29:L29" ca="1">TRANSPOSE(INDIRECT(_xlfn.SWITCH(Venues!B29,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29" s="107" t="str">
        <f ca="1"/>
        <v>Pebble or Shingle Beach</v>
      </c>
      <c r="C29" s="107" t="str">
        <f ca="1"/>
        <v>RNLI Beach</v>
      </c>
      <c r="D29" s="107" t="str">
        <f ca="1"/>
        <v>Rocky Cove</v>
      </c>
      <c r="E29" s="107" t="str">
        <f ca="1"/>
        <v>Coasteering Beach</v>
      </c>
      <c r="F29" s="107" t="str">
        <f ca="1"/>
        <v>Wild or Remote Beach</v>
      </c>
      <c r="G29" s="107" t="str">
        <f ca="1"/>
        <v>Dog-Friendly Beach</v>
      </c>
      <c r="H29" s="107" t="str">
        <f ca="1"/>
        <v>Mixed Sand &amp; Shingle Beach</v>
      </c>
      <c r="I29" s="107" t="str">
        <f ca="1"/>
        <v>Sheltered Cove or Bay</v>
      </c>
      <c r="J29" s="107" t="str">
        <f ca="1"/>
        <v>Surf Beach</v>
      </c>
      <c r="K29" s="107" t="str">
        <f ca="1"/>
        <v>Harbour or Village Beach</v>
      </c>
      <c r="L29" s="107" t="str">
        <f ca="1"/>
        <v>Estuary Beach</v>
      </c>
    </row>
    <row r="30" spans="1:15">
      <c r="A30" s="107" t="str" cm="1">
        <f t="array" aca="1" ref="A30:G30" ca="1">TRANSPOSE(INDIRECT(_xlfn.SWITCH(Venues!B30,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30" s="107" t="str">
        <f ca="1"/>
        <v>Local park</v>
      </c>
      <c r="C30" s="107" t="str">
        <f ca="1"/>
        <v>Adventure Playground</v>
      </c>
      <c r="D30" s="107" t="str">
        <f ca="1"/>
        <v>Natural Obstacle Course</v>
      </c>
      <c r="E30" s="107" t="str">
        <f ca="1"/>
        <v>Skate Park</v>
      </c>
      <c r="F30" s="107" t="str">
        <f ca="1"/>
        <v>Orienteering Course</v>
      </c>
      <c r="G30" s="107" t="str">
        <f ca="1"/>
        <v>Letterboxing Site</v>
      </c>
    </row>
    <row r="31" spans="1:15">
      <c r="A31" s="107" t="str" cm="1">
        <f t="array" aca="1" ref="A31:G31" ca="1">TRANSPOSE(INDIRECT(_xlfn.SWITCH(Venues!B31,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Botanical Garden</v>
      </c>
      <c r="B31" s="107" t="str">
        <f ca="1"/>
        <v>Arboretum</v>
      </c>
      <c r="C31" s="107" t="str">
        <f ca="1"/>
        <v>Historic Estate Garden</v>
      </c>
      <c r="D31" s="107" t="str">
        <f ca="1"/>
        <v>Landscaped Garden</v>
      </c>
      <c r="E31" s="107" t="str">
        <f ca="1"/>
        <v>Community Garden</v>
      </c>
      <c r="F31" s="107" t="str">
        <f ca="1"/>
        <v>Themed Garden</v>
      </c>
      <c r="G31" s="107" t="str">
        <f ca="1"/>
        <v>Enclosed Garden</v>
      </c>
    </row>
    <row r="32" spans="1:15">
      <c r="A32" s="107" t="str" cm="1">
        <f t="array" aca="1" ref="A32:G32" ca="1">TRANSPOSE(INDIRECT(_xlfn.SWITCH(Venues!B32,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Botanical Garden</v>
      </c>
      <c r="B32" s="107" t="str">
        <f ca="1"/>
        <v>Arboretum</v>
      </c>
      <c r="C32" s="107" t="str">
        <f ca="1"/>
        <v>Historic Estate Garden</v>
      </c>
      <c r="D32" s="107" t="str">
        <f ca="1"/>
        <v>Landscaped Garden</v>
      </c>
      <c r="E32" s="107" t="str">
        <f ca="1"/>
        <v>Community Garden</v>
      </c>
      <c r="F32" s="107" t="str">
        <f ca="1"/>
        <v>Themed Garden</v>
      </c>
      <c r="G32" s="107" t="str">
        <f ca="1"/>
        <v>Enclosed Garden</v>
      </c>
    </row>
    <row r="33" spans="1:15">
      <c r="A33" s="107" t="str" cm="1">
        <f t="array" aca="1" ref="A33:G33" ca="1">TRANSPOSE(INDIRECT(_xlfn.SWITCH(Venues!B33,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33" s="107" t="str">
        <f ca="1"/>
        <v>Local park</v>
      </c>
      <c r="C33" s="107" t="str">
        <f ca="1"/>
        <v>Adventure Playground</v>
      </c>
      <c r="D33" s="107" t="str">
        <f ca="1"/>
        <v>Natural Obstacle Course</v>
      </c>
      <c r="E33" s="107" t="str">
        <f ca="1"/>
        <v>Skate Park</v>
      </c>
      <c r="F33" s="107" t="str">
        <f ca="1"/>
        <v>Orienteering Course</v>
      </c>
      <c r="G33" s="107" t="str">
        <f ca="1"/>
        <v>Letterboxing Site</v>
      </c>
    </row>
    <row r="34" spans="1:15">
      <c r="A34" s="107" t="str" cm="1">
        <f t="array" aca="1" ref="A34:E34" ca="1">TRANSPOSE(INDIRECT(_xlfn.SWITCH(Venues!B34,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34" s="107" t="str">
        <f ca="1"/>
        <v>Quiet Cafés</v>
      </c>
      <c r="C34" s="107" t="str">
        <f ca="1"/>
        <v>Cafés with Outdoor Space</v>
      </c>
      <c r="D34" s="107" t="str">
        <f ca="1"/>
        <v>Coffee Cabin / Truck</v>
      </c>
      <c r="E34" s="107" t="str">
        <f ca="1"/>
        <v>Easy Pit-Stops</v>
      </c>
    </row>
    <row r="35" spans="1:15">
      <c r="A35" s="107" t="str" cm="1">
        <f t="array" aca="1" ref="A35:D35" ca="1">TRANSPOSE(INDIRECT(_xlfn.SWITCH(Venues!B35,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Quick spin</v>
      </c>
      <c r="B35" s="107" t="str">
        <f ca="1"/>
        <v>Longer ride</v>
      </c>
      <c r="C35" s="107" t="str">
        <f ca="1"/>
        <v>Practise Space</v>
      </c>
      <c r="D35" s="107" t="str">
        <f ca="1"/>
        <v>Skills &amp; Stunts Space</v>
      </c>
    </row>
    <row r="36" spans="1:15">
      <c r="A36" s="107" t="str" cm="1">
        <f t="array" aca="1" ref="A36:L36" ca="1">TRANSPOSE(INDIRECT(_xlfn.SWITCH(Venues!B36,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36" s="107" t="str">
        <f ca="1"/>
        <v>Pebble or Shingle Beach</v>
      </c>
      <c r="C36" s="107" t="str">
        <f ca="1"/>
        <v>RNLI Beach</v>
      </c>
      <c r="D36" s="107" t="str">
        <f ca="1"/>
        <v>Rocky Cove</v>
      </c>
      <c r="E36" s="107" t="str">
        <f ca="1"/>
        <v>Coasteering Beach</v>
      </c>
      <c r="F36" s="107" t="str">
        <f ca="1"/>
        <v>Wild or Remote Beach</v>
      </c>
      <c r="G36" s="107" t="str">
        <f ca="1"/>
        <v>Dog-Friendly Beach</v>
      </c>
      <c r="H36" s="107" t="str">
        <f ca="1"/>
        <v>Mixed Sand &amp; Shingle Beach</v>
      </c>
      <c r="I36" s="107" t="str">
        <f ca="1"/>
        <v>Sheltered Cove or Bay</v>
      </c>
      <c r="J36" s="107" t="str">
        <f ca="1"/>
        <v>Surf Beach</v>
      </c>
      <c r="K36" s="107" t="str">
        <f ca="1"/>
        <v>Harbour or Village Beach</v>
      </c>
      <c r="L36" s="107" t="str">
        <f ca="1"/>
        <v>Estuary Beach</v>
      </c>
    </row>
    <row r="37" spans="1:15">
      <c r="A37" s="107" t="str" cm="1">
        <f t="array" aca="1" ref="A37:O37" ca="1">TRANSPOSE(INDIRECT(_xlfn.SWITCH(Venues!B37,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Leisure Centre</v>
      </c>
      <c r="B37" s="107" t="str">
        <f ca="1"/>
        <v>Adventure / Assault Course</v>
      </c>
      <c r="C37" s="107" t="str">
        <f ca="1"/>
        <v>Climbing Centre</v>
      </c>
      <c r="D37" s="107" t="str">
        <f ca="1"/>
        <v>Multisports Centre</v>
      </c>
      <c r="E37" s="107" t="str">
        <f ca="1"/>
        <v>Sport Stadium</v>
      </c>
      <c r="F37" s="107" t="str">
        <f ca="1"/>
        <v>Sport Arena</v>
      </c>
      <c r="G37" s="107" t="str">
        <f ca="1"/>
        <v>Swimming Pool</v>
      </c>
      <c r="H37" s="107" t="str">
        <f ca="1"/>
        <v>Community Centre</v>
      </c>
      <c r="I37" s="107" t="str">
        <f ca="1"/>
        <v>Range</v>
      </c>
      <c r="J37" s="107" t="str">
        <f ca="1"/>
        <v>Sports Track</v>
      </c>
      <c r="K37" s="107" t="str">
        <f ca="1"/>
        <v>Indoor Court</v>
      </c>
      <c r="L37" s="107" t="str">
        <f ca="1"/>
        <v>Outdoor Court</v>
      </c>
      <c r="M37" s="107" t="str">
        <f ca="1"/>
        <v>Specialist Facility</v>
      </c>
      <c r="N37" s="107" t="str">
        <f ca="1"/>
        <v>Outdoor Pitch</v>
      </c>
      <c r="O37" s="107" t="str">
        <f ca="1"/>
        <v>Gym</v>
      </c>
    </row>
    <row r="38" spans="1:15">
      <c r="A38" s="107" t="str" cm="1">
        <f t="array" aca="1" ref="A38:O38" ca="1">TRANSPOSE(INDIRECT(_xlfn.SWITCH(Venues!B38,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Leisure Centre</v>
      </c>
      <c r="B38" s="107" t="str">
        <f ca="1"/>
        <v>Adventure / Assault Course</v>
      </c>
      <c r="C38" s="107" t="str">
        <f ca="1"/>
        <v>Climbing Centre</v>
      </c>
      <c r="D38" s="107" t="str">
        <f ca="1"/>
        <v>Multisports Centre</v>
      </c>
      <c r="E38" s="107" t="str">
        <f ca="1"/>
        <v>Sport Stadium</v>
      </c>
      <c r="F38" s="107" t="str">
        <f ca="1"/>
        <v>Sport Arena</v>
      </c>
      <c r="G38" s="107" t="str">
        <f ca="1"/>
        <v>Swimming Pool</v>
      </c>
      <c r="H38" s="107" t="str">
        <f ca="1"/>
        <v>Community Centre</v>
      </c>
      <c r="I38" s="107" t="str">
        <f ca="1"/>
        <v>Range</v>
      </c>
      <c r="J38" s="107" t="str">
        <f ca="1"/>
        <v>Sports Track</v>
      </c>
      <c r="K38" s="107" t="str">
        <f ca="1"/>
        <v>Indoor Court</v>
      </c>
      <c r="L38" s="107" t="str">
        <f ca="1"/>
        <v>Outdoor Court</v>
      </c>
      <c r="M38" s="107" t="str">
        <f ca="1"/>
        <v>Specialist Facility</v>
      </c>
      <c r="N38" s="107" t="str">
        <f ca="1"/>
        <v>Outdoor Pitch</v>
      </c>
      <c r="O38" s="107" t="str">
        <f ca="1"/>
        <v>Gym</v>
      </c>
    </row>
    <row r="39" spans="1:15">
      <c r="A39" s="107" t="str" cm="1">
        <f t="array" aca="1" ref="A39:E39" ca="1">TRANSPOSE(INDIRECT(_xlfn.SWITCH(Venues!B39,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Creative Artwork</v>
      </c>
      <c r="B39" s="107" t="str">
        <f ca="1"/>
        <v>Music &amp; Movement</v>
      </c>
      <c r="C39" s="107" t="str">
        <f ca="1"/>
        <v>Creative Expression</v>
      </c>
      <c r="D39" s="107" t="str">
        <f ca="1"/>
        <v>Performative Arts</v>
      </c>
      <c r="E39" s="107" t="str">
        <f ca="1"/>
        <v>Film or Media</v>
      </c>
    </row>
    <row r="40" spans="1:15">
      <c r="A40" s="107" t="str" cm="1">
        <f t="array" aca="1" ref="A40:G40" ca="1">TRANSPOSE(INDIRECT(_xlfn.SWITCH(Venues!B40,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40" s="107" t="str">
        <f ca="1"/>
        <v>Local park</v>
      </c>
      <c r="C40" s="107" t="str">
        <f ca="1"/>
        <v>Adventure Playground</v>
      </c>
      <c r="D40" s="107" t="str">
        <f ca="1"/>
        <v>Natural Obstacle Course</v>
      </c>
      <c r="E40" s="107" t="str">
        <f ca="1"/>
        <v>Skate Park</v>
      </c>
      <c r="F40" s="107" t="str">
        <f ca="1"/>
        <v>Orienteering Course</v>
      </c>
      <c r="G40" s="107" t="str">
        <f ca="1"/>
        <v>Letterboxing Site</v>
      </c>
    </row>
    <row r="41" spans="1:15">
      <c r="A41" s="107" t="str" cm="1">
        <f t="array" aca="1" ref="A41:G41" ca="1">TRANSPOSE(INDIRECT(_xlfn.SWITCH(Venues!B41,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41" s="107" t="str">
        <f ca="1"/>
        <v>Local park</v>
      </c>
      <c r="C41" s="107" t="str">
        <f ca="1"/>
        <v>Adventure Playground</v>
      </c>
      <c r="D41" s="107" t="str">
        <f ca="1"/>
        <v>Natural Obstacle Course</v>
      </c>
      <c r="E41" s="107" t="str">
        <f ca="1"/>
        <v>Skate Park</v>
      </c>
      <c r="F41" s="107" t="str">
        <f ca="1"/>
        <v>Orienteering Course</v>
      </c>
      <c r="G41" s="107" t="str">
        <f ca="1"/>
        <v>Letterboxing Site</v>
      </c>
    </row>
    <row r="42" spans="1:15">
      <c r="A42" s="107" t="str" cm="1">
        <f t="array" aca="1" ref="A42:G42" ca="1">TRANSPOSE(INDIRECT(_xlfn.SWITCH(Venues!B42,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42" s="107" t="str">
        <f ca="1"/>
        <v>Local park</v>
      </c>
      <c r="C42" s="107" t="str">
        <f ca="1"/>
        <v>Adventure Playground</v>
      </c>
      <c r="D42" s="107" t="str">
        <f ca="1"/>
        <v>Natural Obstacle Course</v>
      </c>
      <c r="E42" s="107" t="str">
        <f ca="1"/>
        <v>Skate Park</v>
      </c>
      <c r="F42" s="107" t="str">
        <f ca="1"/>
        <v>Orienteering Course</v>
      </c>
      <c r="G42" s="107" t="str">
        <f ca="1"/>
        <v>Letterboxing Site</v>
      </c>
    </row>
    <row r="43" spans="1:15">
      <c r="A43" s="107" t="str" cm="1">
        <f t="array" aca="1" ref="A43:F43" ca="1">TRANSPOSE(INDIRECT(_xlfn.SWITCH(Venues!B43,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Soft Play Centre</v>
      </c>
      <c r="B43" s="107" t="str">
        <f ca="1"/>
        <v>Toddler Play Space</v>
      </c>
      <c r="C43" s="107" t="str">
        <f ca="1"/>
        <v>Indoor Climbing</v>
      </c>
      <c r="D43" s="107" t="str">
        <f ca="1"/>
        <v>Inside Course</v>
      </c>
      <c r="E43" s="107" t="str">
        <f ca="1"/>
        <v>Trampoline Park</v>
      </c>
      <c r="F43" s="107" t="str">
        <f ca="1"/>
        <v>Multi-Activity Centre</v>
      </c>
    </row>
    <row r="44" spans="1:15">
      <c r="A44" s="107" t="str" cm="1">
        <f t="array" aca="1" ref="A44:L44" ca="1">TRANSPOSE(INDIRECT(_xlfn.SWITCH(Venues!B44,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44" s="107" t="str">
        <f ca="1"/>
        <v>Pebble or Shingle Beach</v>
      </c>
      <c r="C44" s="107" t="str">
        <f ca="1"/>
        <v>RNLI Beach</v>
      </c>
      <c r="D44" s="107" t="str">
        <f ca="1"/>
        <v>Rocky Cove</v>
      </c>
      <c r="E44" s="107" t="str">
        <f ca="1"/>
        <v>Coasteering Beach</v>
      </c>
      <c r="F44" s="107" t="str">
        <f ca="1"/>
        <v>Wild or Remote Beach</v>
      </c>
      <c r="G44" s="107" t="str">
        <f ca="1"/>
        <v>Dog-Friendly Beach</v>
      </c>
      <c r="H44" s="107" t="str">
        <f ca="1"/>
        <v>Mixed Sand &amp; Shingle Beach</v>
      </c>
      <c r="I44" s="107" t="str">
        <f ca="1"/>
        <v>Sheltered Cove or Bay</v>
      </c>
      <c r="J44" s="107" t="str">
        <f ca="1"/>
        <v>Surf Beach</v>
      </c>
      <c r="K44" s="107" t="str">
        <f ca="1"/>
        <v>Harbour or Village Beach</v>
      </c>
      <c r="L44" s="107" t="str">
        <f ca="1"/>
        <v>Estuary Beach</v>
      </c>
    </row>
    <row r="45" spans="1:15">
      <c r="A45" s="107" t="str" cm="1">
        <f t="array" aca="1" ref="A45:E45" ca="1">TRANSPOSE(INDIRECT(_xlfn.SWITCH(Venues!B45,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45" s="107" t="str">
        <f ca="1"/>
        <v>Quiet Cafés</v>
      </c>
      <c r="C45" s="107" t="str">
        <f ca="1"/>
        <v>Cafés with Outdoor Space</v>
      </c>
      <c r="D45" s="107" t="str">
        <f ca="1"/>
        <v>Coffee Cabin / Truck</v>
      </c>
      <c r="E45" s="107" t="str">
        <f ca="1"/>
        <v>Easy Pit-Stops</v>
      </c>
    </row>
    <row r="46" spans="1:15">
      <c r="A46" s="107" t="str" cm="1">
        <f t="array" aca="1" ref="A46:G46" ca="1">TRANSPOSE(INDIRECT(_xlfn.SWITCH(Venues!B46,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Country Park</v>
      </c>
      <c r="B46" s="107" t="str">
        <f ca="1"/>
        <v>Parkland or Meadow</v>
      </c>
      <c r="C46" s="107" t="str">
        <f ca="1"/>
        <v>Village Green</v>
      </c>
      <c r="D46" s="107" t="str">
        <f ca="1"/>
        <v>Village Park</v>
      </c>
      <c r="E46" s="107" t="str">
        <f ca="1"/>
        <v>Urban Green Space</v>
      </c>
      <c r="F46" s="107" t="str">
        <f ca="1"/>
        <v>Castle Grounds</v>
      </c>
      <c r="G46" s="107" t="str">
        <f ca="1"/>
        <v>Estate Grounds</v>
      </c>
    </row>
    <row r="47" spans="1:15">
      <c r="A47" s="107" t="str" cm="1">
        <f t="array" aca="1" ref="A47:K47" ca="1">TRANSPOSE(INDIRECT(_xlfn.SWITCH(Venues!B47,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Cinema</v>
      </c>
      <c r="B47" s="107" t="str">
        <f ca="1"/>
        <v>Stage-Show</v>
      </c>
      <c r="C47" s="107" t="str">
        <f ca="1"/>
        <v>Live Events</v>
      </c>
      <c r="D47" s="107" t="str">
        <f ca="1"/>
        <v>Gaming &amp; VR</v>
      </c>
      <c r="E47" s="107" t="str">
        <f ca="1"/>
        <v>Escape Room</v>
      </c>
      <c r="F47" s="107" t="str">
        <f ca="1"/>
        <v>Improvised Performance</v>
      </c>
      <c r="G47" s="107" t="str">
        <f ca="1"/>
        <v>Comedy</v>
      </c>
      <c r="H47" s="107" t="str">
        <f ca="1"/>
        <v>Karaoke</v>
      </c>
      <c r="I47" s="107" t="str">
        <f ca="1"/>
        <v>Arcade / Amusements</v>
      </c>
      <c r="J47" s="107" t="str">
        <f ca="1"/>
        <v>Laser Tag</v>
      </c>
      <c r="K47" s="107" t="str">
        <f ca="1"/>
        <v>Bowling</v>
      </c>
    </row>
    <row r="48" spans="1:15">
      <c r="A48" s="107" t="str" cm="1">
        <f t="array" aca="1" ref="A48:I48" ca="1">TRANSPOSE(INDIRECT(_xlfn.SWITCH(Venues!B48,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Farm or Smallholding</v>
      </c>
      <c r="B48" s="107" t="str">
        <f ca="1"/>
        <v>Wildlife Reserve</v>
      </c>
      <c r="C48" s="107" t="str">
        <f ca="1"/>
        <v>Animal Parks &amp; Zoos</v>
      </c>
      <c r="D48" s="107" t="str">
        <f ca="1"/>
        <v>Conservation Project</v>
      </c>
      <c r="E48" s="107" t="str">
        <f ca="1"/>
        <v>Animal Sanctuary</v>
      </c>
      <c r="F48" s="107" t="str">
        <f ca="1"/>
        <v>Marine Aquarium</v>
      </c>
      <c r="G48" s="107" t="str">
        <f ca="1"/>
        <v>Reptiles &amp; Exotics</v>
      </c>
      <c r="H48" s="107" t="str">
        <f ca="1"/>
        <v>Bird of Prey Centre</v>
      </c>
      <c r="I48" s="107" t="str">
        <f ca="1"/>
        <v>Stables or Yard</v>
      </c>
    </row>
    <row r="49" spans="1:15">
      <c r="A49" s="107" t="str" cm="1">
        <f t="array" aca="1" ref="A49:F49" ca="1">TRANSPOSE(INDIRECT(_xlfn.SWITCH(Venues!B49,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Themepark</v>
      </c>
      <c r="B49" s="107" t="str">
        <f ca="1"/>
        <v>Amusement Park</v>
      </c>
      <c r="C49" s="107" t="str">
        <f ca="1"/>
        <v>Major Animal Attractions</v>
      </c>
      <c r="D49" s="107" t="str">
        <f ca="1"/>
        <v>Large-Scale Outdoor Attractions</v>
      </c>
      <c r="E49" s="107" t="str">
        <f ca="1"/>
        <v>Major Indoor Attractions</v>
      </c>
      <c r="F49" s="107" t="str">
        <f ca="1"/>
        <v>Seasonal &amp; Themed Events</v>
      </c>
    </row>
    <row r="50" spans="1:15">
      <c r="A50" s="107" t="str" cm="1">
        <f t="array" aca="1" ref="A50:L50" ca="1">TRANSPOSE(INDIRECT(_xlfn.SWITCH(Venues!B50,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50" s="107" t="str">
        <f ca="1"/>
        <v>Pebble or Shingle Beach</v>
      </c>
      <c r="C50" s="107" t="str">
        <f ca="1"/>
        <v>RNLI Beach</v>
      </c>
      <c r="D50" s="107" t="str">
        <f ca="1"/>
        <v>Rocky Cove</v>
      </c>
      <c r="E50" s="107" t="str">
        <f ca="1"/>
        <v>Coasteering Beach</v>
      </c>
      <c r="F50" s="107" t="str">
        <f ca="1"/>
        <v>Wild or Remote Beach</v>
      </c>
      <c r="G50" s="107" t="str">
        <f ca="1"/>
        <v>Dog-Friendly Beach</v>
      </c>
      <c r="H50" s="107" t="str">
        <f ca="1"/>
        <v>Mixed Sand &amp; Shingle Beach</v>
      </c>
      <c r="I50" s="107" t="str">
        <f ca="1"/>
        <v>Sheltered Cove or Bay</v>
      </c>
      <c r="J50" s="107" t="str">
        <f ca="1"/>
        <v>Surf Beach</v>
      </c>
      <c r="K50" s="107" t="str">
        <f ca="1"/>
        <v>Harbour or Village Beach</v>
      </c>
      <c r="L50" s="107" t="str">
        <f ca="1"/>
        <v>Estuary Beach</v>
      </c>
    </row>
    <row r="51" spans="1:15">
      <c r="A51" s="107" t="str" cm="1">
        <f t="array" aca="1" ref="A51:L51" ca="1">TRANSPOSE(INDIRECT(_xlfn.SWITCH(Venues!B51,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51" s="107" t="str">
        <f ca="1"/>
        <v>Pebble or Shingle Beach</v>
      </c>
      <c r="C51" s="107" t="str">
        <f ca="1"/>
        <v>RNLI Beach</v>
      </c>
      <c r="D51" s="107" t="str">
        <f ca="1"/>
        <v>Rocky Cove</v>
      </c>
      <c r="E51" s="107" t="str">
        <f ca="1"/>
        <v>Coasteering Beach</v>
      </c>
      <c r="F51" s="107" t="str">
        <f ca="1"/>
        <v>Wild or Remote Beach</v>
      </c>
      <c r="G51" s="107" t="str">
        <f ca="1"/>
        <v>Dog-Friendly Beach</v>
      </c>
      <c r="H51" s="107" t="str">
        <f ca="1"/>
        <v>Mixed Sand &amp; Shingle Beach</v>
      </c>
      <c r="I51" s="107" t="str">
        <f ca="1"/>
        <v>Sheltered Cove or Bay</v>
      </c>
      <c r="J51" s="107" t="str">
        <f ca="1"/>
        <v>Surf Beach</v>
      </c>
      <c r="K51" s="107" t="str">
        <f ca="1"/>
        <v>Harbour or Village Beach</v>
      </c>
      <c r="L51" s="107" t="str">
        <f ca="1"/>
        <v>Estuary Beach</v>
      </c>
    </row>
    <row r="52" spans="1:15">
      <c r="A52" s="107" t="str" cm="1">
        <f t="array" aca="1" ref="A52:G52" ca="1">TRANSPOSE(INDIRECT(_xlfn.SWITCH(Venues!B52,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52" s="107" t="str">
        <f ca="1"/>
        <v>Local park</v>
      </c>
      <c r="C52" s="107" t="str">
        <f ca="1"/>
        <v>Adventure Playground</v>
      </c>
      <c r="D52" s="107" t="str">
        <f ca="1"/>
        <v>Natural Obstacle Course</v>
      </c>
      <c r="E52" s="107" t="str">
        <f ca="1"/>
        <v>Skate Park</v>
      </c>
      <c r="F52" s="107" t="str">
        <f ca="1"/>
        <v>Orienteering Course</v>
      </c>
      <c r="G52" s="107" t="str">
        <f ca="1"/>
        <v>Letterboxing Site</v>
      </c>
    </row>
    <row r="53" spans="1:15">
      <c r="A53" s="107" t="str" cm="1">
        <f t="array" aca="1" ref="A53:E53" ca="1">TRANSPOSE(INDIRECT(_xlfn.SWITCH(Venues!B53,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53" s="107" t="str">
        <f ca="1"/>
        <v>Quiet Cafés</v>
      </c>
      <c r="C53" s="107" t="str">
        <f ca="1"/>
        <v>Cafés with Outdoor Space</v>
      </c>
      <c r="D53" s="107" t="str">
        <f ca="1"/>
        <v>Coffee Cabin / Truck</v>
      </c>
      <c r="E53" s="107" t="str">
        <f ca="1"/>
        <v>Easy Pit-Stops</v>
      </c>
    </row>
    <row r="54" spans="1:15">
      <c r="A54" s="107" t="str" cm="1">
        <f t="array" aca="1" ref="A54:L54" ca="1">TRANSPOSE(INDIRECT(_xlfn.SWITCH(Venues!B54,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54" s="107" t="str">
        <f ca="1"/>
        <v>Pebble or Shingle Beach</v>
      </c>
      <c r="C54" s="107" t="str">
        <f ca="1"/>
        <v>RNLI Beach</v>
      </c>
      <c r="D54" s="107" t="str">
        <f ca="1"/>
        <v>Rocky Cove</v>
      </c>
      <c r="E54" s="107" t="str">
        <f ca="1"/>
        <v>Coasteering Beach</v>
      </c>
      <c r="F54" s="107" t="str">
        <f ca="1"/>
        <v>Wild or Remote Beach</v>
      </c>
      <c r="G54" s="107" t="str">
        <f ca="1"/>
        <v>Dog-Friendly Beach</v>
      </c>
      <c r="H54" s="107" t="str">
        <f ca="1"/>
        <v>Mixed Sand &amp; Shingle Beach</v>
      </c>
      <c r="I54" s="107" t="str">
        <f ca="1"/>
        <v>Sheltered Cove or Bay</v>
      </c>
      <c r="J54" s="107" t="str">
        <f ca="1"/>
        <v>Surf Beach</v>
      </c>
      <c r="K54" s="107" t="str">
        <f ca="1"/>
        <v>Harbour or Village Beach</v>
      </c>
      <c r="L54" s="107" t="str">
        <f ca="1"/>
        <v>Estuary Beach</v>
      </c>
    </row>
    <row r="55" spans="1:15">
      <c r="A55" s="107" t="str" cm="1">
        <f t="array" aca="1" ref="A55:F55" ca="1">TRANSPOSE(INDIRECT(_xlfn.SWITCH(Venues!B55,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Themepark</v>
      </c>
      <c r="B55" s="107" t="str">
        <f ca="1"/>
        <v>Amusement Park</v>
      </c>
      <c r="C55" s="107" t="str">
        <f ca="1"/>
        <v>Major Animal Attractions</v>
      </c>
      <c r="D55" s="107" t="str">
        <f ca="1"/>
        <v>Large-Scale Outdoor Attractions</v>
      </c>
      <c r="E55" s="107" t="str">
        <f ca="1"/>
        <v>Major Indoor Attractions</v>
      </c>
      <c r="F55" s="107" t="str">
        <f ca="1"/>
        <v>Seasonal &amp; Themed Events</v>
      </c>
    </row>
    <row r="56" spans="1:15">
      <c r="A56" s="107" t="str" cm="1">
        <f t="array" aca="1" ref="A56:E56" ca="1">TRANSPOSE(INDIRECT(_xlfn.SWITCH(Venues!B56,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56" s="107" t="str">
        <f ca="1"/>
        <v>Quiet Cafés</v>
      </c>
      <c r="C56" s="107" t="str">
        <f ca="1"/>
        <v>Cafés with Outdoor Space</v>
      </c>
      <c r="D56" s="107" t="str">
        <f ca="1"/>
        <v>Coffee Cabin / Truck</v>
      </c>
      <c r="E56" s="107" t="str">
        <f ca="1"/>
        <v>Easy Pit-Stops</v>
      </c>
    </row>
    <row r="57" spans="1:15">
      <c r="A57" s="107" t="str" cm="1">
        <f t="array" aca="1" ref="A57:E57" ca="1">TRANSPOSE(INDIRECT(_xlfn.SWITCH(Venues!B57,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57" s="107" t="str">
        <f ca="1"/>
        <v>Quiet Cafés</v>
      </c>
      <c r="C57" s="107" t="str">
        <f ca="1"/>
        <v>Cafés with Outdoor Space</v>
      </c>
      <c r="D57" s="107" t="str">
        <f ca="1"/>
        <v>Coffee Cabin / Truck</v>
      </c>
      <c r="E57" s="107" t="str">
        <f ca="1"/>
        <v>Easy Pit-Stops</v>
      </c>
    </row>
    <row r="58" spans="1:15">
      <c r="A58" s="107" t="str" cm="1">
        <f t="array" aca="1" ref="A58:G58" ca="1">TRANSPOSE(INDIRECT(_xlfn.SWITCH(Venues!B58,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Country Park</v>
      </c>
      <c r="B58" s="107" t="str">
        <f ca="1"/>
        <v>Parkland or Meadow</v>
      </c>
      <c r="C58" s="107" t="str">
        <f ca="1"/>
        <v>Village Green</v>
      </c>
      <c r="D58" s="107" t="str">
        <f ca="1"/>
        <v>Village Park</v>
      </c>
      <c r="E58" s="107" t="str">
        <f ca="1"/>
        <v>Urban Green Space</v>
      </c>
      <c r="F58" s="107" t="str">
        <f ca="1"/>
        <v>Castle Grounds</v>
      </c>
      <c r="G58" s="107" t="str">
        <f ca="1"/>
        <v>Estate Grounds</v>
      </c>
    </row>
    <row r="59" spans="1:15">
      <c r="A59" s="107" t="str" cm="1">
        <f t="array" aca="1" ref="A59:G59" ca="1">TRANSPOSE(INDIRECT(_xlfn.SWITCH(Venues!B59,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59" s="107" t="str">
        <f ca="1"/>
        <v>Local park</v>
      </c>
      <c r="C59" s="107" t="str">
        <f ca="1"/>
        <v>Adventure Playground</v>
      </c>
      <c r="D59" s="107" t="str">
        <f ca="1"/>
        <v>Natural Obstacle Course</v>
      </c>
      <c r="E59" s="107" t="str">
        <f ca="1"/>
        <v>Skate Park</v>
      </c>
      <c r="F59" s="107" t="str">
        <f ca="1"/>
        <v>Orienteering Course</v>
      </c>
      <c r="G59" s="107" t="str">
        <f ca="1"/>
        <v>Letterboxing Site</v>
      </c>
    </row>
    <row r="60" spans="1:15">
      <c r="A60" s="107" t="str" cm="1">
        <f t="array" aca="1" ref="A60:O60" ca="1">TRANSPOSE(INDIRECT(_xlfn.SWITCH(Venues!B60,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Leisure Centre</v>
      </c>
      <c r="B60" s="107" t="str">
        <f ca="1"/>
        <v>Adventure / Assault Course</v>
      </c>
      <c r="C60" s="107" t="str">
        <f ca="1"/>
        <v>Climbing Centre</v>
      </c>
      <c r="D60" s="107" t="str">
        <f ca="1"/>
        <v>Multisports Centre</v>
      </c>
      <c r="E60" s="107" t="str">
        <f ca="1"/>
        <v>Sport Stadium</v>
      </c>
      <c r="F60" s="107" t="str">
        <f ca="1"/>
        <v>Sport Arena</v>
      </c>
      <c r="G60" s="107" t="str">
        <f ca="1"/>
        <v>Swimming Pool</v>
      </c>
      <c r="H60" s="107" t="str">
        <f ca="1"/>
        <v>Community Centre</v>
      </c>
      <c r="I60" s="107" t="str">
        <f ca="1"/>
        <v>Range</v>
      </c>
      <c r="J60" s="107" t="str">
        <f ca="1"/>
        <v>Sports Track</v>
      </c>
      <c r="K60" s="107" t="str">
        <f ca="1"/>
        <v>Indoor Court</v>
      </c>
      <c r="L60" s="107" t="str">
        <f ca="1"/>
        <v>Outdoor Court</v>
      </c>
      <c r="M60" s="107" t="str">
        <f ca="1"/>
        <v>Specialist Facility</v>
      </c>
      <c r="N60" s="107" t="str">
        <f ca="1"/>
        <v>Outdoor Pitch</v>
      </c>
      <c r="O60" s="107" t="str">
        <f ca="1"/>
        <v>Gym</v>
      </c>
    </row>
    <row r="61" spans="1:15">
      <c r="A61" s="107" t="str" cm="1">
        <f t="array" aca="1" ref="A61:H61" ca="1">TRANSPOSE(INDIRECT(_xlfn.SWITCH(Venues!B61,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Nature Reserve</v>
      </c>
      <c r="B61" s="107" t="str">
        <f ca="1"/>
        <v>Wildlife Hotspot</v>
      </c>
      <c r="C61" s="107" t="str">
        <f ca="1"/>
        <v>Hydes or Cabins</v>
      </c>
      <c r="D61" s="107" t="str">
        <f ca="1"/>
        <v>Information Hut or Learning Centre</v>
      </c>
      <c r="E61" s="107" t="str">
        <f ca="1"/>
        <v>Forest School</v>
      </c>
      <c r="F61" s="107" t="str">
        <f ca="1"/>
        <v>Natural Play Area</v>
      </c>
      <c r="G61" s="107" t="str">
        <f ca="1"/>
        <v>Den-Building &amp; Nature Craft</v>
      </c>
      <c r="H61" s="107" t="str">
        <f ca="1"/>
        <v>Discovery Trail</v>
      </c>
    </row>
    <row r="62" spans="1:15">
      <c r="A62" s="107" t="str" cm="1">
        <f t="array" aca="1" ref="A62:G62" ca="1">TRANSPOSE(INDIRECT(_xlfn.SWITCH(Venues!B62,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62" s="107" t="str">
        <f ca="1"/>
        <v>Local park</v>
      </c>
      <c r="C62" s="107" t="str">
        <f ca="1"/>
        <v>Adventure Playground</v>
      </c>
      <c r="D62" s="107" t="str">
        <f ca="1"/>
        <v>Natural Obstacle Course</v>
      </c>
      <c r="E62" s="107" t="str">
        <f ca="1"/>
        <v>Skate Park</v>
      </c>
      <c r="F62" s="107" t="str">
        <f ca="1"/>
        <v>Orienteering Course</v>
      </c>
      <c r="G62" s="107" t="str">
        <f ca="1"/>
        <v>Letterboxing Site</v>
      </c>
    </row>
    <row r="63" spans="1:15">
      <c r="A63" s="107" t="str" cm="1">
        <f t="array" aca="1" ref="A63:G63" ca="1">TRANSPOSE(INDIRECT(_xlfn.SWITCH(Venues!B63,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63" s="107" t="str">
        <f ca="1"/>
        <v>Local park</v>
      </c>
      <c r="C63" s="107" t="str">
        <f ca="1"/>
        <v>Adventure Playground</v>
      </c>
      <c r="D63" s="107" t="str">
        <f ca="1"/>
        <v>Natural Obstacle Course</v>
      </c>
      <c r="E63" s="107" t="str">
        <f ca="1"/>
        <v>Skate Park</v>
      </c>
      <c r="F63" s="107" t="str">
        <f ca="1"/>
        <v>Orienteering Course</v>
      </c>
      <c r="G63" s="107" t="str">
        <f ca="1"/>
        <v>Letterboxing Site</v>
      </c>
    </row>
    <row r="64" spans="1:15">
      <c r="A64" s="107" t="str" cm="1">
        <f t="array" aca="1" ref="A64:E64" ca="1">TRANSPOSE(INDIRECT(_xlfn.SWITCH(Venues!B64,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Science &amp; Discovery</v>
      </c>
      <c r="B64" s="107" t="str">
        <f ca="1"/>
        <v>Technology &amp; Innovation</v>
      </c>
      <c r="C64" s="107" t="str">
        <f ca="1"/>
        <v>History &amp; Pastimes</v>
      </c>
      <c r="D64" s="107" t="str">
        <f ca="1"/>
        <v>World &amp; Cultures</v>
      </c>
      <c r="E64" s="107" t="str">
        <f ca="1"/>
        <v>Child-Focused Discovery</v>
      </c>
    </row>
    <row r="65" spans="1:15">
      <c r="A65" s="107" t="str" cm="1">
        <f t="array" aca="1" ref="A65:G65" ca="1">TRANSPOSE(INDIRECT(_xlfn.SWITCH(Venues!B65,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Country Park</v>
      </c>
      <c r="B65" s="107" t="str">
        <f ca="1"/>
        <v>Parkland or Meadow</v>
      </c>
      <c r="C65" s="107" t="str">
        <f ca="1"/>
        <v>Village Green</v>
      </c>
      <c r="D65" s="107" t="str">
        <f ca="1"/>
        <v>Village Park</v>
      </c>
      <c r="E65" s="107" t="str">
        <f ca="1"/>
        <v>Urban Green Space</v>
      </c>
      <c r="F65" s="107" t="str">
        <f ca="1"/>
        <v>Castle Grounds</v>
      </c>
      <c r="G65" s="107" t="str">
        <f ca="1"/>
        <v>Estate Grounds</v>
      </c>
    </row>
    <row r="66" spans="1:15">
      <c r="A66" s="107" t="str" cm="1">
        <f t="array" aca="1" ref="A66:F66" ca="1">TRANSPOSE(INDIRECT(_xlfn.SWITCH(Venues!B66,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Themepark</v>
      </c>
      <c r="B66" s="107" t="str">
        <f ca="1"/>
        <v>Amusement Park</v>
      </c>
      <c r="C66" s="107" t="str">
        <f ca="1"/>
        <v>Major Animal Attractions</v>
      </c>
      <c r="D66" s="107" t="str">
        <f ca="1"/>
        <v>Large-Scale Outdoor Attractions</v>
      </c>
      <c r="E66" s="107" t="str">
        <f ca="1"/>
        <v>Major Indoor Attractions</v>
      </c>
      <c r="F66" s="107" t="str">
        <f ca="1"/>
        <v>Seasonal &amp; Themed Events</v>
      </c>
    </row>
    <row r="67" spans="1:15">
      <c r="A67" s="107" t="str" cm="1">
        <f t="array" aca="1" ref="A67:H67" ca="1">TRANSPOSE(INDIRECT(_xlfn.SWITCH(Venues!B67,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Nature Reserve</v>
      </c>
      <c r="B67" s="107" t="str">
        <f ca="1"/>
        <v>Wildlife Hotspot</v>
      </c>
      <c r="C67" s="107" t="str">
        <f ca="1"/>
        <v>Hydes or Cabins</v>
      </c>
      <c r="D67" s="107" t="str">
        <f ca="1"/>
        <v>Information Hut or Learning Centre</v>
      </c>
      <c r="E67" s="107" t="str">
        <f ca="1"/>
        <v>Forest School</v>
      </c>
      <c r="F67" s="107" t="str">
        <f ca="1"/>
        <v>Natural Play Area</v>
      </c>
      <c r="G67" s="107" t="str">
        <f ca="1"/>
        <v>Den-Building &amp; Nature Craft</v>
      </c>
      <c r="H67" s="107" t="str">
        <f ca="1"/>
        <v>Discovery Trail</v>
      </c>
    </row>
    <row r="68" spans="1:15">
      <c r="A68" s="107" t="str" cm="1">
        <f t="array" aca="1" ref="A68:F68" ca="1">TRANSPOSE(INDIRECT(_xlfn.SWITCH(Venues!B68,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Paddle Spot</v>
      </c>
      <c r="B68" s="107" t="str">
        <f ca="1"/>
        <v>Water play</v>
      </c>
      <c r="C68" s="107" t="str">
        <f ca="1"/>
        <v>River Beach</v>
      </c>
      <c r="D68" s="107" t="str">
        <f ca="1"/>
        <v>Waterparks</v>
      </c>
      <c r="E68" s="107" t="str">
        <f ca="1"/>
        <v>On The Water</v>
      </c>
      <c r="F68" s="107" t="str">
        <f ca="1"/>
        <v>Water Adventure</v>
      </c>
    </row>
    <row r="69" spans="1:15">
      <c r="A69" s="107" t="str" cm="1">
        <f t="array" aca="1" ref="A69:F69" ca="1">TRANSPOSE(INDIRECT(_xlfn.SWITCH(Venues!B69,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Paddle Spot</v>
      </c>
      <c r="B69" s="107" t="str">
        <f ca="1"/>
        <v>Water play</v>
      </c>
      <c r="C69" s="107" t="str">
        <f ca="1"/>
        <v>River Beach</v>
      </c>
      <c r="D69" s="107" t="str">
        <f ca="1"/>
        <v>Waterparks</v>
      </c>
      <c r="E69" s="107" t="str">
        <f ca="1"/>
        <v>On The Water</v>
      </c>
      <c r="F69" s="107" t="str">
        <f ca="1"/>
        <v>Water Adventure</v>
      </c>
    </row>
    <row r="70" spans="1:15">
      <c r="A70" s="107" t="str" cm="1">
        <f t="array" aca="1" ref="A70:E70" ca="1">TRANSPOSE(INDIRECT(_xlfn.SWITCH(Venues!B70,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Science &amp; Discovery</v>
      </c>
      <c r="B70" s="107" t="str">
        <f ca="1"/>
        <v>Technology &amp; Innovation</v>
      </c>
      <c r="C70" s="107" t="str">
        <f ca="1"/>
        <v>History &amp; Pastimes</v>
      </c>
      <c r="D70" s="107" t="str">
        <f ca="1"/>
        <v>World &amp; Cultures</v>
      </c>
      <c r="E70" s="107" t="str">
        <f ca="1"/>
        <v>Child-Focused Discovery</v>
      </c>
    </row>
    <row r="71" spans="1:15">
      <c r="A71" s="107" t="str" cm="1">
        <f t="array" aca="1" ref="A71:E71" ca="1">TRANSPOSE(INDIRECT(_xlfn.SWITCH(Venues!B71,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71" s="107" t="str">
        <f ca="1"/>
        <v>Quiet Cafés</v>
      </c>
      <c r="C71" s="107" t="str">
        <f ca="1"/>
        <v>Cafés with Outdoor Space</v>
      </c>
      <c r="D71" s="107" t="str">
        <f ca="1"/>
        <v>Coffee Cabin / Truck</v>
      </c>
      <c r="E71" s="107" t="str">
        <f ca="1"/>
        <v>Easy Pit-Stops</v>
      </c>
    </row>
    <row r="72" spans="1:15">
      <c r="A72" s="107" t="str" cm="1">
        <f t="array" aca="1" ref="A72:I72" ca="1">TRANSPOSE(INDIRECT(_xlfn.SWITCH(Venues!B72,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Farm or Smallholding</v>
      </c>
      <c r="B72" s="107" t="str">
        <f ca="1"/>
        <v>Wildlife Reserve</v>
      </c>
      <c r="C72" s="107" t="str">
        <f ca="1"/>
        <v>Animal Parks &amp; Zoos</v>
      </c>
      <c r="D72" s="107" t="str">
        <f ca="1"/>
        <v>Conservation Project</v>
      </c>
      <c r="E72" s="107" t="str">
        <f ca="1"/>
        <v>Animal Sanctuary</v>
      </c>
      <c r="F72" s="107" t="str">
        <f ca="1"/>
        <v>Marine Aquarium</v>
      </c>
      <c r="G72" s="107" t="str">
        <f ca="1"/>
        <v>Reptiles &amp; Exotics</v>
      </c>
      <c r="H72" s="107" t="str">
        <f ca="1"/>
        <v>Bird of Prey Centre</v>
      </c>
      <c r="I72" s="107" t="str">
        <f ca="1"/>
        <v>Stables or Yard</v>
      </c>
    </row>
    <row r="73" spans="1:15">
      <c r="A73" s="107" t="str" cm="1">
        <f t="array" aca="1" ref="A73:D73" ca="1">TRANSPOSE(INDIRECT(_xlfn.SWITCH(Venues!B73,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Character-Led Play</v>
      </c>
      <c r="B73" s="107" t="str">
        <f ca="1"/>
        <v>Immersive Worlds</v>
      </c>
      <c r="C73" s="107" t="str">
        <f ca="1"/>
        <v>Scenario &amp; World play</v>
      </c>
      <c r="D73" s="107" t="str">
        <f ca="1"/>
        <v>Narrative-led experiences</v>
      </c>
    </row>
    <row r="74" spans="1:15">
      <c r="A74" s="107" t="str" cm="1">
        <f t="array" aca="1" ref="A74:I74" ca="1">TRANSPOSE(INDIRECT(_xlfn.SWITCH(Venues!B74,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Farm or Smallholding</v>
      </c>
      <c r="B74" s="107" t="str">
        <f ca="1"/>
        <v>Wildlife Reserve</v>
      </c>
      <c r="C74" s="107" t="str">
        <f ca="1"/>
        <v>Animal Parks &amp; Zoos</v>
      </c>
      <c r="D74" s="107" t="str">
        <f ca="1"/>
        <v>Conservation Project</v>
      </c>
      <c r="E74" s="107" t="str">
        <f ca="1"/>
        <v>Animal Sanctuary</v>
      </c>
      <c r="F74" s="107" t="str">
        <f ca="1"/>
        <v>Marine Aquarium</v>
      </c>
      <c r="G74" s="107" t="str">
        <f ca="1"/>
        <v>Reptiles &amp; Exotics</v>
      </c>
      <c r="H74" s="107" t="str">
        <f ca="1"/>
        <v>Bird of Prey Centre</v>
      </c>
      <c r="I74" s="107" t="str">
        <f ca="1"/>
        <v>Stables or Yard</v>
      </c>
    </row>
    <row r="75" spans="1:15">
      <c r="A75" s="107" t="str" cm="1">
        <f t="array" aca="1" ref="A75:I75" ca="1">TRANSPOSE(INDIRECT(_xlfn.SWITCH(Venues!B75,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Farm or Smallholding</v>
      </c>
      <c r="B75" s="107" t="str">
        <f ca="1"/>
        <v>Wildlife Reserve</v>
      </c>
      <c r="C75" s="107" t="str">
        <f ca="1"/>
        <v>Animal Parks &amp; Zoos</v>
      </c>
      <c r="D75" s="107" t="str">
        <f ca="1"/>
        <v>Conservation Project</v>
      </c>
      <c r="E75" s="107" t="str">
        <f ca="1"/>
        <v>Animal Sanctuary</v>
      </c>
      <c r="F75" s="107" t="str">
        <f ca="1"/>
        <v>Marine Aquarium</v>
      </c>
      <c r="G75" s="107" t="str">
        <f ca="1"/>
        <v>Reptiles &amp; Exotics</v>
      </c>
      <c r="H75" s="107" t="str">
        <f ca="1"/>
        <v>Bird of Prey Centre</v>
      </c>
      <c r="I75" s="107" t="str">
        <f ca="1"/>
        <v>Stables or Yard</v>
      </c>
    </row>
    <row r="76" spans="1:15">
      <c r="A76" s="107" t="str" cm="1">
        <f t="array" aca="1" ref="A76:H76" ca="1">TRANSPOSE(INDIRECT(_xlfn.SWITCH(Venues!B76,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Ancient Site</v>
      </c>
      <c r="B76" s="107" t="str">
        <f ca="1"/>
        <v>Historic Estate</v>
      </c>
      <c r="C76" s="107" t="str">
        <f ca="1"/>
        <v>Living History</v>
      </c>
      <c r="D76" s="107" t="str">
        <f ca="1"/>
        <v>Open-Air Museum</v>
      </c>
      <c r="E76" s="107" t="str">
        <f ca="1"/>
        <v>Industrial &amp; Working History</v>
      </c>
      <c r="F76" s="107" t="str">
        <f ca="1"/>
        <v>Archaeological</v>
      </c>
      <c r="G76" s="107" t="str">
        <f ca="1"/>
        <v>Cultural Heritage Site</v>
      </c>
      <c r="H76" s="107" t="str">
        <f ca="1"/>
        <v>Historic Religious Building</v>
      </c>
    </row>
    <row r="77" spans="1:15">
      <c r="A77" s="107" t="str" cm="1">
        <f t="array" aca="1" ref="A77:H77" ca="1">TRANSPOSE(INDIRECT(_xlfn.SWITCH(Venues!B77,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Ancient Site</v>
      </c>
      <c r="B77" s="107" t="str">
        <f ca="1"/>
        <v>Historic Estate</v>
      </c>
      <c r="C77" s="107" t="str">
        <f ca="1"/>
        <v>Living History</v>
      </c>
      <c r="D77" s="107" t="str">
        <f ca="1"/>
        <v>Open-Air Museum</v>
      </c>
      <c r="E77" s="107" t="str">
        <f ca="1"/>
        <v>Industrial &amp; Working History</v>
      </c>
      <c r="F77" s="107" t="str">
        <f ca="1"/>
        <v>Archaeological</v>
      </c>
      <c r="G77" s="107" t="str">
        <f ca="1"/>
        <v>Cultural Heritage Site</v>
      </c>
      <c r="H77" s="107" t="str">
        <f ca="1"/>
        <v>Historic Religious Building</v>
      </c>
    </row>
    <row r="78" spans="1:15">
      <c r="A78" s="107" t="str" cm="1">
        <f t="array" aca="1" ref="A78:O78" ca="1">TRANSPOSE(INDIRECT(_xlfn.SWITCH(Venues!B78,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Leisure Centre</v>
      </c>
      <c r="B78" s="107" t="str">
        <f ca="1"/>
        <v>Adventure / Assault Course</v>
      </c>
      <c r="C78" s="107" t="str">
        <f ca="1"/>
        <v>Climbing Centre</v>
      </c>
      <c r="D78" s="107" t="str">
        <f ca="1"/>
        <v>Multisports Centre</v>
      </c>
      <c r="E78" s="107" t="str">
        <f ca="1"/>
        <v>Sport Stadium</v>
      </c>
      <c r="F78" s="107" t="str">
        <f ca="1"/>
        <v>Sport Arena</v>
      </c>
      <c r="G78" s="107" t="str">
        <f ca="1"/>
        <v>Swimming Pool</v>
      </c>
      <c r="H78" s="107" t="str">
        <f ca="1"/>
        <v>Community Centre</v>
      </c>
      <c r="I78" s="107" t="str">
        <f ca="1"/>
        <v>Range</v>
      </c>
      <c r="J78" s="107" t="str">
        <f ca="1"/>
        <v>Sports Track</v>
      </c>
      <c r="K78" s="107" t="str">
        <f ca="1"/>
        <v>Indoor Court</v>
      </c>
      <c r="L78" s="107" t="str">
        <f ca="1"/>
        <v>Outdoor Court</v>
      </c>
      <c r="M78" s="107" t="str">
        <f ca="1"/>
        <v>Specialist Facility</v>
      </c>
      <c r="N78" s="107" t="str">
        <f ca="1"/>
        <v>Outdoor Pitch</v>
      </c>
      <c r="O78" s="107" t="str">
        <f ca="1"/>
        <v>Gym</v>
      </c>
    </row>
    <row r="79" spans="1:15">
      <c r="A79" s="107" t="str" cm="1">
        <f t="array" aca="1" ref="A79:K79" ca="1">TRANSPOSE(INDIRECT(_xlfn.SWITCH(Venues!B79,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Cinema</v>
      </c>
      <c r="B79" s="107" t="str">
        <f ca="1"/>
        <v>Stage-Show</v>
      </c>
      <c r="C79" s="107" t="str">
        <f ca="1"/>
        <v>Live Events</v>
      </c>
      <c r="D79" s="107" t="str">
        <f ca="1"/>
        <v>Gaming &amp; VR</v>
      </c>
      <c r="E79" s="107" t="str">
        <f ca="1"/>
        <v>Escape Room</v>
      </c>
      <c r="F79" s="107" t="str">
        <f ca="1"/>
        <v>Improvised Performance</v>
      </c>
      <c r="G79" s="107" t="str">
        <f ca="1"/>
        <v>Comedy</v>
      </c>
      <c r="H79" s="107" t="str">
        <f ca="1"/>
        <v>Karaoke</v>
      </c>
      <c r="I79" s="107" t="str">
        <f ca="1"/>
        <v>Arcade / Amusements</v>
      </c>
      <c r="J79" s="107" t="str">
        <f ca="1"/>
        <v>Laser Tag</v>
      </c>
      <c r="K79" s="107" t="str">
        <f ca="1"/>
        <v>Bowling</v>
      </c>
    </row>
    <row r="80" spans="1:15">
      <c r="A80" s="107" t="str" cm="1">
        <f t="array" aca="1" ref="A80:G80" ca="1">TRANSPOSE(INDIRECT(_xlfn.SWITCH(Venues!B80,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80" s="107" t="str">
        <f ca="1"/>
        <v>Local park</v>
      </c>
      <c r="C80" s="107" t="str">
        <f ca="1"/>
        <v>Adventure Playground</v>
      </c>
      <c r="D80" s="107" t="str">
        <f ca="1"/>
        <v>Natural Obstacle Course</v>
      </c>
      <c r="E80" s="107" t="str">
        <f ca="1"/>
        <v>Skate Park</v>
      </c>
      <c r="F80" s="107" t="str">
        <f ca="1"/>
        <v>Orienteering Course</v>
      </c>
      <c r="G80" s="107" t="str">
        <f ca="1"/>
        <v>Letterboxing Site</v>
      </c>
    </row>
    <row r="81" spans="1:15">
      <c r="A81" s="107" t="str" cm="1">
        <f t="array" aca="1" ref="A81:L81" ca="1">TRANSPOSE(INDIRECT(_xlfn.SWITCH(Venues!B81,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81" s="107" t="str">
        <f ca="1"/>
        <v>Pebble or Shingle Beach</v>
      </c>
      <c r="C81" s="107" t="str">
        <f ca="1"/>
        <v>RNLI Beach</v>
      </c>
      <c r="D81" s="107" t="str">
        <f ca="1"/>
        <v>Rocky Cove</v>
      </c>
      <c r="E81" s="107" t="str">
        <f ca="1"/>
        <v>Coasteering Beach</v>
      </c>
      <c r="F81" s="107" t="str">
        <f ca="1"/>
        <v>Wild or Remote Beach</v>
      </c>
      <c r="G81" s="107" t="str">
        <f ca="1"/>
        <v>Dog-Friendly Beach</v>
      </c>
      <c r="H81" s="107" t="str">
        <f ca="1"/>
        <v>Mixed Sand &amp; Shingle Beach</v>
      </c>
      <c r="I81" s="107" t="str">
        <f ca="1"/>
        <v>Sheltered Cove or Bay</v>
      </c>
      <c r="J81" s="107" t="str">
        <f ca="1"/>
        <v>Surf Beach</v>
      </c>
      <c r="K81" s="107" t="str">
        <f ca="1"/>
        <v>Harbour or Village Beach</v>
      </c>
      <c r="L81" s="107" t="str">
        <f ca="1"/>
        <v>Estuary Beach</v>
      </c>
    </row>
    <row r="82" spans="1:15">
      <c r="A82" s="107" t="str" cm="1">
        <f t="array" aca="1" ref="A82:L82" ca="1">TRANSPOSE(INDIRECT(_xlfn.SWITCH(Venues!B82,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82" s="107" t="str">
        <f ca="1"/>
        <v>Pebble or Shingle Beach</v>
      </c>
      <c r="C82" s="107" t="str">
        <f ca="1"/>
        <v>RNLI Beach</v>
      </c>
      <c r="D82" s="107" t="str">
        <f ca="1"/>
        <v>Rocky Cove</v>
      </c>
      <c r="E82" s="107" t="str">
        <f ca="1"/>
        <v>Coasteering Beach</v>
      </c>
      <c r="F82" s="107" t="str">
        <f ca="1"/>
        <v>Wild or Remote Beach</v>
      </c>
      <c r="G82" s="107" t="str">
        <f ca="1"/>
        <v>Dog-Friendly Beach</v>
      </c>
      <c r="H82" s="107" t="str">
        <f ca="1"/>
        <v>Mixed Sand &amp; Shingle Beach</v>
      </c>
      <c r="I82" s="107" t="str">
        <f ca="1"/>
        <v>Sheltered Cove or Bay</v>
      </c>
      <c r="J82" s="107" t="str">
        <f ca="1"/>
        <v>Surf Beach</v>
      </c>
      <c r="K82" s="107" t="str">
        <f ca="1"/>
        <v>Harbour or Village Beach</v>
      </c>
      <c r="L82" s="107" t="str">
        <f ca="1"/>
        <v>Estuary Beach</v>
      </c>
    </row>
    <row r="83" spans="1:15">
      <c r="A83" s="107" t="str" cm="1">
        <f t="array" aca="1" ref="A83:L83" ca="1">TRANSPOSE(INDIRECT(_xlfn.SWITCH(Venues!B83,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83" s="107" t="str">
        <f ca="1"/>
        <v>Pebble or Shingle Beach</v>
      </c>
      <c r="C83" s="107" t="str">
        <f ca="1"/>
        <v>RNLI Beach</v>
      </c>
      <c r="D83" s="107" t="str">
        <f ca="1"/>
        <v>Rocky Cove</v>
      </c>
      <c r="E83" s="107" t="str">
        <f ca="1"/>
        <v>Coasteering Beach</v>
      </c>
      <c r="F83" s="107" t="str">
        <f ca="1"/>
        <v>Wild or Remote Beach</v>
      </c>
      <c r="G83" s="107" t="str">
        <f ca="1"/>
        <v>Dog-Friendly Beach</v>
      </c>
      <c r="H83" s="107" t="str">
        <f ca="1"/>
        <v>Mixed Sand &amp; Shingle Beach</v>
      </c>
      <c r="I83" s="107" t="str">
        <f ca="1"/>
        <v>Sheltered Cove or Bay</v>
      </c>
      <c r="J83" s="107" t="str">
        <f ca="1"/>
        <v>Surf Beach</v>
      </c>
      <c r="K83" s="107" t="str">
        <f ca="1"/>
        <v>Harbour or Village Beach</v>
      </c>
      <c r="L83" s="107" t="str">
        <f ca="1"/>
        <v>Estuary Beach</v>
      </c>
    </row>
    <row r="84" spans="1:15">
      <c r="A84" s="107" t="str" cm="1">
        <f t="array" aca="1" ref="A84:G84" ca="1">TRANSPOSE(INDIRECT(_xlfn.SWITCH(Venues!B84,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Country Park</v>
      </c>
      <c r="B84" s="107" t="str">
        <f ca="1"/>
        <v>Parkland or Meadow</v>
      </c>
      <c r="C84" s="107" t="str">
        <f ca="1"/>
        <v>Village Green</v>
      </c>
      <c r="D84" s="107" t="str">
        <f ca="1"/>
        <v>Village Park</v>
      </c>
      <c r="E84" s="107" t="str">
        <f ca="1"/>
        <v>Urban Green Space</v>
      </c>
      <c r="F84" s="107" t="str">
        <f ca="1"/>
        <v>Castle Grounds</v>
      </c>
      <c r="G84" s="107" t="str">
        <f ca="1"/>
        <v>Estate Grounds</v>
      </c>
    </row>
    <row r="85" spans="1:15">
      <c r="A85" s="107" t="str" cm="1">
        <f t="array" aca="1" ref="A85:L85" ca="1">TRANSPOSE(INDIRECT(_xlfn.SWITCH(Venues!B85,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85" s="107" t="str">
        <f ca="1"/>
        <v>Pebble or Shingle Beach</v>
      </c>
      <c r="C85" s="107" t="str">
        <f ca="1"/>
        <v>RNLI Beach</v>
      </c>
      <c r="D85" s="107" t="str">
        <f ca="1"/>
        <v>Rocky Cove</v>
      </c>
      <c r="E85" s="107" t="str">
        <f ca="1"/>
        <v>Coasteering Beach</v>
      </c>
      <c r="F85" s="107" t="str">
        <f ca="1"/>
        <v>Wild or Remote Beach</v>
      </c>
      <c r="G85" s="107" t="str">
        <f ca="1"/>
        <v>Dog-Friendly Beach</v>
      </c>
      <c r="H85" s="107" t="str">
        <f ca="1"/>
        <v>Mixed Sand &amp; Shingle Beach</v>
      </c>
      <c r="I85" s="107" t="str">
        <f ca="1"/>
        <v>Sheltered Cove or Bay</v>
      </c>
      <c r="J85" s="107" t="str">
        <f ca="1"/>
        <v>Surf Beach</v>
      </c>
      <c r="K85" s="107" t="str">
        <f ca="1"/>
        <v>Harbour or Village Beach</v>
      </c>
      <c r="L85" s="107" t="str">
        <f ca="1"/>
        <v>Estuary Beach</v>
      </c>
    </row>
    <row r="86" spans="1:15">
      <c r="A86" s="107" t="str" cm="1">
        <f t="array" aca="1" ref="A86:E86" ca="1">TRANSPOSE(INDIRECT(_xlfn.SWITCH(Venues!B86,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86" s="107" t="str">
        <f ca="1"/>
        <v>Quiet Cafés</v>
      </c>
      <c r="C86" s="107" t="str">
        <f ca="1"/>
        <v>Cafés with Outdoor Space</v>
      </c>
      <c r="D86" s="107" t="str">
        <f ca="1"/>
        <v>Coffee Cabin / Truck</v>
      </c>
      <c r="E86" s="107" t="str">
        <f ca="1"/>
        <v>Easy Pit-Stops</v>
      </c>
    </row>
    <row r="87" spans="1:15">
      <c r="A87" s="107" t="str" cm="1">
        <f t="array" aca="1" ref="A87:D87" ca="1">TRANSPOSE(INDIRECT(_xlfn.SWITCH(Venues!B87,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 Eateries</v>
      </c>
      <c r="B87" s="107" t="str">
        <f ca="1"/>
        <v>Outdoor Family Dining</v>
      </c>
      <c r="C87" s="107" t="str">
        <f ca="1"/>
        <v>Destination Family Dining</v>
      </c>
      <c r="D87" s="107" t="str">
        <f ca="1"/>
        <v>Food Festivals</v>
      </c>
    </row>
    <row r="88" spans="1:15">
      <c r="A88" s="107" t="str" cm="1">
        <f t="array" aca="1" ref="A88:O88" ca="1">TRANSPOSE(INDIRECT(_xlfn.SWITCH(Venues!B88,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Leisure Centre</v>
      </c>
      <c r="B88" s="107" t="str">
        <f ca="1"/>
        <v>Adventure / Assault Course</v>
      </c>
      <c r="C88" s="107" t="str">
        <f ca="1"/>
        <v>Climbing Centre</v>
      </c>
      <c r="D88" s="107" t="str">
        <f ca="1"/>
        <v>Multisports Centre</v>
      </c>
      <c r="E88" s="107" t="str">
        <f ca="1"/>
        <v>Sport Stadium</v>
      </c>
      <c r="F88" s="107" t="str">
        <f ca="1"/>
        <v>Sport Arena</v>
      </c>
      <c r="G88" s="107" t="str">
        <f ca="1"/>
        <v>Swimming Pool</v>
      </c>
      <c r="H88" s="107" t="str">
        <f ca="1"/>
        <v>Community Centre</v>
      </c>
      <c r="I88" s="107" t="str">
        <f ca="1"/>
        <v>Range</v>
      </c>
      <c r="J88" s="107" t="str">
        <f ca="1"/>
        <v>Sports Track</v>
      </c>
      <c r="K88" s="107" t="str">
        <f ca="1"/>
        <v>Indoor Court</v>
      </c>
      <c r="L88" s="107" t="str">
        <f ca="1"/>
        <v>Outdoor Court</v>
      </c>
      <c r="M88" s="107" t="str">
        <f ca="1"/>
        <v>Specialist Facility</v>
      </c>
      <c r="N88" s="107" t="str">
        <f ca="1"/>
        <v>Outdoor Pitch</v>
      </c>
      <c r="O88" s="107" t="str">
        <f ca="1"/>
        <v>Gym</v>
      </c>
    </row>
    <row r="89" spans="1:15">
      <c r="A89" s="107" t="str" cm="1">
        <f t="array" aca="1" ref="A89:F89" ca="1">TRANSPOSE(INDIRECT(_xlfn.SWITCH(Venues!B89,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Soft Play Centre</v>
      </c>
      <c r="B89" s="107" t="str">
        <f ca="1"/>
        <v>Toddler Play Space</v>
      </c>
      <c r="C89" s="107" t="str">
        <f ca="1"/>
        <v>Indoor Climbing</v>
      </c>
      <c r="D89" s="107" t="str">
        <f ca="1"/>
        <v>Inside Course</v>
      </c>
      <c r="E89" s="107" t="str">
        <f ca="1"/>
        <v>Trampoline Park</v>
      </c>
      <c r="F89" s="107" t="str">
        <f ca="1"/>
        <v>Multi-Activity Centre</v>
      </c>
    </row>
    <row r="90" spans="1:15">
      <c r="A90" s="107" t="str" cm="1">
        <f t="array" aca="1" ref="A90:E90" ca="1">TRANSPOSE(INDIRECT(_xlfn.SWITCH(Venues!B90,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90" s="107" t="str">
        <f ca="1"/>
        <v>Quiet Cafés</v>
      </c>
      <c r="C90" s="107" t="str">
        <f ca="1"/>
        <v>Cafés with Outdoor Space</v>
      </c>
      <c r="D90" s="107" t="str">
        <f ca="1"/>
        <v>Coffee Cabin / Truck</v>
      </c>
      <c r="E90" s="107" t="str">
        <f ca="1"/>
        <v>Easy Pit-Stops</v>
      </c>
    </row>
    <row r="91" spans="1:15">
      <c r="A91" s="107" t="str" cm="1">
        <f t="array" aca="1" ref="A91:G91" ca="1">TRANSPOSE(INDIRECT(_xlfn.SWITCH(Venues!B91,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Country Park</v>
      </c>
      <c r="B91" s="107" t="str">
        <f ca="1"/>
        <v>Parkland or Meadow</v>
      </c>
      <c r="C91" s="107" t="str">
        <f ca="1"/>
        <v>Village Green</v>
      </c>
      <c r="D91" s="107" t="str">
        <f ca="1"/>
        <v>Village Park</v>
      </c>
      <c r="E91" s="107" t="str">
        <f ca="1"/>
        <v>Urban Green Space</v>
      </c>
      <c r="F91" s="107" t="str">
        <f ca="1"/>
        <v>Castle Grounds</v>
      </c>
      <c r="G91" s="107" t="str">
        <f ca="1"/>
        <v>Estate Grounds</v>
      </c>
    </row>
    <row r="92" spans="1:15">
      <c r="A92" s="107" t="str" cm="1">
        <f t="array" aca="1" ref="A92:E92" ca="1">TRANSPOSE(INDIRECT(_xlfn.SWITCH(Venues!B92,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92" s="107" t="str">
        <f ca="1"/>
        <v>Quiet Cafés</v>
      </c>
      <c r="C92" s="107" t="str">
        <f ca="1"/>
        <v>Cafés with Outdoor Space</v>
      </c>
      <c r="D92" s="107" t="str">
        <f ca="1"/>
        <v>Coffee Cabin / Truck</v>
      </c>
      <c r="E92" s="107" t="str">
        <f ca="1"/>
        <v>Easy Pit-Stops</v>
      </c>
    </row>
    <row r="93" spans="1:15">
      <c r="A93" s="107" t="str" cm="1">
        <f t="array" aca="1" ref="A93:E93" ca="1">TRANSPOSE(INDIRECT(_xlfn.SWITCH(Venues!B93,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93" s="107" t="str">
        <f ca="1"/>
        <v>Quiet Cafés</v>
      </c>
      <c r="C93" s="107" t="str">
        <f ca="1"/>
        <v>Cafés with Outdoor Space</v>
      </c>
      <c r="D93" s="107" t="str">
        <f ca="1"/>
        <v>Coffee Cabin / Truck</v>
      </c>
      <c r="E93" s="107" t="str">
        <f ca="1"/>
        <v>Easy Pit-Stops</v>
      </c>
    </row>
    <row r="94" spans="1:15">
      <c r="A94" s="107" t="str" cm="1">
        <f t="array" aca="1" ref="A94:L94" ca="1">TRANSPOSE(INDIRECT(_xlfn.SWITCH(Venues!B94,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94" s="107" t="str">
        <f ca="1"/>
        <v>Pebble or Shingle Beach</v>
      </c>
      <c r="C94" s="107" t="str">
        <f ca="1"/>
        <v>RNLI Beach</v>
      </c>
      <c r="D94" s="107" t="str">
        <f ca="1"/>
        <v>Rocky Cove</v>
      </c>
      <c r="E94" s="107" t="str">
        <f ca="1"/>
        <v>Coasteering Beach</v>
      </c>
      <c r="F94" s="107" t="str">
        <f ca="1"/>
        <v>Wild or Remote Beach</v>
      </c>
      <c r="G94" s="107" t="str">
        <f ca="1"/>
        <v>Dog-Friendly Beach</v>
      </c>
      <c r="H94" s="107" t="str">
        <f ca="1"/>
        <v>Mixed Sand &amp; Shingle Beach</v>
      </c>
      <c r="I94" s="107" t="str">
        <f ca="1"/>
        <v>Sheltered Cove or Bay</v>
      </c>
      <c r="J94" s="107" t="str">
        <f ca="1"/>
        <v>Surf Beach</v>
      </c>
      <c r="K94" s="107" t="str">
        <f ca="1"/>
        <v>Harbour or Village Beach</v>
      </c>
      <c r="L94" s="107" t="str">
        <f ca="1"/>
        <v>Estuary Beach</v>
      </c>
    </row>
    <row r="95" spans="1:15">
      <c r="A95" s="107" t="str" cm="1">
        <f t="array" aca="1" ref="A95:L95" ca="1">TRANSPOSE(INDIRECT(_xlfn.SWITCH(Venues!B95,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95" s="107" t="str">
        <f ca="1"/>
        <v>Pebble or Shingle Beach</v>
      </c>
      <c r="C95" s="107" t="str">
        <f ca="1"/>
        <v>RNLI Beach</v>
      </c>
      <c r="D95" s="107" t="str">
        <f ca="1"/>
        <v>Rocky Cove</v>
      </c>
      <c r="E95" s="107" t="str">
        <f ca="1"/>
        <v>Coasteering Beach</v>
      </c>
      <c r="F95" s="107" t="str">
        <f ca="1"/>
        <v>Wild or Remote Beach</v>
      </c>
      <c r="G95" s="107" t="str">
        <f ca="1"/>
        <v>Dog-Friendly Beach</v>
      </c>
      <c r="H95" s="107" t="str">
        <f ca="1"/>
        <v>Mixed Sand &amp; Shingle Beach</v>
      </c>
      <c r="I95" s="107" t="str">
        <f ca="1"/>
        <v>Sheltered Cove or Bay</v>
      </c>
      <c r="J95" s="107" t="str">
        <f ca="1"/>
        <v>Surf Beach</v>
      </c>
      <c r="K95" s="107" t="str">
        <f ca="1"/>
        <v>Harbour or Village Beach</v>
      </c>
      <c r="L95" s="107" t="str">
        <f ca="1"/>
        <v>Estuary Beach</v>
      </c>
    </row>
    <row r="96" spans="1:15">
      <c r="A96" s="107" t="str" cm="1">
        <f t="array" aca="1" ref="A96:F96" ca="1">TRANSPOSE(INDIRECT(_xlfn.SWITCH(Venues!B96,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Paddle Spot</v>
      </c>
      <c r="B96" s="107" t="str">
        <f ca="1"/>
        <v>Water play</v>
      </c>
      <c r="C96" s="107" t="str">
        <f ca="1"/>
        <v>River Beach</v>
      </c>
      <c r="D96" s="107" t="str">
        <f ca="1"/>
        <v>Waterparks</v>
      </c>
      <c r="E96" s="107" t="str">
        <f ca="1"/>
        <v>On The Water</v>
      </c>
      <c r="F96" s="107" t="str">
        <f ca="1"/>
        <v>Water Adventure</v>
      </c>
    </row>
    <row r="97" spans="1:12">
      <c r="A97" s="107" t="str" cm="1">
        <f t="array" aca="1" ref="A97:F97" ca="1">TRANSPOSE(INDIRECT(_xlfn.SWITCH(Venues!B97,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Paddle Spot</v>
      </c>
      <c r="B97" s="107" t="str">
        <f ca="1"/>
        <v>Water play</v>
      </c>
      <c r="C97" s="107" t="str">
        <f ca="1"/>
        <v>River Beach</v>
      </c>
      <c r="D97" s="107" t="str">
        <f ca="1"/>
        <v>Waterparks</v>
      </c>
      <c r="E97" s="107" t="str">
        <f ca="1"/>
        <v>On The Water</v>
      </c>
      <c r="F97" s="107" t="str">
        <f ca="1"/>
        <v>Water Adventure</v>
      </c>
    </row>
    <row r="98" spans="1:12">
      <c r="A98" s="107" t="str" cm="1">
        <f t="array" aca="1" ref="A98:L98" ca="1">TRANSPOSE(INDIRECT(_xlfn.SWITCH(Venues!B98,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98" s="107" t="str">
        <f ca="1"/>
        <v>Pebble or Shingle Beach</v>
      </c>
      <c r="C98" s="107" t="str">
        <f ca="1"/>
        <v>RNLI Beach</v>
      </c>
      <c r="D98" s="107" t="str">
        <f ca="1"/>
        <v>Rocky Cove</v>
      </c>
      <c r="E98" s="107" t="str">
        <f ca="1"/>
        <v>Coasteering Beach</v>
      </c>
      <c r="F98" s="107" t="str">
        <f ca="1"/>
        <v>Wild or Remote Beach</v>
      </c>
      <c r="G98" s="107" t="str">
        <f ca="1"/>
        <v>Dog-Friendly Beach</v>
      </c>
      <c r="H98" s="107" t="str">
        <f ca="1"/>
        <v>Mixed Sand &amp; Shingle Beach</v>
      </c>
      <c r="I98" s="107" t="str">
        <f ca="1"/>
        <v>Sheltered Cove or Bay</v>
      </c>
      <c r="J98" s="107" t="str">
        <f ca="1"/>
        <v>Surf Beach</v>
      </c>
      <c r="K98" s="107" t="str">
        <f ca="1"/>
        <v>Harbour or Village Beach</v>
      </c>
      <c r="L98" s="107" t="str">
        <f ca="1"/>
        <v>Estuary Beach</v>
      </c>
    </row>
    <row r="99" spans="1:12">
      <c r="A99" s="107" t="str" cm="1">
        <f t="array" aca="1" ref="A99:G99" ca="1">TRANSPOSE(INDIRECT(_xlfn.SWITCH(Venues!B99,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99" s="107" t="str">
        <f ca="1"/>
        <v>Local park</v>
      </c>
      <c r="C99" s="107" t="str">
        <f ca="1"/>
        <v>Adventure Playground</v>
      </c>
      <c r="D99" s="107" t="str">
        <f ca="1"/>
        <v>Natural Obstacle Course</v>
      </c>
      <c r="E99" s="107" t="str">
        <f ca="1"/>
        <v>Skate Park</v>
      </c>
      <c r="F99" s="107" t="str">
        <f ca="1"/>
        <v>Orienteering Course</v>
      </c>
      <c r="G99" s="107" t="str">
        <f ca="1"/>
        <v>Letterboxing Site</v>
      </c>
    </row>
    <row r="100" spans="1:12">
      <c r="A100" s="107" t="str" cm="1">
        <f t="array" aca="1" ref="A100:H100" ca="1">TRANSPOSE(INDIRECT(_xlfn.SWITCH(Venues!B100,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Nature Reserve</v>
      </c>
      <c r="B100" s="107" t="str">
        <f ca="1"/>
        <v>Wildlife Hotspot</v>
      </c>
      <c r="C100" s="107" t="str">
        <f ca="1"/>
        <v>Hydes or Cabins</v>
      </c>
      <c r="D100" s="107" t="str">
        <f ca="1"/>
        <v>Information Hut or Learning Centre</v>
      </c>
      <c r="E100" s="107" t="str">
        <f ca="1"/>
        <v>Forest School</v>
      </c>
      <c r="F100" s="107" t="str">
        <f ca="1"/>
        <v>Natural Play Area</v>
      </c>
      <c r="G100" s="107" t="str">
        <f ca="1"/>
        <v>Den-Building &amp; Nature Craft</v>
      </c>
      <c r="H100" s="107" t="str">
        <f ca="1"/>
        <v>Discovery Trail</v>
      </c>
    </row>
    <row r="101" spans="1:12">
      <c r="A101" s="107" t="str" cm="1">
        <f t="array" aca="1" ref="A101:H101" ca="1">TRANSPOSE(INDIRECT(_xlfn.SWITCH(Venues!B101,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Ancient Site</v>
      </c>
      <c r="B101" s="107" t="str">
        <f ca="1"/>
        <v>Historic Estate</v>
      </c>
      <c r="C101" s="107" t="str">
        <f ca="1"/>
        <v>Living History</v>
      </c>
      <c r="D101" s="107" t="str">
        <f ca="1"/>
        <v>Open-Air Museum</v>
      </c>
      <c r="E101" s="107" t="str">
        <f ca="1"/>
        <v>Industrial &amp; Working History</v>
      </c>
      <c r="F101" s="107" t="str">
        <f ca="1"/>
        <v>Archaeological</v>
      </c>
      <c r="G101" s="107" t="str">
        <f ca="1"/>
        <v>Cultural Heritage Site</v>
      </c>
      <c r="H101" s="107" t="str">
        <f ca="1"/>
        <v>Historic Religious Building</v>
      </c>
    </row>
    <row r="102" spans="1:12">
      <c r="A102" s="107" t="str" cm="1">
        <f t="array" aca="1" ref="A102:E102" ca="1">TRANSPOSE(INDIRECT(_xlfn.SWITCH(Venues!B102,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102" s="107" t="str">
        <f ca="1"/>
        <v>Quiet Cafés</v>
      </c>
      <c r="C102" s="107" t="str">
        <f ca="1"/>
        <v>Cafés with Outdoor Space</v>
      </c>
      <c r="D102" s="107" t="str">
        <f ca="1"/>
        <v>Coffee Cabin / Truck</v>
      </c>
      <c r="E102" s="107" t="str">
        <f ca="1"/>
        <v>Easy Pit-Stops</v>
      </c>
    </row>
    <row r="103" spans="1:12">
      <c r="A103" s="107" t="str" cm="1">
        <f t="array" aca="1" ref="A103:F103" ca="1">TRANSPOSE(INDIRECT(_xlfn.SWITCH(Venues!B103,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Soft Play Centre</v>
      </c>
      <c r="B103" s="107" t="str">
        <f ca="1"/>
        <v>Toddler Play Space</v>
      </c>
      <c r="C103" s="107" t="str">
        <f ca="1"/>
        <v>Indoor Climbing</v>
      </c>
      <c r="D103" s="107" t="str">
        <f ca="1"/>
        <v>Inside Course</v>
      </c>
      <c r="E103" s="107" t="str">
        <f ca="1"/>
        <v>Trampoline Park</v>
      </c>
      <c r="F103" s="107" t="str">
        <f ca="1"/>
        <v>Multi-Activity Centre</v>
      </c>
    </row>
    <row r="104" spans="1:12">
      <c r="A104" s="107" t="str" cm="1">
        <f t="array" aca="1" ref="A104:F104" ca="1">TRANSPOSE(INDIRECT(_xlfn.SWITCH(Venues!B104,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Soft Play Centre</v>
      </c>
      <c r="B104" s="107" t="str">
        <f ca="1"/>
        <v>Toddler Play Space</v>
      </c>
      <c r="C104" s="107" t="str">
        <f ca="1"/>
        <v>Indoor Climbing</v>
      </c>
      <c r="D104" s="107" t="str">
        <f ca="1"/>
        <v>Inside Course</v>
      </c>
      <c r="E104" s="107" t="str">
        <f ca="1"/>
        <v>Trampoline Park</v>
      </c>
      <c r="F104" s="107" t="str">
        <f ca="1"/>
        <v>Multi-Activity Centre</v>
      </c>
    </row>
    <row r="105" spans="1:12">
      <c r="A105" s="107" t="str" cm="1">
        <f t="array" aca="1" ref="A105:G105" ca="1">TRANSPOSE(INDIRECT(_xlfn.SWITCH(Venues!B105,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105" s="107" t="str">
        <f ca="1"/>
        <v>Local park</v>
      </c>
      <c r="C105" s="107" t="str">
        <f ca="1"/>
        <v>Adventure Playground</v>
      </c>
      <c r="D105" s="107" t="str">
        <f ca="1"/>
        <v>Natural Obstacle Course</v>
      </c>
      <c r="E105" s="107" t="str">
        <f ca="1"/>
        <v>Skate Park</v>
      </c>
      <c r="F105" s="107" t="str">
        <f ca="1"/>
        <v>Orienteering Course</v>
      </c>
      <c r="G105" s="107" t="str">
        <f ca="1"/>
        <v>Letterboxing Site</v>
      </c>
    </row>
    <row r="106" spans="1:12">
      <c r="A106" s="107" t="str" cm="1">
        <f t="array" aca="1" ref="A106:G106" ca="1">TRANSPOSE(INDIRECT(_xlfn.SWITCH(Venues!B106,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Botanical Garden</v>
      </c>
      <c r="B106" s="107" t="str">
        <f ca="1"/>
        <v>Arboretum</v>
      </c>
      <c r="C106" s="107" t="str">
        <f ca="1"/>
        <v>Historic Estate Garden</v>
      </c>
      <c r="D106" s="107" t="str">
        <f ca="1"/>
        <v>Landscaped Garden</v>
      </c>
      <c r="E106" s="107" t="str">
        <f ca="1"/>
        <v>Community Garden</v>
      </c>
      <c r="F106" s="107" t="str">
        <f ca="1"/>
        <v>Themed Garden</v>
      </c>
      <c r="G106" s="107" t="str">
        <f ca="1"/>
        <v>Enclosed Garden</v>
      </c>
    </row>
    <row r="107" spans="1:12">
      <c r="A107" s="107" t="str" cm="1">
        <f t="array" aca="1" ref="A107:G107" ca="1">TRANSPOSE(INDIRECT(_xlfn.SWITCH(Venues!B107,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107" s="107" t="str">
        <f ca="1"/>
        <v>Local park</v>
      </c>
      <c r="C107" s="107" t="str">
        <f ca="1"/>
        <v>Adventure Playground</v>
      </c>
      <c r="D107" s="107" t="str">
        <f ca="1"/>
        <v>Natural Obstacle Course</v>
      </c>
      <c r="E107" s="107" t="str">
        <f ca="1"/>
        <v>Skate Park</v>
      </c>
      <c r="F107" s="107" t="str">
        <f ca="1"/>
        <v>Orienteering Course</v>
      </c>
      <c r="G107" s="107" t="str">
        <f ca="1"/>
        <v>Letterboxing Site</v>
      </c>
    </row>
    <row r="108" spans="1:12">
      <c r="A108" s="107" t="str" cm="1">
        <f t="array" aca="1" ref="A108:G108" ca="1">TRANSPOSE(INDIRECT(_xlfn.SWITCH(Venues!B108,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108" s="107" t="str">
        <f ca="1"/>
        <v>Local park</v>
      </c>
      <c r="C108" s="107" t="str">
        <f ca="1"/>
        <v>Adventure Playground</v>
      </c>
      <c r="D108" s="107" t="str">
        <f ca="1"/>
        <v>Natural Obstacle Course</v>
      </c>
      <c r="E108" s="107" t="str">
        <f ca="1"/>
        <v>Skate Park</v>
      </c>
      <c r="F108" s="107" t="str">
        <f ca="1"/>
        <v>Orienteering Course</v>
      </c>
      <c r="G108" s="107" t="str">
        <f ca="1"/>
        <v>Letterboxing Site</v>
      </c>
    </row>
    <row r="109" spans="1:12">
      <c r="A109" s="107" t="str" cm="1">
        <f t="array" aca="1" ref="A109:G109" ca="1">TRANSPOSE(INDIRECT(_xlfn.SWITCH(Venues!B109,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109" s="107" t="str">
        <f ca="1"/>
        <v>Local park</v>
      </c>
      <c r="C109" s="107" t="str">
        <f ca="1"/>
        <v>Adventure Playground</v>
      </c>
      <c r="D109" s="107" t="str">
        <f ca="1"/>
        <v>Natural Obstacle Course</v>
      </c>
      <c r="E109" s="107" t="str">
        <f ca="1"/>
        <v>Skate Park</v>
      </c>
      <c r="F109" s="107" t="str">
        <f ca="1"/>
        <v>Orienteering Course</v>
      </c>
      <c r="G109" s="107" t="str">
        <f ca="1"/>
        <v>Letterboxing Site</v>
      </c>
    </row>
    <row r="110" spans="1:12">
      <c r="A110" s="107" t="str" cm="1">
        <f t="array" aca="1" ref="A110:F110" ca="1">TRANSPOSE(INDIRECT(_xlfn.SWITCH(Venues!B110,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Paddle Spot</v>
      </c>
      <c r="B110" s="107" t="str">
        <f ca="1"/>
        <v>Water play</v>
      </c>
      <c r="C110" s="107" t="str">
        <f ca="1"/>
        <v>River Beach</v>
      </c>
      <c r="D110" s="107" t="str">
        <f ca="1"/>
        <v>Waterparks</v>
      </c>
      <c r="E110" s="107" t="str">
        <f ca="1"/>
        <v>On The Water</v>
      </c>
      <c r="F110" s="107" t="str">
        <f ca="1"/>
        <v>Water Adventure</v>
      </c>
    </row>
    <row r="111" spans="1:12">
      <c r="A111" s="107" t="str" cm="1">
        <f t="array" aca="1" ref="A111:G111" ca="1">TRANSPOSE(INDIRECT(_xlfn.SWITCH(Venues!B111,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111" s="107" t="str">
        <f ca="1"/>
        <v>Local park</v>
      </c>
      <c r="C111" s="107" t="str">
        <f ca="1"/>
        <v>Adventure Playground</v>
      </c>
      <c r="D111" s="107" t="str">
        <f ca="1"/>
        <v>Natural Obstacle Course</v>
      </c>
      <c r="E111" s="107" t="str">
        <f ca="1"/>
        <v>Skate Park</v>
      </c>
      <c r="F111" s="107" t="str">
        <f ca="1"/>
        <v>Orienteering Course</v>
      </c>
      <c r="G111" s="107" t="str">
        <f ca="1"/>
        <v>Letterboxing Site</v>
      </c>
    </row>
    <row r="112" spans="1:12">
      <c r="A112" s="107" t="str" cm="1">
        <f t="array" aca="1" ref="A112:G112" ca="1">TRANSPOSE(INDIRECT(_xlfn.SWITCH(Venues!B112,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112" s="107" t="str">
        <f ca="1"/>
        <v>Local park</v>
      </c>
      <c r="C112" s="107" t="str">
        <f ca="1"/>
        <v>Adventure Playground</v>
      </c>
      <c r="D112" s="107" t="str">
        <f ca="1"/>
        <v>Natural Obstacle Course</v>
      </c>
      <c r="E112" s="107" t="str">
        <f ca="1"/>
        <v>Skate Park</v>
      </c>
      <c r="F112" s="107" t="str">
        <f ca="1"/>
        <v>Orienteering Course</v>
      </c>
      <c r="G112" s="107" t="str">
        <f ca="1"/>
        <v>Letterboxing Site</v>
      </c>
    </row>
    <row r="113" spans="1:12">
      <c r="A113" s="107" t="str" cm="1">
        <f t="array" aca="1" ref="A113:G113" ca="1">TRANSPOSE(INDIRECT(_xlfn.SWITCH(Venues!B113,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Country Park</v>
      </c>
      <c r="B113" s="107" t="str">
        <f ca="1"/>
        <v>Parkland or Meadow</v>
      </c>
      <c r="C113" s="107" t="str">
        <f ca="1"/>
        <v>Village Green</v>
      </c>
      <c r="D113" s="107" t="str">
        <f ca="1"/>
        <v>Village Park</v>
      </c>
      <c r="E113" s="107" t="str">
        <f ca="1"/>
        <v>Urban Green Space</v>
      </c>
      <c r="F113" s="107" t="str">
        <f ca="1"/>
        <v>Castle Grounds</v>
      </c>
      <c r="G113" s="107" t="str">
        <f ca="1"/>
        <v>Estate Grounds</v>
      </c>
    </row>
    <row r="114" spans="1:12">
      <c r="A114" s="107" t="str" cm="1">
        <f t="array" aca="1" ref="A114:G114" ca="1">TRANSPOSE(INDIRECT(_xlfn.SWITCH(Venues!B114,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Country Park</v>
      </c>
      <c r="B114" s="107" t="str">
        <f ca="1"/>
        <v>Parkland or Meadow</v>
      </c>
      <c r="C114" s="107" t="str">
        <f ca="1"/>
        <v>Village Green</v>
      </c>
      <c r="D114" s="107" t="str">
        <f ca="1"/>
        <v>Village Park</v>
      </c>
      <c r="E114" s="107" t="str">
        <f ca="1"/>
        <v>Urban Green Space</v>
      </c>
      <c r="F114" s="107" t="str">
        <f ca="1"/>
        <v>Castle Grounds</v>
      </c>
      <c r="G114" s="107" t="str">
        <f ca="1"/>
        <v>Estate Grounds</v>
      </c>
    </row>
    <row r="115" spans="1:12">
      <c r="A115" s="107" t="str" cm="1">
        <f t="array" aca="1" ref="A115:F115" ca="1">TRANSPOSE(INDIRECT(_xlfn.SWITCH(Venues!B115,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Paddle Spot</v>
      </c>
      <c r="B115" s="107" t="str">
        <f ca="1"/>
        <v>Water play</v>
      </c>
      <c r="C115" s="107" t="str">
        <f ca="1"/>
        <v>River Beach</v>
      </c>
      <c r="D115" s="107" t="str">
        <f ca="1"/>
        <v>Waterparks</v>
      </c>
      <c r="E115" s="107" t="str">
        <f ca="1"/>
        <v>On The Water</v>
      </c>
      <c r="F115" s="107" t="str">
        <f ca="1"/>
        <v>Water Adventure</v>
      </c>
    </row>
    <row r="116" spans="1:12">
      <c r="A116" s="107" t="str" cm="1">
        <f t="array" aca="1" ref="A116:F116" ca="1">TRANSPOSE(INDIRECT(_xlfn.SWITCH(Venues!B116,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Paddle Spot</v>
      </c>
      <c r="B116" s="107" t="str">
        <f ca="1"/>
        <v>Water play</v>
      </c>
      <c r="C116" s="107" t="str">
        <f ca="1"/>
        <v>River Beach</v>
      </c>
      <c r="D116" s="107" t="str">
        <f ca="1"/>
        <v>Waterparks</v>
      </c>
      <c r="E116" s="107" t="str">
        <f ca="1"/>
        <v>On The Water</v>
      </c>
      <c r="F116" s="107" t="str">
        <f ca="1"/>
        <v>Water Adventure</v>
      </c>
    </row>
    <row r="117" spans="1:12">
      <c r="A117" s="107" t="str" cm="1">
        <f t="array" aca="1" ref="A117:G117" ca="1">TRANSPOSE(INDIRECT(_xlfn.SWITCH(Venues!B117,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Destination Playground</v>
      </c>
      <c r="B117" s="107" t="str">
        <f ca="1"/>
        <v>Local park</v>
      </c>
      <c r="C117" s="107" t="str">
        <f ca="1"/>
        <v>Adventure Playground</v>
      </c>
      <c r="D117" s="107" t="str">
        <f ca="1"/>
        <v>Natural Obstacle Course</v>
      </c>
      <c r="E117" s="107" t="str">
        <f ca="1"/>
        <v>Skate Park</v>
      </c>
      <c r="F117" s="107" t="str">
        <f ca="1"/>
        <v>Orienteering Course</v>
      </c>
      <c r="G117" s="107" t="str">
        <f ca="1"/>
        <v>Letterboxing Site</v>
      </c>
    </row>
    <row r="118" spans="1:12">
      <c r="A118" s="107" t="str" cm="1">
        <f t="array" aca="1" ref="A118:L118" ca="1">TRANSPOSE(INDIRECT(_xlfn.SWITCH(Venues!B118,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118" s="107" t="str">
        <f ca="1"/>
        <v>Pebble or Shingle Beach</v>
      </c>
      <c r="C118" s="107" t="str">
        <f ca="1"/>
        <v>RNLI Beach</v>
      </c>
      <c r="D118" s="107" t="str">
        <f ca="1"/>
        <v>Rocky Cove</v>
      </c>
      <c r="E118" s="107" t="str">
        <f ca="1"/>
        <v>Coasteering Beach</v>
      </c>
      <c r="F118" s="107" t="str">
        <f ca="1"/>
        <v>Wild or Remote Beach</v>
      </c>
      <c r="G118" s="107" t="str">
        <f ca="1"/>
        <v>Dog-Friendly Beach</v>
      </c>
      <c r="H118" s="107" t="str">
        <f ca="1"/>
        <v>Mixed Sand &amp; Shingle Beach</v>
      </c>
      <c r="I118" s="107" t="str">
        <f ca="1"/>
        <v>Sheltered Cove or Bay</v>
      </c>
      <c r="J118" s="107" t="str">
        <f ca="1"/>
        <v>Surf Beach</v>
      </c>
      <c r="K118" s="107" t="str">
        <f ca="1"/>
        <v>Harbour or Village Beach</v>
      </c>
      <c r="L118" s="107" t="str">
        <f ca="1"/>
        <v>Estuary Beach</v>
      </c>
    </row>
    <row r="119" spans="1:12">
      <c r="A119" s="107" t="str" cm="1">
        <f t="array" aca="1" ref="A119:L119" ca="1">TRANSPOSE(INDIRECT(_xlfn.SWITCH(Venues!B119,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Sandy Beach</v>
      </c>
      <c r="B119" s="107" t="str">
        <f ca="1"/>
        <v>Pebble or Shingle Beach</v>
      </c>
      <c r="C119" s="107" t="str">
        <f ca="1"/>
        <v>RNLI Beach</v>
      </c>
      <c r="D119" s="107" t="str">
        <f ca="1"/>
        <v>Rocky Cove</v>
      </c>
      <c r="E119" s="107" t="str">
        <f ca="1"/>
        <v>Coasteering Beach</v>
      </c>
      <c r="F119" s="107" t="str">
        <f ca="1"/>
        <v>Wild or Remote Beach</v>
      </c>
      <c r="G119" s="107" t="str">
        <f ca="1"/>
        <v>Dog-Friendly Beach</v>
      </c>
      <c r="H119" s="107" t="str">
        <f ca="1"/>
        <v>Mixed Sand &amp; Shingle Beach</v>
      </c>
      <c r="I119" s="107" t="str">
        <f ca="1"/>
        <v>Sheltered Cove or Bay</v>
      </c>
      <c r="J119" s="107" t="str">
        <f ca="1"/>
        <v>Surf Beach</v>
      </c>
      <c r="K119" s="107" t="str">
        <f ca="1"/>
        <v>Harbour or Village Beach</v>
      </c>
      <c r="L119" s="107" t="str">
        <f ca="1"/>
        <v>Estuary Beach</v>
      </c>
    </row>
    <row r="120" spans="1:12">
      <c r="A120" s="107" t="str" cm="1">
        <f t="array" aca="1" ref="A120:G120" ca="1">TRANSPOSE(INDIRECT(_xlfn.SWITCH(Venues!B120,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Botanical Garden</v>
      </c>
      <c r="B120" s="107" t="str">
        <f ca="1"/>
        <v>Arboretum</v>
      </c>
      <c r="C120" s="107" t="str">
        <f ca="1"/>
        <v>Historic Estate Garden</v>
      </c>
      <c r="D120" s="107" t="str">
        <f ca="1"/>
        <v>Landscaped Garden</v>
      </c>
      <c r="E120" s="107" t="str">
        <f ca="1"/>
        <v>Community Garden</v>
      </c>
      <c r="F120" s="107" t="str">
        <f ca="1"/>
        <v>Themed Garden</v>
      </c>
      <c r="G120" s="107" t="str">
        <f ca="1"/>
        <v>Enclosed Garden</v>
      </c>
    </row>
    <row r="121" spans="1:12">
      <c r="A121" s="107" t="str" cm="1">
        <f t="array" aca="1" ref="A121:E121" ca="1">TRANSPOSE(INDIRECT(_xlfn.SWITCH(Venues!B121,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Family-Friendly Cafés</v>
      </c>
      <c r="B121" s="107" t="str">
        <f ca="1"/>
        <v>Quiet Cafés</v>
      </c>
      <c r="C121" s="107" t="str">
        <f ca="1"/>
        <v>Cafés with Outdoor Space</v>
      </c>
      <c r="D121" s="107" t="str">
        <f ca="1"/>
        <v>Coffee Cabin / Truck</v>
      </c>
      <c r="E121" s="107" t="str">
        <f ca="1"/>
        <v>Easy Pit-Stops</v>
      </c>
    </row>
    <row r="122" spans="1:12">
      <c r="A122" s="107" t="str" cm="1">
        <f t="array" aca="1" ref="A122:H122" ca="1">TRANSPOSE(INDIRECT(_xlfn.SWITCH(Venues!B122,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Ancient Site</v>
      </c>
      <c r="B122" s="107" t="str">
        <f ca="1"/>
        <v>Historic Estate</v>
      </c>
      <c r="C122" s="107" t="str">
        <f ca="1"/>
        <v>Living History</v>
      </c>
      <c r="D122" s="107" t="str">
        <f ca="1"/>
        <v>Open-Air Museum</v>
      </c>
      <c r="E122" s="107" t="str">
        <f ca="1"/>
        <v>Industrial &amp; Working History</v>
      </c>
      <c r="F122" s="107" t="str">
        <f ca="1"/>
        <v>Archaeological</v>
      </c>
      <c r="G122" s="107" t="str">
        <f ca="1"/>
        <v>Cultural Heritage Site</v>
      </c>
      <c r="H122" s="107" t="str">
        <f ca="1"/>
        <v>Historic Religious Building</v>
      </c>
    </row>
    <row r="123" spans="1:12">
      <c r="A123" s="107" t="str" cm="1">
        <f t="array" aca="1" ref="A123:D123" ca="1">TRANSPOSE(INDIRECT(_xlfn.SWITCH(Venues!B123,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Character-Led Play</v>
      </c>
      <c r="B123" s="107" t="str">
        <f ca="1"/>
        <v>Immersive Worlds</v>
      </c>
      <c r="C123" s="107" t="str">
        <f ca="1"/>
        <v>Scenario &amp; World play</v>
      </c>
      <c r="D123" s="107" t="str">
        <f ca="1"/>
        <v>Narrative-led experiences</v>
      </c>
    </row>
    <row r="124" spans="1:12">
      <c r="A124" s="107" t="e" cm="1">
        <f t="array" aca="1" ref="A124" ca="1">TRANSPOSE(INDIRECT(_xlfn.SWITCH(Venues!B124,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v>
      </c>
    </row>
    <row r="125" spans="1:12">
      <c r="A125" s="107" t="e" cm="1">
        <f t="array" aca="1" ref="A125" ca="1">TRANSPOSE(INDIRECT(_xlfn.SWITCH(Venues!B125,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f>
        <v>#N/A</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5:J61"/>
  <sheetViews>
    <sheetView workbookViewId="0"/>
  </sheetViews>
  <sheetFormatPr defaultColWidth="12.5703125" defaultRowHeight="15.75" customHeight="1"/>
  <sheetData>
    <row r="5" spans="1:10">
      <c r="A5" s="107" t="str" cm="1">
        <f t="array" aca="1" ref="A5:G5" ca="1">TRANSPOSE(INDIRECT(_xlfn.SWITCH(Events!B5,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Botanical Garden</v>
      </c>
      <c r="B5" s="107" t="str">
        <f ca="1"/>
        <v>Arboretum</v>
      </c>
      <c r="C5" s="107" t="str">
        <f ca="1"/>
        <v>Historic Estate Garden</v>
      </c>
      <c r="D5" s="107" t="str">
        <f ca="1"/>
        <v>Landscaped Garden</v>
      </c>
      <c r="E5" s="107" t="str">
        <f ca="1"/>
        <v>Community Garden</v>
      </c>
      <c r="F5" s="107" t="str">
        <f ca="1"/>
        <v>Themed Garden</v>
      </c>
      <c r="G5" s="107" t="str">
        <f ca="1"/>
        <v>Enclosed Garden</v>
      </c>
    </row>
    <row r="6" spans="1:10">
      <c r="A6" s="107" t="str" cm="1">
        <f t="array" aca="1" ref="A6:G6" ca="1">TRANSPOSE(INDIRECT(_xlfn.SWITCH(Events!B6,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Botanical Garden</v>
      </c>
      <c r="B6" s="107" t="str">
        <f ca="1"/>
        <v>Arboretum</v>
      </c>
      <c r="C6" s="107" t="str">
        <f ca="1"/>
        <v>Historic Estate Garden</v>
      </c>
      <c r="D6" s="107" t="str">
        <f ca="1"/>
        <v>Landscaped Garden</v>
      </c>
      <c r="E6" s="107" t="str">
        <f ca="1"/>
        <v>Community Garden</v>
      </c>
      <c r="F6" s="107" t="str">
        <f ca="1"/>
        <v>Themed Garden</v>
      </c>
      <c r="G6" s="107" t="str">
        <f ca="1"/>
        <v>Enclosed Garden</v>
      </c>
    </row>
    <row r="7" spans="1:10">
      <c r="A7" s="107" t="str" cm="1">
        <f t="array" aca="1" ref="A7:G7" ca="1">TRANSPOSE(INDIRECT(_xlfn.SWITCH(Events!B7,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Botanical Garden</v>
      </c>
      <c r="B7" s="107" t="str">
        <f ca="1"/>
        <v>Arboretum</v>
      </c>
      <c r="C7" s="107" t="str">
        <f ca="1"/>
        <v>Historic Estate Garden</v>
      </c>
      <c r="D7" s="107" t="str">
        <f ca="1"/>
        <v>Landscaped Garden</v>
      </c>
      <c r="E7" s="107" t="str">
        <f ca="1"/>
        <v>Community Garden</v>
      </c>
      <c r="F7" s="107" t="str">
        <f ca="1"/>
        <v>Themed Garden</v>
      </c>
      <c r="G7" s="107" t="str">
        <f ca="1"/>
        <v>Enclosed Garden</v>
      </c>
    </row>
    <row r="8" spans="1:10">
      <c r="A8" s="107" t="str" cm="1">
        <f t="array" aca="1" ref="A8:G8" ca="1">TRANSPOSE(INDIRECT(_xlfn.SWITCH(Events!B8,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Botanical Garden</v>
      </c>
      <c r="B8" s="107" t="str">
        <f ca="1"/>
        <v>Arboretum</v>
      </c>
      <c r="C8" s="107" t="str">
        <f ca="1"/>
        <v>Historic Estate Garden</v>
      </c>
      <c r="D8" s="107" t="str">
        <f ca="1"/>
        <v>Landscaped Garden</v>
      </c>
      <c r="E8" s="107" t="str">
        <f ca="1"/>
        <v>Community Garden</v>
      </c>
      <c r="F8" s="107" t="str">
        <f ca="1"/>
        <v>Themed Garden</v>
      </c>
      <c r="G8" s="107" t="str">
        <f ca="1"/>
        <v>Enclosed Garden</v>
      </c>
    </row>
    <row r="9" spans="1:10">
      <c r="A9" s="107" t="str" cm="1">
        <f t="array" aca="1" ref="A9:G9" ca="1">TRANSPOSE(INDIRECT(_xlfn.SWITCH(Events!B9,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Botanical Garden</v>
      </c>
      <c r="B9" s="107" t="str">
        <f ca="1"/>
        <v>Arboretum</v>
      </c>
      <c r="C9" s="107" t="str">
        <f ca="1"/>
        <v>Historic Estate Garden</v>
      </c>
      <c r="D9" s="107" t="str">
        <f ca="1"/>
        <v>Landscaped Garden</v>
      </c>
      <c r="E9" s="107" t="str">
        <f ca="1"/>
        <v>Community Garden</v>
      </c>
      <c r="F9" s="107" t="str">
        <f ca="1"/>
        <v>Themed Garden</v>
      </c>
      <c r="G9" s="107" t="str">
        <f ca="1"/>
        <v>Enclosed Garden</v>
      </c>
    </row>
    <row r="10" spans="1:10">
      <c r="A10" s="107" t="str" cm="1">
        <f t="array" aca="1" ref="A10:G10" ca="1">TRANSPOSE(INDIRECT(_xlfn.SWITCH(Events!B10,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Botanical Garden</v>
      </c>
      <c r="B10" s="107" t="str">
        <f ca="1"/>
        <v>Arboretum</v>
      </c>
      <c r="C10" s="107" t="str">
        <f ca="1"/>
        <v>Historic Estate Garden</v>
      </c>
      <c r="D10" s="107" t="str">
        <f ca="1"/>
        <v>Landscaped Garden</v>
      </c>
      <c r="E10" s="107" t="str">
        <f ca="1"/>
        <v>Community Garden</v>
      </c>
      <c r="F10" s="107" t="str">
        <f ca="1"/>
        <v>Themed Garden</v>
      </c>
      <c r="G10" s="107" t="str">
        <f ca="1"/>
        <v>Enclosed Garden</v>
      </c>
    </row>
    <row r="11" spans="1:10">
      <c r="A11" s="107" t="str" cm="1">
        <f t="array" aca="1" ref="A11:G11" ca="1">TRANSPOSE(INDIRECT(_xlfn.SWITCH(Events!B11,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Botanical Garden</v>
      </c>
      <c r="B11" s="107" t="str">
        <f ca="1"/>
        <v>Arboretum</v>
      </c>
      <c r="C11" s="107" t="str">
        <f ca="1"/>
        <v>Historic Estate Garden</v>
      </c>
      <c r="D11" s="107" t="str">
        <f ca="1"/>
        <v>Landscaped Garden</v>
      </c>
      <c r="E11" s="107" t="str">
        <f ca="1"/>
        <v>Community Garden</v>
      </c>
      <c r="F11" s="107" t="str">
        <f ca="1"/>
        <v>Themed Garden</v>
      </c>
      <c r="G11" s="107" t="str">
        <f ca="1"/>
        <v>Enclosed Garden</v>
      </c>
    </row>
    <row r="12" spans="1:10">
      <c r="A12" s="107" t="str" cm="1">
        <f t="array" aca="1" ref="A12:G12" ca="1">TRANSPOSE(INDIRECT(_xlfn.SWITCH(Events!B12,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Botanical Garden</v>
      </c>
      <c r="B12" s="107" t="str">
        <f ca="1"/>
        <v>Arboretum</v>
      </c>
      <c r="C12" s="107" t="str">
        <f ca="1"/>
        <v>Historic Estate Garden</v>
      </c>
      <c r="D12" s="107" t="str">
        <f ca="1"/>
        <v>Landscaped Garden</v>
      </c>
      <c r="E12" s="107" t="str">
        <f ca="1"/>
        <v>Community Garden</v>
      </c>
      <c r="F12" s="107" t="str">
        <f ca="1"/>
        <v>Themed Garden</v>
      </c>
      <c r="G12" s="107" t="str">
        <f ca="1"/>
        <v>Enclosed Garden</v>
      </c>
    </row>
    <row r="13" spans="1:10">
      <c r="A13" s="107" t="str" cm="1">
        <f t="array" aca="1" ref="A13:G13" ca="1">TRANSPOSE(INDIRECT(_xlfn.SWITCH(Events!B13,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Country Park</v>
      </c>
      <c r="B13" s="107" t="str">
        <f ca="1"/>
        <v>Parkland or Meadow</v>
      </c>
      <c r="C13" s="107" t="str">
        <f ca="1"/>
        <v>Village Green</v>
      </c>
      <c r="D13" s="107" t="str">
        <f ca="1"/>
        <v>Village Park</v>
      </c>
      <c r="E13" s="107" t="str">
        <f ca="1"/>
        <v>Urban Green Space</v>
      </c>
      <c r="F13" s="107" t="str">
        <f ca="1"/>
        <v>Castle Grounds</v>
      </c>
      <c r="G13" s="107" t="str">
        <f ca="1"/>
        <v>Estate Grounds</v>
      </c>
    </row>
    <row r="14" spans="1:10">
      <c r="A14" s="107" t="str" cm="1">
        <f t="array" aca="1" ref="A14:G14" ca="1">TRANSPOSE(INDIRECT(_xlfn.SWITCH(Events!B14,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Country Park</v>
      </c>
      <c r="B14" s="107" t="str">
        <f ca="1"/>
        <v>Parkland or Meadow</v>
      </c>
      <c r="C14" s="107" t="str">
        <f ca="1"/>
        <v>Village Green</v>
      </c>
      <c r="D14" s="107" t="str">
        <f ca="1"/>
        <v>Village Park</v>
      </c>
      <c r="E14" s="107" t="str">
        <f ca="1"/>
        <v>Urban Green Space</v>
      </c>
      <c r="F14" s="107" t="str">
        <f ca="1"/>
        <v>Castle Grounds</v>
      </c>
      <c r="G14" s="107" t="str">
        <f ca="1"/>
        <v>Estate Grounds</v>
      </c>
    </row>
    <row r="15" spans="1:10">
      <c r="A15" s="107" t="str" cm="1">
        <f t="array" aca="1" ref="A15:J15" ca="1">TRANSPOSE(INDIRECT(_xlfn.SWITCH(Events!B15,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Winter Wonderland</v>
      </c>
      <c r="B15" s="107" t="str">
        <f ca="1"/>
        <v>Ice-skating Rink</v>
      </c>
      <c r="C15" s="107" t="str">
        <f ca="1"/>
        <v>Festival Park</v>
      </c>
      <c r="D15" s="107" t="str">
        <f ca="1"/>
        <v>Arena</v>
      </c>
      <c r="E15" s="107" t="str">
        <f ca="1"/>
        <v>Stadium</v>
      </c>
      <c r="F15" s="107" t="str">
        <f ca="1"/>
        <v>Showground</v>
      </c>
      <c r="G15" s="107" t="str">
        <f ca="1"/>
        <v>Fairground</v>
      </c>
      <c r="H15" s="107" t="str">
        <f ca="1"/>
        <v>PYO Farm</v>
      </c>
      <c r="I15" s="107" t="str">
        <f ca="1"/>
        <v>Lights Trail</v>
      </c>
      <c r="J15" s="107" t="str">
        <f ca="1"/>
        <v>Patch or Field</v>
      </c>
    </row>
    <row r="16" spans="1:10">
      <c r="A16" s="107" t="str" cm="1">
        <f t="array" aca="1" ref="A16:J16" ca="1">TRANSPOSE(INDIRECT(_xlfn.SWITCH(Events!B16,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Winter Wonderland</v>
      </c>
      <c r="B16" s="107" t="str">
        <f ca="1"/>
        <v>Ice-skating Rink</v>
      </c>
      <c r="C16" s="107" t="str">
        <f ca="1"/>
        <v>Festival Park</v>
      </c>
      <c r="D16" s="107" t="str">
        <f ca="1"/>
        <v>Arena</v>
      </c>
      <c r="E16" s="107" t="str">
        <f ca="1"/>
        <v>Stadium</v>
      </c>
      <c r="F16" s="107" t="str">
        <f ca="1"/>
        <v>Showground</v>
      </c>
      <c r="G16" s="107" t="str">
        <f ca="1"/>
        <v>Fairground</v>
      </c>
      <c r="H16" s="107" t="str">
        <f ca="1"/>
        <v>PYO Farm</v>
      </c>
      <c r="I16" s="107" t="str">
        <f ca="1"/>
        <v>Lights Trail</v>
      </c>
      <c r="J16" s="107" t="str">
        <f ca="1"/>
        <v>Patch or Field</v>
      </c>
    </row>
    <row r="17" spans="1:8">
      <c r="A17" s="107" t="str" cm="1">
        <f t="array" aca="1" ref="A17:H17" ca="1">TRANSPOSE(INDIRECT(_xlfn.SWITCH(Events!B17,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Nature Reserve</v>
      </c>
      <c r="B17" s="107" t="str">
        <f ca="1"/>
        <v>Wildlife Hotspot</v>
      </c>
      <c r="C17" s="107" t="str">
        <f ca="1"/>
        <v>Hydes or Cabins</v>
      </c>
      <c r="D17" s="107" t="str">
        <f ca="1"/>
        <v>Information Hut or Learning Centre</v>
      </c>
      <c r="E17" s="107" t="str">
        <f ca="1"/>
        <v>Forest School</v>
      </c>
      <c r="F17" s="107" t="str">
        <f ca="1"/>
        <v>Natural Play Area</v>
      </c>
      <c r="G17" s="107" t="str">
        <f ca="1"/>
        <v>Den-Building &amp; Nature Craft</v>
      </c>
      <c r="H17" s="107" t="str">
        <f ca="1"/>
        <v>Discovery Trail</v>
      </c>
    </row>
    <row r="18" spans="1:8">
      <c r="A18" s="107" t="e" cm="1">
        <f t="array" aca="1" ref="A18" ca="1">TRANSPOSE(INDIRECT(_xlfn.SWITCH(Events!B18,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19" spans="1:8">
      <c r="A19" s="107" t="e" cm="1">
        <f t="array" aca="1" ref="A19" ca="1">TRANSPOSE(INDIRECT(_xlfn.SWITCH(Events!B19,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0" spans="1:8">
      <c r="A20" s="107" t="e" cm="1">
        <f t="array" aca="1" ref="A20" ca="1">TRANSPOSE(INDIRECT(_xlfn.SWITCH(Events!B20,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1" spans="1:8">
      <c r="A21" s="107" t="e" cm="1">
        <f t="array" aca="1" ref="A21" ca="1">TRANSPOSE(INDIRECT(_xlfn.SWITCH(Events!B21,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2" spans="1:8">
      <c r="A22" s="107" t="e" cm="1">
        <f t="array" aca="1" ref="A22" ca="1">TRANSPOSE(INDIRECT(_xlfn.SWITCH(Events!B22,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3" spans="1:8">
      <c r="A23" s="107" t="e" cm="1">
        <f t="array" aca="1" ref="A23" ca="1">TRANSPOSE(INDIRECT(_xlfn.SWITCH(Events!B23,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4" spans="1:8">
      <c r="A24" s="107" t="e" cm="1">
        <f t="array" aca="1" ref="A24" ca="1">TRANSPOSE(INDIRECT(_xlfn.SWITCH(Events!B24,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5" spans="1:8">
      <c r="A25" s="107" t="e" cm="1">
        <f t="array" aca="1" ref="A25" ca="1">TRANSPOSE(INDIRECT(_xlfn.SWITCH(Events!B25,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6" spans="1:8">
      <c r="A26" s="107" t="e" cm="1">
        <f t="array" aca="1" ref="A26" ca="1">TRANSPOSE(INDIRECT(_xlfn.SWITCH(Events!B26,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7" spans="1:8">
      <c r="A27" s="107" t="e" cm="1">
        <f t="array" aca="1" ref="A27" ca="1">TRANSPOSE(INDIRECT(_xlfn.SWITCH(Events!B27,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8" spans="1:8">
      <c r="A28" s="107" t="e" cm="1">
        <f t="array" aca="1" ref="A28" ca="1">TRANSPOSE(INDIRECT(_xlfn.SWITCH(Events!B24,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29" spans="1:8">
      <c r="A29" s="107" t="e" cm="1">
        <f t="array" aca="1" ref="A29" ca="1">TRANSPOSE(INDIRECT(_xlfn.SWITCH(Events!B25,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0" spans="1:8">
      <c r="A30" s="107" t="e" cm="1">
        <f t="array" aca="1" ref="A30" ca="1">TRANSPOSE(INDIRECT(_xlfn.SWITCH(Events!B26,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1" spans="1:8">
      <c r="A31" s="107" t="e" cm="1">
        <f t="array" aca="1" ref="A31" ca="1">TRANSPOSE(INDIRECT(_xlfn.SWITCH(Events!B27,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2" spans="1:8">
      <c r="A32" s="107" t="e" cm="1">
        <f t="array" aca="1" ref="A32" ca="1">TRANSPOSE(INDIRECT(_xlfn.SWITCH(Events!B28,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3" spans="1:1">
      <c r="A33" s="107" t="e" cm="1">
        <f t="array" aca="1" ref="A33" ca="1">TRANSPOSE(INDIRECT(_xlfn.SWITCH(Events!B29,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4" spans="1:1">
      <c r="A34" s="107" t="e" cm="1">
        <f t="array" aca="1" ref="A34" ca="1">TRANSPOSE(INDIRECT(_xlfn.SWITCH(Events!B30,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5" spans="1:1">
      <c r="A35" s="107" t="e" cm="1">
        <f t="array" aca="1" ref="A35" ca="1">TRANSPOSE(INDIRECT(_xlfn.SWITCH(Events!B31,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6" spans="1:1">
      <c r="A36" s="107" t="e" cm="1">
        <f t="array" aca="1" ref="A36" ca="1">TRANSPOSE(INDIRECT(_xlfn.SWITCH(Events!B32,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7" spans="1:1">
      <c r="A37" s="107" t="e" cm="1">
        <f t="array" aca="1" ref="A37" ca="1">TRANSPOSE(INDIRECT(_xlfn.SWITCH(Events!B33,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8" spans="1:1">
      <c r="A38" s="107" t="e" cm="1">
        <f t="array" aca="1" ref="A38" ca="1">TRANSPOSE(INDIRECT(_xlfn.SWITCH(Events!B34,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39" spans="1:1">
      <c r="A39" s="107" t="e" cm="1">
        <f t="array" aca="1" ref="A39" ca="1">TRANSPOSE(INDIRECT(_xlfn.SWITCH(Events!B35,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0" spans="1:1">
      <c r="A40" s="107" t="e" cm="1">
        <f t="array" aca="1" ref="A40" ca="1">TRANSPOSE(INDIRECT(_xlfn.SWITCH(Events!B36,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1" spans="1:1">
      <c r="A41" s="107" t="e" cm="1">
        <f t="array" aca="1" ref="A41" ca="1">TRANSPOSE(INDIRECT(_xlfn.SWITCH(Events!B37,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2" spans="1:1">
      <c r="A42" s="107" t="e" cm="1">
        <f t="array" aca="1" ref="A42" ca="1">TRANSPOSE(INDIRECT(_xlfn.SWITCH(Events!B38,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3" spans="1:1">
      <c r="A43" s="107" t="e" cm="1">
        <f t="array" aca="1" ref="A43" ca="1">TRANSPOSE(INDIRECT(_xlfn.SWITCH(Events!B39,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4" spans="1:1">
      <c r="A44" s="107" t="e" cm="1">
        <f t="array" aca="1" ref="A44" ca="1">TRANSPOSE(INDIRECT(_xlfn.SWITCH(Events!B40,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5" spans="1:1">
      <c r="A45" s="107" t="e" cm="1">
        <f t="array" aca="1" ref="A45" ca="1">TRANSPOSE(INDIRECT(_xlfn.SWITCH(Events!B41,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6" spans="1:1">
      <c r="A46" s="107" t="e" cm="1">
        <f t="array" aca="1" ref="A46" ca="1">TRANSPOSE(INDIRECT(_xlfn.SWITCH(Events!B42,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7" spans="1:1">
      <c r="A47" s="107" t="e" cm="1">
        <f t="array" aca="1" ref="A47" ca="1">TRANSPOSE(INDIRECT(_xlfn.SWITCH(Events!B43,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8" spans="1:1">
      <c r="A48" s="107" t="e" cm="1">
        <f t="array" aca="1" ref="A48" ca="1">TRANSPOSE(INDIRECT(_xlfn.SWITCH(Events!B44,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49" spans="1:1">
      <c r="A49" s="107" t="e" cm="1">
        <f t="array" aca="1" ref="A49" ca="1">TRANSPOSE(INDIRECT(_xlfn.SWITCH(Events!B45,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0" spans="1:1">
      <c r="A50" s="107" t="e" cm="1">
        <f t="array" aca="1" ref="A50" ca="1">TRANSPOSE(INDIRECT(_xlfn.SWITCH(Events!B46,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1" spans="1:1">
      <c r="A51" s="107" t="e" cm="1">
        <f t="array" aca="1" ref="A51" ca="1">TRANSPOSE(INDIRECT(_xlfn.SWITCH(Events!B47,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2" spans="1:1">
      <c r="A52" s="107" t="e" cm="1">
        <f t="array" aca="1" ref="A52" ca="1">TRANSPOSE(INDIRECT(_xlfn.SWITCH(Events!B48,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3" spans="1:1">
      <c r="A53" s="107" t="e" cm="1">
        <f t="array" aca="1" ref="A53" ca="1">TRANSPOSE(INDIRECT(_xlfn.SWITCH(Events!B49,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4" spans="1:1">
      <c r="A54" s="107" t="e" cm="1">
        <f t="array" aca="1" ref="A54" ca="1">TRANSPOSE(INDIRECT(_xlfn.SWITCH(Events!B50,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5" spans="1:1">
      <c r="A55" s="107" t="e" cm="1">
        <f t="array" aca="1" ref="A55" ca="1">TRANSPOSE(INDIRECT(_xlfn.SWITCH(Events!B51,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6" spans="1:1">
      <c r="A56" s="107" t="e" cm="1">
        <f t="array" aca="1" ref="A56" ca="1">TRANSPOSE(INDIRECT(_xlfn.SWITCH(Events!B52,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7" spans="1:1">
      <c r="A57" s="107" t="e" cm="1">
        <f t="array" aca="1" ref="A57" ca="1">TRANSPOSE(INDIRECT(_xlfn.SWITCH(Events!B53,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8" spans="1:1">
      <c r="A58" s="107" t="e" cm="1">
        <f t="array" aca="1" ref="A58" ca="1">TRANSPOSE(INDIRECT(_xlfn.SWITCH(Events!B54,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59" spans="1:1">
      <c r="A59" s="107" t="e" cm="1">
        <f t="array" aca="1" ref="A59" ca="1">TRANSPOSE(INDIRECT(_xlfn.SWITCH(Events!B55,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60" spans="1:1">
      <c r="A60" s="107" t="e" cm="1">
        <f t="array" aca="1" ref="A60" ca="1">TRANSPOSE(INDIRECT(_xlfn.SWITCH(Events!B56,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row r="61" spans="1:1">
      <c r="A61" s="107" t="e" cm="1">
        <f t="array" aca="1" ref="A61" ca="1">TRANSPOSE(INDIRECT(_xlfn.SWITCH(Events!B57, "Green Open Spaces", "greenspaces", "Nature &amp; Wildlife Exploration", "natureexploration", "Coastal Adventures", "coastaladventure", "Gardens &amp; Curated Outdoor Spaces", "curatedoutdoor", "Playgrounds &amp; Adventure Parks", "playgrounds", "Sporty Activities", "sportyactivity", "Rideable Routes", "wheelsroutes", "Water Activities", "waterbasedfun", "Creative Activities", "creativeplay", "Imaginative &amp; Role Play", "imaginativeplay", "Sensory or Calming Experiences", "sensory", "Hands-On Learning", "learning", "Museums &amp; Discovery", "museums", "History &amp; Culture", "historical", "Animal Encounters", "animalencounters", "Soft Play &amp; Indoor Active Play", "indoorenergy", "Indoor Entertainment", "indoorentertainment", "Transport &amp; Engineering", "transport", "A Big Day Out", "bigdayout", "Cafés &amp; Coffee Stops", "coffeeshop", "Family Dining", "familydining", "Seasonal", "seasonal",)))</f>
        <v>#REF!</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5:K90"/>
  <sheetViews>
    <sheetView workbookViewId="0"/>
  </sheetViews>
  <sheetFormatPr defaultColWidth="12.5703125" defaultRowHeight="15.75" customHeight="1"/>
  <sheetData>
    <row r="5" spans="1:11">
      <c r="A5" s="107" t="str" cm="1">
        <f t="array" aca="1" ref="A5:K5" ca="1">TRANSPOSE(INDIRECT(_xlfn.SWITCH(Clubs!B5,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Soft climbing structures</v>
      </c>
      <c r="B5" s="107" t="str">
        <f ca="1"/>
        <v>Slides</v>
      </c>
      <c r="C5" s="107" t="str">
        <f ca="1"/>
        <v>Tunnels and crawl spaces</v>
      </c>
      <c r="D5" s="107" t="str">
        <f ca="1"/>
        <v>Ball pools</v>
      </c>
      <c r="E5" s="107" t="str">
        <f ca="1"/>
        <v>Enclosed space</v>
      </c>
      <c r="F5" s="107" t="str">
        <f ca="1"/>
        <v>Clear sightlines</v>
      </c>
      <c r="G5" s="107" t="str">
        <f ca="1"/>
        <v>Seating for adults</v>
      </c>
      <c r="H5" s="107" t="str">
        <f ca="1"/>
        <v>Café or refreshment area</v>
      </c>
      <c r="I5" s="107" t="str">
        <f ca="1"/>
        <v>Separate toddler area</v>
      </c>
      <c r="J5" s="107" t="str">
        <f ca="1"/>
        <v>Age-zoned play areas</v>
      </c>
      <c r="K5" s="107" t="str">
        <f ca="1"/>
        <v>Calm or quieter zones</v>
      </c>
    </row>
    <row r="6" spans="1:11">
      <c r="A6" s="107" t="str" cm="1">
        <f t="array" aca="1" ref="A6:K6" ca="1">TRANSPOSE(INDIRECT(_xlfn.SWITCH(Clubs!B6,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Soft climbing structures</v>
      </c>
      <c r="B6" s="107" t="str">
        <f ca="1"/>
        <v>Slides</v>
      </c>
      <c r="C6" s="107" t="str">
        <f ca="1"/>
        <v>Tunnels and crawl spaces</v>
      </c>
      <c r="D6" s="107" t="str">
        <f ca="1"/>
        <v>Ball pools</v>
      </c>
      <c r="E6" s="107" t="str">
        <f ca="1"/>
        <v>Enclosed space</v>
      </c>
      <c r="F6" s="107" t="str">
        <f ca="1"/>
        <v>Clear sightlines</v>
      </c>
      <c r="G6" s="107" t="str">
        <f ca="1"/>
        <v>Seating for adults</v>
      </c>
      <c r="H6" s="107" t="str">
        <f ca="1"/>
        <v>Café or refreshment area</v>
      </c>
      <c r="I6" s="107" t="str">
        <f ca="1"/>
        <v>Separate toddler area</v>
      </c>
      <c r="J6" s="107" t="str">
        <f ca="1"/>
        <v>Age-zoned play areas</v>
      </c>
      <c r="K6" s="107" t="str">
        <f ca="1"/>
        <v>Calm or quieter zones</v>
      </c>
    </row>
    <row r="7" spans="1:11">
      <c r="A7" s="107" t="str" cm="1">
        <f t="array" aca="1" ref="A7:K7" ca="1">TRANSPOSE(INDIRECT(_xlfn.SWITCH(Clubs!B7,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Soft climbing structures</v>
      </c>
      <c r="B7" s="107" t="str">
        <f ca="1"/>
        <v>Slides</v>
      </c>
      <c r="C7" s="107" t="str">
        <f ca="1"/>
        <v>Tunnels and crawl spaces</v>
      </c>
      <c r="D7" s="107" t="str">
        <f ca="1"/>
        <v>Ball pools</v>
      </c>
      <c r="E7" s="107" t="str">
        <f ca="1"/>
        <v>Enclosed space</v>
      </c>
      <c r="F7" s="107" t="str">
        <f ca="1"/>
        <v>Clear sightlines</v>
      </c>
      <c r="G7" s="107" t="str">
        <f ca="1"/>
        <v>Seating for adults</v>
      </c>
      <c r="H7" s="107" t="str">
        <f ca="1"/>
        <v>Café or refreshment area</v>
      </c>
      <c r="I7" s="107" t="str">
        <f ca="1"/>
        <v>Separate toddler area</v>
      </c>
      <c r="J7" s="107" t="str">
        <f ca="1"/>
        <v>Age-zoned play areas</v>
      </c>
      <c r="K7" s="107" t="str">
        <f ca="1"/>
        <v>Calm or quieter zones</v>
      </c>
    </row>
    <row r="8" spans="1:11">
      <c r="A8" s="107" t="str" cm="1">
        <f t="array" aca="1" ref="A8:K8" ca="1">TRANSPOSE(INDIRECT(_xlfn.SWITCH(Clubs!B8,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Soft climbing structures</v>
      </c>
      <c r="B8" s="107" t="str">
        <f ca="1"/>
        <v>Slides</v>
      </c>
      <c r="C8" s="107" t="str">
        <f ca="1"/>
        <v>Tunnels and crawl spaces</v>
      </c>
      <c r="D8" s="107" t="str">
        <f ca="1"/>
        <v>Ball pools</v>
      </c>
      <c r="E8" s="107" t="str">
        <f ca="1"/>
        <v>Enclosed space</v>
      </c>
      <c r="F8" s="107" t="str">
        <f ca="1"/>
        <v>Clear sightlines</v>
      </c>
      <c r="G8" s="107" t="str">
        <f ca="1"/>
        <v>Seating for adults</v>
      </c>
      <c r="H8" s="107" t="str">
        <f ca="1"/>
        <v>Café or refreshment area</v>
      </c>
      <c r="I8" s="107" t="str">
        <f ca="1"/>
        <v>Separate toddler area</v>
      </c>
      <c r="J8" s="107" t="str">
        <f ca="1"/>
        <v>Age-zoned play areas</v>
      </c>
      <c r="K8" s="107" t="str">
        <f ca="1"/>
        <v>Calm or quieter zones</v>
      </c>
    </row>
    <row r="9" spans="1:11">
      <c r="A9" s="107" t="e" cm="1">
        <f t="array" aca="1" ref="A9" ca="1">TRANSPOSE(INDIRECT(_xlfn.SWITCH(Clubs!B9,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row r="10" spans="1:11">
      <c r="A10"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11" spans="1:11">
      <c r="A11"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12" spans="1:11">
      <c r="A12"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13" spans="1:11">
      <c r="A13"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14" spans="1:11">
      <c r="A14"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15" spans="1:11">
      <c r="A15"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16" spans="1:11">
      <c r="A16"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17" spans="1:1">
      <c r="A17"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18" spans="1:1">
      <c r="A18"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19" spans="1:1">
      <c r="A19"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0" spans="1:1">
      <c r="A20"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1" spans="1:1">
      <c r="A21"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2" spans="1:1">
      <c r="A22"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3" spans="1:1">
      <c r="A23"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4" spans="1:1">
      <c r="A24"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5" spans="1:1">
      <c r="A25"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6" spans="1:1">
      <c r="A26"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7" spans="1:1">
      <c r="A27"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8" spans="1:1">
      <c r="A28"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9" spans="1:1">
      <c r="A29"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0" spans="1:1">
      <c r="A30"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1" spans="1:1">
      <c r="A31"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2" spans="1:1">
      <c r="A32"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3" spans="1:1">
      <c r="A33"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4" spans="1:1">
      <c r="A34"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5" spans="1:1">
      <c r="A35"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6" spans="1:1">
      <c r="A36"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7" spans="1:1">
      <c r="A37"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8" spans="1:1">
      <c r="A38"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9" spans="1:1">
      <c r="A39"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0" spans="1:1">
      <c r="A40"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1" spans="1:1">
      <c r="A41"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2" spans="1:1">
      <c r="A42"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3" spans="1:1">
      <c r="A43"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4" spans="1:1">
      <c r="A44"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5" spans="1:1">
      <c r="A45"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6" spans="1:1">
      <c r="A46"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7" spans="1:1">
      <c r="A47"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8" spans="1:1">
      <c r="A48"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9" spans="1:1">
      <c r="A49"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0" spans="1:1">
      <c r="A50"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1" spans="1:1">
      <c r="A51"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2" spans="1:1">
      <c r="A52"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3" spans="1:1">
      <c r="A53"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4" spans="1:1">
      <c r="A54"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5" spans="1:1">
      <c r="A55"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6" spans="1:1">
      <c r="A56"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7" spans="1:1">
      <c r="A57"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8" spans="1:1">
      <c r="A58"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9" spans="1:1">
      <c r="A59"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0" spans="1:1">
      <c r="A60"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1" spans="1:1">
      <c r="A61"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2" spans="1:1">
      <c r="A62"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3" spans="1:1">
      <c r="A63"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4" spans="1:1">
      <c r="A64"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5" spans="1:1">
      <c r="A65"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6" spans="1:1">
      <c r="A66"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7" spans="1:1">
      <c r="A67"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8" spans="1:1">
      <c r="A68"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9" spans="1:1">
      <c r="A69"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0" spans="1:1">
      <c r="A70"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1" spans="1:1">
      <c r="A71"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2" spans="1:1">
      <c r="A72"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3" spans="1:1">
      <c r="A73"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4" spans="1:1">
      <c r="A74"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5" spans="1:1">
      <c r="A75"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6" spans="1:1">
      <c r="A76"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7" spans="1:1">
      <c r="A77"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8" spans="1:1">
      <c r="A78"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9" spans="1:1">
      <c r="A79"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0" spans="1:1">
      <c r="A80"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1" spans="1:1">
      <c r="A81"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2" spans="1:1">
      <c r="A82"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3" spans="1:1">
      <c r="A83"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4" spans="1:1">
      <c r="A84"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5" spans="1:1">
      <c r="A85"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6" spans="1:1">
      <c r="A86"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7" spans="1:1">
      <c r="A87"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8" spans="1:1">
      <c r="A88" s="107" t="e" cm="1">
        <f t="array" aca="1" ref="A88" ca="1">TRANSPOSE(INDIRECT(_xlfn.SWITCH(Clubs!B19,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row r="89" spans="1:1">
      <c r="A89" s="107" t="e" cm="1">
        <f t="array" aca="1" ref="A89" ca="1">TRANSPOSE(INDIRECT(_xlfn.SWITCH(Clubs!B20,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row r="90" spans="1:1">
      <c r="A90" s="107" t="e" cm="1">
        <f t="array" aca="1" ref="A90" ca="1">TRANSPOSE(INDIRECT(_xlfn.SWITCH(Clubs!B21,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sheetData>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5:S104"/>
  <sheetViews>
    <sheetView workbookViewId="0"/>
  </sheetViews>
  <sheetFormatPr defaultColWidth="12.5703125" defaultRowHeight="15.75" customHeight="1"/>
  <sheetData>
    <row r="5" spans="1:19">
      <c r="A5" s="107" t="str" cm="1">
        <f t="array" aca="1" ref="A5:S5" ca="1">TRANSPOSE(INDIRECT(_xlfn.SWITCH(Routes!B5, "Nature &amp; Wildlife Exploration", "highlightsnature", "Coastal Adventures", "highlightscoastal", "Rideable Routes", "highlightswheels", "Scenic Walks &amp; Trails", "highlightswalks")))</f>
        <v>Waterfalls</v>
      </c>
      <c r="B5" s="107" t="str">
        <f ca="1"/>
        <v>Rivers &amp; streams</v>
      </c>
      <c r="C5" s="107" t="str">
        <f ca="1"/>
        <v>Natural paddling spots</v>
      </c>
      <c r="D5" s="107" t="str">
        <f ca="1"/>
        <v>Lakes &amp; reservoirs</v>
      </c>
      <c r="E5" s="107" t="str">
        <f ca="1"/>
        <v>Beaches or coves</v>
      </c>
      <c r="F5" s="107" t="str">
        <f ca="1"/>
        <v>Rockpools</v>
      </c>
      <c r="G5" s="107" t="str">
        <f ca="1"/>
        <v>Cliffs &amp; headlands</v>
      </c>
      <c r="H5" s="107" t="str">
        <f ca="1"/>
        <v>Ancient trees</v>
      </c>
      <c r="I5" s="107" t="str">
        <f ca="1"/>
        <v>Bridges (wooden, stone, suspension)</v>
      </c>
      <c r="J5" s="107" t="str">
        <f ca="1"/>
        <v>Stepping stones</v>
      </c>
      <c r="K5" s="107" t="str">
        <f ca="1"/>
        <v>Caves or rock formations</v>
      </c>
      <c r="L5" s="107" t="str">
        <f ca="1"/>
        <v>Panoramic views</v>
      </c>
      <c r="M5" s="107" t="str">
        <f ca="1"/>
        <v>Coastal views</v>
      </c>
      <c r="N5" s="107" t="str">
        <f ca="1"/>
        <v>Countryside views</v>
      </c>
      <c r="O5" s="107" t="str">
        <f ca="1"/>
        <v>Elevated viewpoints</v>
      </c>
      <c r="P5" s="107" t="str">
        <f ca="1"/>
        <v>Scenic valleys</v>
      </c>
      <c r="Q5" s="107" t="str">
        <f ca="1"/>
        <v>Wildlife spotting</v>
      </c>
      <c r="R5" s="107" t="str">
        <f ca="1"/>
        <v>Ruins or historic features</v>
      </c>
      <c r="S5" s="107" t="str">
        <f ca="1"/>
        <v>Waymarked features (e.g. sculpture trail)</v>
      </c>
    </row>
    <row r="6" spans="1:19">
      <c r="A6" s="107" t="str" cm="1">
        <f t="array" aca="1" ref="A6:S6" ca="1">TRANSPOSE(INDIRECT(_xlfn.SWITCH(Routes!B6, "Nature &amp; Wildlife Exploration", "highlightsnature", "Coastal Adventures", "highlightscoastal", "Rideable Routes", "highlightswheels", "Scenic Walks &amp; Trails", "highlightswalks")))</f>
        <v>Waterfalls</v>
      </c>
      <c r="B6" s="107" t="str">
        <f ca="1"/>
        <v>Rivers &amp; streams</v>
      </c>
      <c r="C6" s="107" t="str">
        <f ca="1"/>
        <v>Natural paddling spots</v>
      </c>
      <c r="D6" s="107" t="str">
        <f ca="1"/>
        <v>Lakes &amp; reservoirs</v>
      </c>
      <c r="E6" s="107" t="str">
        <f ca="1"/>
        <v>Beaches or coves</v>
      </c>
      <c r="F6" s="107" t="str">
        <f ca="1"/>
        <v>Rockpools</v>
      </c>
      <c r="G6" s="107" t="str">
        <f ca="1"/>
        <v>Cliffs &amp; headlands</v>
      </c>
      <c r="H6" s="107" t="str">
        <f ca="1"/>
        <v>Ancient trees</v>
      </c>
      <c r="I6" s="107" t="str">
        <f ca="1"/>
        <v>Bridges (wooden, stone, suspension)</v>
      </c>
      <c r="J6" s="107" t="str">
        <f ca="1"/>
        <v>Stepping stones</v>
      </c>
      <c r="K6" s="107" t="str">
        <f ca="1"/>
        <v>Caves or rock formations</v>
      </c>
      <c r="L6" s="107" t="str">
        <f ca="1"/>
        <v>Panoramic views</v>
      </c>
      <c r="M6" s="107" t="str">
        <f ca="1"/>
        <v>Coastal views</v>
      </c>
      <c r="N6" s="107" t="str">
        <f ca="1"/>
        <v>Countryside views</v>
      </c>
      <c r="O6" s="107" t="str">
        <f ca="1"/>
        <v>Elevated viewpoints</v>
      </c>
      <c r="P6" s="107" t="str">
        <f ca="1"/>
        <v>Scenic valleys</v>
      </c>
      <c r="Q6" s="107" t="str">
        <f ca="1"/>
        <v>Wildlife spotting</v>
      </c>
      <c r="R6" s="107" t="str">
        <f ca="1"/>
        <v>Ruins or historic features</v>
      </c>
      <c r="S6" s="107" t="str">
        <f ca="1"/>
        <v>Waymarked features (e.g. sculpture trail)</v>
      </c>
    </row>
    <row r="7" spans="1:19">
      <c r="A7" s="107" t="str" cm="1">
        <f t="array" aca="1" ref="A7:S7" ca="1">TRANSPOSE(INDIRECT(_xlfn.SWITCH(Routes!B7, "Nature &amp; Wildlife Exploration", "highlightsnature", "Coastal Adventures", "highlightscoastal", "Rideable Routes", "highlightswheels", "Scenic Walks &amp; Trails", "highlightswalks")))</f>
        <v>Waterfalls</v>
      </c>
      <c r="B7" s="107" t="str">
        <f ca="1"/>
        <v>Rivers &amp; streams</v>
      </c>
      <c r="C7" s="107" t="str">
        <f ca="1"/>
        <v>Natural paddling spots</v>
      </c>
      <c r="D7" s="107" t="str">
        <f ca="1"/>
        <v>Lakes &amp; reservoirs</v>
      </c>
      <c r="E7" s="107" t="str">
        <f ca="1"/>
        <v>Beaches or coves</v>
      </c>
      <c r="F7" s="107" t="str">
        <f ca="1"/>
        <v>Rockpools</v>
      </c>
      <c r="G7" s="107" t="str">
        <f ca="1"/>
        <v>Cliffs &amp; headlands</v>
      </c>
      <c r="H7" s="107" t="str">
        <f ca="1"/>
        <v>Ancient trees</v>
      </c>
      <c r="I7" s="107" t="str">
        <f ca="1"/>
        <v>Bridges (wooden, stone, suspension)</v>
      </c>
      <c r="J7" s="107" t="str">
        <f ca="1"/>
        <v>Stepping stones</v>
      </c>
      <c r="K7" s="107" t="str">
        <f ca="1"/>
        <v>Caves or rock formations</v>
      </c>
      <c r="L7" s="107" t="str">
        <f ca="1"/>
        <v>Panoramic views</v>
      </c>
      <c r="M7" s="107" t="str">
        <f ca="1"/>
        <v>Coastal views</v>
      </c>
      <c r="N7" s="107" t="str">
        <f ca="1"/>
        <v>Countryside views</v>
      </c>
      <c r="O7" s="107" t="str">
        <f ca="1"/>
        <v>Elevated viewpoints</v>
      </c>
      <c r="P7" s="107" t="str">
        <f ca="1"/>
        <v>Scenic valleys</v>
      </c>
      <c r="Q7" s="107" t="str">
        <f ca="1"/>
        <v>Wildlife spotting</v>
      </c>
      <c r="R7" s="107" t="str">
        <f ca="1"/>
        <v>Ruins or historic features</v>
      </c>
      <c r="S7" s="107" t="str">
        <f ca="1"/>
        <v>Waymarked features (e.g. sculpture trail)</v>
      </c>
    </row>
    <row r="8" spans="1:19">
      <c r="A8" s="107" t="str" cm="1">
        <f t="array" aca="1" ref="A8:S8" ca="1">TRANSPOSE(INDIRECT(_xlfn.SWITCH(Routes!B8, "Nature &amp; Wildlife Exploration", "highlightsnature", "Coastal Adventures", "highlightscoastal", "Rideable Routes", "highlightswheels", "Scenic Walks &amp; Trails", "highlightswalks")))</f>
        <v>Waterfalls</v>
      </c>
      <c r="B8" s="107" t="str">
        <f ca="1"/>
        <v>Rivers &amp; streams</v>
      </c>
      <c r="C8" s="107" t="str">
        <f ca="1"/>
        <v>Natural paddling spots</v>
      </c>
      <c r="D8" s="107" t="str">
        <f ca="1"/>
        <v>Lakes &amp; reservoirs</v>
      </c>
      <c r="E8" s="107" t="str">
        <f ca="1"/>
        <v>Beaches or coves</v>
      </c>
      <c r="F8" s="107" t="str">
        <f ca="1"/>
        <v>Rockpools</v>
      </c>
      <c r="G8" s="107" t="str">
        <f ca="1"/>
        <v>Cliffs &amp; headlands</v>
      </c>
      <c r="H8" s="107" t="str">
        <f ca="1"/>
        <v>Ancient trees</v>
      </c>
      <c r="I8" s="107" t="str">
        <f ca="1"/>
        <v>Bridges (wooden, stone, suspension)</v>
      </c>
      <c r="J8" s="107" t="str">
        <f ca="1"/>
        <v>Stepping stones</v>
      </c>
      <c r="K8" s="107" t="str">
        <f ca="1"/>
        <v>Caves or rock formations</v>
      </c>
      <c r="L8" s="107" t="str">
        <f ca="1"/>
        <v>Panoramic views</v>
      </c>
      <c r="M8" s="107" t="str">
        <f ca="1"/>
        <v>Coastal views</v>
      </c>
      <c r="N8" s="107" t="str">
        <f ca="1"/>
        <v>Countryside views</v>
      </c>
      <c r="O8" s="107" t="str">
        <f ca="1"/>
        <v>Elevated viewpoints</v>
      </c>
      <c r="P8" s="107" t="str">
        <f ca="1"/>
        <v>Scenic valleys</v>
      </c>
      <c r="Q8" s="107" t="str">
        <f ca="1"/>
        <v>Wildlife spotting</v>
      </c>
      <c r="R8" s="107" t="str">
        <f ca="1"/>
        <v>Ruins or historic features</v>
      </c>
      <c r="S8" s="107" t="str">
        <f ca="1"/>
        <v>Waymarked features (e.g. sculpture trail)</v>
      </c>
    </row>
    <row r="9" spans="1:19">
      <c r="A9" s="107" t="str" cm="1">
        <f t="array" aca="1" ref="A9:S9" ca="1">TRANSPOSE(INDIRECT(_xlfn.SWITCH(Routes!B9, "Nature &amp; Wildlife Exploration", "highlightsnature", "Coastal Adventures", "highlightscoastal", "Rideable Routes", "highlightswheels", "Scenic Walks &amp; Trails", "highlightswalks")))</f>
        <v>Waterfalls</v>
      </c>
      <c r="B9" s="107" t="str">
        <f ca="1"/>
        <v>Rivers &amp; streams</v>
      </c>
      <c r="C9" s="107" t="str">
        <f ca="1"/>
        <v>Natural paddling spots</v>
      </c>
      <c r="D9" s="107" t="str">
        <f ca="1"/>
        <v>Lakes &amp; reservoirs</v>
      </c>
      <c r="E9" s="107" t="str">
        <f ca="1"/>
        <v>Beaches or coves</v>
      </c>
      <c r="F9" s="107" t="str">
        <f ca="1"/>
        <v>Rockpools</v>
      </c>
      <c r="G9" s="107" t="str">
        <f ca="1"/>
        <v>Cliffs &amp; headlands</v>
      </c>
      <c r="H9" s="107" t="str">
        <f ca="1"/>
        <v>Ancient trees</v>
      </c>
      <c r="I9" s="107" t="str">
        <f ca="1"/>
        <v>Bridges (wooden, stone, suspension)</v>
      </c>
      <c r="J9" s="107" t="str">
        <f ca="1"/>
        <v>Stepping stones</v>
      </c>
      <c r="K9" s="107" t="str">
        <f ca="1"/>
        <v>Caves or rock formations</v>
      </c>
      <c r="L9" s="107" t="str">
        <f ca="1"/>
        <v>Panoramic views</v>
      </c>
      <c r="M9" s="107" t="str">
        <f ca="1"/>
        <v>Coastal views</v>
      </c>
      <c r="N9" s="107" t="str">
        <f ca="1"/>
        <v>Countryside views</v>
      </c>
      <c r="O9" s="107" t="str">
        <f ca="1"/>
        <v>Elevated viewpoints</v>
      </c>
      <c r="P9" s="107" t="str">
        <f ca="1"/>
        <v>Scenic valleys</v>
      </c>
      <c r="Q9" s="107" t="str">
        <f ca="1"/>
        <v>Wildlife spotting</v>
      </c>
      <c r="R9" s="107" t="str">
        <f ca="1"/>
        <v>Ruins or historic features</v>
      </c>
      <c r="S9" s="107" t="str">
        <f ca="1"/>
        <v>Waymarked features (e.g. sculpture trail)</v>
      </c>
    </row>
    <row r="10" spans="1:19">
      <c r="A10" s="107" t="str" cm="1">
        <f t="array" aca="1" ref="A10:S10" ca="1">TRANSPOSE(INDIRECT(_xlfn.SWITCH(Routes!B10, "Nature &amp; Wildlife Exploration", "highlightsnature", "Coastal Adventures", "highlightscoastal", "Rideable Routes", "highlightswheels", "Scenic Walks &amp; Trails", "highlightswalks")))</f>
        <v>Waterfalls</v>
      </c>
      <c r="B10" s="107" t="str">
        <f ca="1"/>
        <v>Rivers &amp; streams</v>
      </c>
      <c r="C10" s="107" t="str">
        <f ca="1"/>
        <v>Natural paddling spots</v>
      </c>
      <c r="D10" s="107" t="str">
        <f ca="1"/>
        <v>Lakes &amp; reservoirs</v>
      </c>
      <c r="E10" s="107" t="str">
        <f ca="1"/>
        <v>Beaches or coves</v>
      </c>
      <c r="F10" s="107" t="str">
        <f ca="1"/>
        <v>Rockpools</v>
      </c>
      <c r="G10" s="107" t="str">
        <f ca="1"/>
        <v>Cliffs &amp; headlands</v>
      </c>
      <c r="H10" s="107" t="str">
        <f ca="1"/>
        <v>Ancient trees</v>
      </c>
      <c r="I10" s="107" t="str">
        <f ca="1"/>
        <v>Bridges (wooden, stone, suspension)</v>
      </c>
      <c r="J10" s="107" t="str">
        <f ca="1"/>
        <v>Stepping stones</v>
      </c>
      <c r="K10" s="107" t="str">
        <f ca="1"/>
        <v>Caves or rock formations</v>
      </c>
      <c r="L10" s="107" t="str">
        <f ca="1"/>
        <v>Panoramic views</v>
      </c>
      <c r="M10" s="107" t="str">
        <f ca="1"/>
        <v>Coastal views</v>
      </c>
      <c r="N10" s="107" t="str">
        <f ca="1"/>
        <v>Countryside views</v>
      </c>
      <c r="O10" s="107" t="str">
        <f ca="1"/>
        <v>Elevated viewpoints</v>
      </c>
      <c r="P10" s="107" t="str">
        <f ca="1"/>
        <v>Scenic valleys</v>
      </c>
      <c r="Q10" s="107" t="str">
        <f ca="1"/>
        <v>Wildlife spotting</v>
      </c>
      <c r="R10" s="107" t="str">
        <f ca="1"/>
        <v>Ruins or historic features</v>
      </c>
      <c r="S10" s="107" t="str">
        <f ca="1"/>
        <v>Waymarked features (e.g. sculpture trail)</v>
      </c>
    </row>
    <row r="11" spans="1:19">
      <c r="A11" s="107" t="str" cm="1">
        <f t="array" aca="1" ref="A11:R11" ca="1">TRANSPOSE(INDIRECT(_xlfn.SWITCH(Routes!B11, "Nature &amp; Wildlife Exploration", "highlightsnature", "Coastal Adventures", "highlightscoastal", "Rideable Routes", "highlightswheels", "Scenic Walks &amp; Trails", "highlightswalks")))</f>
        <v>Traffic-free sections</v>
      </c>
      <c r="B11" s="107" t="str">
        <f ca="1"/>
        <v>Wide pathways</v>
      </c>
      <c r="C11" s="107" t="str">
        <f ca="1"/>
        <v>Clear sightlines</v>
      </c>
      <c r="D11" s="107" t="str">
        <f ca="1"/>
        <v>Riverside stretches</v>
      </c>
      <c r="E11" s="107" t="str">
        <f ca="1"/>
        <v>Canal views</v>
      </c>
      <c r="F11" s="107" t="str">
        <f ca="1"/>
        <v>Parkland surroundings</v>
      </c>
      <c r="G11" s="107" t="str">
        <f ca="1"/>
        <v>Coastal promenades</v>
      </c>
      <c r="H11" s="107" t="str">
        <f ca="1"/>
        <v>Bridges and landmarks</v>
      </c>
      <c r="I11" s="107" t="str">
        <f ca="1"/>
        <v>Natural jumps, ramps or fun features</v>
      </c>
      <c r="J11" s="107" t="str">
        <f ca="1"/>
        <v>Scooter-friendly</v>
      </c>
      <c r="K11" s="107" t="str">
        <f ca="1"/>
        <v>High-adrenaline routes, jumps or terrain</v>
      </c>
      <c r="L11" s="107" t="str">
        <f ca="1"/>
        <v>Points of interest along the way</v>
      </c>
      <c r="M11" s="107" t="str">
        <f ca="1"/>
        <v>Play areas en route</v>
      </c>
      <c r="N11" s="107" t="str">
        <f ca="1"/>
        <v>Stops for snacks or picnics</v>
      </c>
      <c r="O11" s="107" t="str">
        <f ca="1"/>
        <v>Short loops</v>
      </c>
      <c r="P11" s="107" t="str">
        <f ca="1"/>
        <v>Multiple access points</v>
      </c>
      <c r="Q11" s="107" t="str">
        <f ca="1"/>
        <v>Easy parking nearby</v>
      </c>
      <c r="R11" s="107" t="str">
        <f ca="1"/>
        <v>Cafés or facilities along the route</v>
      </c>
    </row>
    <row r="12" spans="1:19">
      <c r="A12" s="107" t="str" cm="1">
        <f t="array" aca="1" ref="A12:R12" ca="1">TRANSPOSE(INDIRECT(_xlfn.SWITCH(Routes!B12, "Nature &amp; Wildlife Exploration", "highlightsnature", "Coastal Adventures", "highlightscoastal", "Rideable Routes", "highlightswheels", "Scenic Walks &amp; Trails", "highlightswalks")))</f>
        <v>Traffic-free sections</v>
      </c>
      <c r="B12" s="107" t="str">
        <f ca="1"/>
        <v>Wide pathways</v>
      </c>
      <c r="C12" s="107" t="str">
        <f ca="1"/>
        <v>Clear sightlines</v>
      </c>
      <c r="D12" s="107" t="str">
        <f ca="1"/>
        <v>Riverside stretches</v>
      </c>
      <c r="E12" s="107" t="str">
        <f ca="1"/>
        <v>Canal views</v>
      </c>
      <c r="F12" s="107" t="str">
        <f ca="1"/>
        <v>Parkland surroundings</v>
      </c>
      <c r="G12" s="107" t="str">
        <f ca="1"/>
        <v>Coastal promenades</v>
      </c>
      <c r="H12" s="107" t="str">
        <f ca="1"/>
        <v>Bridges and landmarks</v>
      </c>
      <c r="I12" s="107" t="str">
        <f ca="1"/>
        <v>Natural jumps, ramps or fun features</v>
      </c>
      <c r="J12" s="107" t="str">
        <f ca="1"/>
        <v>Scooter-friendly</v>
      </c>
      <c r="K12" s="107" t="str">
        <f ca="1"/>
        <v>High-adrenaline routes, jumps or terrain</v>
      </c>
      <c r="L12" s="107" t="str">
        <f ca="1"/>
        <v>Points of interest along the way</v>
      </c>
      <c r="M12" s="107" t="str">
        <f ca="1"/>
        <v>Play areas en route</v>
      </c>
      <c r="N12" s="107" t="str">
        <f ca="1"/>
        <v>Stops for snacks or picnics</v>
      </c>
      <c r="O12" s="107" t="str">
        <f ca="1"/>
        <v>Short loops</v>
      </c>
      <c r="P12" s="107" t="str">
        <f ca="1"/>
        <v>Multiple access points</v>
      </c>
      <c r="Q12" s="107" t="str">
        <f ca="1"/>
        <v>Easy parking nearby</v>
      </c>
      <c r="R12" s="107" t="str">
        <f ca="1"/>
        <v>Cafés or facilities along the route</v>
      </c>
    </row>
    <row r="13" spans="1:19">
      <c r="A13" s="107" t="str" cm="1">
        <f t="array" aca="1" ref="A13:R13" ca="1">TRANSPOSE(INDIRECT(_xlfn.SWITCH(Routes!B13, "Nature &amp; Wildlife Exploration", "highlightsnature", "Coastal Adventures", "highlightscoastal", "Rideable Routes", "highlightswheels", "Scenic Walks &amp; Trails", "highlightswalks")))</f>
        <v>Traffic-free sections</v>
      </c>
      <c r="B13" s="107" t="str">
        <f ca="1"/>
        <v>Wide pathways</v>
      </c>
      <c r="C13" s="107" t="str">
        <f ca="1"/>
        <v>Clear sightlines</v>
      </c>
      <c r="D13" s="107" t="str">
        <f ca="1"/>
        <v>Riverside stretches</v>
      </c>
      <c r="E13" s="107" t="str">
        <f ca="1"/>
        <v>Canal views</v>
      </c>
      <c r="F13" s="107" t="str">
        <f ca="1"/>
        <v>Parkland surroundings</v>
      </c>
      <c r="G13" s="107" t="str">
        <f ca="1"/>
        <v>Coastal promenades</v>
      </c>
      <c r="H13" s="107" t="str">
        <f ca="1"/>
        <v>Bridges and landmarks</v>
      </c>
      <c r="I13" s="107" t="str">
        <f ca="1"/>
        <v>Natural jumps, ramps or fun features</v>
      </c>
      <c r="J13" s="107" t="str">
        <f ca="1"/>
        <v>Scooter-friendly</v>
      </c>
      <c r="K13" s="107" t="str">
        <f ca="1"/>
        <v>High-adrenaline routes, jumps or terrain</v>
      </c>
      <c r="L13" s="107" t="str">
        <f ca="1"/>
        <v>Points of interest along the way</v>
      </c>
      <c r="M13" s="107" t="str">
        <f ca="1"/>
        <v>Play areas en route</v>
      </c>
      <c r="N13" s="107" t="str">
        <f ca="1"/>
        <v>Stops for snacks or picnics</v>
      </c>
      <c r="O13" s="107" t="str">
        <f ca="1"/>
        <v>Short loops</v>
      </c>
      <c r="P13" s="107" t="str">
        <f ca="1"/>
        <v>Multiple access points</v>
      </c>
      <c r="Q13" s="107" t="str">
        <f ca="1"/>
        <v>Easy parking nearby</v>
      </c>
      <c r="R13" s="107" t="str">
        <f ca="1"/>
        <v>Cafés or facilities along the route</v>
      </c>
    </row>
    <row r="14" spans="1:19">
      <c r="A14" s="107" t="str" cm="1">
        <f t="array" aca="1" ref="A14:R14" ca="1">TRANSPOSE(INDIRECT(_xlfn.SWITCH(Routes!B14, "Nature &amp; Wildlife Exploration", "highlightsnature", "Coastal Adventures", "highlightscoastal", "Rideable Routes", "highlightswheels", "Scenic Walks &amp; Trails", "highlightswalks")))</f>
        <v>Traffic-free sections</v>
      </c>
      <c r="B14" s="107" t="str">
        <f ca="1"/>
        <v>Wide pathways</v>
      </c>
      <c r="C14" s="107" t="str">
        <f ca="1"/>
        <v>Clear sightlines</v>
      </c>
      <c r="D14" s="107" t="str">
        <f ca="1"/>
        <v>Riverside stretches</v>
      </c>
      <c r="E14" s="107" t="str">
        <f ca="1"/>
        <v>Canal views</v>
      </c>
      <c r="F14" s="107" t="str">
        <f ca="1"/>
        <v>Parkland surroundings</v>
      </c>
      <c r="G14" s="107" t="str">
        <f ca="1"/>
        <v>Coastal promenades</v>
      </c>
      <c r="H14" s="107" t="str">
        <f ca="1"/>
        <v>Bridges and landmarks</v>
      </c>
      <c r="I14" s="107" t="str">
        <f ca="1"/>
        <v>Natural jumps, ramps or fun features</v>
      </c>
      <c r="J14" s="107" t="str">
        <f ca="1"/>
        <v>Scooter-friendly</v>
      </c>
      <c r="K14" s="107" t="str">
        <f ca="1"/>
        <v>High-adrenaline routes, jumps or terrain</v>
      </c>
      <c r="L14" s="107" t="str">
        <f ca="1"/>
        <v>Points of interest along the way</v>
      </c>
      <c r="M14" s="107" t="str">
        <f ca="1"/>
        <v>Play areas en route</v>
      </c>
      <c r="N14" s="107" t="str">
        <f ca="1"/>
        <v>Stops for snacks or picnics</v>
      </c>
      <c r="O14" s="107" t="str">
        <f ca="1"/>
        <v>Short loops</v>
      </c>
      <c r="P14" s="107" t="str">
        <f ca="1"/>
        <v>Multiple access points</v>
      </c>
      <c r="Q14" s="107" t="str">
        <f ca="1"/>
        <v>Easy parking nearby</v>
      </c>
      <c r="R14" s="107" t="str">
        <f ca="1"/>
        <v>Cafés or facilities along the route</v>
      </c>
    </row>
    <row r="15" spans="1:19">
      <c r="A15" s="107" t="e">
        <f ca="1">_xlfn.SINGLE(TRANSPOSE(_xlfn.SINGLE(INDIRECT(_xlfn.SINGLE(_xlfn.SWITCH(#REF!, "Nature &amp; Wildlife Exploration", "highlightsnature", "Coastal Adventures", "highlightscoastal", "Rideable Routes", "highlightswheels", "Scenic Walks &amp; Trails", "highlightswalks"))))))</f>
        <v>#REF!</v>
      </c>
    </row>
    <row r="16" spans="1:19">
      <c r="A16" s="107" t="e">
        <f ca="1">_xlfn.SINGLE(TRANSPOSE(_xlfn.SINGLE(INDIRECT(_xlfn.SINGLE(_xlfn.SWITCH(#REF!, "Nature &amp; Wildlife Exploration", "highlightsnature", "Coastal Adventures", "highlightscoastal", "Rideable Routes", "highlightswheels", "Scenic Walks &amp; Trails", "highlightswalks"))))))</f>
        <v>#REF!</v>
      </c>
    </row>
    <row r="17" spans="1:1">
      <c r="A17" s="107" t="e">
        <f ca="1">_xlfn.SINGLE(TRANSPOSE(_xlfn.SINGLE(INDIRECT(_xlfn.SINGLE(_xlfn.SWITCH(#REF!, "Nature &amp; Wildlife Exploration", "highlightsnature", "Coastal Adventures", "highlightscoastal", "Rideable Routes", "highlightswheels", "Scenic Walks &amp; Trails", "highlightswalks"))))))</f>
        <v>#REF!</v>
      </c>
    </row>
    <row r="18" spans="1:1">
      <c r="A18" s="107" t="e">
        <f ca="1">_xlfn.SINGLE(TRANSPOSE(_xlfn.SINGLE(INDIRECT(_xlfn.SINGLE(_xlfn.SWITCH(#REF!, "Nature &amp; Wildlife Exploration", "highlightsnature", "Coastal Adventures", "highlightscoastal", "Rideable Routes", "highlightswheels", "Scenic Walks &amp; Trails", "highlightswalks"))))))</f>
        <v>#REF!</v>
      </c>
    </row>
    <row r="19" spans="1:1">
      <c r="A19" s="107" t="e">
        <f ca="1">_xlfn.SINGLE(TRANSPOSE(_xlfn.SINGLE(INDIRECT(_xlfn.SINGLE(_xlfn.SWITCH(#REF!, "Nature &amp; Wildlife Exploration", "highlightsnature", "Coastal Adventures", "highlightscoastal", "Rideable Routes", "highlightswheels", "Scenic Walks &amp; Trails", "highlightswalks"))))))</f>
        <v>#REF!</v>
      </c>
    </row>
    <row r="20" spans="1:1">
      <c r="A20" s="107" t="e">
        <f ca="1">_xlfn.SINGLE(TRANSPOSE(_xlfn.SINGLE(INDIRECT(_xlfn.SINGLE(_xlfn.SWITCH(#REF!, "Nature &amp; Wildlife Exploration", "highlightsnature", "Coastal Adventures", "highlightscoastal", "Rideable Routes", "highlightswheels", "Scenic Walks &amp; Trails", "highlightswalks"))))))</f>
        <v>#REF!</v>
      </c>
    </row>
    <row r="21" spans="1:1">
      <c r="A21" s="107" t="e">
        <f ca="1">_xlfn.SINGLE(TRANSPOSE(_xlfn.SINGLE(INDIRECT(_xlfn.SINGLE(_xlfn.SWITCH(#REF!, "Nature &amp; Wildlife Exploration", "highlightsnature", "Coastal Adventures", "highlightscoastal", "Rideable Routes", "highlightswheels", "Scenic Walks &amp; Trails", "highlightswalks"))))))</f>
        <v>#REF!</v>
      </c>
    </row>
    <row r="22" spans="1:1">
      <c r="A22" s="107" t="e">
        <f ca="1">_xlfn.SINGLE(TRANSPOSE(_xlfn.SINGLE(INDIRECT(_xlfn.SINGLE(_xlfn.SWITCH(#REF!, "Nature &amp; Wildlife Exploration", "highlightsnature", "Coastal Adventures", "highlightscoastal", "Rideable Routes", "highlightswheels", "Scenic Walks &amp; Trails", "highlightswalks"))))))</f>
        <v>#REF!</v>
      </c>
    </row>
    <row r="23" spans="1:1">
      <c r="A23" s="107" t="e">
        <f ca="1">_xlfn.SINGLE(TRANSPOSE(_xlfn.SINGLE(INDIRECT(_xlfn.SINGLE(_xlfn.SWITCH(#REF!, "Nature &amp; Wildlife Exploration", "highlightsnature", "Coastal Adventures", "highlightscoastal", "Rideable Routes", "highlightswheels", "Scenic Walks &amp; Trails", "highlightswalks"))))))</f>
        <v>#REF!</v>
      </c>
    </row>
    <row r="24" spans="1:1">
      <c r="A24" s="107" t="e">
        <f ca="1">_xlfn.SINGLE(TRANSPOSE(_xlfn.SINGLE(INDIRECT(_xlfn.SINGLE(_xlfn.SWITCH(#REF!, "Nature &amp; Wildlife Exploration", "highlightsnature", "Coastal Adventures", "highlightscoastal", "Rideable Routes", "highlightswheels", "Scenic Walks &amp; Trails", "highlightswalks"))))))</f>
        <v>#REF!</v>
      </c>
    </row>
    <row r="25" spans="1:1">
      <c r="A25" s="107" t="e">
        <f ca="1">_xlfn.SINGLE(TRANSPOSE(_xlfn.SINGLE(INDIRECT(_xlfn.SINGLE(_xlfn.SWITCH(#REF!, "Nature &amp; Wildlife Exploration", "highlightsnature", "Coastal Adventures", "highlightscoastal", "Rideable Routes", "highlightswheels", "Scenic Walks &amp; Trails", "highlightswalks"))))))</f>
        <v>#REF!</v>
      </c>
    </row>
    <row r="26" spans="1:1">
      <c r="A26" s="107" t="e">
        <f ca="1">_xlfn.SINGLE(TRANSPOSE(_xlfn.SINGLE(INDIRECT(_xlfn.SINGLE(_xlfn.SWITCH(#REF!, "Nature &amp; Wildlife Exploration", "highlightsnature", "Coastal Adventures", "highlightscoastal", "Rideable Routes", "highlightswheels", "Scenic Walks &amp; Trails", "highlightswalks"))))))</f>
        <v>#REF!</v>
      </c>
    </row>
    <row r="27" spans="1:1">
      <c r="A27" s="107" t="e">
        <f ca="1">_xlfn.SINGLE(TRANSPOSE(_xlfn.SINGLE(INDIRECT(_xlfn.SINGLE(_xlfn.SWITCH(#REF!, "Nature &amp; Wildlife Exploration", "highlightsnature", "Coastal Adventures", "highlightscoastal", "Rideable Routes", "highlightswheels", "Scenic Walks &amp; Trails", "highlightswalks"))))))</f>
        <v>#REF!</v>
      </c>
    </row>
    <row r="28" spans="1:1">
      <c r="A28" s="107" t="e">
        <f ca="1">_xlfn.SINGLE(TRANSPOSE(_xlfn.SINGLE(INDIRECT(_xlfn.SINGLE(_xlfn.SWITCH(#REF!, "Nature &amp; Wildlife Exploration", "highlightsnature", "Coastal Adventures", "highlightscoastal", "Rideable Routes", "highlightswheels", "Scenic Walks &amp; Trails", "highlightswalks"))))))</f>
        <v>#REF!</v>
      </c>
    </row>
    <row r="29" spans="1:1">
      <c r="A29" s="107" t="e">
        <f ca="1">_xlfn.SINGLE(TRANSPOSE(_xlfn.SINGLE(INDIRECT(_xlfn.SINGLE(_xlfn.SWITCH(#REF!, "Nature &amp; Wildlife Exploration", "highlightsnature", "Coastal Adventures", "highlightscoastal", "Rideable Routes", "highlightswheels", "Scenic Walks &amp; Trails", "highlightswalks"))))))</f>
        <v>#REF!</v>
      </c>
    </row>
    <row r="30" spans="1:1">
      <c r="A30" s="107" t="e">
        <f ca="1">_xlfn.SINGLE(TRANSPOSE(_xlfn.SINGLE(INDIRECT(_xlfn.SINGLE(_xlfn.SWITCH(#REF!, "Nature &amp; Wildlife Exploration", "highlightsnature", "Coastal Adventures", "highlightscoastal", "Rideable Routes", "highlightswheels", "Scenic Walks &amp; Trails", "highlightswalks"))))))</f>
        <v>#REF!</v>
      </c>
    </row>
    <row r="31" spans="1:1">
      <c r="A31" s="107" t="e">
        <f ca="1">_xlfn.SINGLE(TRANSPOSE(_xlfn.SINGLE(INDIRECT(_xlfn.SINGLE(_xlfn.SWITCH(#REF!, "Nature &amp; Wildlife Exploration", "highlightsnature", "Coastal Adventures", "highlightscoastal", "Rideable Routes", "highlightswheels", "Scenic Walks &amp; Trails", "highlightswalks"))))))</f>
        <v>#REF!</v>
      </c>
    </row>
    <row r="32" spans="1:1">
      <c r="A32" s="107" t="e">
        <f ca="1">_xlfn.SINGLE(TRANSPOSE(_xlfn.SINGLE(INDIRECT(_xlfn.SINGLE(_xlfn.SWITCH(#REF!, "Nature &amp; Wildlife Exploration", "highlightsnature", "Coastal Adventures", "highlightscoastal", "Rideable Routes", "highlightswheels", "Scenic Walks &amp; Trails", "highlightswalks"))))))</f>
        <v>#REF!</v>
      </c>
    </row>
    <row r="33" spans="1:1">
      <c r="A33" s="107" t="e">
        <f ca="1">_xlfn.SINGLE(TRANSPOSE(_xlfn.SINGLE(INDIRECT(_xlfn.SINGLE(_xlfn.SWITCH(#REF!, "Nature &amp; Wildlife Exploration", "highlightsnature", "Coastal Adventures", "highlightscoastal", "Rideable Routes", "highlightswheels", "Scenic Walks &amp; Trails", "highlightswalks"))))))</f>
        <v>#REF!</v>
      </c>
    </row>
    <row r="34" spans="1:1">
      <c r="A34" s="107" t="e">
        <f ca="1">_xlfn.SINGLE(TRANSPOSE(_xlfn.SINGLE(INDIRECT(_xlfn.SINGLE(_xlfn.SWITCH(#REF!, "Nature &amp; Wildlife Exploration", "highlightsnature", "Coastal Adventures", "highlightscoastal", "Rideable Routes", "highlightswheels", "Scenic Walks &amp; Trails", "highlightswalks"))))))</f>
        <v>#REF!</v>
      </c>
    </row>
    <row r="35" spans="1:1">
      <c r="A35" s="107" t="e">
        <f ca="1">_xlfn.SINGLE(TRANSPOSE(_xlfn.SINGLE(INDIRECT(_xlfn.SINGLE(_xlfn.SWITCH(#REF!, "Nature &amp; Wildlife Exploration", "highlightsnature", "Coastal Adventures", "highlightscoastal", "Rideable Routes", "highlightswheels", "Scenic Walks &amp; Trails", "highlightswalks"))))))</f>
        <v>#REF!</v>
      </c>
    </row>
    <row r="36" spans="1:1">
      <c r="A36" s="107" t="e">
        <f ca="1">_xlfn.SINGLE(TRANSPOSE(_xlfn.SINGLE(INDIRECT(_xlfn.SINGLE(_xlfn.SWITCH(#REF!, "Nature &amp; Wildlife Exploration", "highlightsnature", "Coastal Adventures", "highlightscoastal", "Rideable Routes", "highlightswheels", "Scenic Walks &amp; Trails", "highlightswalks"))))))</f>
        <v>#REF!</v>
      </c>
    </row>
    <row r="37" spans="1:1">
      <c r="A37" s="107" t="e">
        <f ca="1">_xlfn.SINGLE(TRANSPOSE(_xlfn.SINGLE(INDIRECT(_xlfn.SINGLE(_xlfn.SWITCH(#REF!, "Nature &amp; Wildlife Exploration", "highlightsnature", "Coastal Adventures", "highlightscoastal", "Rideable Routes", "highlightswheels", "Scenic Walks &amp; Trails", "highlightswalks"))))))</f>
        <v>#REF!</v>
      </c>
    </row>
    <row r="38" spans="1:1">
      <c r="A38" s="107" t="e">
        <f ca="1">_xlfn.SINGLE(TRANSPOSE(_xlfn.SINGLE(INDIRECT(_xlfn.SINGLE(_xlfn.SWITCH(#REF!, "Nature &amp; Wildlife Exploration", "highlightsnature", "Coastal Adventures", "highlightscoastal", "Rideable Routes", "highlightswheels", "Scenic Walks &amp; Trails", "highlightswalks"))))))</f>
        <v>#REF!</v>
      </c>
    </row>
    <row r="39" spans="1:1">
      <c r="A39" s="107" t="e">
        <f ca="1">_xlfn.SINGLE(TRANSPOSE(_xlfn.SINGLE(INDIRECT(_xlfn.SINGLE(_xlfn.SWITCH(#REF!, "Nature &amp; Wildlife Exploration", "highlightsnature", "Coastal Adventures", "highlightscoastal", "Rideable Routes", "highlightswheels", "Scenic Walks &amp; Trails", "highlightswalks"))))))</f>
        <v>#REF!</v>
      </c>
    </row>
    <row r="40" spans="1:1">
      <c r="A40" s="107" t="e">
        <f ca="1">_xlfn.SINGLE(TRANSPOSE(_xlfn.SINGLE(INDIRECT(_xlfn.SINGLE(_xlfn.SWITCH(#REF!, "Nature &amp; Wildlife Exploration", "highlightsnature", "Coastal Adventures", "highlightscoastal", "Rideable Routes", "highlightswheels", "Scenic Walks &amp; Trails", "highlightswalks"))))))</f>
        <v>#REF!</v>
      </c>
    </row>
    <row r="41" spans="1:1">
      <c r="A41" s="107" t="e">
        <f ca="1">_xlfn.SINGLE(TRANSPOSE(_xlfn.SINGLE(INDIRECT(_xlfn.SINGLE(_xlfn.SWITCH(#REF!, "Nature &amp; Wildlife Exploration", "highlightsnature", "Coastal Adventures", "highlightscoastal", "Rideable Routes", "highlightswheels", "Scenic Walks &amp; Trails", "highlightswalks"))))))</f>
        <v>#REF!</v>
      </c>
    </row>
    <row r="42" spans="1:1">
      <c r="A42" s="107" t="e">
        <f ca="1">_xlfn.SINGLE(TRANSPOSE(_xlfn.SINGLE(INDIRECT(_xlfn.SINGLE(_xlfn.SWITCH(#REF!, "Nature &amp; Wildlife Exploration", "highlightsnature", "Coastal Adventures", "highlightscoastal", "Rideable Routes", "highlightswheels", "Scenic Walks &amp; Trails", "highlightswalks"))))))</f>
        <v>#REF!</v>
      </c>
    </row>
    <row r="43" spans="1:1">
      <c r="A43" s="107" t="e">
        <f ca="1">_xlfn.SINGLE(TRANSPOSE(_xlfn.SINGLE(INDIRECT(_xlfn.SINGLE(_xlfn.SWITCH(#REF!, "Nature &amp; Wildlife Exploration", "highlightsnature", "Coastal Adventures", "highlightscoastal", "Rideable Routes", "highlightswheels", "Scenic Walks &amp; Trails", "highlightswalks"))))))</f>
        <v>#REF!</v>
      </c>
    </row>
    <row r="44" spans="1:1">
      <c r="A44" s="107" t="e">
        <f ca="1">_xlfn.SINGLE(TRANSPOSE(_xlfn.SINGLE(INDIRECT(_xlfn.SINGLE(_xlfn.SWITCH(#REF!, "Nature &amp; Wildlife Exploration", "highlightsnature", "Coastal Adventures", "highlightscoastal", "Rideable Routes", "highlightswheels", "Scenic Walks &amp; Trails", "highlightswalks"))))))</f>
        <v>#REF!</v>
      </c>
    </row>
    <row r="45" spans="1:1">
      <c r="A45" s="107" t="e">
        <f ca="1">_xlfn.SINGLE(TRANSPOSE(_xlfn.SINGLE(INDIRECT(_xlfn.SINGLE(_xlfn.SWITCH(#REF!, "Nature &amp; Wildlife Exploration", "highlightsnature", "Coastal Adventures", "highlightscoastal", "Rideable Routes", "highlightswheels", "Scenic Walks &amp; Trails", "highlightswalks"))))))</f>
        <v>#REF!</v>
      </c>
    </row>
    <row r="46" spans="1:1">
      <c r="A46" s="107" t="e">
        <f ca="1">_xlfn.SINGLE(TRANSPOSE(_xlfn.SINGLE(INDIRECT(_xlfn.SINGLE(_xlfn.SWITCH(#REF!, "Nature &amp; Wildlife Exploration", "highlightsnature", "Coastal Adventures", "highlightscoastal", "Rideable Routes", "highlightswheels", "Scenic Walks &amp; Trails", "highlightswalks"))))))</f>
        <v>#REF!</v>
      </c>
    </row>
    <row r="47" spans="1:1">
      <c r="A47" s="107" t="e">
        <f ca="1">_xlfn.SINGLE(TRANSPOSE(_xlfn.SINGLE(INDIRECT(_xlfn.SINGLE(_xlfn.SWITCH(#REF!, "Nature &amp; Wildlife Exploration", "highlightsnature", "Coastal Adventures", "highlightscoastal", "Rideable Routes", "highlightswheels", "Scenic Walks &amp; Trails", "highlightswalks"))))))</f>
        <v>#REF!</v>
      </c>
    </row>
    <row r="48" spans="1:1">
      <c r="A48" s="107" t="e">
        <f ca="1">_xlfn.SINGLE(TRANSPOSE(_xlfn.SINGLE(INDIRECT(_xlfn.SINGLE(_xlfn.SWITCH(#REF!, "Nature &amp; Wildlife Exploration", "highlightsnature", "Coastal Adventures", "highlightscoastal", "Rideable Routes", "highlightswheels", "Scenic Walks &amp; Trails", "highlightswalks"))))))</f>
        <v>#REF!</v>
      </c>
    </row>
    <row r="49" spans="1:1">
      <c r="A49" s="107" t="e">
        <f ca="1">_xlfn.SINGLE(TRANSPOSE(_xlfn.SINGLE(INDIRECT(_xlfn.SINGLE(_xlfn.SWITCH(#REF!, "Nature &amp; Wildlife Exploration", "highlightsnature", "Coastal Adventures", "highlightscoastal", "Rideable Routes", "highlightswheels", "Scenic Walks &amp; Trails", "highlightswalks"))))))</f>
        <v>#REF!</v>
      </c>
    </row>
    <row r="50" spans="1:1">
      <c r="A50" s="107" t="e">
        <f ca="1">_xlfn.SINGLE(TRANSPOSE(_xlfn.SINGLE(INDIRECT(_xlfn.SINGLE(_xlfn.SWITCH(#REF!, "Nature &amp; Wildlife Exploration", "highlightsnature", "Coastal Adventures", "highlightscoastal", "Rideable Routes", "highlightswheels", "Scenic Walks &amp; Trails", "highlightswalks"))))))</f>
        <v>#REF!</v>
      </c>
    </row>
    <row r="51" spans="1:1">
      <c r="A51" s="107" t="e">
        <f ca="1">_xlfn.SINGLE(TRANSPOSE(_xlfn.SINGLE(INDIRECT(_xlfn.SINGLE(_xlfn.SWITCH(#REF!, "Nature &amp; Wildlife Exploration", "highlightsnature", "Coastal Adventures", "highlightscoastal", "Rideable Routes", "highlightswheels", "Scenic Walks &amp; Trails", "highlightswalks"))))))</f>
        <v>#REF!</v>
      </c>
    </row>
    <row r="52" spans="1:1">
      <c r="A52" s="107" t="e">
        <f ca="1">_xlfn.SINGLE(TRANSPOSE(_xlfn.SINGLE(INDIRECT(_xlfn.SINGLE(_xlfn.SWITCH(#REF!, "Nature &amp; Wildlife Exploration", "highlightsnature", "Coastal Adventures", "highlightscoastal", "Rideable Routes", "highlightswheels", "Scenic Walks &amp; Trails", "highlightswalks"))))))</f>
        <v>#REF!</v>
      </c>
    </row>
    <row r="53" spans="1:1">
      <c r="A53" s="107" t="e">
        <f ca="1">_xlfn.SINGLE(TRANSPOSE(_xlfn.SINGLE(INDIRECT(_xlfn.SINGLE(_xlfn.SWITCH(#REF!, "Nature &amp; Wildlife Exploration", "highlightsnature", "Coastal Adventures", "highlightscoastal", "Rideable Routes", "highlightswheels", "Scenic Walks &amp; Trails", "highlightswalks"))))))</f>
        <v>#REF!</v>
      </c>
    </row>
    <row r="54" spans="1:1">
      <c r="A54" s="107" t="e">
        <f ca="1">_xlfn.SINGLE(TRANSPOSE(_xlfn.SINGLE(INDIRECT(_xlfn.SINGLE(_xlfn.SWITCH(#REF!, "Nature &amp; Wildlife Exploration", "highlightsnature", "Coastal Adventures", "highlightscoastal", "Rideable Routes", "highlightswheels", "Scenic Walks &amp; Trails", "highlightswalks"))))))</f>
        <v>#REF!</v>
      </c>
    </row>
    <row r="55" spans="1:1">
      <c r="A55" s="107" t="e">
        <f ca="1">_xlfn.SINGLE(TRANSPOSE(_xlfn.SINGLE(INDIRECT(_xlfn.SINGLE(_xlfn.SWITCH(#REF!, "Nature &amp; Wildlife Exploration", "highlightsnature", "Coastal Adventures", "highlightscoastal", "Rideable Routes", "highlightswheels", "Scenic Walks &amp; Trails", "highlightswalks"))))))</f>
        <v>#REF!</v>
      </c>
    </row>
    <row r="56" spans="1:1">
      <c r="A56" s="107" t="e">
        <f ca="1">_xlfn.SINGLE(TRANSPOSE(_xlfn.SINGLE(INDIRECT(_xlfn.SINGLE(_xlfn.SWITCH(#REF!, "Nature &amp; Wildlife Exploration", "highlightsnature", "Coastal Adventures", "highlightscoastal", "Rideable Routes", "highlightswheels", "Scenic Walks &amp; Trails", "highlightswalks"))))))</f>
        <v>#REF!</v>
      </c>
    </row>
    <row r="57" spans="1:1">
      <c r="A57" s="107" t="e">
        <f ca="1">_xlfn.SINGLE(TRANSPOSE(_xlfn.SINGLE(INDIRECT(_xlfn.SINGLE(_xlfn.SWITCH(#REF!, "Nature &amp; Wildlife Exploration", "highlightsnature", "Coastal Adventures", "highlightscoastal", "Rideable Routes", "highlightswheels", "Scenic Walks &amp; Trails", "highlightswalks"))))))</f>
        <v>#REF!</v>
      </c>
    </row>
    <row r="58" spans="1:1">
      <c r="A58" s="107" t="e">
        <f ca="1">_xlfn.SINGLE(TRANSPOSE(_xlfn.SINGLE(INDIRECT(_xlfn.SINGLE(_xlfn.SWITCH(#REF!, "Nature &amp; Wildlife Exploration", "highlightsnature", "Coastal Adventures", "highlightscoastal", "Rideable Routes", "highlightswheels", "Scenic Walks &amp; Trails", "highlightswalks"))))))</f>
        <v>#REF!</v>
      </c>
    </row>
    <row r="59" spans="1:1">
      <c r="A59" s="107" t="e">
        <f ca="1">_xlfn.SINGLE(TRANSPOSE(_xlfn.SINGLE(INDIRECT(_xlfn.SINGLE(_xlfn.SWITCH(#REF!, "Nature &amp; Wildlife Exploration", "highlightsnature", "Coastal Adventures", "highlightscoastal", "Rideable Routes", "highlightswheels", "Scenic Walks &amp; Trails", "highlightswalks"))))))</f>
        <v>#REF!</v>
      </c>
    </row>
    <row r="60" spans="1:1">
      <c r="A60" s="107" t="e">
        <f ca="1">_xlfn.SINGLE(TRANSPOSE(_xlfn.SINGLE(INDIRECT(_xlfn.SINGLE(_xlfn.SWITCH(#REF!, "Nature &amp; Wildlife Exploration", "highlightsnature", "Coastal Adventures", "highlightscoastal", "Rideable Routes", "highlightswheels", "Scenic Walks &amp; Trails", "highlightswalks"))))))</f>
        <v>#REF!</v>
      </c>
    </row>
    <row r="61" spans="1:1">
      <c r="A61" s="107" t="e">
        <f ca="1">_xlfn.SINGLE(TRANSPOSE(_xlfn.SINGLE(INDIRECT(_xlfn.SINGLE(_xlfn.SWITCH(#REF!, "Nature &amp; Wildlife Exploration", "highlightsnature", "Coastal Adventures", "highlightscoastal", "Rideable Routes", "highlightswheels", "Scenic Walks &amp; Trails", "highlightswalks"))))))</f>
        <v>#REF!</v>
      </c>
    </row>
    <row r="62" spans="1:1">
      <c r="A62" s="107" t="e">
        <f ca="1">_xlfn.SINGLE(TRANSPOSE(_xlfn.SINGLE(INDIRECT(_xlfn.SINGLE(_xlfn.SWITCH(#REF!, "Nature &amp; Wildlife Exploration", "highlightsnature", "Coastal Adventures", "highlightscoastal", "Rideable Routes", "highlightswheels", "Scenic Walks &amp; Trails", "highlightswalks"))))))</f>
        <v>#REF!</v>
      </c>
    </row>
    <row r="63" spans="1:1">
      <c r="A63" s="107" t="e">
        <f ca="1">_xlfn.SINGLE(TRANSPOSE(_xlfn.SINGLE(INDIRECT(_xlfn.SINGLE(_xlfn.SWITCH(#REF!, "Nature &amp; Wildlife Exploration", "highlightsnature", "Coastal Adventures", "highlightscoastal", "Rideable Routes", "highlightswheels", "Scenic Walks &amp; Trails", "highlightswalks"))))))</f>
        <v>#REF!</v>
      </c>
    </row>
    <row r="64" spans="1:1">
      <c r="A64" s="107" t="e">
        <f ca="1">_xlfn.SINGLE(TRANSPOSE(_xlfn.SINGLE(INDIRECT(_xlfn.SINGLE(_xlfn.SWITCH(#REF!, "Nature &amp; Wildlife Exploration", "highlightsnature", "Coastal Adventures", "highlightscoastal", "Rideable Routes", "highlightswheels", "Scenic Walks &amp; Trails", "highlightswalks"))))))</f>
        <v>#REF!</v>
      </c>
    </row>
    <row r="65" spans="1:1">
      <c r="A65" s="107" t="e">
        <f ca="1">_xlfn.SINGLE(TRANSPOSE(_xlfn.SINGLE(INDIRECT(_xlfn.SINGLE(_xlfn.SWITCH(#REF!, "Nature &amp; Wildlife Exploration", "highlightsnature", "Coastal Adventures", "highlightscoastal", "Rideable Routes", "highlightswheels", "Scenic Walks &amp; Trails", "highlightswalks"))))))</f>
        <v>#REF!</v>
      </c>
    </row>
    <row r="66" spans="1:1">
      <c r="A66" s="107" t="e">
        <f ca="1">_xlfn.SINGLE(TRANSPOSE(_xlfn.SINGLE(INDIRECT(_xlfn.SINGLE(_xlfn.SWITCH(#REF!, "Nature &amp; Wildlife Exploration", "highlightsnature", "Coastal Adventures", "highlightscoastal", "Rideable Routes", "highlightswheels", "Scenic Walks &amp; Trails", "highlightswalks"))))))</f>
        <v>#REF!</v>
      </c>
    </row>
    <row r="67" spans="1:1">
      <c r="A67" s="107" t="e">
        <f ca="1">_xlfn.SINGLE(TRANSPOSE(_xlfn.SINGLE(INDIRECT(_xlfn.SINGLE(_xlfn.SWITCH(#REF!, "Nature &amp; Wildlife Exploration", "highlightsnature", "Coastal Adventures", "highlightscoastal", "Rideable Routes", "highlightswheels", "Scenic Walks &amp; Trails", "highlightswalks"))))))</f>
        <v>#REF!</v>
      </c>
    </row>
    <row r="68" spans="1:1">
      <c r="A68" s="107" t="e">
        <f ca="1">_xlfn.SINGLE(TRANSPOSE(_xlfn.SINGLE(INDIRECT(_xlfn.SINGLE(_xlfn.SWITCH(#REF!, "Nature &amp; Wildlife Exploration", "highlightsnature", "Coastal Adventures", "highlightscoastal", "Rideable Routes", "highlightswheels", "Scenic Walks &amp; Trails", "highlightswalks"))))))</f>
        <v>#REF!</v>
      </c>
    </row>
    <row r="69" spans="1:1">
      <c r="A69" s="107" t="e">
        <f ca="1">_xlfn.SINGLE(TRANSPOSE(_xlfn.SINGLE(INDIRECT(_xlfn.SINGLE(_xlfn.SWITCH(#REF!, "Nature &amp; Wildlife Exploration", "highlightsnature", "Coastal Adventures", "highlightscoastal", "Rideable Routes", "highlightswheels", "Scenic Walks &amp; Trails", "highlightswalks"))))))</f>
        <v>#REF!</v>
      </c>
    </row>
    <row r="70" spans="1:1">
      <c r="A70" s="107" t="e">
        <f ca="1">_xlfn.SINGLE(TRANSPOSE(_xlfn.SINGLE(INDIRECT(_xlfn.SINGLE(_xlfn.SWITCH(#REF!, "Nature &amp; Wildlife Exploration", "highlightsnature", "Coastal Adventures", "highlightscoastal", "Rideable Routes", "highlightswheels", "Scenic Walks &amp; Trails", "highlightswalks"))))))</f>
        <v>#REF!</v>
      </c>
    </row>
    <row r="71" spans="1:1">
      <c r="A71" s="107" t="e">
        <f ca="1">_xlfn.SINGLE(TRANSPOSE(_xlfn.SINGLE(INDIRECT(_xlfn.SINGLE(_xlfn.SWITCH(#REF!, "Nature &amp; Wildlife Exploration", "highlightsnature", "Coastal Adventures", "highlightscoastal", "Rideable Routes", "highlightswheels", "Scenic Walks &amp; Trails", "highlightswalks"))))))</f>
        <v>#REF!</v>
      </c>
    </row>
    <row r="72" spans="1:1">
      <c r="A72" s="107" t="e">
        <f ca="1">_xlfn.SINGLE(TRANSPOSE(_xlfn.SINGLE(INDIRECT(_xlfn.SINGLE(_xlfn.SWITCH(#REF!, "Nature &amp; Wildlife Exploration", "highlightsnature", "Coastal Adventures", "highlightscoastal", "Rideable Routes", "highlightswheels", "Scenic Walks &amp; Trails", "highlightswalks"))))))</f>
        <v>#REF!</v>
      </c>
    </row>
    <row r="73" spans="1:1">
      <c r="A73" s="107" t="e">
        <f ca="1">_xlfn.SINGLE(TRANSPOSE(_xlfn.SINGLE(INDIRECT(_xlfn.SINGLE(_xlfn.SWITCH(#REF!, "Nature &amp; Wildlife Exploration", "highlightsnature", "Coastal Adventures", "highlightscoastal", "Rideable Routes", "highlightswheels", "Scenic Walks &amp; Trails", "highlightswalks"))))))</f>
        <v>#REF!</v>
      </c>
    </row>
    <row r="74" spans="1:1">
      <c r="A74" s="107" t="e">
        <f ca="1">_xlfn.SINGLE(TRANSPOSE(_xlfn.SINGLE(INDIRECT(_xlfn.SINGLE(_xlfn.SWITCH(#REF!, "Nature &amp; Wildlife Exploration", "highlightsnature", "Coastal Adventures", "highlightscoastal", "Rideable Routes", "highlightswheels", "Scenic Walks &amp; Trails", "highlightswalks"))))))</f>
        <v>#REF!</v>
      </c>
    </row>
    <row r="75" spans="1:1">
      <c r="A75" s="107" t="e">
        <f ca="1">_xlfn.SINGLE(TRANSPOSE(_xlfn.SINGLE(INDIRECT(_xlfn.SINGLE(_xlfn.SWITCH(#REF!, "Nature &amp; Wildlife Exploration", "highlightsnature", "Coastal Adventures", "highlightscoastal", "Rideable Routes", "highlightswheels", "Scenic Walks &amp; Trails", "highlightswalks"))))))</f>
        <v>#REF!</v>
      </c>
    </row>
    <row r="76" spans="1:1">
      <c r="A76" s="107" t="e">
        <f ca="1">_xlfn.SINGLE(TRANSPOSE(_xlfn.SINGLE(INDIRECT(_xlfn.SINGLE(_xlfn.SWITCH(#REF!, "Nature &amp; Wildlife Exploration", "highlightsnature", "Coastal Adventures", "highlightscoastal", "Rideable Routes", "highlightswheels", "Scenic Walks &amp; Trails", "highlightswalks"))))))</f>
        <v>#REF!</v>
      </c>
    </row>
    <row r="77" spans="1:1">
      <c r="A77" s="107" t="e">
        <f ca="1">_xlfn.SINGLE(TRANSPOSE(_xlfn.SINGLE(INDIRECT(_xlfn.SINGLE(_xlfn.SWITCH(#REF!, "Nature &amp; Wildlife Exploration", "highlightsnature", "Coastal Adventures", "highlightscoastal", "Rideable Routes", "highlightswheels", "Scenic Walks &amp; Trails", "highlightswalks"))))))</f>
        <v>#REF!</v>
      </c>
    </row>
    <row r="78" spans="1:1">
      <c r="A78" s="107" t="e">
        <f ca="1">_xlfn.SINGLE(TRANSPOSE(_xlfn.SINGLE(INDIRECT(_xlfn.SINGLE(_xlfn.SWITCH(#REF!, "Nature &amp; Wildlife Exploration", "highlightsnature", "Coastal Adventures", "highlightscoastal", "Rideable Routes", "highlightswheels", "Scenic Walks &amp; Trails", "highlightswalks"))))))</f>
        <v>#REF!</v>
      </c>
    </row>
    <row r="79" spans="1:1">
      <c r="A79" s="107" t="e">
        <f ca="1">_xlfn.SINGLE(TRANSPOSE(_xlfn.SINGLE(INDIRECT(_xlfn.SINGLE(_xlfn.SWITCH(#REF!, "Nature &amp; Wildlife Exploration", "highlightsnature", "Coastal Adventures", "highlightscoastal", "Rideable Routes", "highlightswheels", "Scenic Walks &amp; Trails", "highlightswalks"))))))</f>
        <v>#REF!</v>
      </c>
    </row>
    <row r="80" spans="1:1">
      <c r="A80" s="107" t="e">
        <f ca="1">_xlfn.SINGLE(TRANSPOSE(_xlfn.SINGLE(INDIRECT(_xlfn.SINGLE(_xlfn.SWITCH(#REF!, "Nature &amp; Wildlife Exploration", "highlightsnature", "Coastal Adventures", "highlightscoastal", "Rideable Routes", "highlightswheels", "Scenic Walks &amp; Trails", "highlightswalks"))))))</f>
        <v>#REF!</v>
      </c>
    </row>
    <row r="81" spans="1:1">
      <c r="A81" s="107" t="e">
        <f ca="1">_xlfn.SINGLE(TRANSPOSE(_xlfn.SINGLE(INDIRECT(_xlfn.SINGLE(_xlfn.SWITCH(#REF!, "Nature &amp; Wildlife Exploration", "highlightsnature", "Coastal Adventures", "highlightscoastal", "Rideable Routes", "highlightswheels", "Scenic Walks &amp; Trails", "highlightswalks"))))))</f>
        <v>#REF!</v>
      </c>
    </row>
    <row r="82" spans="1:1">
      <c r="A82" s="107" t="e">
        <f ca="1">_xlfn.SINGLE(TRANSPOSE(_xlfn.SINGLE(INDIRECT(_xlfn.SINGLE(_xlfn.SWITCH(#REF!, "Nature &amp; Wildlife Exploration", "highlightsnature", "Coastal Adventures", "highlightscoastal", "Rideable Routes", "highlightswheels", "Scenic Walks &amp; Trails", "highlightswalks"))))))</f>
        <v>#REF!</v>
      </c>
    </row>
    <row r="83" spans="1:1">
      <c r="A83" s="107" t="e">
        <f ca="1">_xlfn.SINGLE(TRANSPOSE(_xlfn.SINGLE(INDIRECT(_xlfn.SINGLE(_xlfn.SWITCH(#REF!, "Nature &amp; Wildlife Exploration", "highlightsnature", "Coastal Adventures", "highlightscoastal", "Rideable Routes", "highlightswheels", "Scenic Walks &amp; Trails", "highlightswalks"))))))</f>
        <v>#REF!</v>
      </c>
    </row>
    <row r="84" spans="1:1">
      <c r="A84" s="107" t="e">
        <f ca="1">_xlfn.SINGLE(TRANSPOSE(_xlfn.SINGLE(INDIRECT(_xlfn.SINGLE(_xlfn.SWITCH(#REF!, "Nature &amp; Wildlife Exploration", "highlightsnature", "Coastal Adventures", "highlightscoastal", "Rideable Routes", "highlightswheels", "Scenic Walks &amp; Trails", "highlightswalks"))))))</f>
        <v>#REF!</v>
      </c>
    </row>
    <row r="85" spans="1:1">
      <c r="A85" s="107" t="e">
        <f ca="1">_xlfn.SINGLE(TRANSPOSE(_xlfn.SINGLE(INDIRECT(_xlfn.SINGLE(_xlfn.SWITCH(#REF!, "Nature &amp; Wildlife Exploration", "highlightsnature", "Coastal Adventures", "highlightscoastal", "Rideable Routes", "highlightswheels", "Scenic Walks &amp; Trails", "highlightswalks"))))))</f>
        <v>#REF!</v>
      </c>
    </row>
    <row r="86" spans="1:1">
      <c r="A86" s="107" t="e">
        <f ca="1">_xlfn.SINGLE(TRANSPOSE(_xlfn.SINGLE(INDIRECT(_xlfn.SINGLE(_xlfn.SWITCH(#REF!, "Nature &amp; Wildlife Exploration", "highlightsnature", "Coastal Adventures", "highlightscoastal", "Rideable Routes", "highlightswheels", "Scenic Walks &amp; Trails", "highlightswalks"))))))</f>
        <v>#REF!</v>
      </c>
    </row>
    <row r="87" spans="1:1">
      <c r="A87" s="107" t="e">
        <f ca="1">_xlfn.SINGLE(TRANSPOSE(_xlfn.SINGLE(INDIRECT(_xlfn.SINGLE(_xlfn.SWITCH(#REF!, "Nature &amp; Wildlife Exploration", "highlightsnature", "Coastal Adventures", "highlightscoastal", "Rideable Routes", "highlightswheels", "Scenic Walks &amp; Trails", "highlightswalks"))))))</f>
        <v>#REF!</v>
      </c>
    </row>
    <row r="88" spans="1:1">
      <c r="A88" s="107" t="e">
        <f ca="1">_xlfn.SINGLE(TRANSPOSE(_xlfn.SINGLE(INDIRECT(_xlfn.SINGLE(_xlfn.SWITCH(#REF!, "Nature &amp; Wildlife Exploration", "highlightsnature", "Coastal Adventures", "highlightscoastal", "Rideable Routes", "highlightswheels", "Scenic Walks &amp; Trails", "highlightswalks"))))))</f>
        <v>#REF!</v>
      </c>
    </row>
    <row r="89" spans="1:1">
      <c r="A89" s="107" t="e">
        <f ca="1">_xlfn.SINGLE(TRANSPOSE(_xlfn.SINGLE(INDIRECT(_xlfn.SINGLE(_xlfn.SWITCH(#REF!, "Nature &amp; Wildlife Exploration", "highlightsnature", "Coastal Adventures", "highlightscoastal", "Rideable Routes", "highlightswheels", "Scenic Walks &amp; Trails", "highlightswalks"))))))</f>
        <v>#REF!</v>
      </c>
    </row>
    <row r="90" spans="1:1">
      <c r="A90" s="107" t="e">
        <f ca="1">_xlfn.SINGLE(TRANSPOSE(_xlfn.SINGLE(INDIRECT(_xlfn.SINGLE(_xlfn.SWITCH(#REF!, "Nature &amp; Wildlife Exploration", "highlightsnature", "Coastal Adventures", "highlightscoastal", "Rideable Routes", "highlightswheels", "Scenic Walks &amp; Trails", "highlightswalks"))))))</f>
        <v>#REF!</v>
      </c>
    </row>
    <row r="91" spans="1:1">
      <c r="A91" s="107" t="e" cm="1">
        <f t="array" aca="1" ref="A91" ca="1">TRANSPOSE(INDIRECT(_xlfn.SWITCH(Routes!B54, "Nature &amp; Wildlife Exploration", "highlightsnature", "Coastal Adventures", "highlightscoastal", "Rideable Routes", "highlightswheels", "Scenic Walks &amp; Trails", "highlightswalks")))</f>
        <v>#N/A</v>
      </c>
    </row>
    <row r="92" spans="1:1">
      <c r="A92" s="107" t="e" cm="1">
        <f t="array" aca="1" ref="A92" ca="1">TRANSPOSE(INDIRECT(_xlfn.SWITCH(Routes!B55, "Nature &amp; Wildlife Exploration", "highlightsnature", "Coastal Adventures", "highlightscoastal", "Rideable Routes", "highlightswheels", "Scenic Walks &amp; Trails", "highlightswalks")))</f>
        <v>#N/A</v>
      </c>
    </row>
    <row r="93" spans="1:1">
      <c r="A93" s="107" t="e" cm="1">
        <f t="array" aca="1" ref="A93" ca="1">TRANSPOSE(INDIRECT(_xlfn.SWITCH(Routes!B56, "Nature &amp; Wildlife Exploration", "highlightsnature", "Coastal Adventures", "highlightscoastal", "Rideable Routes", "highlightswheels", "Scenic Walks &amp; Trails", "highlightswalks")))</f>
        <v>#N/A</v>
      </c>
    </row>
    <row r="94" spans="1:1">
      <c r="A94" s="107" t="e" cm="1">
        <f t="array" aca="1" ref="A94" ca="1">TRANSPOSE(INDIRECT(_xlfn.SWITCH(Routes!B57, "Nature &amp; Wildlife Exploration", "highlightsnature", "Coastal Adventures", "highlightscoastal", "Rideable Routes", "highlightswheels", "Scenic Walks &amp; Trails", "highlightswalks")))</f>
        <v>#N/A</v>
      </c>
    </row>
    <row r="95" spans="1:1">
      <c r="A95" s="107" t="e" cm="1">
        <f t="array" aca="1" ref="A95" ca="1">TRANSPOSE(INDIRECT(_xlfn.SWITCH(Routes!B58, "Nature &amp; Wildlife Exploration", "highlightsnature", "Coastal Adventures", "highlightscoastal", "Rideable Routes", "highlightswheels", "Scenic Walks &amp; Trails", "highlightswalks")))</f>
        <v>#N/A</v>
      </c>
    </row>
    <row r="96" spans="1:1">
      <c r="A96" s="107" t="e" cm="1">
        <f t="array" aca="1" ref="A96" ca="1">TRANSPOSE(INDIRECT(_xlfn.SWITCH(Routes!B59, "Nature &amp; Wildlife Exploration", "highlightsnature", "Coastal Adventures", "highlightscoastal", "Rideable Routes", "highlightswheels", "Scenic Walks &amp; Trails", "highlightswalks")))</f>
        <v>#N/A</v>
      </c>
    </row>
    <row r="97" spans="1:1">
      <c r="A97" s="107" t="e" cm="1">
        <f t="array" aca="1" ref="A97" ca="1">TRANSPOSE(INDIRECT(_xlfn.SWITCH(Routes!B60, "Nature &amp; Wildlife Exploration", "highlightsnature", "Coastal Adventures", "highlightscoastal", "Rideable Routes", "highlightswheels", "Scenic Walks &amp; Trails", "highlightswalks")))</f>
        <v>#N/A</v>
      </c>
    </row>
    <row r="98" spans="1:1">
      <c r="A98" s="107" t="e" cm="1">
        <f t="array" aca="1" ref="A98" ca="1">TRANSPOSE(INDIRECT(_xlfn.SWITCH(Routes!B61, "Nature &amp; Wildlife Exploration", "highlightsnature", "Coastal Adventures", "highlightscoastal", "Rideable Routes", "highlightswheels", "Scenic Walks &amp; Trails", "highlightswalks")))</f>
        <v>#N/A</v>
      </c>
    </row>
    <row r="99" spans="1:1">
      <c r="A99" s="107" t="e" cm="1">
        <f t="array" aca="1" ref="A99" ca="1">TRANSPOSE(INDIRECT(_xlfn.SWITCH(Routes!B62, "Nature &amp; Wildlife Exploration", "highlightsnature", "Coastal Adventures", "highlightscoastal", "Rideable Routes", "highlightswheels", "Scenic Walks &amp; Trails", "highlightswalks")))</f>
        <v>#N/A</v>
      </c>
    </row>
    <row r="100" spans="1:1">
      <c r="A100" s="107" t="e" cm="1">
        <f t="array" aca="1" ref="A100" ca="1">TRANSPOSE(INDIRECT(_xlfn.SWITCH(Routes!B63, "Nature &amp; Wildlife Exploration", "highlightsnature", "Coastal Adventures", "highlightscoastal", "Rideable Routes", "highlightswheels", "Scenic Walks &amp; Trails", "highlightswalks")))</f>
        <v>#N/A</v>
      </c>
    </row>
    <row r="101" spans="1:1">
      <c r="A101" s="107" t="e" cm="1">
        <f t="array" aca="1" ref="A101" ca="1">TRANSPOSE(INDIRECT(_xlfn.SWITCH(Routes!B64, "Nature &amp; Wildlife Exploration", "highlightsnature", "Coastal Adventures", "highlightscoastal", "Rideable Routes", "highlightswheels", "Scenic Walks &amp; Trails", "highlightswalks")))</f>
        <v>#N/A</v>
      </c>
    </row>
    <row r="102" spans="1:1">
      <c r="A102" s="107" t="e" cm="1">
        <f t="array" aca="1" ref="A102" ca="1">TRANSPOSE(INDIRECT(_xlfn.SWITCH(Routes!B65, "Nature &amp; Wildlife Exploration", "highlightsnature", "Coastal Adventures", "highlightscoastal", "Rideable Routes", "highlightswheels", "Scenic Walks &amp; Trails", "highlightswalks")))</f>
        <v>#N/A</v>
      </c>
    </row>
    <row r="103" spans="1:1">
      <c r="A103" s="107" t="e" cm="1">
        <f t="array" aca="1" ref="A103" ca="1">TRANSPOSE(INDIRECT(_xlfn.SWITCH(Routes!B66, "Nature &amp; Wildlife Exploration", "highlightsnature", "Coastal Adventures", "highlightscoastal", "Rideable Routes", "highlightswheels", "Scenic Walks &amp; Trails", "highlightswalks")))</f>
        <v>#N/A</v>
      </c>
    </row>
    <row r="104" spans="1:1">
      <c r="A104" s="107" t="e" cm="1">
        <f t="array" aca="1" ref="A104" ca="1">TRANSPOSE(INDIRECT(_xlfn.SWITCH(Routes!B67, "Nature &amp; Wildlife Exploration", "highlightsnature", "Coastal Adventures", "highlightscoastal", "Rideable Routes", "highlightswheels", "Scenic Walks &amp; Trails", "highlightswalks")))</f>
        <v>#N/A</v>
      </c>
    </row>
  </sheetData>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5:AT130"/>
  <sheetViews>
    <sheetView workbookViewId="0"/>
  </sheetViews>
  <sheetFormatPr defaultColWidth="12.5703125" defaultRowHeight="15.75" customHeight="1"/>
  <sheetData>
    <row r="5" spans="1:46">
      <c r="A5" s="107" t="str" cm="1">
        <f t="array" aca="1" ref="A5:T5" ca="1">TRANSPOSE(INDIRECT(_xlfn.SWITCH(Venues!B5,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5" s="107" t="str">
        <f ca="1"/>
        <v>Ponds or lakes</v>
      </c>
      <c r="C5" s="107" t="str">
        <f ca="1"/>
        <v>Duck Ponds</v>
      </c>
      <c r="D5" s="107" t="str">
        <f ca="1"/>
        <v>Water Features or Fountains</v>
      </c>
      <c r="E5" s="107" t="str">
        <f ca="1"/>
        <v>Streams or ditches</v>
      </c>
      <c r="F5" s="107" t="str">
        <f ca="1"/>
        <v>Natural paddling spots</v>
      </c>
      <c r="G5" s="107" t="str">
        <f ca="1"/>
        <v>Room to run freely</v>
      </c>
      <c r="H5" s="107" t="str">
        <f ca="1"/>
        <v>Open sightlines</v>
      </c>
      <c r="I5" s="107" t="str">
        <f ca="1"/>
        <v>Countryside views</v>
      </c>
      <c r="J5" s="107" t="str">
        <f ca="1"/>
        <v>Scenic backdrops</v>
      </c>
      <c r="K5" s="107" t="str">
        <f ca="1"/>
        <v>Rolling landscapes</v>
      </c>
      <c r="L5" s="107" t="str">
        <f ca="1"/>
        <v>Bridges (wooden, stone, suspension)</v>
      </c>
      <c r="M5" s="107" t="str">
        <f ca="1"/>
        <v>Natural play features (logs, slopes, rocks)</v>
      </c>
      <c r="N5" s="107" t="str">
        <f ca="1"/>
        <v>Climbable trees</v>
      </c>
      <c r="O5" s="107" t="str">
        <f ca="1"/>
        <v>Grassy banks</v>
      </c>
      <c r="P5" s="107" t="str">
        <f ca="1"/>
        <v>Small hills / mounds</v>
      </c>
      <c r="Q5" s="107" t="str">
        <f ca="1"/>
        <v>Play equipment</v>
      </c>
      <c r="R5" s="107" t="str">
        <f ca="1"/>
        <v>Football or Rugby Posts</v>
      </c>
      <c r="S5" s="107" t="str">
        <f ca="1"/>
        <v>Marked Trails</v>
      </c>
      <c r="T5" s="107" t="str">
        <f ca="1"/>
        <v>Children’s Activity Trails</v>
      </c>
    </row>
    <row r="6" spans="1:46">
      <c r="A6" s="107" t="str" cm="1">
        <f t="array" aca="1" ref="A6:S6" ca="1">TRANSPOSE(INDIRECT(_xlfn.SWITCH(Venues!B6,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Climbing Logs or balance beams</v>
      </c>
      <c r="B6" s="107" t="str">
        <f ca="1"/>
        <v>Mud kitchens</v>
      </c>
      <c r="C6" s="107" t="str">
        <f ca="1"/>
        <v>Sand, soil, and loose materials</v>
      </c>
      <c r="D6" s="107" t="str">
        <f ca="1"/>
        <v>Den-building materials</v>
      </c>
      <c r="E6" s="107" t="str">
        <f ca="1"/>
        <v>Natural construction zones</v>
      </c>
      <c r="F6" s="107" t="str">
        <f ca="1"/>
        <v>Mud and puddles</v>
      </c>
      <c r="G6" s="107" t="str">
        <f ca="1"/>
        <v>Shallow water play (streams, channels)</v>
      </c>
      <c r="H6" s="107" t="str">
        <f ca="1"/>
        <v>Forest school activities</v>
      </c>
      <c r="I6" s="107" t="str">
        <f ca="1"/>
        <v>Guided outdoor learning prompts</v>
      </c>
      <c r="J6" s="107" t="str">
        <f ca="1"/>
        <v>Marked Trails</v>
      </c>
      <c r="K6" s="107" t="str">
        <f ca="1"/>
        <v>Children’s Activity Trails</v>
      </c>
      <c r="L6" s="107" t="str">
        <f ca="1"/>
        <v>Letterboxing</v>
      </c>
      <c r="M6" s="107" t="str">
        <f ca="1"/>
        <v>Fossil Hunting</v>
      </c>
      <c r="N6" s="107" t="str">
        <f ca="1"/>
        <v>Farming school activities</v>
      </c>
      <c r="O6" s="107" t="str">
        <f ca="1"/>
        <v>Simple tool use (supervised)</v>
      </c>
      <c r="P6" s="107" t="str">
        <f ca="1"/>
        <v>Fire pits (when part of structured sessions)</v>
      </c>
      <c r="Q6" s="107" t="str">
        <f ca="1"/>
        <v>Immersive natural surroundings</v>
      </c>
      <c r="R6" s="107" t="str">
        <f ca="1"/>
        <v>Quiet or low-intervention spaces</v>
      </c>
      <c r="S6" s="107" t="str">
        <f ca="1"/>
        <v>Enclosed or defined play zones</v>
      </c>
    </row>
    <row r="7" spans="1:46">
      <c r="A7" s="107" t="str" cm="1">
        <f t="array" aca="1" ref="A7:AE7" ca="1">TRANSPOSE(INDIRECT(_xlfn.SWITCH(Venues!B7,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7" s="107" t="str">
        <f ca="1"/>
        <v>Seaweed beds</v>
      </c>
      <c r="C7" s="107" t="str">
        <f ca="1"/>
        <v>Shell or seaglass collecting</v>
      </c>
      <c r="D7" s="107" t="str">
        <f ca="1"/>
        <v>Fossil Hunting</v>
      </c>
      <c r="E7" s="107" t="str">
        <f ca="1"/>
        <v>Crabbing</v>
      </c>
      <c r="F7" s="107" t="str">
        <f ca="1"/>
        <v>Diggable sand (Sandcastles)</v>
      </c>
      <c r="G7" s="107" t="str">
        <f ca="1"/>
        <v>Smooth pebbles</v>
      </c>
      <c r="H7" s="107" t="str">
        <f ca="1"/>
        <v>Shallow paddling</v>
      </c>
      <c r="I7" s="107" t="str">
        <f ca="1"/>
        <v>Streams or channels</v>
      </c>
      <c r="J7" s="107" t="str">
        <f ca="1"/>
        <v>Coves &amp; inlets</v>
      </c>
      <c r="K7" s="107" t="str">
        <f ca="1"/>
        <v>Rock formations</v>
      </c>
      <c r="L7" s="107" t="str">
        <f ca="1"/>
        <v>Cliffs Or Headlands</v>
      </c>
      <c r="M7" s="107" t="str">
        <f ca="1"/>
        <v>Caves</v>
      </c>
      <c r="N7" s="107" t="str">
        <f ca="1"/>
        <v>Sand dunes</v>
      </c>
      <c r="O7" s="107" t="str">
        <f ca="1"/>
        <v>Estuary edges</v>
      </c>
      <c r="P7" s="107" t="str">
        <f ca="1"/>
        <v>Coastal Wildlife</v>
      </c>
      <c r="Q7" s="107" t="str">
        <f ca="1"/>
        <v>Equipment Hire</v>
      </c>
      <c r="R7" s="107" t="str">
        <f ca="1"/>
        <v>Watersports Lessons</v>
      </c>
      <c r="S7" s="107" t="str">
        <f ca="1"/>
        <v>Surfing</v>
      </c>
      <c r="T7" s="107" t="str">
        <f ca="1"/>
        <v>Bodyboarding</v>
      </c>
      <c r="U7" s="107" t="str">
        <f ca="1"/>
        <v>Swimming</v>
      </c>
      <c r="V7" s="107" t="str">
        <f ca="1"/>
        <v>Kayaking / SUP</v>
      </c>
      <c r="W7" s="107" t="str">
        <f ca="1"/>
        <v>Slipway</v>
      </c>
      <c r="X7" s="107" t="str">
        <f ca="1"/>
        <v>Harbour</v>
      </c>
      <c r="Y7" s="107" t="str">
        <f ca="1"/>
        <v>Seasonally Lifeguarded</v>
      </c>
      <c r="Z7" s="107" t="str">
        <f ca="1"/>
        <v>Dog Friendly - seasonal leads</v>
      </c>
      <c r="AA7" s="107" t="str">
        <f ca="1"/>
        <v>Dog Friendly - off lead all year</v>
      </c>
      <c r="AB7" s="107" t="str">
        <f ca="1"/>
        <v>Boat trips nearby</v>
      </c>
      <c r="AC7" s="107" t="str">
        <f ca="1"/>
        <v>Toilets nearby</v>
      </c>
      <c r="AD7" s="107" t="str">
        <f ca="1"/>
        <v>Beach Cafe</v>
      </c>
      <c r="AE7" s="107" t="str">
        <f ca="1"/>
        <v>Promenade</v>
      </c>
    </row>
    <row r="8" spans="1:46">
      <c r="A8" s="107" t="str" cm="1">
        <f t="array" aca="1" ref="A8:AE8" ca="1">TRANSPOSE(INDIRECT(_xlfn.SWITCH(Venues!B8,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8" s="107" t="str">
        <f ca="1"/>
        <v>Seaweed beds</v>
      </c>
      <c r="C8" s="107" t="str">
        <f ca="1"/>
        <v>Shell or seaglass collecting</v>
      </c>
      <c r="D8" s="107" t="str">
        <f ca="1"/>
        <v>Fossil Hunting</v>
      </c>
      <c r="E8" s="107" t="str">
        <f ca="1"/>
        <v>Crabbing</v>
      </c>
      <c r="F8" s="107" t="str">
        <f ca="1"/>
        <v>Diggable sand (Sandcastles)</v>
      </c>
      <c r="G8" s="107" t="str">
        <f ca="1"/>
        <v>Smooth pebbles</v>
      </c>
      <c r="H8" s="107" t="str">
        <f ca="1"/>
        <v>Shallow paddling</v>
      </c>
      <c r="I8" s="107" t="str">
        <f ca="1"/>
        <v>Streams or channels</v>
      </c>
      <c r="J8" s="107" t="str">
        <f ca="1"/>
        <v>Coves &amp; inlets</v>
      </c>
      <c r="K8" s="107" t="str">
        <f ca="1"/>
        <v>Rock formations</v>
      </c>
      <c r="L8" s="107" t="str">
        <f ca="1"/>
        <v>Cliffs Or Headlands</v>
      </c>
      <c r="M8" s="107" t="str">
        <f ca="1"/>
        <v>Caves</v>
      </c>
      <c r="N8" s="107" t="str">
        <f ca="1"/>
        <v>Sand dunes</v>
      </c>
      <c r="O8" s="107" t="str">
        <f ca="1"/>
        <v>Estuary edges</v>
      </c>
      <c r="P8" s="107" t="str">
        <f ca="1"/>
        <v>Coastal Wildlife</v>
      </c>
      <c r="Q8" s="107" t="str">
        <f ca="1"/>
        <v>Equipment Hire</v>
      </c>
      <c r="R8" s="107" t="str">
        <f ca="1"/>
        <v>Watersports Lessons</v>
      </c>
      <c r="S8" s="107" t="str">
        <f ca="1"/>
        <v>Surfing</v>
      </c>
      <c r="T8" s="107" t="str">
        <f ca="1"/>
        <v>Bodyboarding</v>
      </c>
      <c r="U8" s="107" t="str">
        <f ca="1"/>
        <v>Swimming</v>
      </c>
      <c r="V8" s="107" t="str">
        <f ca="1"/>
        <v>Kayaking / SUP</v>
      </c>
      <c r="W8" s="107" t="str">
        <f ca="1"/>
        <v>Slipway</v>
      </c>
      <c r="X8" s="107" t="str">
        <f ca="1"/>
        <v>Harbour</v>
      </c>
      <c r="Y8" s="107" t="str">
        <f ca="1"/>
        <v>Seasonally Lifeguarded</v>
      </c>
      <c r="Z8" s="107" t="str">
        <f ca="1"/>
        <v>Dog Friendly - seasonal leads</v>
      </c>
      <c r="AA8" s="107" t="str">
        <f ca="1"/>
        <v>Dog Friendly - off lead all year</v>
      </c>
      <c r="AB8" s="107" t="str">
        <f ca="1"/>
        <v>Boat trips nearby</v>
      </c>
      <c r="AC8" s="107" t="str">
        <f ca="1"/>
        <v>Toilets nearby</v>
      </c>
      <c r="AD8" s="107" t="str">
        <f ca="1"/>
        <v>Beach Cafe</v>
      </c>
      <c r="AE8" s="107" t="str">
        <f ca="1"/>
        <v>Promenade</v>
      </c>
    </row>
    <row r="9" spans="1:46">
      <c r="A9" s="107" t="str" cm="1">
        <f t="array" aca="1" ref="A9:AE9" ca="1">TRANSPOSE(INDIRECT(_xlfn.SWITCH(Venues!B9,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9" s="107" t="str">
        <f ca="1"/>
        <v>Seaweed beds</v>
      </c>
      <c r="C9" s="107" t="str">
        <f ca="1"/>
        <v>Shell or seaglass collecting</v>
      </c>
      <c r="D9" s="107" t="str">
        <f ca="1"/>
        <v>Fossil Hunting</v>
      </c>
      <c r="E9" s="107" t="str">
        <f ca="1"/>
        <v>Crabbing</v>
      </c>
      <c r="F9" s="107" t="str">
        <f ca="1"/>
        <v>Diggable sand (Sandcastles)</v>
      </c>
      <c r="G9" s="107" t="str">
        <f ca="1"/>
        <v>Smooth pebbles</v>
      </c>
      <c r="H9" s="107" t="str">
        <f ca="1"/>
        <v>Shallow paddling</v>
      </c>
      <c r="I9" s="107" t="str">
        <f ca="1"/>
        <v>Streams or channels</v>
      </c>
      <c r="J9" s="107" t="str">
        <f ca="1"/>
        <v>Coves &amp; inlets</v>
      </c>
      <c r="K9" s="107" t="str">
        <f ca="1"/>
        <v>Rock formations</v>
      </c>
      <c r="L9" s="107" t="str">
        <f ca="1"/>
        <v>Cliffs Or Headlands</v>
      </c>
      <c r="M9" s="107" t="str">
        <f ca="1"/>
        <v>Caves</v>
      </c>
      <c r="N9" s="107" t="str">
        <f ca="1"/>
        <v>Sand dunes</v>
      </c>
      <c r="O9" s="107" t="str">
        <f ca="1"/>
        <v>Estuary edges</v>
      </c>
      <c r="P9" s="107" t="str">
        <f ca="1"/>
        <v>Coastal Wildlife</v>
      </c>
      <c r="Q9" s="107" t="str">
        <f ca="1"/>
        <v>Equipment Hire</v>
      </c>
      <c r="R9" s="107" t="str">
        <f ca="1"/>
        <v>Watersports Lessons</v>
      </c>
      <c r="S9" s="107" t="str">
        <f ca="1"/>
        <v>Surfing</v>
      </c>
      <c r="T9" s="107" t="str">
        <f ca="1"/>
        <v>Bodyboarding</v>
      </c>
      <c r="U9" s="107" t="str">
        <f ca="1"/>
        <v>Swimming</v>
      </c>
      <c r="V9" s="107" t="str">
        <f ca="1"/>
        <v>Kayaking / SUP</v>
      </c>
      <c r="W9" s="107" t="str">
        <f ca="1"/>
        <v>Slipway</v>
      </c>
      <c r="X9" s="107" t="str">
        <f ca="1"/>
        <v>Harbour</v>
      </c>
      <c r="Y9" s="107" t="str">
        <f ca="1"/>
        <v>Seasonally Lifeguarded</v>
      </c>
      <c r="Z9" s="107" t="str">
        <f ca="1"/>
        <v>Dog Friendly - seasonal leads</v>
      </c>
      <c r="AA9" s="107" t="str">
        <f ca="1"/>
        <v>Dog Friendly - off lead all year</v>
      </c>
      <c r="AB9" s="107" t="str">
        <f ca="1"/>
        <v>Boat trips nearby</v>
      </c>
      <c r="AC9" s="107" t="str">
        <f ca="1"/>
        <v>Toilets nearby</v>
      </c>
      <c r="AD9" s="107" t="str">
        <f ca="1"/>
        <v>Beach Cafe</v>
      </c>
      <c r="AE9" s="107" t="str">
        <f ca="1"/>
        <v>Promenade</v>
      </c>
    </row>
    <row r="10" spans="1:46">
      <c r="A10" s="107" t="str" cm="1">
        <f t="array" aca="1" ref="A10:V10" ca="1">TRANSPOSE(INDIRECT(_xlfn.SWITCH(Venues!B10,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10" s="107" t="str">
        <f ca="1"/>
        <v>Seasonal foliage</v>
      </c>
      <c r="C10" s="107" t="str">
        <f ca="1"/>
        <v>Seasonal or curated displays</v>
      </c>
      <c r="D10" s="107" t="str">
        <f ca="1"/>
        <v>Water Features or Fountains</v>
      </c>
      <c r="E10" s="107" t="str">
        <f ca="1"/>
        <v>Meadows &amp; wild grass</v>
      </c>
      <c r="F10" s="107" t="str">
        <f ca="1"/>
        <v>Lakes or wildlife ponds</v>
      </c>
      <c r="G10" s="107" t="str">
        <f ca="1"/>
        <v>Room to run freely</v>
      </c>
      <c r="H10" s="107" t="str">
        <f ca="1"/>
        <v>Open sightlines</v>
      </c>
      <c r="I10" s="107" t="str">
        <f ca="1"/>
        <v>Vegetable gardens &amp; growing spaces</v>
      </c>
      <c r="J10" s="107" t="str">
        <f ca="1"/>
        <v>Meandering paths</v>
      </c>
      <c r="K10" s="107" t="str">
        <f ca="1"/>
        <v>Hidden corners, passageways, gates &amp; gardens</v>
      </c>
      <c r="L10" s="107" t="str">
        <f ca="1"/>
        <v>Garden “rooms”</v>
      </c>
      <c r="M10" s="107" t="str">
        <f ca="1"/>
        <v>Bug hotels, discovery boards</v>
      </c>
      <c r="N10" s="107" t="str">
        <f ca="1"/>
        <v>Bird Hydes &amp; Viewing Platforms</v>
      </c>
      <c r="O10" s="107" t="str">
        <f ca="1"/>
        <v>Marked Trails</v>
      </c>
      <c r="P10" s="107" t="str">
        <f ca="1"/>
        <v>Children’s Activity Trails</v>
      </c>
      <c r="Q10" s="107" t="str">
        <f ca="1"/>
        <v>Historic features</v>
      </c>
      <c r="R10" s="107" t="str">
        <f ca="1"/>
        <v>Statues &amp; sculptures</v>
      </c>
      <c r="S10" s="107" t="str">
        <f ca="1"/>
        <v>Maze</v>
      </c>
      <c r="T10" s="107" t="str">
        <f ca="1"/>
        <v>Greenhouses &amp; tropical plants</v>
      </c>
      <c r="U10" s="107" t="str">
        <f ca="1"/>
        <v>Biomes &amp; unusual environments</v>
      </c>
      <c r="V10" s="107" t="str">
        <f ca="1"/>
        <v>Conservation displays or learning</v>
      </c>
    </row>
    <row r="11" spans="1:46">
      <c r="A11" s="107" t="str" cm="1">
        <f t="array" aca="1" ref="A11:V11" ca="1">TRANSPOSE(INDIRECT(_xlfn.SWITCH(Venues!B11,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11" s="107" t="str">
        <f ca="1"/>
        <v>Seasonal foliage</v>
      </c>
      <c r="C11" s="107" t="str">
        <f ca="1"/>
        <v>Seasonal or curated displays</v>
      </c>
      <c r="D11" s="107" t="str">
        <f ca="1"/>
        <v>Water Features or Fountains</v>
      </c>
      <c r="E11" s="107" t="str">
        <f ca="1"/>
        <v>Meadows &amp; wild grass</v>
      </c>
      <c r="F11" s="107" t="str">
        <f ca="1"/>
        <v>Lakes or wildlife ponds</v>
      </c>
      <c r="G11" s="107" t="str">
        <f ca="1"/>
        <v>Room to run freely</v>
      </c>
      <c r="H11" s="107" t="str">
        <f ca="1"/>
        <v>Open sightlines</v>
      </c>
      <c r="I11" s="107" t="str">
        <f ca="1"/>
        <v>Vegetable gardens &amp; growing spaces</v>
      </c>
      <c r="J11" s="107" t="str">
        <f ca="1"/>
        <v>Meandering paths</v>
      </c>
      <c r="K11" s="107" t="str">
        <f ca="1"/>
        <v>Hidden corners, passageways, gates &amp; gardens</v>
      </c>
      <c r="L11" s="107" t="str">
        <f ca="1"/>
        <v>Garden “rooms”</v>
      </c>
      <c r="M11" s="107" t="str">
        <f ca="1"/>
        <v>Bug hotels, discovery boards</v>
      </c>
      <c r="N11" s="107" t="str">
        <f ca="1"/>
        <v>Bird Hydes &amp; Viewing Platforms</v>
      </c>
      <c r="O11" s="107" t="str">
        <f ca="1"/>
        <v>Marked Trails</v>
      </c>
      <c r="P11" s="107" t="str">
        <f ca="1"/>
        <v>Children’s Activity Trails</v>
      </c>
      <c r="Q11" s="107" t="str">
        <f ca="1"/>
        <v>Historic features</v>
      </c>
      <c r="R11" s="107" t="str">
        <f ca="1"/>
        <v>Statues &amp; sculptures</v>
      </c>
      <c r="S11" s="107" t="str">
        <f ca="1"/>
        <v>Maze</v>
      </c>
      <c r="T11" s="107" t="str">
        <f ca="1"/>
        <v>Greenhouses &amp; tropical plants</v>
      </c>
      <c r="U11" s="107" t="str">
        <f ca="1"/>
        <v>Biomes &amp; unusual environments</v>
      </c>
      <c r="V11" s="107" t="str">
        <f ca="1"/>
        <v>Conservation displays or learning</v>
      </c>
    </row>
    <row r="12" spans="1:46">
      <c r="A12" s="107" t="str" cm="1">
        <f t="array" aca="1" ref="A12:AT12" ca="1">TRANSPOSE(INDIRECT(_xlfn.SWITCH(Venues!B12,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12" s="107" t="str">
        <f ca="1"/>
        <v>Climbing frames</v>
      </c>
      <c r="C12" s="107" t="str">
        <f ca="1"/>
        <v>Balance elements</v>
      </c>
      <c r="D12" s="107" t="str">
        <f ca="1"/>
        <v>Scramble nets</v>
      </c>
      <c r="E12" s="107" t="str">
        <f ca="1"/>
        <v>Stepping obstacles</v>
      </c>
      <c r="F12" s="107" t="str">
        <f ca="1"/>
        <v>Towers and platforms</v>
      </c>
      <c r="G12" s="107" t="str">
        <f ca="1"/>
        <v xml:space="preserve">Slides </v>
      </c>
      <c r="H12" s="107" t="str">
        <f ca="1"/>
        <v>Zip wires</v>
      </c>
      <c r="I12" s="107" t="str">
        <f ca="1"/>
        <v>Fireman's poles</v>
      </c>
      <c r="J12" s="107" t="str">
        <f ca="1"/>
        <v>Ropes &amp; aerial adventures</v>
      </c>
      <c r="K12" s="107" t="str">
        <f ca="1"/>
        <v>Climbing rocks or bouldering</v>
      </c>
      <c r="L12" s="107" t="str">
        <f ca="1"/>
        <v>Climbing wall</v>
      </c>
      <c r="M12" s="107" t="str">
        <f ca="1"/>
        <v>Rope swings</v>
      </c>
      <c r="N12" s="107" t="str">
        <f ca="1"/>
        <v>Abseiling or high ropes</v>
      </c>
      <c r="O12" s="107" t="str">
        <f ca="1"/>
        <v>Fort-style structures</v>
      </c>
      <c r="P12" s="107" t="str">
        <f ca="1"/>
        <v>Lookout points</v>
      </c>
      <c r="Q12" s="107" t="str">
        <f ca="1"/>
        <v>Tunnels and crawl spaces</v>
      </c>
      <c r="R12" s="107" t="str">
        <f ca="1"/>
        <v>Obstacle courses</v>
      </c>
      <c r="S12" s="107" t="str">
        <f ca="1"/>
        <v>Mixed-difficulty zones</v>
      </c>
      <c r="T12" s="107" t="str">
        <f ca="1"/>
        <v>Enclosed adventure zones</v>
      </c>
      <c r="U12" s="107" t="str">
        <f ca="1"/>
        <v>Clear sightlines for adults</v>
      </c>
      <c r="V12" s="107" t="str">
        <f ca="1"/>
        <v>Orienteering</v>
      </c>
      <c r="W12" s="107" t="str">
        <f ca="1"/>
        <v>Water play features</v>
      </c>
      <c r="X12" s="107" t="str">
        <f ca="1"/>
        <v>Swings</v>
      </c>
      <c r="Y12" s="107" t="str">
        <f ca="1"/>
        <v>Basket / nest swings</v>
      </c>
      <c r="Z12" s="107" t="str">
        <f ca="1"/>
        <v>Roundabouts</v>
      </c>
      <c r="AA12" s="107" t="str">
        <f ca="1"/>
        <v>Seesaws</v>
      </c>
      <c r="AB12" s="107" t="str">
        <f ca="1"/>
        <v>Springers / rockers</v>
      </c>
      <c r="AC12" s="107" t="str">
        <f ca="1"/>
        <v>Ground trampolines</v>
      </c>
      <c r="AD12" s="107" t="str">
        <f ca="1"/>
        <v>Sand play area</v>
      </c>
      <c r="AE12" s="107" t="str">
        <f ca="1"/>
        <v>Mud kitchen</v>
      </c>
      <c r="AF12" s="107" t="str">
        <f ca="1"/>
        <v>Den building area</v>
      </c>
      <c r="AG12" s="107" t="str">
        <f ca="1"/>
        <v>Log balance trail</v>
      </c>
      <c r="AH12" s="107" t="str">
        <f ca="1"/>
        <v>Natural boulders</v>
      </c>
      <c r="AI12" s="107" t="str">
        <f ca="1"/>
        <v>Stream or water channel</v>
      </c>
      <c r="AJ12" s="107" t="str">
        <f ca="1"/>
        <v>Wooded setting</v>
      </c>
      <c r="AK12" s="107" t="str">
        <f ca="1"/>
        <v>Open grass / running space</v>
      </c>
      <c r="AL12" s="107" t="str">
        <f ca="1"/>
        <v>Bowl</v>
      </c>
      <c r="AM12" s="107" t="str">
        <f ca="1"/>
        <v>Quarter pipes</v>
      </c>
      <c r="AN12" s="107" t="str">
        <f ca="1"/>
        <v>Street skating features</v>
      </c>
      <c r="AO12" s="107" t="str">
        <f ca="1"/>
        <v>Pump track</v>
      </c>
      <c r="AP12" s="107" t="str">
        <f ca="1"/>
        <v>BMX track</v>
      </c>
      <c r="AQ12" s="107" t="str">
        <f ca="1"/>
        <v>Dirt jumps</v>
      </c>
      <c r="AR12" s="107" t="str">
        <f ca="1"/>
        <v>Wheelchair accessible equipment</v>
      </c>
      <c r="AS12" s="107" t="str">
        <f ca="1"/>
        <v>Inclusive swings</v>
      </c>
      <c r="AT12" s="107" t="str">
        <f ca="1"/>
        <v>Sensory play features</v>
      </c>
    </row>
    <row r="13" spans="1:46">
      <c r="A13" s="107" t="str" cm="1">
        <f t="array" aca="1" ref="A13:AT13" ca="1">TRANSPOSE(INDIRECT(_xlfn.SWITCH(Venues!B13,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13" s="107" t="str">
        <f ca="1"/>
        <v>Climbing frames</v>
      </c>
      <c r="C13" s="107" t="str">
        <f ca="1"/>
        <v>Balance elements</v>
      </c>
      <c r="D13" s="107" t="str">
        <f ca="1"/>
        <v>Scramble nets</v>
      </c>
      <c r="E13" s="107" t="str">
        <f ca="1"/>
        <v>Stepping obstacles</v>
      </c>
      <c r="F13" s="107" t="str">
        <f ca="1"/>
        <v>Towers and platforms</v>
      </c>
      <c r="G13" s="107" t="str">
        <f ca="1"/>
        <v xml:space="preserve">Slides </v>
      </c>
      <c r="H13" s="107" t="str">
        <f ca="1"/>
        <v>Zip wires</v>
      </c>
      <c r="I13" s="107" t="str">
        <f ca="1"/>
        <v>Fireman's poles</v>
      </c>
      <c r="J13" s="107" t="str">
        <f ca="1"/>
        <v>Ropes &amp; aerial adventures</v>
      </c>
      <c r="K13" s="107" t="str">
        <f ca="1"/>
        <v>Climbing rocks or bouldering</v>
      </c>
      <c r="L13" s="107" t="str">
        <f ca="1"/>
        <v>Climbing wall</v>
      </c>
      <c r="M13" s="107" t="str">
        <f ca="1"/>
        <v>Rope swings</v>
      </c>
      <c r="N13" s="107" t="str">
        <f ca="1"/>
        <v>Abseiling or high ropes</v>
      </c>
      <c r="O13" s="107" t="str">
        <f ca="1"/>
        <v>Fort-style structures</v>
      </c>
      <c r="P13" s="107" t="str">
        <f ca="1"/>
        <v>Lookout points</v>
      </c>
      <c r="Q13" s="107" t="str">
        <f ca="1"/>
        <v>Tunnels and crawl spaces</v>
      </c>
      <c r="R13" s="107" t="str">
        <f ca="1"/>
        <v>Obstacle courses</v>
      </c>
      <c r="S13" s="107" t="str">
        <f ca="1"/>
        <v>Mixed-difficulty zones</v>
      </c>
      <c r="T13" s="107" t="str">
        <f ca="1"/>
        <v>Enclosed adventure zones</v>
      </c>
      <c r="U13" s="107" t="str">
        <f ca="1"/>
        <v>Clear sightlines for adults</v>
      </c>
      <c r="V13" s="107" t="str">
        <f ca="1"/>
        <v>Orienteering</v>
      </c>
      <c r="W13" s="107" t="str">
        <f ca="1"/>
        <v>Water play features</v>
      </c>
      <c r="X13" s="107" t="str">
        <f ca="1"/>
        <v>Swings</v>
      </c>
      <c r="Y13" s="107" t="str">
        <f ca="1"/>
        <v>Basket / nest swings</v>
      </c>
      <c r="Z13" s="107" t="str">
        <f ca="1"/>
        <v>Roundabouts</v>
      </c>
      <c r="AA13" s="107" t="str">
        <f ca="1"/>
        <v>Seesaws</v>
      </c>
      <c r="AB13" s="107" t="str">
        <f ca="1"/>
        <v>Springers / rockers</v>
      </c>
      <c r="AC13" s="107" t="str">
        <f ca="1"/>
        <v>Ground trampolines</v>
      </c>
      <c r="AD13" s="107" t="str">
        <f ca="1"/>
        <v>Sand play area</v>
      </c>
      <c r="AE13" s="107" t="str">
        <f ca="1"/>
        <v>Mud kitchen</v>
      </c>
      <c r="AF13" s="107" t="str">
        <f ca="1"/>
        <v>Den building area</v>
      </c>
      <c r="AG13" s="107" t="str">
        <f ca="1"/>
        <v>Log balance trail</v>
      </c>
      <c r="AH13" s="107" t="str">
        <f ca="1"/>
        <v>Natural boulders</v>
      </c>
      <c r="AI13" s="107" t="str">
        <f ca="1"/>
        <v>Stream or water channel</v>
      </c>
      <c r="AJ13" s="107" t="str">
        <f ca="1"/>
        <v>Wooded setting</v>
      </c>
      <c r="AK13" s="107" t="str">
        <f ca="1"/>
        <v>Open grass / running space</v>
      </c>
      <c r="AL13" s="107" t="str">
        <f ca="1"/>
        <v>Bowl</v>
      </c>
      <c r="AM13" s="107" t="str">
        <f ca="1"/>
        <v>Quarter pipes</v>
      </c>
      <c r="AN13" s="107" t="str">
        <f ca="1"/>
        <v>Street skating features</v>
      </c>
      <c r="AO13" s="107" t="str">
        <f ca="1"/>
        <v>Pump track</v>
      </c>
      <c r="AP13" s="107" t="str">
        <f ca="1"/>
        <v>BMX track</v>
      </c>
      <c r="AQ13" s="107" t="str">
        <f ca="1"/>
        <v>Dirt jumps</v>
      </c>
      <c r="AR13" s="107" t="str">
        <f ca="1"/>
        <v>Wheelchair accessible equipment</v>
      </c>
      <c r="AS13" s="107" t="str">
        <f ca="1"/>
        <v>Inclusive swings</v>
      </c>
      <c r="AT13" s="107" t="str">
        <f ca="1"/>
        <v>Sensory play features</v>
      </c>
    </row>
    <row r="14" spans="1:46">
      <c r="A14" s="107" t="str" cm="1">
        <f t="array" aca="1" ref="A14:AF14" ca="1">TRANSPOSE(INDIRECT(_xlfn.SWITCH(Venues!B14,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Early access introduction</v>
      </c>
      <c r="B14" s="107" t="str">
        <f ca="1"/>
        <v>Skill progression</v>
      </c>
      <c r="C14" s="107" t="str">
        <f ca="1"/>
        <v>Confidence building</v>
      </c>
      <c r="D14" s="107" t="str">
        <f ca="1"/>
        <v>Coordination &amp; balance</v>
      </c>
      <c r="E14" s="107" t="str">
        <f ca="1"/>
        <v>Strength &amp; agility</v>
      </c>
      <c r="F14" s="107" t="str">
        <f ca="1"/>
        <v>Structured coaching</v>
      </c>
      <c r="G14" s="107" t="str">
        <f ca="1"/>
        <v>Mixed-ability sessions</v>
      </c>
      <c r="H14" s="107" t="str">
        <f ca="1"/>
        <v>Team-based</v>
      </c>
      <c r="I14" s="107" t="str">
        <f ca="1"/>
        <v>Friendly competition</v>
      </c>
      <c r="J14" s="107" t="str">
        <f ca="1"/>
        <v>Non-competitive options</v>
      </c>
      <c r="K14" s="107" t="str">
        <f ca="1"/>
        <v>Indoor sports halls</v>
      </c>
      <c r="L14" s="107" t="str">
        <f ca="1"/>
        <v>Outdoor pitches</v>
      </c>
      <c r="M14" s="107" t="str">
        <f ca="1"/>
        <v>Purpose-built facilities</v>
      </c>
      <c r="N14" s="107" t="str">
        <f ca="1"/>
        <v>Safe enclosed spaces</v>
      </c>
      <c r="O14" s="107" t="str">
        <f ca="1"/>
        <v>All-weather options</v>
      </c>
      <c r="P14" s="107" t="str">
        <f ca="1"/>
        <v>Swimming</v>
      </c>
      <c r="Q14" s="107" t="str">
        <f ca="1"/>
        <v>Sea-sports</v>
      </c>
      <c r="R14" s="107" t="str">
        <f ca="1"/>
        <v>Climbing</v>
      </c>
      <c r="S14" s="107" t="str">
        <f ca="1"/>
        <v>Athletics &amp; Running</v>
      </c>
      <c r="T14" s="107" t="str">
        <f ca="1"/>
        <v>Gymnastics</v>
      </c>
      <c r="U14" s="107" t="str">
        <f ca="1"/>
        <v>Parkour &amp; freerunning</v>
      </c>
      <c r="V14" s="107" t="str">
        <f ca="1"/>
        <v>Racquet sports</v>
      </c>
      <c r="W14" s="107" t="str">
        <f ca="1"/>
        <v>Ninja warrior style courses</v>
      </c>
      <c r="X14" s="107" t="str">
        <f ca="1"/>
        <v>Assault courses</v>
      </c>
      <c r="Y14" s="107" t="str">
        <f ca="1"/>
        <v>Obstacle courses</v>
      </c>
      <c r="Z14" s="107" t="str">
        <f ca="1"/>
        <v>Aerial / high ropes (indoor)</v>
      </c>
      <c r="AA14" s="107" t="str">
        <f ca="1"/>
        <v>Ball Sports</v>
      </c>
      <c r="AB14" s="107" t="str">
        <f ca="1"/>
        <v>Outdoor Fitness</v>
      </c>
      <c r="AC14" s="107" t="str">
        <f ca="1"/>
        <v>Martial Arts</v>
      </c>
      <c r="AD14" s="107" t="str">
        <f ca="1"/>
        <v>Dance &amp; Movement</v>
      </c>
      <c r="AE14" s="107" t="str">
        <f ca="1"/>
        <v>Skateboarding</v>
      </c>
      <c r="AF14" s="107" t="str">
        <f ca="1"/>
        <v>Movement skills training</v>
      </c>
    </row>
    <row r="15" spans="1:46">
      <c r="A15" s="107" t="str" cm="1">
        <f t="array" aca="1" ref="A15:X15" ca="1">TRANSPOSE(INDIRECT(_xlfn.SWITCH(Venues!B15,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Hands-on Petting</v>
      </c>
      <c r="B15" s="107" t="str">
        <f ca="1"/>
        <v>Animal feeding</v>
      </c>
      <c r="C15" s="107" t="str">
        <f ca="1"/>
        <v>Close-up viewing</v>
      </c>
      <c r="D15" s="107" t="str">
        <f ca="1"/>
        <v>Keeper talks</v>
      </c>
      <c r="E15" s="107" t="str">
        <f ca="1"/>
        <v>Animal Experience Day</v>
      </c>
      <c r="F15" s="107" t="str">
        <f ca="1"/>
        <v>Trekking, rides or hacking</v>
      </c>
      <c r="G15" s="107" t="str">
        <f ca="1"/>
        <v>Guided walks</v>
      </c>
      <c r="H15" s="107" t="str">
        <f ca="1"/>
        <v>Animal husbandry</v>
      </c>
      <c r="I15" s="107" t="str">
        <f ca="1"/>
        <v>Tractor rides</v>
      </c>
      <c r="J15" s="107" t="str">
        <f ca="1"/>
        <v>Animal races</v>
      </c>
      <c r="K15" s="107" t="str">
        <f ca="1"/>
        <v>Animal displays or shows</v>
      </c>
      <c r="L15" s="107" t="str">
        <f ca="1"/>
        <v>Drive-through Safari</v>
      </c>
      <c r="M15" s="107" t="str">
        <f ca="1"/>
        <v>Litter Farmer Experiences</v>
      </c>
      <c r="N15" s="107" t="str">
        <f ca="1"/>
        <v>Multiple species</v>
      </c>
      <c r="O15" s="107" t="str">
        <f ca="1"/>
        <v>Rare or exotic animals</v>
      </c>
      <c r="P15" s="107" t="str">
        <f ca="1"/>
        <v>Animal Sanctuary</v>
      </c>
      <c r="Q15" s="107" t="str">
        <f ca="1"/>
        <v>Conservation</v>
      </c>
      <c r="R15" s="107" t="str">
        <f ca="1"/>
        <v>Baby animals (seasonal)</v>
      </c>
      <c r="S15" s="107" t="str">
        <f ca="1"/>
        <v>Walk-through enclosures</v>
      </c>
      <c r="T15" s="107" t="str">
        <f ca="1"/>
        <v>Rides or Treks</v>
      </c>
      <c r="U15" s="107" t="str">
        <f ca="1"/>
        <v>Outdoor animal areas</v>
      </c>
      <c r="V15" s="107" t="str">
        <f ca="1"/>
        <v>Marked Trails</v>
      </c>
      <c r="W15" s="107" t="str">
        <f ca="1"/>
        <v>Children’s Activity Trails</v>
      </c>
      <c r="X15" s="107" t="str">
        <f ca="1"/>
        <v>Farm-based activities (e.g. egg collecting)</v>
      </c>
    </row>
    <row r="16" spans="1:46">
      <c r="A16" s="107" t="str" cm="1">
        <f t="array" aca="1" ref="A16:X16" ca="1">TRANSPOSE(INDIRECT(_xlfn.SWITCH(Venues!B16,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Hands-on Petting</v>
      </c>
      <c r="B16" s="107" t="str">
        <f ca="1"/>
        <v>Animal feeding</v>
      </c>
      <c r="C16" s="107" t="str">
        <f ca="1"/>
        <v>Close-up viewing</v>
      </c>
      <c r="D16" s="107" t="str">
        <f ca="1"/>
        <v>Keeper talks</v>
      </c>
      <c r="E16" s="107" t="str">
        <f ca="1"/>
        <v>Animal Experience Day</v>
      </c>
      <c r="F16" s="107" t="str">
        <f ca="1"/>
        <v>Trekking, rides or hacking</v>
      </c>
      <c r="G16" s="107" t="str">
        <f ca="1"/>
        <v>Guided walks</v>
      </c>
      <c r="H16" s="107" t="str">
        <f ca="1"/>
        <v>Animal husbandry</v>
      </c>
      <c r="I16" s="107" t="str">
        <f ca="1"/>
        <v>Tractor rides</v>
      </c>
      <c r="J16" s="107" t="str">
        <f ca="1"/>
        <v>Animal races</v>
      </c>
      <c r="K16" s="107" t="str">
        <f ca="1"/>
        <v>Animal displays or shows</v>
      </c>
      <c r="L16" s="107" t="str">
        <f ca="1"/>
        <v>Drive-through Safari</v>
      </c>
      <c r="M16" s="107" t="str">
        <f ca="1"/>
        <v>Litter Farmer Experiences</v>
      </c>
      <c r="N16" s="107" t="str">
        <f ca="1"/>
        <v>Multiple species</v>
      </c>
      <c r="O16" s="107" t="str">
        <f ca="1"/>
        <v>Rare or exotic animals</v>
      </c>
      <c r="P16" s="107" t="str">
        <f ca="1"/>
        <v>Animal Sanctuary</v>
      </c>
      <c r="Q16" s="107" t="str">
        <f ca="1"/>
        <v>Conservation</v>
      </c>
      <c r="R16" s="107" t="str">
        <f ca="1"/>
        <v>Baby animals (seasonal)</v>
      </c>
      <c r="S16" s="107" t="str">
        <f ca="1"/>
        <v>Walk-through enclosures</v>
      </c>
      <c r="T16" s="107" t="str">
        <f ca="1"/>
        <v>Rides or Treks</v>
      </c>
      <c r="U16" s="107" t="str">
        <f ca="1"/>
        <v>Outdoor animal areas</v>
      </c>
      <c r="V16" s="107" t="str">
        <f ca="1"/>
        <v>Marked Trails</v>
      </c>
      <c r="W16" s="107" t="str">
        <f ca="1"/>
        <v>Children’s Activity Trails</v>
      </c>
      <c r="X16" s="107" t="str">
        <f ca="1"/>
        <v>Farm-based activities (e.g. egg collecting)</v>
      </c>
    </row>
    <row r="17" spans="1:46">
      <c r="A17" s="107" t="str" cm="1">
        <f t="array" aca="1" ref="A17:AF17" ca="1">TRANSPOSE(INDIRECT(_xlfn.SWITCH(Venues!B17,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Early access introduction</v>
      </c>
      <c r="B17" s="107" t="str">
        <f ca="1"/>
        <v>Skill progression</v>
      </c>
      <c r="C17" s="107" t="str">
        <f ca="1"/>
        <v>Confidence building</v>
      </c>
      <c r="D17" s="107" t="str">
        <f ca="1"/>
        <v>Coordination &amp; balance</v>
      </c>
      <c r="E17" s="107" t="str">
        <f ca="1"/>
        <v>Strength &amp; agility</v>
      </c>
      <c r="F17" s="107" t="str">
        <f ca="1"/>
        <v>Structured coaching</v>
      </c>
      <c r="G17" s="107" t="str">
        <f ca="1"/>
        <v>Mixed-ability sessions</v>
      </c>
      <c r="H17" s="107" t="str">
        <f ca="1"/>
        <v>Team-based</v>
      </c>
      <c r="I17" s="107" t="str">
        <f ca="1"/>
        <v>Friendly competition</v>
      </c>
      <c r="J17" s="107" t="str">
        <f ca="1"/>
        <v>Non-competitive options</v>
      </c>
      <c r="K17" s="107" t="str">
        <f ca="1"/>
        <v>Indoor sports halls</v>
      </c>
      <c r="L17" s="107" t="str">
        <f ca="1"/>
        <v>Outdoor pitches</v>
      </c>
      <c r="M17" s="107" t="str">
        <f ca="1"/>
        <v>Purpose-built facilities</v>
      </c>
      <c r="N17" s="107" t="str">
        <f ca="1"/>
        <v>Safe enclosed spaces</v>
      </c>
      <c r="O17" s="107" t="str">
        <f ca="1"/>
        <v>All-weather options</v>
      </c>
      <c r="P17" s="107" t="str">
        <f ca="1"/>
        <v>Swimming</v>
      </c>
      <c r="Q17" s="107" t="str">
        <f ca="1"/>
        <v>Sea-sports</v>
      </c>
      <c r="R17" s="107" t="str">
        <f ca="1"/>
        <v>Climbing</v>
      </c>
      <c r="S17" s="107" t="str">
        <f ca="1"/>
        <v>Athletics &amp; Running</v>
      </c>
      <c r="T17" s="107" t="str">
        <f ca="1"/>
        <v>Gymnastics</v>
      </c>
      <c r="U17" s="107" t="str">
        <f ca="1"/>
        <v>Parkour &amp; freerunning</v>
      </c>
      <c r="V17" s="107" t="str">
        <f ca="1"/>
        <v>Racquet sports</v>
      </c>
      <c r="W17" s="107" t="str">
        <f ca="1"/>
        <v>Ninja warrior style courses</v>
      </c>
      <c r="X17" s="107" t="str">
        <f ca="1"/>
        <v>Assault courses</v>
      </c>
      <c r="Y17" s="107" t="str">
        <f ca="1"/>
        <v>Obstacle courses</v>
      </c>
      <c r="Z17" s="107" t="str">
        <f ca="1"/>
        <v>Aerial / high ropes (indoor)</v>
      </c>
      <c r="AA17" s="107" t="str">
        <f ca="1"/>
        <v>Ball Sports</v>
      </c>
      <c r="AB17" s="107" t="str">
        <f ca="1"/>
        <v>Outdoor Fitness</v>
      </c>
      <c r="AC17" s="107" t="str">
        <f ca="1"/>
        <v>Martial Arts</v>
      </c>
      <c r="AD17" s="107" t="str">
        <f ca="1"/>
        <v>Dance &amp; Movement</v>
      </c>
      <c r="AE17" s="107" t="str">
        <f ca="1"/>
        <v>Skateboarding</v>
      </c>
      <c r="AF17" s="107" t="str">
        <f ca="1"/>
        <v>Movement skills training</v>
      </c>
    </row>
    <row r="18" spans="1:46">
      <c r="A18" s="107" t="str" cm="1">
        <f t="array" aca="1" ref="A18:J18" ca="1">TRANSPOSE(INDIRECT(_xlfn.SWITCH(Venues!B18,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18" s="107" t="str">
        <f ca="1"/>
        <v>Toy corner or play table</v>
      </c>
      <c r="C18" s="107" t="str">
        <f ca="1"/>
        <v>Puzzles or games</v>
      </c>
      <c r="D18" s="107" t="str">
        <f ca="1"/>
        <v>Colouring</v>
      </c>
      <c r="E18" s="107" t="str">
        <f ca="1"/>
        <v>Space to run around</v>
      </c>
      <c r="F18" s="107" t="str">
        <f ca="1"/>
        <v>Outdoor play area nearby</v>
      </c>
      <c r="G18" s="107" t="str">
        <f ca="1"/>
        <v>Farm animals nearby</v>
      </c>
      <c r="H18" s="107" t="str">
        <f ca="1"/>
        <v>Shop or browsing area (e.g. farm shop, garden centre)</v>
      </c>
      <c r="I18" s="107" t="str">
        <f ca="1"/>
        <v>Combined with a walk or attraction</v>
      </c>
      <c r="J18" s="107" t="str">
        <f ca="1"/>
        <v>Book swap or exchange library</v>
      </c>
    </row>
    <row r="19" spans="1:46">
      <c r="A19" s="107" t="str" cm="1">
        <f t="array" aca="1" ref="A19:J19" ca="1">TRANSPOSE(INDIRECT(_xlfn.SWITCH(Venues!B19,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19" s="107" t="str">
        <f ca="1"/>
        <v>Toy corner or play table</v>
      </c>
      <c r="C19" s="107" t="str">
        <f ca="1"/>
        <v>Puzzles or games</v>
      </c>
      <c r="D19" s="107" t="str">
        <f ca="1"/>
        <v>Colouring</v>
      </c>
      <c r="E19" s="107" t="str">
        <f ca="1"/>
        <v>Space to run around</v>
      </c>
      <c r="F19" s="107" t="str">
        <f ca="1"/>
        <v>Outdoor play area nearby</v>
      </c>
      <c r="G19" s="107" t="str">
        <f ca="1"/>
        <v>Farm animals nearby</v>
      </c>
      <c r="H19" s="107" t="str">
        <f ca="1"/>
        <v>Shop or browsing area (e.g. farm shop, garden centre)</v>
      </c>
      <c r="I19" s="107" t="str">
        <f ca="1"/>
        <v>Combined with a walk or attraction</v>
      </c>
      <c r="J19" s="107" t="str">
        <f ca="1"/>
        <v>Book swap or exchange library</v>
      </c>
    </row>
    <row r="20" spans="1:46">
      <c r="A20" s="107" t="str" cm="1">
        <f t="array" aca="1" ref="A20:J20" ca="1">TRANSPOSE(INDIRECT(_xlfn.SWITCH(Venues!B20,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20" s="107" t="str">
        <f ca="1"/>
        <v>Toy corner or play table</v>
      </c>
      <c r="C20" s="107" t="str">
        <f ca="1"/>
        <v>Puzzles or games</v>
      </c>
      <c r="D20" s="107" t="str">
        <f ca="1"/>
        <v>Colouring</v>
      </c>
      <c r="E20" s="107" t="str">
        <f ca="1"/>
        <v>Space to run around</v>
      </c>
      <c r="F20" s="107" t="str">
        <f ca="1"/>
        <v>Outdoor play area nearby</v>
      </c>
      <c r="G20" s="107" t="str">
        <f ca="1"/>
        <v>Farm animals nearby</v>
      </c>
      <c r="H20" s="107" t="str">
        <f ca="1"/>
        <v>Shop or browsing area (e.g. farm shop, garden centre)</v>
      </c>
      <c r="I20" s="107" t="str">
        <f ca="1"/>
        <v>Combined with a walk or attraction</v>
      </c>
      <c r="J20" s="107" t="str">
        <f ca="1"/>
        <v>Book swap or exchange library</v>
      </c>
    </row>
    <row r="21" spans="1:46">
      <c r="A21" s="107" t="str" cm="1">
        <f t="array" aca="1" ref="A21:J21" ca="1">TRANSPOSE(INDIRECT(_xlfn.SWITCH(Venues!B21,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21" s="107" t="str">
        <f ca="1"/>
        <v>Toy corner or play table</v>
      </c>
      <c r="C21" s="107" t="str">
        <f ca="1"/>
        <v>Puzzles or games</v>
      </c>
      <c r="D21" s="107" t="str">
        <f ca="1"/>
        <v>Colouring</v>
      </c>
      <c r="E21" s="107" t="str">
        <f ca="1"/>
        <v>Space to run around</v>
      </c>
      <c r="F21" s="107" t="str">
        <f ca="1"/>
        <v>Outdoor play area nearby</v>
      </c>
      <c r="G21" s="107" t="str">
        <f ca="1"/>
        <v>Farm animals nearby</v>
      </c>
      <c r="H21" s="107" t="str">
        <f ca="1"/>
        <v>Shop or browsing area (e.g. farm shop, garden centre)</v>
      </c>
      <c r="I21" s="107" t="str">
        <f ca="1"/>
        <v>Combined with a walk or attraction</v>
      </c>
      <c r="J21" s="107" t="str">
        <f ca="1"/>
        <v>Book swap or exchange library</v>
      </c>
    </row>
    <row r="22" spans="1:46">
      <c r="A22" s="107" t="str" cm="1">
        <f t="array" aca="1" ref="A22:J22" ca="1">TRANSPOSE(INDIRECT(_xlfn.SWITCH(Venues!B22,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22" s="107" t="str">
        <f ca="1"/>
        <v>Toy corner or play table</v>
      </c>
      <c r="C22" s="107" t="str">
        <f ca="1"/>
        <v>Puzzles or games</v>
      </c>
      <c r="D22" s="107" t="str">
        <f ca="1"/>
        <v>Colouring</v>
      </c>
      <c r="E22" s="107" t="str">
        <f ca="1"/>
        <v>Space to run around</v>
      </c>
      <c r="F22" s="107" t="str">
        <f ca="1"/>
        <v>Outdoor play area nearby</v>
      </c>
      <c r="G22" s="107" t="str">
        <f ca="1"/>
        <v>Farm animals nearby</v>
      </c>
      <c r="H22" s="107" t="str">
        <f ca="1"/>
        <v>Shop or browsing area (e.g. farm shop, garden centre)</v>
      </c>
      <c r="I22" s="107" t="str">
        <f ca="1"/>
        <v>Combined with a walk or attraction</v>
      </c>
      <c r="J22" s="107" t="str">
        <f ca="1"/>
        <v>Book swap or exchange library</v>
      </c>
    </row>
    <row r="23" spans="1:46">
      <c r="A23" s="107" t="str" cm="1">
        <f t="array" aca="1" ref="A23:R23" ca="1">TRANSPOSE(INDIRECT(_xlfn.SWITCH(Venues!B23,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Traffic-free sections</v>
      </c>
      <c r="B23" s="107" t="str">
        <f ca="1"/>
        <v>Wide pathways</v>
      </c>
      <c r="C23" s="107" t="str">
        <f ca="1"/>
        <v>Clear sightlines</v>
      </c>
      <c r="D23" s="107" t="str">
        <f ca="1"/>
        <v>Riverside stretches</v>
      </c>
      <c r="E23" s="107" t="str">
        <f ca="1"/>
        <v>Canal views</v>
      </c>
      <c r="F23" s="107" t="str">
        <f ca="1"/>
        <v>Parkland surroundings</v>
      </c>
      <c r="G23" s="107" t="str">
        <f ca="1"/>
        <v>Coastal promenades</v>
      </c>
      <c r="H23" s="107" t="str">
        <f ca="1"/>
        <v>Bridges and landmarks</v>
      </c>
      <c r="I23" s="107" t="str">
        <f ca="1"/>
        <v>Natural jumps, ramps or fun features</v>
      </c>
      <c r="J23" s="107" t="str">
        <f ca="1"/>
        <v>Scooter-friendly</v>
      </c>
      <c r="K23" s="107" t="str">
        <f ca="1"/>
        <v>High-adrenaline routes, jumps or terrain</v>
      </c>
      <c r="L23" s="107" t="str">
        <f ca="1"/>
        <v>Points of interest along the way</v>
      </c>
      <c r="M23" s="107" t="str">
        <f ca="1"/>
        <v>Play areas en route</v>
      </c>
      <c r="N23" s="107" t="str">
        <f ca="1"/>
        <v>Stops for snacks or picnics</v>
      </c>
      <c r="O23" s="107" t="str">
        <f ca="1"/>
        <v>Short loops</v>
      </c>
      <c r="P23" s="107" t="str">
        <f ca="1"/>
        <v>Multiple access points</v>
      </c>
      <c r="Q23" s="107" t="str">
        <f ca="1"/>
        <v>Easy parking nearby</v>
      </c>
      <c r="R23" s="107" t="str">
        <f ca="1"/>
        <v>Cafés or facilities along the route</v>
      </c>
    </row>
    <row r="24" spans="1:46">
      <c r="A24" s="107" t="str" cm="1">
        <f t="array" aca="1" ref="A24:AT24" ca="1">TRANSPOSE(INDIRECT(_xlfn.SWITCH(Venues!B24,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24" s="107" t="str">
        <f ca="1"/>
        <v>Climbing frames</v>
      </c>
      <c r="C24" s="107" t="str">
        <f ca="1"/>
        <v>Balance elements</v>
      </c>
      <c r="D24" s="107" t="str">
        <f ca="1"/>
        <v>Scramble nets</v>
      </c>
      <c r="E24" s="107" t="str">
        <f ca="1"/>
        <v>Stepping obstacles</v>
      </c>
      <c r="F24" s="107" t="str">
        <f ca="1"/>
        <v>Towers and platforms</v>
      </c>
      <c r="G24" s="107" t="str">
        <f ca="1"/>
        <v xml:space="preserve">Slides </v>
      </c>
      <c r="H24" s="107" t="str">
        <f ca="1"/>
        <v>Zip wires</v>
      </c>
      <c r="I24" s="107" t="str">
        <f ca="1"/>
        <v>Fireman's poles</v>
      </c>
      <c r="J24" s="107" t="str">
        <f ca="1"/>
        <v>Ropes &amp; aerial adventures</v>
      </c>
      <c r="K24" s="107" t="str">
        <f ca="1"/>
        <v>Climbing rocks or bouldering</v>
      </c>
      <c r="L24" s="107" t="str">
        <f ca="1"/>
        <v>Climbing wall</v>
      </c>
      <c r="M24" s="107" t="str">
        <f ca="1"/>
        <v>Rope swings</v>
      </c>
      <c r="N24" s="107" t="str">
        <f ca="1"/>
        <v>Abseiling or high ropes</v>
      </c>
      <c r="O24" s="107" t="str">
        <f ca="1"/>
        <v>Fort-style structures</v>
      </c>
      <c r="P24" s="107" t="str">
        <f ca="1"/>
        <v>Lookout points</v>
      </c>
      <c r="Q24" s="107" t="str">
        <f ca="1"/>
        <v>Tunnels and crawl spaces</v>
      </c>
      <c r="R24" s="107" t="str">
        <f ca="1"/>
        <v>Obstacle courses</v>
      </c>
      <c r="S24" s="107" t="str">
        <f ca="1"/>
        <v>Mixed-difficulty zones</v>
      </c>
      <c r="T24" s="107" t="str">
        <f ca="1"/>
        <v>Enclosed adventure zones</v>
      </c>
      <c r="U24" s="107" t="str">
        <f ca="1"/>
        <v>Clear sightlines for adults</v>
      </c>
      <c r="V24" s="107" t="str">
        <f ca="1"/>
        <v>Orienteering</v>
      </c>
      <c r="W24" s="107" t="str">
        <f ca="1"/>
        <v>Water play features</v>
      </c>
      <c r="X24" s="107" t="str">
        <f ca="1"/>
        <v>Swings</v>
      </c>
      <c r="Y24" s="107" t="str">
        <f ca="1"/>
        <v>Basket / nest swings</v>
      </c>
      <c r="Z24" s="107" t="str">
        <f ca="1"/>
        <v>Roundabouts</v>
      </c>
      <c r="AA24" s="107" t="str">
        <f ca="1"/>
        <v>Seesaws</v>
      </c>
      <c r="AB24" s="107" t="str">
        <f ca="1"/>
        <v>Springers / rockers</v>
      </c>
      <c r="AC24" s="107" t="str">
        <f ca="1"/>
        <v>Ground trampolines</v>
      </c>
      <c r="AD24" s="107" t="str">
        <f ca="1"/>
        <v>Sand play area</v>
      </c>
      <c r="AE24" s="107" t="str">
        <f ca="1"/>
        <v>Mud kitchen</v>
      </c>
      <c r="AF24" s="107" t="str">
        <f ca="1"/>
        <v>Den building area</v>
      </c>
      <c r="AG24" s="107" t="str">
        <f ca="1"/>
        <v>Log balance trail</v>
      </c>
      <c r="AH24" s="107" t="str">
        <f ca="1"/>
        <v>Natural boulders</v>
      </c>
      <c r="AI24" s="107" t="str">
        <f ca="1"/>
        <v>Stream or water channel</v>
      </c>
      <c r="AJ24" s="107" t="str">
        <f ca="1"/>
        <v>Wooded setting</v>
      </c>
      <c r="AK24" s="107" t="str">
        <f ca="1"/>
        <v>Open grass / running space</v>
      </c>
      <c r="AL24" s="107" t="str">
        <f ca="1"/>
        <v>Bowl</v>
      </c>
      <c r="AM24" s="107" t="str">
        <f ca="1"/>
        <v>Quarter pipes</v>
      </c>
      <c r="AN24" s="107" t="str">
        <f ca="1"/>
        <v>Street skating features</v>
      </c>
      <c r="AO24" s="107" t="str">
        <f ca="1"/>
        <v>Pump track</v>
      </c>
      <c r="AP24" s="107" t="str">
        <f ca="1"/>
        <v>BMX track</v>
      </c>
      <c r="AQ24" s="107" t="str">
        <f ca="1"/>
        <v>Dirt jumps</v>
      </c>
      <c r="AR24" s="107" t="str">
        <f ca="1"/>
        <v>Wheelchair accessible equipment</v>
      </c>
      <c r="AS24" s="107" t="str">
        <f ca="1"/>
        <v>Inclusive swings</v>
      </c>
      <c r="AT24" s="107" t="str">
        <f ca="1"/>
        <v>Sensory play features</v>
      </c>
    </row>
    <row r="25" spans="1:46">
      <c r="A25" s="107" t="str" cm="1">
        <f t="array" aca="1" ref="A25:AT25" ca="1">TRANSPOSE(INDIRECT(_xlfn.SWITCH(Venues!B25,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25" s="107" t="str">
        <f ca="1"/>
        <v>Climbing frames</v>
      </c>
      <c r="C25" s="107" t="str">
        <f ca="1"/>
        <v>Balance elements</v>
      </c>
      <c r="D25" s="107" t="str">
        <f ca="1"/>
        <v>Scramble nets</v>
      </c>
      <c r="E25" s="107" t="str">
        <f ca="1"/>
        <v>Stepping obstacles</v>
      </c>
      <c r="F25" s="107" t="str">
        <f ca="1"/>
        <v>Towers and platforms</v>
      </c>
      <c r="G25" s="107" t="str">
        <f ca="1"/>
        <v xml:space="preserve">Slides </v>
      </c>
      <c r="H25" s="107" t="str">
        <f ca="1"/>
        <v>Zip wires</v>
      </c>
      <c r="I25" s="107" t="str">
        <f ca="1"/>
        <v>Fireman's poles</v>
      </c>
      <c r="J25" s="107" t="str">
        <f ca="1"/>
        <v>Ropes &amp; aerial adventures</v>
      </c>
      <c r="K25" s="107" t="str">
        <f ca="1"/>
        <v>Climbing rocks or bouldering</v>
      </c>
      <c r="L25" s="107" t="str">
        <f ca="1"/>
        <v>Climbing wall</v>
      </c>
      <c r="M25" s="107" t="str">
        <f ca="1"/>
        <v>Rope swings</v>
      </c>
      <c r="N25" s="107" t="str">
        <f ca="1"/>
        <v>Abseiling or high ropes</v>
      </c>
      <c r="O25" s="107" t="str">
        <f ca="1"/>
        <v>Fort-style structures</v>
      </c>
      <c r="P25" s="107" t="str">
        <f ca="1"/>
        <v>Lookout points</v>
      </c>
      <c r="Q25" s="107" t="str">
        <f ca="1"/>
        <v>Tunnels and crawl spaces</v>
      </c>
      <c r="R25" s="107" t="str">
        <f ca="1"/>
        <v>Obstacle courses</v>
      </c>
      <c r="S25" s="107" t="str">
        <f ca="1"/>
        <v>Mixed-difficulty zones</v>
      </c>
      <c r="T25" s="107" t="str">
        <f ca="1"/>
        <v>Enclosed adventure zones</v>
      </c>
      <c r="U25" s="107" t="str">
        <f ca="1"/>
        <v>Clear sightlines for adults</v>
      </c>
      <c r="V25" s="107" t="str">
        <f ca="1"/>
        <v>Orienteering</v>
      </c>
      <c r="W25" s="107" t="str">
        <f ca="1"/>
        <v>Water play features</v>
      </c>
      <c r="X25" s="107" t="str">
        <f ca="1"/>
        <v>Swings</v>
      </c>
      <c r="Y25" s="107" t="str">
        <f ca="1"/>
        <v>Basket / nest swings</v>
      </c>
      <c r="Z25" s="107" t="str">
        <f ca="1"/>
        <v>Roundabouts</v>
      </c>
      <c r="AA25" s="107" t="str">
        <f ca="1"/>
        <v>Seesaws</v>
      </c>
      <c r="AB25" s="107" t="str">
        <f ca="1"/>
        <v>Springers / rockers</v>
      </c>
      <c r="AC25" s="107" t="str">
        <f ca="1"/>
        <v>Ground trampolines</v>
      </c>
      <c r="AD25" s="107" t="str">
        <f ca="1"/>
        <v>Sand play area</v>
      </c>
      <c r="AE25" s="107" t="str">
        <f ca="1"/>
        <v>Mud kitchen</v>
      </c>
      <c r="AF25" s="107" t="str">
        <f ca="1"/>
        <v>Den building area</v>
      </c>
      <c r="AG25" s="107" t="str">
        <f ca="1"/>
        <v>Log balance trail</v>
      </c>
      <c r="AH25" s="107" t="str">
        <f ca="1"/>
        <v>Natural boulders</v>
      </c>
      <c r="AI25" s="107" t="str">
        <f ca="1"/>
        <v>Stream or water channel</v>
      </c>
      <c r="AJ25" s="107" t="str">
        <f ca="1"/>
        <v>Wooded setting</v>
      </c>
      <c r="AK25" s="107" t="str">
        <f ca="1"/>
        <v>Open grass / running space</v>
      </c>
      <c r="AL25" s="107" t="str">
        <f ca="1"/>
        <v>Bowl</v>
      </c>
      <c r="AM25" s="107" t="str">
        <f ca="1"/>
        <v>Quarter pipes</v>
      </c>
      <c r="AN25" s="107" t="str">
        <f ca="1"/>
        <v>Street skating features</v>
      </c>
      <c r="AO25" s="107" t="str">
        <f ca="1"/>
        <v>Pump track</v>
      </c>
      <c r="AP25" s="107" t="str">
        <f ca="1"/>
        <v>BMX track</v>
      </c>
      <c r="AQ25" s="107" t="str">
        <f ca="1"/>
        <v>Dirt jumps</v>
      </c>
      <c r="AR25" s="107" t="str">
        <f ca="1"/>
        <v>Wheelchair accessible equipment</v>
      </c>
      <c r="AS25" s="107" t="str">
        <f ca="1"/>
        <v>Inclusive swings</v>
      </c>
      <c r="AT25" s="107" t="str">
        <f ca="1"/>
        <v>Sensory play features</v>
      </c>
    </row>
    <row r="26" spans="1:46">
      <c r="A26" s="107" t="str" cm="1">
        <f t="array" aca="1" ref="A26:AE26" ca="1">TRANSPOSE(INDIRECT(_xlfn.SWITCH(Venues!B26,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26" s="107" t="str">
        <f ca="1"/>
        <v>Seaweed beds</v>
      </c>
      <c r="C26" s="107" t="str">
        <f ca="1"/>
        <v>Shell or seaglass collecting</v>
      </c>
      <c r="D26" s="107" t="str">
        <f ca="1"/>
        <v>Fossil Hunting</v>
      </c>
      <c r="E26" s="107" t="str">
        <f ca="1"/>
        <v>Crabbing</v>
      </c>
      <c r="F26" s="107" t="str">
        <f ca="1"/>
        <v>Diggable sand (Sandcastles)</v>
      </c>
      <c r="G26" s="107" t="str">
        <f ca="1"/>
        <v>Smooth pebbles</v>
      </c>
      <c r="H26" s="107" t="str">
        <f ca="1"/>
        <v>Shallow paddling</v>
      </c>
      <c r="I26" s="107" t="str">
        <f ca="1"/>
        <v>Streams or channels</v>
      </c>
      <c r="J26" s="107" t="str">
        <f ca="1"/>
        <v>Coves &amp; inlets</v>
      </c>
      <c r="K26" s="107" t="str">
        <f ca="1"/>
        <v>Rock formations</v>
      </c>
      <c r="L26" s="107" t="str">
        <f ca="1"/>
        <v>Cliffs Or Headlands</v>
      </c>
      <c r="M26" s="107" t="str">
        <f ca="1"/>
        <v>Caves</v>
      </c>
      <c r="N26" s="107" t="str">
        <f ca="1"/>
        <v>Sand dunes</v>
      </c>
      <c r="O26" s="107" t="str">
        <f ca="1"/>
        <v>Estuary edges</v>
      </c>
      <c r="P26" s="107" t="str">
        <f ca="1"/>
        <v>Coastal Wildlife</v>
      </c>
      <c r="Q26" s="107" t="str">
        <f ca="1"/>
        <v>Equipment Hire</v>
      </c>
      <c r="R26" s="107" t="str">
        <f ca="1"/>
        <v>Watersports Lessons</v>
      </c>
      <c r="S26" s="107" t="str">
        <f ca="1"/>
        <v>Surfing</v>
      </c>
      <c r="T26" s="107" t="str">
        <f ca="1"/>
        <v>Bodyboarding</v>
      </c>
      <c r="U26" s="107" t="str">
        <f ca="1"/>
        <v>Swimming</v>
      </c>
      <c r="V26" s="107" t="str">
        <f ca="1"/>
        <v>Kayaking / SUP</v>
      </c>
      <c r="W26" s="107" t="str">
        <f ca="1"/>
        <v>Slipway</v>
      </c>
      <c r="X26" s="107" t="str">
        <f ca="1"/>
        <v>Harbour</v>
      </c>
      <c r="Y26" s="107" t="str">
        <f ca="1"/>
        <v>Seasonally Lifeguarded</v>
      </c>
      <c r="Z26" s="107" t="str">
        <f ca="1"/>
        <v>Dog Friendly - seasonal leads</v>
      </c>
      <c r="AA26" s="107" t="str">
        <f ca="1"/>
        <v>Dog Friendly - off lead all year</v>
      </c>
      <c r="AB26" s="107" t="str">
        <f ca="1"/>
        <v>Boat trips nearby</v>
      </c>
      <c r="AC26" s="107" t="str">
        <f ca="1"/>
        <v>Toilets nearby</v>
      </c>
      <c r="AD26" s="107" t="str">
        <f ca="1"/>
        <v>Beach Cafe</v>
      </c>
      <c r="AE26" s="107" t="str">
        <f ca="1"/>
        <v>Promenade</v>
      </c>
    </row>
    <row r="27" spans="1:46">
      <c r="A27" s="107" t="str" cm="1">
        <f t="array" aca="1" ref="A27:X27" ca="1">TRANSPOSE(INDIRECT(_xlfn.SWITCH(Venues!B27,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Hands-on Petting</v>
      </c>
      <c r="B27" s="107" t="str">
        <f ca="1"/>
        <v>Animal feeding</v>
      </c>
      <c r="C27" s="107" t="str">
        <f ca="1"/>
        <v>Close-up viewing</v>
      </c>
      <c r="D27" s="107" t="str">
        <f ca="1"/>
        <v>Keeper talks</v>
      </c>
      <c r="E27" s="107" t="str">
        <f ca="1"/>
        <v>Animal Experience Day</v>
      </c>
      <c r="F27" s="107" t="str">
        <f ca="1"/>
        <v>Trekking, rides or hacking</v>
      </c>
      <c r="G27" s="107" t="str">
        <f ca="1"/>
        <v>Guided walks</v>
      </c>
      <c r="H27" s="107" t="str">
        <f ca="1"/>
        <v>Animal husbandry</v>
      </c>
      <c r="I27" s="107" t="str">
        <f ca="1"/>
        <v>Tractor rides</v>
      </c>
      <c r="J27" s="107" t="str">
        <f ca="1"/>
        <v>Animal races</v>
      </c>
      <c r="K27" s="107" t="str">
        <f ca="1"/>
        <v>Animal displays or shows</v>
      </c>
      <c r="L27" s="107" t="str">
        <f ca="1"/>
        <v>Drive-through Safari</v>
      </c>
      <c r="M27" s="107" t="str">
        <f ca="1"/>
        <v>Litter Farmer Experiences</v>
      </c>
      <c r="N27" s="107" t="str">
        <f ca="1"/>
        <v>Multiple species</v>
      </c>
      <c r="O27" s="107" t="str">
        <f ca="1"/>
        <v>Rare or exotic animals</v>
      </c>
      <c r="P27" s="107" t="str">
        <f ca="1"/>
        <v>Animal Sanctuary</v>
      </c>
      <c r="Q27" s="107" t="str">
        <f ca="1"/>
        <v>Conservation</v>
      </c>
      <c r="R27" s="107" t="str">
        <f ca="1"/>
        <v>Baby animals (seasonal)</v>
      </c>
      <c r="S27" s="107" t="str">
        <f ca="1"/>
        <v>Walk-through enclosures</v>
      </c>
      <c r="T27" s="107" t="str">
        <f ca="1"/>
        <v>Rides or Treks</v>
      </c>
      <c r="U27" s="107" t="str">
        <f ca="1"/>
        <v>Outdoor animal areas</v>
      </c>
      <c r="V27" s="107" t="str">
        <f ca="1"/>
        <v>Marked Trails</v>
      </c>
      <c r="W27" s="107" t="str">
        <f ca="1"/>
        <v>Children’s Activity Trails</v>
      </c>
      <c r="X27" s="107" t="str">
        <f ca="1"/>
        <v>Farm-based activities (e.g. egg collecting)</v>
      </c>
    </row>
    <row r="28" spans="1:46">
      <c r="A28" s="107" t="str" cm="1">
        <f t="array" aca="1" ref="A28:J28" ca="1">TRANSPOSE(INDIRECT(_xlfn.SWITCH(Venues!B28,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28" s="107" t="str">
        <f ca="1"/>
        <v>Toy corner or play table</v>
      </c>
      <c r="C28" s="107" t="str">
        <f ca="1"/>
        <v>Puzzles or games</v>
      </c>
      <c r="D28" s="107" t="str">
        <f ca="1"/>
        <v>Colouring</v>
      </c>
      <c r="E28" s="107" t="str">
        <f ca="1"/>
        <v>Space to run around</v>
      </c>
      <c r="F28" s="107" t="str">
        <f ca="1"/>
        <v>Outdoor play area nearby</v>
      </c>
      <c r="G28" s="107" t="str">
        <f ca="1"/>
        <v>Farm animals nearby</v>
      </c>
      <c r="H28" s="107" t="str">
        <f ca="1"/>
        <v>Shop or browsing area (e.g. farm shop, garden centre)</v>
      </c>
      <c r="I28" s="107" t="str">
        <f ca="1"/>
        <v>Combined with a walk or attraction</v>
      </c>
      <c r="J28" s="107" t="str">
        <f ca="1"/>
        <v>Book swap or exchange library</v>
      </c>
    </row>
    <row r="29" spans="1:46">
      <c r="A29" s="107" t="str" cm="1">
        <f t="array" aca="1" ref="A29:AE29" ca="1">TRANSPOSE(INDIRECT(_xlfn.SWITCH(Venues!B29,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29" s="107" t="str">
        <f ca="1"/>
        <v>Seaweed beds</v>
      </c>
      <c r="C29" s="107" t="str">
        <f ca="1"/>
        <v>Shell or seaglass collecting</v>
      </c>
      <c r="D29" s="107" t="str">
        <f ca="1"/>
        <v>Fossil Hunting</v>
      </c>
      <c r="E29" s="107" t="str">
        <f ca="1"/>
        <v>Crabbing</v>
      </c>
      <c r="F29" s="107" t="str">
        <f ca="1"/>
        <v>Diggable sand (Sandcastles)</v>
      </c>
      <c r="G29" s="107" t="str">
        <f ca="1"/>
        <v>Smooth pebbles</v>
      </c>
      <c r="H29" s="107" t="str">
        <f ca="1"/>
        <v>Shallow paddling</v>
      </c>
      <c r="I29" s="107" t="str">
        <f ca="1"/>
        <v>Streams or channels</v>
      </c>
      <c r="J29" s="107" t="str">
        <f ca="1"/>
        <v>Coves &amp; inlets</v>
      </c>
      <c r="K29" s="107" t="str">
        <f ca="1"/>
        <v>Rock formations</v>
      </c>
      <c r="L29" s="107" t="str">
        <f ca="1"/>
        <v>Cliffs Or Headlands</v>
      </c>
      <c r="M29" s="107" t="str">
        <f ca="1"/>
        <v>Caves</v>
      </c>
      <c r="N29" s="107" t="str">
        <f ca="1"/>
        <v>Sand dunes</v>
      </c>
      <c r="O29" s="107" t="str">
        <f ca="1"/>
        <v>Estuary edges</v>
      </c>
      <c r="P29" s="107" t="str">
        <f ca="1"/>
        <v>Coastal Wildlife</v>
      </c>
      <c r="Q29" s="107" t="str">
        <f ca="1"/>
        <v>Equipment Hire</v>
      </c>
      <c r="R29" s="107" t="str">
        <f ca="1"/>
        <v>Watersports Lessons</v>
      </c>
      <c r="S29" s="107" t="str">
        <f ca="1"/>
        <v>Surfing</v>
      </c>
      <c r="T29" s="107" t="str">
        <f ca="1"/>
        <v>Bodyboarding</v>
      </c>
      <c r="U29" s="107" t="str">
        <f ca="1"/>
        <v>Swimming</v>
      </c>
      <c r="V29" s="107" t="str">
        <f ca="1"/>
        <v>Kayaking / SUP</v>
      </c>
      <c r="W29" s="107" t="str">
        <f ca="1"/>
        <v>Slipway</v>
      </c>
      <c r="X29" s="107" t="str">
        <f ca="1"/>
        <v>Harbour</v>
      </c>
      <c r="Y29" s="107" t="str">
        <f ca="1"/>
        <v>Seasonally Lifeguarded</v>
      </c>
      <c r="Z29" s="107" t="str">
        <f ca="1"/>
        <v>Dog Friendly - seasonal leads</v>
      </c>
      <c r="AA29" s="107" t="str">
        <f ca="1"/>
        <v>Dog Friendly - off lead all year</v>
      </c>
      <c r="AB29" s="107" t="str">
        <f ca="1"/>
        <v>Boat trips nearby</v>
      </c>
      <c r="AC29" s="107" t="str">
        <f ca="1"/>
        <v>Toilets nearby</v>
      </c>
      <c r="AD29" s="107" t="str">
        <f ca="1"/>
        <v>Beach Cafe</v>
      </c>
      <c r="AE29" s="107" t="str">
        <f ca="1"/>
        <v>Promenade</v>
      </c>
    </row>
    <row r="30" spans="1:46">
      <c r="A30" s="107" t="str" cm="1">
        <f t="array" aca="1" ref="A30:AT30" ca="1">TRANSPOSE(INDIRECT(_xlfn.SWITCH(Venues!B30,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30" s="107" t="str">
        <f ca="1"/>
        <v>Climbing frames</v>
      </c>
      <c r="C30" s="107" t="str">
        <f ca="1"/>
        <v>Balance elements</v>
      </c>
      <c r="D30" s="107" t="str">
        <f ca="1"/>
        <v>Scramble nets</v>
      </c>
      <c r="E30" s="107" t="str">
        <f ca="1"/>
        <v>Stepping obstacles</v>
      </c>
      <c r="F30" s="107" t="str">
        <f ca="1"/>
        <v>Towers and platforms</v>
      </c>
      <c r="G30" s="107" t="str">
        <f ca="1"/>
        <v xml:space="preserve">Slides </v>
      </c>
      <c r="H30" s="107" t="str">
        <f ca="1"/>
        <v>Zip wires</v>
      </c>
      <c r="I30" s="107" t="str">
        <f ca="1"/>
        <v>Fireman's poles</v>
      </c>
      <c r="J30" s="107" t="str">
        <f ca="1"/>
        <v>Ropes &amp; aerial adventures</v>
      </c>
      <c r="K30" s="107" t="str">
        <f ca="1"/>
        <v>Climbing rocks or bouldering</v>
      </c>
      <c r="L30" s="107" t="str">
        <f ca="1"/>
        <v>Climbing wall</v>
      </c>
      <c r="M30" s="107" t="str">
        <f ca="1"/>
        <v>Rope swings</v>
      </c>
      <c r="N30" s="107" t="str">
        <f ca="1"/>
        <v>Abseiling or high ropes</v>
      </c>
      <c r="O30" s="107" t="str">
        <f ca="1"/>
        <v>Fort-style structures</v>
      </c>
      <c r="P30" s="107" t="str">
        <f ca="1"/>
        <v>Lookout points</v>
      </c>
      <c r="Q30" s="107" t="str">
        <f ca="1"/>
        <v>Tunnels and crawl spaces</v>
      </c>
      <c r="R30" s="107" t="str">
        <f ca="1"/>
        <v>Obstacle courses</v>
      </c>
      <c r="S30" s="107" t="str">
        <f ca="1"/>
        <v>Mixed-difficulty zones</v>
      </c>
      <c r="T30" s="107" t="str">
        <f ca="1"/>
        <v>Enclosed adventure zones</v>
      </c>
      <c r="U30" s="107" t="str">
        <f ca="1"/>
        <v>Clear sightlines for adults</v>
      </c>
      <c r="V30" s="107" t="str">
        <f ca="1"/>
        <v>Orienteering</v>
      </c>
      <c r="W30" s="107" t="str">
        <f ca="1"/>
        <v>Water play features</v>
      </c>
      <c r="X30" s="107" t="str">
        <f ca="1"/>
        <v>Swings</v>
      </c>
      <c r="Y30" s="107" t="str">
        <f ca="1"/>
        <v>Basket / nest swings</v>
      </c>
      <c r="Z30" s="107" t="str">
        <f ca="1"/>
        <v>Roundabouts</v>
      </c>
      <c r="AA30" s="107" t="str">
        <f ca="1"/>
        <v>Seesaws</v>
      </c>
      <c r="AB30" s="107" t="str">
        <f ca="1"/>
        <v>Springers / rockers</v>
      </c>
      <c r="AC30" s="107" t="str">
        <f ca="1"/>
        <v>Ground trampolines</v>
      </c>
      <c r="AD30" s="107" t="str">
        <f ca="1"/>
        <v>Sand play area</v>
      </c>
      <c r="AE30" s="107" t="str">
        <f ca="1"/>
        <v>Mud kitchen</v>
      </c>
      <c r="AF30" s="107" t="str">
        <f ca="1"/>
        <v>Den building area</v>
      </c>
      <c r="AG30" s="107" t="str">
        <f ca="1"/>
        <v>Log balance trail</v>
      </c>
      <c r="AH30" s="107" t="str">
        <f ca="1"/>
        <v>Natural boulders</v>
      </c>
      <c r="AI30" s="107" t="str">
        <f ca="1"/>
        <v>Stream or water channel</v>
      </c>
      <c r="AJ30" s="107" t="str">
        <f ca="1"/>
        <v>Wooded setting</v>
      </c>
      <c r="AK30" s="107" t="str">
        <f ca="1"/>
        <v>Open grass / running space</v>
      </c>
      <c r="AL30" s="107" t="str">
        <f ca="1"/>
        <v>Bowl</v>
      </c>
      <c r="AM30" s="107" t="str">
        <f ca="1"/>
        <v>Quarter pipes</v>
      </c>
      <c r="AN30" s="107" t="str">
        <f ca="1"/>
        <v>Street skating features</v>
      </c>
      <c r="AO30" s="107" t="str">
        <f ca="1"/>
        <v>Pump track</v>
      </c>
      <c r="AP30" s="107" t="str">
        <f ca="1"/>
        <v>BMX track</v>
      </c>
      <c r="AQ30" s="107" t="str">
        <f ca="1"/>
        <v>Dirt jumps</v>
      </c>
      <c r="AR30" s="107" t="str">
        <f ca="1"/>
        <v>Wheelchair accessible equipment</v>
      </c>
      <c r="AS30" s="107" t="str">
        <f ca="1"/>
        <v>Inclusive swings</v>
      </c>
      <c r="AT30" s="107" t="str">
        <f ca="1"/>
        <v>Sensory play features</v>
      </c>
    </row>
    <row r="31" spans="1:46">
      <c r="A31" s="107" t="str" cm="1">
        <f t="array" aca="1" ref="A31:V31" ca="1">TRANSPOSE(INDIRECT(_xlfn.SWITCH(Venues!B31,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31" s="107" t="str">
        <f ca="1"/>
        <v>Seasonal foliage</v>
      </c>
      <c r="C31" s="107" t="str">
        <f ca="1"/>
        <v>Seasonal or curated displays</v>
      </c>
      <c r="D31" s="107" t="str">
        <f ca="1"/>
        <v>Water Features or Fountains</v>
      </c>
      <c r="E31" s="107" t="str">
        <f ca="1"/>
        <v>Meadows &amp; wild grass</v>
      </c>
      <c r="F31" s="107" t="str">
        <f ca="1"/>
        <v>Lakes or wildlife ponds</v>
      </c>
      <c r="G31" s="107" t="str">
        <f ca="1"/>
        <v>Room to run freely</v>
      </c>
      <c r="H31" s="107" t="str">
        <f ca="1"/>
        <v>Open sightlines</v>
      </c>
      <c r="I31" s="107" t="str">
        <f ca="1"/>
        <v>Vegetable gardens &amp; growing spaces</v>
      </c>
      <c r="J31" s="107" t="str">
        <f ca="1"/>
        <v>Meandering paths</v>
      </c>
      <c r="K31" s="107" t="str">
        <f ca="1"/>
        <v>Hidden corners, passageways, gates &amp; gardens</v>
      </c>
      <c r="L31" s="107" t="str">
        <f ca="1"/>
        <v>Garden “rooms”</v>
      </c>
      <c r="M31" s="107" t="str">
        <f ca="1"/>
        <v>Bug hotels, discovery boards</v>
      </c>
      <c r="N31" s="107" t="str">
        <f ca="1"/>
        <v>Bird Hydes &amp; Viewing Platforms</v>
      </c>
      <c r="O31" s="107" t="str">
        <f ca="1"/>
        <v>Marked Trails</v>
      </c>
      <c r="P31" s="107" t="str">
        <f ca="1"/>
        <v>Children’s Activity Trails</v>
      </c>
      <c r="Q31" s="107" t="str">
        <f ca="1"/>
        <v>Historic features</v>
      </c>
      <c r="R31" s="107" t="str">
        <f ca="1"/>
        <v>Statues &amp; sculptures</v>
      </c>
      <c r="S31" s="107" t="str">
        <f ca="1"/>
        <v>Maze</v>
      </c>
      <c r="T31" s="107" t="str">
        <f ca="1"/>
        <v>Greenhouses &amp; tropical plants</v>
      </c>
      <c r="U31" s="107" t="str">
        <f ca="1"/>
        <v>Biomes &amp; unusual environments</v>
      </c>
      <c r="V31" s="107" t="str">
        <f ca="1"/>
        <v>Conservation displays or learning</v>
      </c>
    </row>
    <row r="32" spans="1:46">
      <c r="A32" s="107" t="str" cm="1">
        <f t="array" aca="1" ref="A32:V32" ca="1">TRANSPOSE(INDIRECT(_xlfn.SWITCH(Venues!B32,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32" s="107" t="str">
        <f ca="1"/>
        <v>Seasonal foliage</v>
      </c>
      <c r="C32" s="107" t="str">
        <f ca="1"/>
        <v>Seasonal or curated displays</v>
      </c>
      <c r="D32" s="107" t="str">
        <f ca="1"/>
        <v>Water Features or Fountains</v>
      </c>
      <c r="E32" s="107" t="str">
        <f ca="1"/>
        <v>Meadows &amp; wild grass</v>
      </c>
      <c r="F32" s="107" t="str">
        <f ca="1"/>
        <v>Lakes or wildlife ponds</v>
      </c>
      <c r="G32" s="107" t="str">
        <f ca="1"/>
        <v>Room to run freely</v>
      </c>
      <c r="H32" s="107" t="str">
        <f ca="1"/>
        <v>Open sightlines</v>
      </c>
      <c r="I32" s="107" t="str">
        <f ca="1"/>
        <v>Vegetable gardens &amp; growing spaces</v>
      </c>
      <c r="J32" s="107" t="str">
        <f ca="1"/>
        <v>Meandering paths</v>
      </c>
      <c r="K32" s="107" t="str">
        <f ca="1"/>
        <v>Hidden corners, passageways, gates &amp; gardens</v>
      </c>
      <c r="L32" s="107" t="str">
        <f ca="1"/>
        <v>Garden “rooms”</v>
      </c>
      <c r="M32" s="107" t="str">
        <f ca="1"/>
        <v>Bug hotels, discovery boards</v>
      </c>
      <c r="N32" s="107" t="str">
        <f ca="1"/>
        <v>Bird Hydes &amp; Viewing Platforms</v>
      </c>
      <c r="O32" s="107" t="str">
        <f ca="1"/>
        <v>Marked Trails</v>
      </c>
      <c r="P32" s="107" t="str">
        <f ca="1"/>
        <v>Children’s Activity Trails</v>
      </c>
      <c r="Q32" s="107" t="str">
        <f ca="1"/>
        <v>Historic features</v>
      </c>
      <c r="R32" s="107" t="str">
        <f ca="1"/>
        <v>Statues &amp; sculptures</v>
      </c>
      <c r="S32" s="107" t="str">
        <f ca="1"/>
        <v>Maze</v>
      </c>
      <c r="T32" s="107" t="str">
        <f ca="1"/>
        <v>Greenhouses &amp; tropical plants</v>
      </c>
      <c r="U32" s="107" t="str">
        <f ca="1"/>
        <v>Biomes &amp; unusual environments</v>
      </c>
      <c r="V32" s="107" t="str">
        <f ca="1"/>
        <v>Conservation displays or learning</v>
      </c>
    </row>
    <row r="33" spans="1:46">
      <c r="A33" s="107" t="str" cm="1">
        <f t="array" aca="1" ref="A33:AT33" ca="1">TRANSPOSE(INDIRECT(_xlfn.SWITCH(Venues!B33,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33" s="107" t="str">
        <f ca="1"/>
        <v>Climbing frames</v>
      </c>
      <c r="C33" s="107" t="str">
        <f ca="1"/>
        <v>Balance elements</v>
      </c>
      <c r="D33" s="107" t="str">
        <f ca="1"/>
        <v>Scramble nets</v>
      </c>
      <c r="E33" s="107" t="str">
        <f ca="1"/>
        <v>Stepping obstacles</v>
      </c>
      <c r="F33" s="107" t="str">
        <f ca="1"/>
        <v>Towers and platforms</v>
      </c>
      <c r="G33" s="107" t="str">
        <f ca="1"/>
        <v xml:space="preserve">Slides </v>
      </c>
      <c r="H33" s="107" t="str">
        <f ca="1"/>
        <v>Zip wires</v>
      </c>
      <c r="I33" s="107" t="str">
        <f ca="1"/>
        <v>Fireman's poles</v>
      </c>
      <c r="J33" s="107" t="str">
        <f ca="1"/>
        <v>Ropes &amp; aerial adventures</v>
      </c>
      <c r="K33" s="107" t="str">
        <f ca="1"/>
        <v>Climbing rocks or bouldering</v>
      </c>
      <c r="L33" s="107" t="str">
        <f ca="1"/>
        <v>Climbing wall</v>
      </c>
      <c r="M33" s="107" t="str">
        <f ca="1"/>
        <v>Rope swings</v>
      </c>
      <c r="N33" s="107" t="str">
        <f ca="1"/>
        <v>Abseiling or high ropes</v>
      </c>
      <c r="O33" s="107" t="str">
        <f ca="1"/>
        <v>Fort-style structures</v>
      </c>
      <c r="P33" s="107" t="str">
        <f ca="1"/>
        <v>Lookout points</v>
      </c>
      <c r="Q33" s="107" t="str">
        <f ca="1"/>
        <v>Tunnels and crawl spaces</v>
      </c>
      <c r="R33" s="107" t="str">
        <f ca="1"/>
        <v>Obstacle courses</v>
      </c>
      <c r="S33" s="107" t="str">
        <f ca="1"/>
        <v>Mixed-difficulty zones</v>
      </c>
      <c r="T33" s="107" t="str">
        <f ca="1"/>
        <v>Enclosed adventure zones</v>
      </c>
      <c r="U33" s="107" t="str">
        <f ca="1"/>
        <v>Clear sightlines for adults</v>
      </c>
      <c r="V33" s="107" t="str">
        <f ca="1"/>
        <v>Orienteering</v>
      </c>
      <c r="W33" s="107" t="str">
        <f ca="1"/>
        <v>Water play features</v>
      </c>
      <c r="X33" s="107" t="str">
        <f ca="1"/>
        <v>Swings</v>
      </c>
      <c r="Y33" s="107" t="str">
        <f ca="1"/>
        <v>Basket / nest swings</v>
      </c>
      <c r="Z33" s="107" t="str">
        <f ca="1"/>
        <v>Roundabouts</v>
      </c>
      <c r="AA33" s="107" t="str">
        <f ca="1"/>
        <v>Seesaws</v>
      </c>
      <c r="AB33" s="107" t="str">
        <f ca="1"/>
        <v>Springers / rockers</v>
      </c>
      <c r="AC33" s="107" t="str">
        <f ca="1"/>
        <v>Ground trampolines</v>
      </c>
      <c r="AD33" s="107" t="str">
        <f ca="1"/>
        <v>Sand play area</v>
      </c>
      <c r="AE33" s="107" t="str">
        <f ca="1"/>
        <v>Mud kitchen</v>
      </c>
      <c r="AF33" s="107" t="str">
        <f ca="1"/>
        <v>Den building area</v>
      </c>
      <c r="AG33" s="107" t="str">
        <f ca="1"/>
        <v>Log balance trail</v>
      </c>
      <c r="AH33" s="107" t="str">
        <f ca="1"/>
        <v>Natural boulders</v>
      </c>
      <c r="AI33" s="107" t="str">
        <f ca="1"/>
        <v>Stream or water channel</v>
      </c>
      <c r="AJ33" s="107" t="str">
        <f ca="1"/>
        <v>Wooded setting</v>
      </c>
      <c r="AK33" s="107" t="str">
        <f ca="1"/>
        <v>Open grass / running space</v>
      </c>
      <c r="AL33" s="107" t="str">
        <f ca="1"/>
        <v>Bowl</v>
      </c>
      <c r="AM33" s="107" t="str">
        <f ca="1"/>
        <v>Quarter pipes</v>
      </c>
      <c r="AN33" s="107" t="str">
        <f ca="1"/>
        <v>Street skating features</v>
      </c>
      <c r="AO33" s="107" t="str">
        <f ca="1"/>
        <v>Pump track</v>
      </c>
      <c r="AP33" s="107" t="str">
        <f ca="1"/>
        <v>BMX track</v>
      </c>
      <c r="AQ33" s="107" t="str">
        <f ca="1"/>
        <v>Dirt jumps</v>
      </c>
      <c r="AR33" s="107" t="str">
        <f ca="1"/>
        <v>Wheelchair accessible equipment</v>
      </c>
      <c r="AS33" s="107" t="str">
        <f ca="1"/>
        <v>Inclusive swings</v>
      </c>
      <c r="AT33" s="107" t="str">
        <f ca="1"/>
        <v>Sensory play features</v>
      </c>
    </row>
    <row r="34" spans="1:46">
      <c r="A34" s="107" t="str" cm="1">
        <f t="array" aca="1" ref="A34:J34" ca="1">TRANSPOSE(INDIRECT(_xlfn.SWITCH(Venues!B34,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34" s="107" t="str">
        <f ca="1"/>
        <v>Toy corner or play table</v>
      </c>
      <c r="C34" s="107" t="str">
        <f ca="1"/>
        <v>Puzzles or games</v>
      </c>
      <c r="D34" s="107" t="str">
        <f ca="1"/>
        <v>Colouring</v>
      </c>
      <c r="E34" s="107" t="str">
        <f ca="1"/>
        <v>Space to run around</v>
      </c>
      <c r="F34" s="107" t="str">
        <f ca="1"/>
        <v>Outdoor play area nearby</v>
      </c>
      <c r="G34" s="107" t="str">
        <f ca="1"/>
        <v>Farm animals nearby</v>
      </c>
      <c r="H34" s="107" t="str">
        <f ca="1"/>
        <v>Shop or browsing area (e.g. farm shop, garden centre)</v>
      </c>
      <c r="I34" s="107" t="str">
        <f ca="1"/>
        <v>Combined with a walk or attraction</v>
      </c>
      <c r="J34" s="107" t="str">
        <f ca="1"/>
        <v>Book swap or exchange library</v>
      </c>
    </row>
    <row r="35" spans="1:46">
      <c r="A35" s="107" t="str" cm="1">
        <f t="array" aca="1" ref="A35:R35" ca="1">TRANSPOSE(INDIRECT(_xlfn.SWITCH(Venues!B35,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Traffic-free sections</v>
      </c>
      <c r="B35" s="107" t="str">
        <f ca="1"/>
        <v>Wide pathways</v>
      </c>
      <c r="C35" s="107" t="str">
        <f ca="1"/>
        <v>Clear sightlines</v>
      </c>
      <c r="D35" s="107" t="str">
        <f ca="1"/>
        <v>Riverside stretches</v>
      </c>
      <c r="E35" s="107" t="str">
        <f ca="1"/>
        <v>Canal views</v>
      </c>
      <c r="F35" s="107" t="str">
        <f ca="1"/>
        <v>Parkland surroundings</v>
      </c>
      <c r="G35" s="107" t="str">
        <f ca="1"/>
        <v>Coastal promenades</v>
      </c>
      <c r="H35" s="107" t="str">
        <f ca="1"/>
        <v>Bridges and landmarks</v>
      </c>
      <c r="I35" s="107" t="str">
        <f ca="1"/>
        <v>Natural jumps, ramps or fun features</v>
      </c>
      <c r="J35" s="107" t="str">
        <f ca="1"/>
        <v>Scooter-friendly</v>
      </c>
      <c r="K35" s="107" t="str">
        <f ca="1"/>
        <v>High-adrenaline routes, jumps or terrain</v>
      </c>
      <c r="L35" s="107" t="str">
        <f ca="1"/>
        <v>Points of interest along the way</v>
      </c>
      <c r="M35" s="107" t="str">
        <f ca="1"/>
        <v>Play areas en route</v>
      </c>
      <c r="N35" s="107" t="str">
        <f ca="1"/>
        <v>Stops for snacks or picnics</v>
      </c>
      <c r="O35" s="107" t="str">
        <f ca="1"/>
        <v>Short loops</v>
      </c>
      <c r="P35" s="107" t="str">
        <f ca="1"/>
        <v>Multiple access points</v>
      </c>
      <c r="Q35" s="107" t="str">
        <f ca="1"/>
        <v>Easy parking nearby</v>
      </c>
      <c r="R35" s="107" t="str">
        <f ca="1"/>
        <v>Cafés or facilities along the route</v>
      </c>
    </row>
    <row r="36" spans="1:46">
      <c r="A36" s="107" t="str" cm="1">
        <f t="array" aca="1" ref="A36:AE36" ca="1">TRANSPOSE(INDIRECT(_xlfn.SWITCH(Venues!B36,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36" s="107" t="str">
        <f ca="1"/>
        <v>Seaweed beds</v>
      </c>
      <c r="C36" s="107" t="str">
        <f ca="1"/>
        <v>Shell or seaglass collecting</v>
      </c>
      <c r="D36" s="107" t="str">
        <f ca="1"/>
        <v>Fossil Hunting</v>
      </c>
      <c r="E36" s="107" t="str">
        <f ca="1"/>
        <v>Crabbing</v>
      </c>
      <c r="F36" s="107" t="str">
        <f ca="1"/>
        <v>Diggable sand (Sandcastles)</v>
      </c>
      <c r="G36" s="107" t="str">
        <f ca="1"/>
        <v>Smooth pebbles</v>
      </c>
      <c r="H36" s="107" t="str">
        <f ca="1"/>
        <v>Shallow paddling</v>
      </c>
      <c r="I36" s="107" t="str">
        <f ca="1"/>
        <v>Streams or channels</v>
      </c>
      <c r="J36" s="107" t="str">
        <f ca="1"/>
        <v>Coves &amp; inlets</v>
      </c>
      <c r="K36" s="107" t="str">
        <f ca="1"/>
        <v>Rock formations</v>
      </c>
      <c r="L36" s="107" t="str">
        <f ca="1"/>
        <v>Cliffs Or Headlands</v>
      </c>
      <c r="M36" s="107" t="str">
        <f ca="1"/>
        <v>Caves</v>
      </c>
      <c r="N36" s="107" t="str">
        <f ca="1"/>
        <v>Sand dunes</v>
      </c>
      <c r="O36" s="107" t="str">
        <f ca="1"/>
        <v>Estuary edges</v>
      </c>
      <c r="P36" s="107" t="str">
        <f ca="1"/>
        <v>Coastal Wildlife</v>
      </c>
      <c r="Q36" s="107" t="str">
        <f ca="1"/>
        <v>Equipment Hire</v>
      </c>
      <c r="R36" s="107" t="str">
        <f ca="1"/>
        <v>Watersports Lessons</v>
      </c>
      <c r="S36" s="107" t="str">
        <f ca="1"/>
        <v>Surfing</v>
      </c>
      <c r="T36" s="107" t="str">
        <f ca="1"/>
        <v>Bodyboarding</v>
      </c>
      <c r="U36" s="107" t="str">
        <f ca="1"/>
        <v>Swimming</v>
      </c>
      <c r="V36" s="107" t="str">
        <f ca="1"/>
        <v>Kayaking / SUP</v>
      </c>
      <c r="W36" s="107" t="str">
        <f ca="1"/>
        <v>Slipway</v>
      </c>
      <c r="X36" s="107" t="str">
        <f ca="1"/>
        <v>Harbour</v>
      </c>
      <c r="Y36" s="107" t="str">
        <f ca="1"/>
        <v>Seasonally Lifeguarded</v>
      </c>
      <c r="Z36" s="107" t="str">
        <f ca="1"/>
        <v>Dog Friendly - seasonal leads</v>
      </c>
      <c r="AA36" s="107" t="str">
        <f ca="1"/>
        <v>Dog Friendly - off lead all year</v>
      </c>
      <c r="AB36" s="107" t="str">
        <f ca="1"/>
        <v>Boat trips nearby</v>
      </c>
      <c r="AC36" s="107" t="str">
        <f ca="1"/>
        <v>Toilets nearby</v>
      </c>
      <c r="AD36" s="107" t="str">
        <f ca="1"/>
        <v>Beach Cafe</v>
      </c>
      <c r="AE36" s="107" t="str">
        <f ca="1"/>
        <v>Promenade</v>
      </c>
    </row>
    <row r="37" spans="1:46">
      <c r="A37" s="107" t="str" cm="1">
        <f t="array" aca="1" ref="A37:AF37" ca="1">TRANSPOSE(INDIRECT(_xlfn.SWITCH(Venues!B37,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Early access introduction</v>
      </c>
      <c r="B37" s="107" t="str">
        <f ca="1"/>
        <v>Skill progression</v>
      </c>
      <c r="C37" s="107" t="str">
        <f ca="1"/>
        <v>Confidence building</v>
      </c>
      <c r="D37" s="107" t="str">
        <f ca="1"/>
        <v>Coordination &amp; balance</v>
      </c>
      <c r="E37" s="107" t="str">
        <f ca="1"/>
        <v>Strength &amp; agility</v>
      </c>
      <c r="F37" s="107" t="str">
        <f ca="1"/>
        <v>Structured coaching</v>
      </c>
      <c r="G37" s="107" t="str">
        <f ca="1"/>
        <v>Mixed-ability sessions</v>
      </c>
      <c r="H37" s="107" t="str">
        <f ca="1"/>
        <v>Team-based</v>
      </c>
      <c r="I37" s="107" t="str">
        <f ca="1"/>
        <v>Friendly competition</v>
      </c>
      <c r="J37" s="107" t="str">
        <f ca="1"/>
        <v>Non-competitive options</v>
      </c>
      <c r="K37" s="107" t="str">
        <f ca="1"/>
        <v>Indoor sports halls</v>
      </c>
      <c r="L37" s="107" t="str">
        <f ca="1"/>
        <v>Outdoor pitches</v>
      </c>
      <c r="M37" s="107" t="str">
        <f ca="1"/>
        <v>Purpose-built facilities</v>
      </c>
      <c r="N37" s="107" t="str">
        <f ca="1"/>
        <v>Safe enclosed spaces</v>
      </c>
      <c r="O37" s="107" t="str">
        <f ca="1"/>
        <v>All-weather options</v>
      </c>
      <c r="P37" s="107" t="str">
        <f ca="1"/>
        <v>Swimming</v>
      </c>
      <c r="Q37" s="107" t="str">
        <f ca="1"/>
        <v>Sea-sports</v>
      </c>
      <c r="R37" s="107" t="str">
        <f ca="1"/>
        <v>Climbing</v>
      </c>
      <c r="S37" s="107" t="str">
        <f ca="1"/>
        <v>Athletics &amp; Running</v>
      </c>
      <c r="T37" s="107" t="str">
        <f ca="1"/>
        <v>Gymnastics</v>
      </c>
      <c r="U37" s="107" t="str">
        <f ca="1"/>
        <v>Parkour &amp; freerunning</v>
      </c>
      <c r="V37" s="107" t="str">
        <f ca="1"/>
        <v>Racquet sports</v>
      </c>
      <c r="W37" s="107" t="str">
        <f ca="1"/>
        <v>Ninja warrior style courses</v>
      </c>
      <c r="X37" s="107" t="str">
        <f ca="1"/>
        <v>Assault courses</v>
      </c>
      <c r="Y37" s="107" t="str">
        <f ca="1"/>
        <v>Obstacle courses</v>
      </c>
      <c r="Z37" s="107" t="str">
        <f ca="1"/>
        <v>Aerial / high ropes (indoor)</v>
      </c>
      <c r="AA37" s="107" t="str">
        <f ca="1"/>
        <v>Ball Sports</v>
      </c>
      <c r="AB37" s="107" t="str">
        <f ca="1"/>
        <v>Outdoor Fitness</v>
      </c>
      <c r="AC37" s="107" t="str">
        <f ca="1"/>
        <v>Martial Arts</v>
      </c>
      <c r="AD37" s="107" t="str">
        <f ca="1"/>
        <v>Dance &amp; Movement</v>
      </c>
      <c r="AE37" s="107" t="str">
        <f ca="1"/>
        <v>Skateboarding</v>
      </c>
      <c r="AF37" s="107" t="str">
        <f ca="1"/>
        <v>Movement skills training</v>
      </c>
    </row>
    <row r="38" spans="1:46">
      <c r="A38" s="107" t="str" cm="1">
        <f t="array" aca="1" ref="A38:AF38" ca="1">TRANSPOSE(INDIRECT(_xlfn.SWITCH(Venues!B38,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Early access introduction</v>
      </c>
      <c r="B38" s="107" t="str">
        <f ca="1"/>
        <v>Skill progression</v>
      </c>
      <c r="C38" s="107" t="str">
        <f ca="1"/>
        <v>Confidence building</v>
      </c>
      <c r="D38" s="107" t="str">
        <f ca="1"/>
        <v>Coordination &amp; balance</v>
      </c>
      <c r="E38" s="107" t="str">
        <f ca="1"/>
        <v>Strength &amp; agility</v>
      </c>
      <c r="F38" s="107" t="str">
        <f ca="1"/>
        <v>Structured coaching</v>
      </c>
      <c r="G38" s="107" t="str">
        <f ca="1"/>
        <v>Mixed-ability sessions</v>
      </c>
      <c r="H38" s="107" t="str">
        <f ca="1"/>
        <v>Team-based</v>
      </c>
      <c r="I38" s="107" t="str">
        <f ca="1"/>
        <v>Friendly competition</v>
      </c>
      <c r="J38" s="107" t="str">
        <f ca="1"/>
        <v>Non-competitive options</v>
      </c>
      <c r="K38" s="107" t="str">
        <f ca="1"/>
        <v>Indoor sports halls</v>
      </c>
      <c r="L38" s="107" t="str">
        <f ca="1"/>
        <v>Outdoor pitches</v>
      </c>
      <c r="M38" s="107" t="str">
        <f ca="1"/>
        <v>Purpose-built facilities</v>
      </c>
      <c r="N38" s="107" t="str">
        <f ca="1"/>
        <v>Safe enclosed spaces</v>
      </c>
      <c r="O38" s="107" t="str">
        <f ca="1"/>
        <v>All-weather options</v>
      </c>
      <c r="P38" s="107" t="str">
        <f ca="1"/>
        <v>Swimming</v>
      </c>
      <c r="Q38" s="107" t="str">
        <f ca="1"/>
        <v>Sea-sports</v>
      </c>
      <c r="R38" s="107" t="str">
        <f ca="1"/>
        <v>Climbing</v>
      </c>
      <c r="S38" s="107" t="str">
        <f ca="1"/>
        <v>Athletics &amp; Running</v>
      </c>
      <c r="T38" s="107" t="str">
        <f ca="1"/>
        <v>Gymnastics</v>
      </c>
      <c r="U38" s="107" t="str">
        <f ca="1"/>
        <v>Parkour &amp; freerunning</v>
      </c>
      <c r="V38" s="107" t="str">
        <f ca="1"/>
        <v>Racquet sports</v>
      </c>
      <c r="W38" s="107" t="str">
        <f ca="1"/>
        <v>Ninja warrior style courses</v>
      </c>
      <c r="X38" s="107" t="str">
        <f ca="1"/>
        <v>Assault courses</v>
      </c>
      <c r="Y38" s="107" t="str">
        <f ca="1"/>
        <v>Obstacle courses</v>
      </c>
      <c r="Z38" s="107" t="str">
        <f ca="1"/>
        <v>Aerial / high ropes (indoor)</v>
      </c>
      <c r="AA38" s="107" t="str">
        <f ca="1"/>
        <v>Ball Sports</v>
      </c>
      <c r="AB38" s="107" t="str">
        <f ca="1"/>
        <v>Outdoor Fitness</v>
      </c>
      <c r="AC38" s="107" t="str">
        <f ca="1"/>
        <v>Martial Arts</v>
      </c>
      <c r="AD38" s="107" t="str">
        <f ca="1"/>
        <v>Dance &amp; Movement</v>
      </c>
      <c r="AE38" s="107" t="str">
        <f ca="1"/>
        <v>Skateboarding</v>
      </c>
      <c r="AF38" s="107" t="str">
        <f ca="1"/>
        <v>Movement skills training</v>
      </c>
    </row>
    <row r="39" spans="1:46">
      <c r="A39" s="107" t="str" cm="1">
        <f t="array" aca="1" ref="A39:V39" ca="1">TRANSPOSE(INDIRECT(_xlfn.SWITCH(Venues!B39,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Messy, hands-on crafts</v>
      </c>
      <c r="B39" s="107" t="str">
        <f ca="1"/>
        <v>Dance</v>
      </c>
      <c r="C39" s="107" t="str">
        <f ca="1"/>
        <v>Music or singing</v>
      </c>
      <c r="D39" s="107" t="str">
        <f ca="1"/>
        <v>Take-home creations</v>
      </c>
      <c r="E39" s="107" t="str">
        <f ca="1"/>
        <v>Drawing or sketching</v>
      </c>
      <c r="F39" s="107" t="str">
        <f ca="1"/>
        <v>Guided creative sessions</v>
      </c>
      <c r="G39" s="107" t="str">
        <f ca="1"/>
        <v>Drama &amp; Theatre</v>
      </c>
      <c r="H39" s="107" t="str">
        <f ca="1"/>
        <v>Open-ended creativity</v>
      </c>
      <c r="I39" s="107" t="str">
        <f ca="1"/>
        <v>Small group workshops</v>
      </c>
      <c r="J39" s="107" t="str">
        <f ca="1"/>
        <v>Drop-in creative tables</v>
      </c>
      <c r="K39" s="107" t="str">
        <f ca="1"/>
        <v>Pottery, ceramics or clay</v>
      </c>
      <c r="L39" s="107" t="str">
        <f ca="1"/>
        <v>Painting or brushwork</v>
      </c>
      <c r="M39" s="107" t="str">
        <f ca="1"/>
        <v>Needlecraft instruction, lessons or talks</v>
      </c>
      <c r="N39" s="107" t="str">
        <f ca="1"/>
        <v>Storytelling or Creative Writing</v>
      </c>
      <c r="O39" s="107" t="str">
        <f ca="1"/>
        <v>Photography opportunities</v>
      </c>
      <c r="P39" s="107" t="str">
        <f ca="1"/>
        <v>Performance opportunities</v>
      </c>
      <c r="Q39" s="107" t="str">
        <f ca="1"/>
        <v>Imaginative freedom</v>
      </c>
      <c r="R39" s="107" t="str">
        <f ca="1"/>
        <v>Confidence-building environments</v>
      </c>
      <c r="S39" s="107" t="str">
        <f ca="1"/>
        <v>Supportive facilitators</v>
      </c>
      <c r="T39" s="107" t="str">
        <f ca="1"/>
        <v>Calm, focused spaces</v>
      </c>
      <c r="U39" s="107" t="str">
        <f ca="1"/>
        <v>Creative studios</v>
      </c>
      <c r="V39" s="107" t="str">
        <f ca="1"/>
        <v>Informal, welcoming environments</v>
      </c>
    </row>
    <row r="40" spans="1:46">
      <c r="A40" s="107" t="str" cm="1">
        <f t="array" aca="1" ref="A40:AT40" ca="1">TRANSPOSE(INDIRECT(_xlfn.SWITCH(Venues!B40,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40" s="107" t="str">
        <f ca="1"/>
        <v>Climbing frames</v>
      </c>
      <c r="C40" s="107" t="str">
        <f ca="1"/>
        <v>Balance elements</v>
      </c>
      <c r="D40" s="107" t="str">
        <f ca="1"/>
        <v>Scramble nets</v>
      </c>
      <c r="E40" s="107" t="str">
        <f ca="1"/>
        <v>Stepping obstacles</v>
      </c>
      <c r="F40" s="107" t="str">
        <f ca="1"/>
        <v>Towers and platforms</v>
      </c>
      <c r="G40" s="107" t="str">
        <f ca="1"/>
        <v xml:space="preserve">Slides </v>
      </c>
      <c r="H40" s="107" t="str">
        <f ca="1"/>
        <v>Zip wires</v>
      </c>
      <c r="I40" s="107" t="str">
        <f ca="1"/>
        <v>Fireman's poles</v>
      </c>
      <c r="J40" s="107" t="str">
        <f ca="1"/>
        <v>Ropes &amp; aerial adventures</v>
      </c>
      <c r="K40" s="107" t="str">
        <f ca="1"/>
        <v>Climbing rocks or bouldering</v>
      </c>
      <c r="L40" s="107" t="str">
        <f ca="1"/>
        <v>Climbing wall</v>
      </c>
      <c r="M40" s="107" t="str">
        <f ca="1"/>
        <v>Rope swings</v>
      </c>
      <c r="N40" s="107" t="str">
        <f ca="1"/>
        <v>Abseiling or high ropes</v>
      </c>
      <c r="O40" s="107" t="str">
        <f ca="1"/>
        <v>Fort-style structures</v>
      </c>
      <c r="P40" s="107" t="str">
        <f ca="1"/>
        <v>Lookout points</v>
      </c>
      <c r="Q40" s="107" t="str">
        <f ca="1"/>
        <v>Tunnels and crawl spaces</v>
      </c>
      <c r="R40" s="107" t="str">
        <f ca="1"/>
        <v>Obstacle courses</v>
      </c>
      <c r="S40" s="107" t="str">
        <f ca="1"/>
        <v>Mixed-difficulty zones</v>
      </c>
      <c r="T40" s="107" t="str">
        <f ca="1"/>
        <v>Enclosed adventure zones</v>
      </c>
      <c r="U40" s="107" t="str">
        <f ca="1"/>
        <v>Clear sightlines for adults</v>
      </c>
      <c r="V40" s="107" t="str">
        <f ca="1"/>
        <v>Orienteering</v>
      </c>
      <c r="W40" s="107" t="str">
        <f ca="1"/>
        <v>Water play features</v>
      </c>
      <c r="X40" s="107" t="str">
        <f ca="1"/>
        <v>Swings</v>
      </c>
      <c r="Y40" s="107" t="str">
        <f ca="1"/>
        <v>Basket / nest swings</v>
      </c>
      <c r="Z40" s="107" t="str">
        <f ca="1"/>
        <v>Roundabouts</v>
      </c>
      <c r="AA40" s="107" t="str">
        <f ca="1"/>
        <v>Seesaws</v>
      </c>
      <c r="AB40" s="107" t="str">
        <f ca="1"/>
        <v>Springers / rockers</v>
      </c>
      <c r="AC40" s="107" t="str">
        <f ca="1"/>
        <v>Ground trampolines</v>
      </c>
      <c r="AD40" s="107" t="str">
        <f ca="1"/>
        <v>Sand play area</v>
      </c>
      <c r="AE40" s="107" t="str">
        <f ca="1"/>
        <v>Mud kitchen</v>
      </c>
      <c r="AF40" s="107" t="str">
        <f ca="1"/>
        <v>Den building area</v>
      </c>
      <c r="AG40" s="107" t="str">
        <f ca="1"/>
        <v>Log balance trail</v>
      </c>
      <c r="AH40" s="107" t="str">
        <f ca="1"/>
        <v>Natural boulders</v>
      </c>
      <c r="AI40" s="107" t="str">
        <f ca="1"/>
        <v>Stream or water channel</v>
      </c>
      <c r="AJ40" s="107" t="str">
        <f ca="1"/>
        <v>Wooded setting</v>
      </c>
      <c r="AK40" s="107" t="str">
        <f ca="1"/>
        <v>Open grass / running space</v>
      </c>
      <c r="AL40" s="107" t="str">
        <f ca="1"/>
        <v>Bowl</v>
      </c>
      <c r="AM40" s="107" t="str">
        <f ca="1"/>
        <v>Quarter pipes</v>
      </c>
      <c r="AN40" s="107" t="str">
        <f ca="1"/>
        <v>Street skating features</v>
      </c>
      <c r="AO40" s="107" t="str">
        <f ca="1"/>
        <v>Pump track</v>
      </c>
      <c r="AP40" s="107" t="str">
        <f ca="1"/>
        <v>BMX track</v>
      </c>
      <c r="AQ40" s="107" t="str">
        <f ca="1"/>
        <v>Dirt jumps</v>
      </c>
      <c r="AR40" s="107" t="str">
        <f ca="1"/>
        <v>Wheelchair accessible equipment</v>
      </c>
      <c r="AS40" s="107" t="str">
        <f ca="1"/>
        <v>Inclusive swings</v>
      </c>
      <c r="AT40" s="107" t="str">
        <f ca="1"/>
        <v>Sensory play features</v>
      </c>
    </row>
    <row r="41" spans="1:46">
      <c r="A41" s="107" t="str" cm="1">
        <f t="array" aca="1" ref="A41:AT41" ca="1">TRANSPOSE(INDIRECT(_xlfn.SWITCH(Venues!B41,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41" s="107" t="str">
        <f ca="1"/>
        <v>Climbing frames</v>
      </c>
      <c r="C41" s="107" t="str">
        <f ca="1"/>
        <v>Balance elements</v>
      </c>
      <c r="D41" s="107" t="str">
        <f ca="1"/>
        <v>Scramble nets</v>
      </c>
      <c r="E41" s="107" t="str">
        <f ca="1"/>
        <v>Stepping obstacles</v>
      </c>
      <c r="F41" s="107" t="str">
        <f ca="1"/>
        <v>Towers and platforms</v>
      </c>
      <c r="G41" s="107" t="str">
        <f ca="1"/>
        <v xml:space="preserve">Slides </v>
      </c>
      <c r="H41" s="107" t="str">
        <f ca="1"/>
        <v>Zip wires</v>
      </c>
      <c r="I41" s="107" t="str">
        <f ca="1"/>
        <v>Fireman's poles</v>
      </c>
      <c r="J41" s="107" t="str">
        <f ca="1"/>
        <v>Ropes &amp; aerial adventures</v>
      </c>
      <c r="K41" s="107" t="str">
        <f ca="1"/>
        <v>Climbing rocks or bouldering</v>
      </c>
      <c r="L41" s="107" t="str">
        <f ca="1"/>
        <v>Climbing wall</v>
      </c>
      <c r="M41" s="107" t="str">
        <f ca="1"/>
        <v>Rope swings</v>
      </c>
      <c r="N41" s="107" t="str">
        <f ca="1"/>
        <v>Abseiling or high ropes</v>
      </c>
      <c r="O41" s="107" t="str">
        <f ca="1"/>
        <v>Fort-style structures</v>
      </c>
      <c r="P41" s="107" t="str">
        <f ca="1"/>
        <v>Lookout points</v>
      </c>
      <c r="Q41" s="107" t="str">
        <f ca="1"/>
        <v>Tunnels and crawl spaces</v>
      </c>
      <c r="R41" s="107" t="str">
        <f ca="1"/>
        <v>Obstacle courses</v>
      </c>
      <c r="S41" s="107" t="str">
        <f ca="1"/>
        <v>Mixed-difficulty zones</v>
      </c>
      <c r="T41" s="107" t="str">
        <f ca="1"/>
        <v>Enclosed adventure zones</v>
      </c>
      <c r="U41" s="107" t="str">
        <f ca="1"/>
        <v>Clear sightlines for adults</v>
      </c>
      <c r="V41" s="107" t="str">
        <f ca="1"/>
        <v>Orienteering</v>
      </c>
      <c r="W41" s="107" t="str">
        <f ca="1"/>
        <v>Water play features</v>
      </c>
      <c r="X41" s="107" t="str">
        <f ca="1"/>
        <v>Swings</v>
      </c>
      <c r="Y41" s="107" t="str">
        <f ca="1"/>
        <v>Basket / nest swings</v>
      </c>
      <c r="Z41" s="107" t="str">
        <f ca="1"/>
        <v>Roundabouts</v>
      </c>
      <c r="AA41" s="107" t="str">
        <f ca="1"/>
        <v>Seesaws</v>
      </c>
      <c r="AB41" s="107" t="str">
        <f ca="1"/>
        <v>Springers / rockers</v>
      </c>
      <c r="AC41" s="107" t="str">
        <f ca="1"/>
        <v>Ground trampolines</v>
      </c>
      <c r="AD41" s="107" t="str">
        <f ca="1"/>
        <v>Sand play area</v>
      </c>
      <c r="AE41" s="107" t="str">
        <f ca="1"/>
        <v>Mud kitchen</v>
      </c>
      <c r="AF41" s="107" t="str">
        <f ca="1"/>
        <v>Den building area</v>
      </c>
      <c r="AG41" s="107" t="str">
        <f ca="1"/>
        <v>Log balance trail</v>
      </c>
      <c r="AH41" s="107" t="str">
        <f ca="1"/>
        <v>Natural boulders</v>
      </c>
      <c r="AI41" s="107" t="str">
        <f ca="1"/>
        <v>Stream or water channel</v>
      </c>
      <c r="AJ41" s="107" t="str">
        <f ca="1"/>
        <v>Wooded setting</v>
      </c>
      <c r="AK41" s="107" t="str">
        <f ca="1"/>
        <v>Open grass / running space</v>
      </c>
      <c r="AL41" s="107" t="str">
        <f ca="1"/>
        <v>Bowl</v>
      </c>
      <c r="AM41" s="107" t="str">
        <f ca="1"/>
        <v>Quarter pipes</v>
      </c>
      <c r="AN41" s="107" t="str">
        <f ca="1"/>
        <v>Street skating features</v>
      </c>
      <c r="AO41" s="107" t="str">
        <f ca="1"/>
        <v>Pump track</v>
      </c>
      <c r="AP41" s="107" t="str">
        <f ca="1"/>
        <v>BMX track</v>
      </c>
      <c r="AQ41" s="107" t="str">
        <f ca="1"/>
        <v>Dirt jumps</v>
      </c>
      <c r="AR41" s="107" t="str">
        <f ca="1"/>
        <v>Wheelchair accessible equipment</v>
      </c>
      <c r="AS41" s="107" t="str">
        <f ca="1"/>
        <v>Inclusive swings</v>
      </c>
      <c r="AT41" s="107" t="str">
        <f ca="1"/>
        <v>Sensory play features</v>
      </c>
    </row>
    <row r="42" spans="1:46">
      <c r="A42" s="107" t="str" cm="1">
        <f t="array" aca="1" ref="A42:AT42" ca="1">TRANSPOSE(INDIRECT(_xlfn.SWITCH(Venues!B42,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42" s="107" t="str">
        <f ca="1"/>
        <v>Climbing frames</v>
      </c>
      <c r="C42" s="107" t="str">
        <f ca="1"/>
        <v>Balance elements</v>
      </c>
      <c r="D42" s="107" t="str">
        <f ca="1"/>
        <v>Scramble nets</v>
      </c>
      <c r="E42" s="107" t="str">
        <f ca="1"/>
        <v>Stepping obstacles</v>
      </c>
      <c r="F42" s="107" t="str">
        <f ca="1"/>
        <v>Towers and platforms</v>
      </c>
      <c r="G42" s="107" t="str">
        <f ca="1"/>
        <v xml:space="preserve">Slides </v>
      </c>
      <c r="H42" s="107" t="str">
        <f ca="1"/>
        <v>Zip wires</v>
      </c>
      <c r="I42" s="107" t="str">
        <f ca="1"/>
        <v>Fireman's poles</v>
      </c>
      <c r="J42" s="107" t="str">
        <f ca="1"/>
        <v>Ropes &amp; aerial adventures</v>
      </c>
      <c r="K42" s="107" t="str">
        <f ca="1"/>
        <v>Climbing rocks or bouldering</v>
      </c>
      <c r="L42" s="107" t="str">
        <f ca="1"/>
        <v>Climbing wall</v>
      </c>
      <c r="M42" s="107" t="str">
        <f ca="1"/>
        <v>Rope swings</v>
      </c>
      <c r="N42" s="107" t="str">
        <f ca="1"/>
        <v>Abseiling or high ropes</v>
      </c>
      <c r="O42" s="107" t="str">
        <f ca="1"/>
        <v>Fort-style structures</v>
      </c>
      <c r="P42" s="107" t="str">
        <f ca="1"/>
        <v>Lookout points</v>
      </c>
      <c r="Q42" s="107" t="str">
        <f ca="1"/>
        <v>Tunnels and crawl spaces</v>
      </c>
      <c r="R42" s="107" t="str">
        <f ca="1"/>
        <v>Obstacle courses</v>
      </c>
      <c r="S42" s="107" t="str">
        <f ca="1"/>
        <v>Mixed-difficulty zones</v>
      </c>
      <c r="T42" s="107" t="str">
        <f ca="1"/>
        <v>Enclosed adventure zones</v>
      </c>
      <c r="U42" s="107" t="str">
        <f ca="1"/>
        <v>Clear sightlines for adults</v>
      </c>
      <c r="V42" s="107" t="str">
        <f ca="1"/>
        <v>Orienteering</v>
      </c>
      <c r="W42" s="107" t="str">
        <f ca="1"/>
        <v>Water play features</v>
      </c>
      <c r="X42" s="107" t="str">
        <f ca="1"/>
        <v>Swings</v>
      </c>
      <c r="Y42" s="107" t="str">
        <f ca="1"/>
        <v>Basket / nest swings</v>
      </c>
      <c r="Z42" s="107" t="str">
        <f ca="1"/>
        <v>Roundabouts</v>
      </c>
      <c r="AA42" s="107" t="str">
        <f ca="1"/>
        <v>Seesaws</v>
      </c>
      <c r="AB42" s="107" t="str">
        <f ca="1"/>
        <v>Springers / rockers</v>
      </c>
      <c r="AC42" s="107" t="str">
        <f ca="1"/>
        <v>Ground trampolines</v>
      </c>
      <c r="AD42" s="107" t="str">
        <f ca="1"/>
        <v>Sand play area</v>
      </c>
      <c r="AE42" s="107" t="str">
        <f ca="1"/>
        <v>Mud kitchen</v>
      </c>
      <c r="AF42" s="107" t="str">
        <f ca="1"/>
        <v>Den building area</v>
      </c>
      <c r="AG42" s="107" t="str">
        <f ca="1"/>
        <v>Log balance trail</v>
      </c>
      <c r="AH42" s="107" t="str">
        <f ca="1"/>
        <v>Natural boulders</v>
      </c>
      <c r="AI42" s="107" t="str">
        <f ca="1"/>
        <v>Stream or water channel</v>
      </c>
      <c r="AJ42" s="107" t="str">
        <f ca="1"/>
        <v>Wooded setting</v>
      </c>
      <c r="AK42" s="107" t="str">
        <f ca="1"/>
        <v>Open grass / running space</v>
      </c>
      <c r="AL42" s="107" t="str">
        <f ca="1"/>
        <v>Bowl</v>
      </c>
      <c r="AM42" s="107" t="str">
        <f ca="1"/>
        <v>Quarter pipes</v>
      </c>
      <c r="AN42" s="107" t="str">
        <f ca="1"/>
        <v>Street skating features</v>
      </c>
      <c r="AO42" s="107" t="str">
        <f ca="1"/>
        <v>Pump track</v>
      </c>
      <c r="AP42" s="107" t="str">
        <f ca="1"/>
        <v>BMX track</v>
      </c>
      <c r="AQ42" s="107" t="str">
        <f ca="1"/>
        <v>Dirt jumps</v>
      </c>
      <c r="AR42" s="107" t="str">
        <f ca="1"/>
        <v>Wheelchair accessible equipment</v>
      </c>
      <c r="AS42" s="107" t="str">
        <f ca="1"/>
        <v>Inclusive swings</v>
      </c>
      <c r="AT42" s="107" t="str">
        <f ca="1"/>
        <v>Sensory play features</v>
      </c>
    </row>
    <row r="43" spans="1:46">
      <c r="A43" s="107" t="str" cm="1">
        <f t="array" aca="1" ref="A43:K43" ca="1">TRANSPOSE(INDIRECT(_xlfn.SWITCH(Venues!B43,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Soft climbing structures</v>
      </c>
      <c r="B43" s="107" t="str">
        <f ca="1"/>
        <v>Slides</v>
      </c>
      <c r="C43" s="107" t="str">
        <f ca="1"/>
        <v>Tunnels and crawl spaces</v>
      </c>
      <c r="D43" s="107" t="str">
        <f ca="1"/>
        <v>Ball pools</v>
      </c>
      <c r="E43" s="107" t="str">
        <f ca="1"/>
        <v>Enclosed space</v>
      </c>
      <c r="F43" s="107" t="str">
        <f ca="1"/>
        <v>Clear sightlines</v>
      </c>
      <c r="G43" s="107" t="str">
        <f ca="1"/>
        <v>Seating for adults</v>
      </c>
      <c r="H43" s="107" t="str">
        <f ca="1"/>
        <v>Café or refreshment area</v>
      </c>
      <c r="I43" s="107" t="str">
        <f ca="1"/>
        <v>Separate toddler area</v>
      </c>
      <c r="J43" s="107" t="str">
        <f ca="1"/>
        <v>Age-zoned play areas</v>
      </c>
      <c r="K43" s="107" t="str">
        <f ca="1"/>
        <v>Calm or quieter zones</v>
      </c>
    </row>
    <row r="44" spans="1:46">
      <c r="A44" s="107" t="str" cm="1">
        <f t="array" aca="1" ref="A44:AE44" ca="1">TRANSPOSE(INDIRECT(_xlfn.SWITCH(Venues!B44,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44" s="107" t="str">
        <f ca="1"/>
        <v>Seaweed beds</v>
      </c>
      <c r="C44" s="107" t="str">
        <f ca="1"/>
        <v>Shell or seaglass collecting</v>
      </c>
      <c r="D44" s="107" t="str">
        <f ca="1"/>
        <v>Fossil Hunting</v>
      </c>
      <c r="E44" s="107" t="str">
        <f ca="1"/>
        <v>Crabbing</v>
      </c>
      <c r="F44" s="107" t="str">
        <f ca="1"/>
        <v>Diggable sand (Sandcastles)</v>
      </c>
      <c r="G44" s="107" t="str">
        <f ca="1"/>
        <v>Smooth pebbles</v>
      </c>
      <c r="H44" s="107" t="str">
        <f ca="1"/>
        <v>Shallow paddling</v>
      </c>
      <c r="I44" s="107" t="str">
        <f ca="1"/>
        <v>Streams or channels</v>
      </c>
      <c r="J44" s="107" t="str">
        <f ca="1"/>
        <v>Coves &amp; inlets</v>
      </c>
      <c r="K44" s="107" t="str">
        <f ca="1"/>
        <v>Rock formations</v>
      </c>
      <c r="L44" s="107" t="str">
        <f ca="1"/>
        <v>Cliffs Or Headlands</v>
      </c>
      <c r="M44" s="107" t="str">
        <f ca="1"/>
        <v>Caves</v>
      </c>
      <c r="N44" s="107" t="str">
        <f ca="1"/>
        <v>Sand dunes</v>
      </c>
      <c r="O44" s="107" t="str">
        <f ca="1"/>
        <v>Estuary edges</v>
      </c>
      <c r="P44" s="107" t="str">
        <f ca="1"/>
        <v>Coastal Wildlife</v>
      </c>
      <c r="Q44" s="107" t="str">
        <f ca="1"/>
        <v>Equipment Hire</v>
      </c>
      <c r="R44" s="107" t="str">
        <f ca="1"/>
        <v>Watersports Lessons</v>
      </c>
      <c r="S44" s="107" t="str">
        <f ca="1"/>
        <v>Surfing</v>
      </c>
      <c r="T44" s="107" t="str">
        <f ca="1"/>
        <v>Bodyboarding</v>
      </c>
      <c r="U44" s="107" t="str">
        <f ca="1"/>
        <v>Swimming</v>
      </c>
      <c r="V44" s="107" t="str">
        <f ca="1"/>
        <v>Kayaking / SUP</v>
      </c>
      <c r="W44" s="107" t="str">
        <f ca="1"/>
        <v>Slipway</v>
      </c>
      <c r="X44" s="107" t="str">
        <f ca="1"/>
        <v>Harbour</v>
      </c>
      <c r="Y44" s="107" t="str">
        <f ca="1"/>
        <v>Seasonally Lifeguarded</v>
      </c>
      <c r="Z44" s="107" t="str">
        <f ca="1"/>
        <v>Dog Friendly - seasonal leads</v>
      </c>
      <c r="AA44" s="107" t="str">
        <f ca="1"/>
        <v>Dog Friendly - off lead all year</v>
      </c>
      <c r="AB44" s="107" t="str">
        <f ca="1"/>
        <v>Boat trips nearby</v>
      </c>
      <c r="AC44" s="107" t="str">
        <f ca="1"/>
        <v>Toilets nearby</v>
      </c>
      <c r="AD44" s="107" t="str">
        <f ca="1"/>
        <v>Beach Cafe</v>
      </c>
      <c r="AE44" s="107" t="str">
        <f ca="1"/>
        <v>Promenade</v>
      </c>
    </row>
    <row r="45" spans="1:46">
      <c r="A45" s="107" t="str" cm="1">
        <f t="array" aca="1" ref="A45:J45" ca="1">TRANSPOSE(INDIRECT(_xlfn.SWITCH(Venues!B45,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45" s="107" t="str">
        <f ca="1"/>
        <v>Toy corner or play table</v>
      </c>
      <c r="C45" s="107" t="str">
        <f ca="1"/>
        <v>Puzzles or games</v>
      </c>
      <c r="D45" s="107" t="str">
        <f ca="1"/>
        <v>Colouring</v>
      </c>
      <c r="E45" s="107" t="str">
        <f ca="1"/>
        <v>Space to run around</v>
      </c>
      <c r="F45" s="107" t="str">
        <f ca="1"/>
        <v>Outdoor play area nearby</v>
      </c>
      <c r="G45" s="107" t="str">
        <f ca="1"/>
        <v>Farm animals nearby</v>
      </c>
      <c r="H45" s="107" t="str">
        <f ca="1"/>
        <v>Shop or browsing area (e.g. farm shop, garden centre)</v>
      </c>
      <c r="I45" s="107" t="str">
        <f ca="1"/>
        <v>Combined with a walk or attraction</v>
      </c>
      <c r="J45" s="107" t="str">
        <f ca="1"/>
        <v>Book swap or exchange library</v>
      </c>
    </row>
    <row r="46" spans="1:46">
      <c r="A46" s="107" t="str" cm="1">
        <f t="array" aca="1" ref="A46:T46" ca="1">TRANSPOSE(INDIRECT(_xlfn.SWITCH(Venues!B46,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46" s="107" t="str">
        <f ca="1"/>
        <v>Ponds or lakes</v>
      </c>
      <c r="C46" s="107" t="str">
        <f ca="1"/>
        <v>Duck Ponds</v>
      </c>
      <c r="D46" s="107" t="str">
        <f ca="1"/>
        <v>Water Features or Fountains</v>
      </c>
      <c r="E46" s="107" t="str">
        <f ca="1"/>
        <v>Streams or ditches</v>
      </c>
      <c r="F46" s="107" t="str">
        <f ca="1"/>
        <v>Natural paddling spots</v>
      </c>
      <c r="G46" s="107" t="str">
        <f ca="1"/>
        <v>Room to run freely</v>
      </c>
      <c r="H46" s="107" t="str">
        <f ca="1"/>
        <v>Open sightlines</v>
      </c>
      <c r="I46" s="107" t="str">
        <f ca="1"/>
        <v>Countryside views</v>
      </c>
      <c r="J46" s="107" t="str">
        <f ca="1"/>
        <v>Scenic backdrops</v>
      </c>
      <c r="K46" s="107" t="str">
        <f ca="1"/>
        <v>Rolling landscapes</v>
      </c>
      <c r="L46" s="107" t="str">
        <f ca="1"/>
        <v>Bridges (wooden, stone, suspension)</v>
      </c>
      <c r="M46" s="107" t="str">
        <f ca="1"/>
        <v>Natural play features (logs, slopes, rocks)</v>
      </c>
      <c r="N46" s="107" t="str">
        <f ca="1"/>
        <v>Climbable trees</v>
      </c>
      <c r="O46" s="107" t="str">
        <f ca="1"/>
        <v>Grassy banks</v>
      </c>
      <c r="P46" s="107" t="str">
        <f ca="1"/>
        <v>Small hills / mounds</v>
      </c>
      <c r="Q46" s="107" t="str">
        <f ca="1"/>
        <v>Play equipment</v>
      </c>
      <c r="R46" s="107" t="str">
        <f ca="1"/>
        <v>Football or Rugby Posts</v>
      </c>
      <c r="S46" s="107" t="str">
        <f ca="1"/>
        <v>Marked Trails</v>
      </c>
      <c r="T46" s="107" t="str">
        <f ca="1"/>
        <v>Children’s Activity Trails</v>
      </c>
    </row>
    <row r="47" spans="1:46">
      <c r="A47" s="107" t="str" cm="1">
        <f t="array" aca="1" ref="A47:K47" ca="1">TRANSPOSE(INDIRECT(_xlfn.SWITCH(Venues!B47,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Cinema</v>
      </c>
      <c r="B47" s="107" t="str">
        <f ca="1"/>
        <v>Stage-Show</v>
      </c>
      <c r="C47" s="107" t="str">
        <f ca="1"/>
        <v>Live Events</v>
      </c>
      <c r="D47" s="107" t="str">
        <f ca="1"/>
        <v>Gaming &amp; VR</v>
      </c>
      <c r="E47" s="107" t="str">
        <f ca="1"/>
        <v>Escape Room</v>
      </c>
      <c r="F47" s="107" t="str">
        <f ca="1"/>
        <v>Improvised Performance</v>
      </c>
      <c r="G47" s="107" t="str">
        <f ca="1"/>
        <v>Comedy</v>
      </c>
      <c r="H47" s="107" t="str">
        <f ca="1"/>
        <v>Karaoke</v>
      </c>
      <c r="I47" s="107" t="str">
        <f ca="1"/>
        <v>Arcade / Amusements</v>
      </c>
      <c r="J47" s="107" t="str">
        <f ca="1"/>
        <v>Laser Tag</v>
      </c>
      <c r="K47" s="107" t="str">
        <f ca="1"/>
        <v>Bowling</v>
      </c>
    </row>
    <row r="48" spans="1:46">
      <c r="A48" s="107" t="str" cm="1">
        <f t="array" aca="1" ref="A48:X48" ca="1">TRANSPOSE(INDIRECT(_xlfn.SWITCH(Venues!B48,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Hands-on Petting</v>
      </c>
      <c r="B48" s="107" t="str">
        <f ca="1"/>
        <v>Animal feeding</v>
      </c>
      <c r="C48" s="107" t="str">
        <f ca="1"/>
        <v>Close-up viewing</v>
      </c>
      <c r="D48" s="107" t="str">
        <f ca="1"/>
        <v>Keeper talks</v>
      </c>
      <c r="E48" s="107" t="str">
        <f ca="1"/>
        <v>Animal Experience Day</v>
      </c>
      <c r="F48" s="107" t="str">
        <f ca="1"/>
        <v>Trekking, rides or hacking</v>
      </c>
      <c r="G48" s="107" t="str">
        <f ca="1"/>
        <v>Guided walks</v>
      </c>
      <c r="H48" s="107" t="str">
        <f ca="1"/>
        <v>Animal husbandry</v>
      </c>
      <c r="I48" s="107" t="str">
        <f ca="1"/>
        <v>Tractor rides</v>
      </c>
      <c r="J48" s="107" t="str">
        <f ca="1"/>
        <v>Animal races</v>
      </c>
      <c r="K48" s="107" t="str">
        <f ca="1"/>
        <v>Animal displays or shows</v>
      </c>
      <c r="L48" s="107" t="str">
        <f ca="1"/>
        <v>Drive-through Safari</v>
      </c>
      <c r="M48" s="107" t="str">
        <f ca="1"/>
        <v>Litter Farmer Experiences</v>
      </c>
      <c r="N48" s="107" t="str">
        <f ca="1"/>
        <v>Multiple species</v>
      </c>
      <c r="O48" s="107" t="str">
        <f ca="1"/>
        <v>Rare or exotic animals</v>
      </c>
      <c r="P48" s="107" t="str">
        <f ca="1"/>
        <v>Animal Sanctuary</v>
      </c>
      <c r="Q48" s="107" t="str">
        <f ca="1"/>
        <v>Conservation</v>
      </c>
      <c r="R48" s="107" t="str">
        <f ca="1"/>
        <v>Baby animals (seasonal)</v>
      </c>
      <c r="S48" s="107" t="str">
        <f ca="1"/>
        <v>Walk-through enclosures</v>
      </c>
      <c r="T48" s="107" t="str">
        <f ca="1"/>
        <v>Rides or Treks</v>
      </c>
      <c r="U48" s="107" t="str">
        <f ca="1"/>
        <v>Outdoor animal areas</v>
      </c>
      <c r="V48" s="107" t="str">
        <f ca="1"/>
        <v>Marked Trails</v>
      </c>
      <c r="W48" s="107" t="str">
        <f ca="1"/>
        <v>Children’s Activity Trails</v>
      </c>
      <c r="X48" s="107" t="str">
        <f ca="1"/>
        <v>Farm-based activities (e.g. egg collecting)</v>
      </c>
    </row>
    <row r="49" spans="1:46">
      <c r="A49" s="107" t="str" cm="1">
        <f t="array" aca="1" ref="A49:O49" ca="1">TRANSPOSE(INDIRECT(_xlfn.SWITCH(Venues!B49,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Rides &amp; attractions</v>
      </c>
      <c r="B49" s="107" t="str">
        <f ca="1"/>
        <v>Animals or animal experiences</v>
      </c>
      <c r="C49" s="107" t="str">
        <f ca="1"/>
        <v>Live shows or performances</v>
      </c>
      <c r="D49" s="107" t="str">
        <f ca="1"/>
        <v>Large interactive exhibits</v>
      </c>
      <c r="E49" s="107" t="str">
        <f ca="1"/>
        <v>Immersive or themed environments</v>
      </c>
      <c r="F49" s="107" t="str">
        <f ca="1"/>
        <v>Meet &amp; greet characters or people</v>
      </c>
      <c r="G49" s="107" t="str">
        <f ca="1"/>
        <v>Hands-on activities</v>
      </c>
      <c r="H49" s="107" t="str">
        <f ca="1"/>
        <v>Discovery trails</v>
      </c>
      <c r="I49" s="107" t="str">
        <f ca="1"/>
        <v>Challenges or missions</v>
      </c>
      <c r="J49" s="107" t="str">
        <f ca="1"/>
        <v>Play or activity zones</v>
      </c>
      <c r="K49" s="107" t="str">
        <f ca="1"/>
        <v>Landmark features</v>
      </c>
      <c r="L49" s="107" t="str">
        <f ca="1"/>
        <v>Iconic structures or rides</v>
      </c>
      <c r="M49" s="107" t="str">
        <f ca="1"/>
        <v>Water features</v>
      </c>
      <c r="N49" s="107" t="str">
        <f ca="1"/>
        <v>Scenic or dramatic settings</v>
      </c>
      <c r="O49" s="107" t="str">
        <f ca="1"/>
        <v>Themed trails (e.g. Halloween, Christmas, Easter)</v>
      </c>
    </row>
    <row r="50" spans="1:46">
      <c r="A50" s="107" t="str" cm="1">
        <f t="array" aca="1" ref="A50:AE50" ca="1">TRANSPOSE(INDIRECT(_xlfn.SWITCH(Venues!B50,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50" s="107" t="str">
        <f ca="1"/>
        <v>Seaweed beds</v>
      </c>
      <c r="C50" s="107" t="str">
        <f ca="1"/>
        <v>Shell or seaglass collecting</v>
      </c>
      <c r="D50" s="107" t="str">
        <f ca="1"/>
        <v>Fossil Hunting</v>
      </c>
      <c r="E50" s="107" t="str">
        <f ca="1"/>
        <v>Crabbing</v>
      </c>
      <c r="F50" s="107" t="str">
        <f ca="1"/>
        <v>Diggable sand (Sandcastles)</v>
      </c>
      <c r="G50" s="107" t="str">
        <f ca="1"/>
        <v>Smooth pebbles</v>
      </c>
      <c r="H50" s="107" t="str">
        <f ca="1"/>
        <v>Shallow paddling</v>
      </c>
      <c r="I50" s="107" t="str">
        <f ca="1"/>
        <v>Streams or channels</v>
      </c>
      <c r="J50" s="107" t="str">
        <f ca="1"/>
        <v>Coves &amp; inlets</v>
      </c>
      <c r="K50" s="107" t="str">
        <f ca="1"/>
        <v>Rock formations</v>
      </c>
      <c r="L50" s="107" t="str">
        <f ca="1"/>
        <v>Cliffs Or Headlands</v>
      </c>
      <c r="M50" s="107" t="str">
        <f ca="1"/>
        <v>Caves</v>
      </c>
      <c r="N50" s="107" t="str">
        <f ca="1"/>
        <v>Sand dunes</v>
      </c>
      <c r="O50" s="107" t="str">
        <f ca="1"/>
        <v>Estuary edges</v>
      </c>
      <c r="P50" s="107" t="str">
        <f ca="1"/>
        <v>Coastal Wildlife</v>
      </c>
      <c r="Q50" s="107" t="str">
        <f ca="1"/>
        <v>Equipment Hire</v>
      </c>
      <c r="R50" s="107" t="str">
        <f ca="1"/>
        <v>Watersports Lessons</v>
      </c>
      <c r="S50" s="107" t="str">
        <f ca="1"/>
        <v>Surfing</v>
      </c>
      <c r="T50" s="107" t="str">
        <f ca="1"/>
        <v>Bodyboarding</v>
      </c>
      <c r="U50" s="107" t="str">
        <f ca="1"/>
        <v>Swimming</v>
      </c>
      <c r="V50" s="107" t="str">
        <f ca="1"/>
        <v>Kayaking / SUP</v>
      </c>
      <c r="W50" s="107" t="str">
        <f ca="1"/>
        <v>Slipway</v>
      </c>
      <c r="X50" s="107" t="str">
        <f ca="1"/>
        <v>Harbour</v>
      </c>
      <c r="Y50" s="107" t="str">
        <f ca="1"/>
        <v>Seasonally Lifeguarded</v>
      </c>
      <c r="Z50" s="107" t="str">
        <f ca="1"/>
        <v>Dog Friendly - seasonal leads</v>
      </c>
      <c r="AA50" s="107" t="str">
        <f ca="1"/>
        <v>Dog Friendly - off lead all year</v>
      </c>
      <c r="AB50" s="107" t="str">
        <f ca="1"/>
        <v>Boat trips nearby</v>
      </c>
      <c r="AC50" s="107" t="str">
        <f ca="1"/>
        <v>Toilets nearby</v>
      </c>
      <c r="AD50" s="107" t="str">
        <f ca="1"/>
        <v>Beach Cafe</v>
      </c>
      <c r="AE50" s="107" t="str">
        <f ca="1"/>
        <v>Promenade</v>
      </c>
    </row>
    <row r="51" spans="1:46">
      <c r="A51" s="107" t="str" cm="1">
        <f t="array" aca="1" ref="A51:AE51" ca="1">TRANSPOSE(INDIRECT(_xlfn.SWITCH(Venues!B51,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51" s="107" t="str">
        <f ca="1"/>
        <v>Seaweed beds</v>
      </c>
      <c r="C51" s="107" t="str">
        <f ca="1"/>
        <v>Shell or seaglass collecting</v>
      </c>
      <c r="D51" s="107" t="str">
        <f ca="1"/>
        <v>Fossil Hunting</v>
      </c>
      <c r="E51" s="107" t="str">
        <f ca="1"/>
        <v>Crabbing</v>
      </c>
      <c r="F51" s="107" t="str">
        <f ca="1"/>
        <v>Diggable sand (Sandcastles)</v>
      </c>
      <c r="G51" s="107" t="str">
        <f ca="1"/>
        <v>Smooth pebbles</v>
      </c>
      <c r="H51" s="107" t="str">
        <f ca="1"/>
        <v>Shallow paddling</v>
      </c>
      <c r="I51" s="107" t="str">
        <f ca="1"/>
        <v>Streams or channels</v>
      </c>
      <c r="J51" s="107" t="str">
        <f ca="1"/>
        <v>Coves &amp; inlets</v>
      </c>
      <c r="K51" s="107" t="str">
        <f ca="1"/>
        <v>Rock formations</v>
      </c>
      <c r="L51" s="107" t="str">
        <f ca="1"/>
        <v>Cliffs Or Headlands</v>
      </c>
      <c r="M51" s="107" t="str">
        <f ca="1"/>
        <v>Caves</v>
      </c>
      <c r="N51" s="107" t="str">
        <f ca="1"/>
        <v>Sand dunes</v>
      </c>
      <c r="O51" s="107" t="str">
        <f ca="1"/>
        <v>Estuary edges</v>
      </c>
      <c r="P51" s="107" t="str">
        <f ca="1"/>
        <v>Coastal Wildlife</v>
      </c>
      <c r="Q51" s="107" t="str">
        <f ca="1"/>
        <v>Equipment Hire</v>
      </c>
      <c r="R51" s="107" t="str">
        <f ca="1"/>
        <v>Watersports Lessons</v>
      </c>
      <c r="S51" s="107" t="str">
        <f ca="1"/>
        <v>Surfing</v>
      </c>
      <c r="T51" s="107" t="str">
        <f ca="1"/>
        <v>Bodyboarding</v>
      </c>
      <c r="U51" s="107" t="str">
        <f ca="1"/>
        <v>Swimming</v>
      </c>
      <c r="V51" s="107" t="str">
        <f ca="1"/>
        <v>Kayaking / SUP</v>
      </c>
      <c r="W51" s="107" t="str">
        <f ca="1"/>
        <v>Slipway</v>
      </c>
      <c r="X51" s="107" t="str">
        <f ca="1"/>
        <v>Harbour</v>
      </c>
      <c r="Y51" s="107" t="str">
        <f ca="1"/>
        <v>Seasonally Lifeguarded</v>
      </c>
      <c r="Z51" s="107" t="str">
        <f ca="1"/>
        <v>Dog Friendly - seasonal leads</v>
      </c>
      <c r="AA51" s="107" t="str">
        <f ca="1"/>
        <v>Dog Friendly - off lead all year</v>
      </c>
      <c r="AB51" s="107" t="str">
        <f ca="1"/>
        <v>Boat trips nearby</v>
      </c>
      <c r="AC51" s="107" t="str">
        <f ca="1"/>
        <v>Toilets nearby</v>
      </c>
      <c r="AD51" s="107" t="str">
        <f ca="1"/>
        <v>Beach Cafe</v>
      </c>
      <c r="AE51" s="107" t="str">
        <f ca="1"/>
        <v>Promenade</v>
      </c>
    </row>
    <row r="52" spans="1:46">
      <c r="A52" s="107" t="str" cm="1">
        <f t="array" aca="1" ref="A52:AT52" ca="1">TRANSPOSE(INDIRECT(_xlfn.SWITCH(Venues!B52,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52" s="107" t="str">
        <f ca="1"/>
        <v>Climbing frames</v>
      </c>
      <c r="C52" s="107" t="str">
        <f ca="1"/>
        <v>Balance elements</v>
      </c>
      <c r="D52" s="107" t="str">
        <f ca="1"/>
        <v>Scramble nets</v>
      </c>
      <c r="E52" s="107" t="str">
        <f ca="1"/>
        <v>Stepping obstacles</v>
      </c>
      <c r="F52" s="107" t="str">
        <f ca="1"/>
        <v>Towers and platforms</v>
      </c>
      <c r="G52" s="107" t="str">
        <f ca="1"/>
        <v xml:space="preserve">Slides </v>
      </c>
      <c r="H52" s="107" t="str">
        <f ca="1"/>
        <v>Zip wires</v>
      </c>
      <c r="I52" s="107" t="str">
        <f ca="1"/>
        <v>Fireman's poles</v>
      </c>
      <c r="J52" s="107" t="str">
        <f ca="1"/>
        <v>Ropes &amp; aerial adventures</v>
      </c>
      <c r="K52" s="107" t="str">
        <f ca="1"/>
        <v>Climbing rocks or bouldering</v>
      </c>
      <c r="L52" s="107" t="str">
        <f ca="1"/>
        <v>Climbing wall</v>
      </c>
      <c r="M52" s="107" t="str">
        <f ca="1"/>
        <v>Rope swings</v>
      </c>
      <c r="N52" s="107" t="str">
        <f ca="1"/>
        <v>Abseiling or high ropes</v>
      </c>
      <c r="O52" s="107" t="str">
        <f ca="1"/>
        <v>Fort-style structures</v>
      </c>
      <c r="P52" s="107" t="str">
        <f ca="1"/>
        <v>Lookout points</v>
      </c>
      <c r="Q52" s="107" t="str">
        <f ca="1"/>
        <v>Tunnels and crawl spaces</v>
      </c>
      <c r="R52" s="107" t="str">
        <f ca="1"/>
        <v>Obstacle courses</v>
      </c>
      <c r="S52" s="107" t="str">
        <f ca="1"/>
        <v>Mixed-difficulty zones</v>
      </c>
      <c r="T52" s="107" t="str">
        <f ca="1"/>
        <v>Enclosed adventure zones</v>
      </c>
      <c r="U52" s="107" t="str">
        <f ca="1"/>
        <v>Clear sightlines for adults</v>
      </c>
      <c r="V52" s="107" t="str">
        <f ca="1"/>
        <v>Orienteering</v>
      </c>
      <c r="W52" s="107" t="str">
        <f ca="1"/>
        <v>Water play features</v>
      </c>
      <c r="X52" s="107" t="str">
        <f ca="1"/>
        <v>Swings</v>
      </c>
      <c r="Y52" s="107" t="str">
        <f ca="1"/>
        <v>Basket / nest swings</v>
      </c>
      <c r="Z52" s="107" t="str">
        <f ca="1"/>
        <v>Roundabouts</v>
      </c>
      <c r="AA52" s="107" t="str">
        <f ca="1"/>
        <v>Seesaws</v>
      </c>
      <c r="AB52" s="107" t="str">
        <f ca="1"/>
        <v>Springers / rockers</v>
      </c>
      <c r="AC52" s="107" t="str">
        <f ca="1"/>
        <v>Ground trampolines</v>
      </c>
      <c r="AD52" s="107" t="str">
        <f ca="1"/>
        <v>Sand play area</v>
      </c>
      <c r="AE52" s="107" t="str">
        <f ca="1"/>
        <v>Mud kitchen</v>
      </c>
      <c r="AF52" s="107" t="str">
        <f ca="1"/>
        <v>Den building area</v>
      </c>
      <c r="AG52" s="107" t="str">
        <f ca="1"/>
        <v>Log balance trail</v>
      </c>
      <c r="AH52" s="107" t="str">
        <f ca="1"/>
        <v>Natural boulders</v>
      </c>
      <c r="AI52" s="107" t="str">
        <f ca="1"/>
        <v>Stream or water channel</v>
      </c>
      <c r="AJ52" s="107" t="str">
        <f ca="1"/>
        <v>Wooded setting</v>
      </c>
      <c r="AK52" s="107" t="str">
        <f ca="1"/>
        <v>Open grass / running space</v>
      </c>
      <c r="AL52" s="107" t="str">
        <f ca="1"/>
        <v>Bowl</v>
      </c>
      <c r="AM52" s="107" t="str">
        <f ca="1"/>
        <v>Quarter pipes</v>
      </c>
      <c r="AN52" s="107" t="str">
        <f ca="1"/>
        <v>Street skating features</v>
      </c>
      <c r="AO52" s="107" t="str">
        <f ca="1"/>
        <v>Pump track</v>
      </c>
      <c r="AP52" s="107" t="str">
        <f ca="1"/>
        <v>BMX track</v>
      </c>
      <c r="AQ52" s="107" t="str">
        <f ca="1"/>
        <v>Dirt jumps</v>
      </c>
      <c r="AR52" s="107" t="str">
        <f ca="1"/>
        <v>Wheelchair accessible equipment</v>
      </c>
      <c r="AS52" s="107" t="str">
        <f ca="1"/>
        <v>Inclusive swings</v>
      </c>
      <c r="AT52" s="107" t="str">
        <f ca="1"/>
        <v>Sensory play features</v>
      </c>
    </row>
    <row r="53" spans="1:46">
      <c r="A53" s="107" t="str" cm="1">
        <f t="array" aca="1" ref="A53:J53" ca="1">TRANSPOSE(INDIRECT(_xlfn.SWITCH(Venues!B53,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53" s="107" t="str">
        <f ca="1"/>
        <v>Toy corner or play table</v>
      </c>
      <c r="C53" s="107" t="str">
        <f ca="1"/>
        <v>Puzzles or games</v>
      </c>
      <c r="D53" s="107" t="str">
        <f ca="1"/>
        <v>Colouring</v>
      </c>
      <c r="E53" s="107" t="str">
        <f ca="1"/>
        <v>Space to run around</v>
      </c>
      <c r="F53" s="107" t="str">
        <f ca="1"/>
        <v>Outdoor play area nearby</v>
      </c>
      <c r="G53" s="107" t="str">
        <f ca="1"/>
        <v>Farm animals nearby</v>
      </c>
      <c r="H53" s="107" t="str">
        <f ca="1"/>
        <v>Shop or browsing area (e.g. farm shop, garden centre)</v>
      </c>
      <c r="I53" s="107" t="str">
        <f ca="1"/>
        <v>Combined with a walk or attraction</v>
      </c>
      <c r="J53" s="107" t="str">
        <f ca="1"/>
        <v>Book swap or exchange library</v>
      </c>
    </row>
    <row r="54" spans="1:46">
      <c r="A54" s="107" t="str" cm="1">
        <f t="array" aca="1" ref="A54:AE54" ca="1">TRANSPOSE(INDIRECT(_xlfn.SWITCH(Venues!B54,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54" s="107" t="str">
        <f ca="1"/>
        <v>Seaweed beds</v>
      </c>
      <c r="C54" s="107" t="str">
        <f ca="1"/>
        <v>Shell or seaglass collecting</v>
      </c>
      <c r="D54" s="107" t="str">
        <f ca="1"/>
        <v>Fossil Hunting</v>
      </c>
      <c r="E54" s="107" t="str">
        <f ca="1"/>
        <v>Crabbing</v>
      </c>
      <c r="F54" s="107" t="str">
        <f ca="1"/>
        <v>Diggable sand (Sandcastles)</v>
      </c>
      <c r="G54" s="107" t="str">
        <f ca="1"/>
        <v>Smooth pebbles</v>
      </c>
      <c r="H54" s="107" t="str">
        <f ca="1"/>
        <v>Shallow paddling</v>
      </c>
      <c r="I54" s="107" t="str">
        <f ca="1"/>
        <v>Streams or channels</v>
      </c>
      <c r="J54" s="107" t="str">
        <f ca="1"/>
        <v>Coves &amp; inlets</v>
      </c>
      <c r="K54" s="107" t="str">
        <f ca="1"/>
        <v>Rock formations</v>
      </c>
      <c r="L54" s="107" t="str">
        <f ca="1"/>
        <v>Cliffs Or Headlands</v>
      </c>
      <c r="M54" s="107" t="str">
        <f ca="1"/>
        <v>Caves</v>
      </c>
      <c r="N54" s="107" t="str">
        <f ca="1"/>
        <v>Sand dunes</v>
      </c>
      <c r="O54" s="107" t="str">
        <f ca="1"/>
        <v>Estuary edges</v>
      </c>
      <c r="P54" s="107" t="str">
        <f ca="1"/>
        <v>Coastal Wildlife</v>
      </c>
      <c r="Q54" s="107" t="str">
        <f ca="1"/>
        <v>Equipment Hire</v>
      </c>
      <c r="R54" s="107" t="str">
        <f ca="1"/>
        <v>Watersports Lessons</v>
      </c>
      <c r="S54" s="107" t="str">
        <f ca="1"/>
        <v>Surfing</v>
      </c>
      <c r="T54" s="107" t="str">
        <f ca="1"/>
        <v>Bodyboarding</v>
      </c>
      <c r="U54" s="107" t="str">
        <f ca="1"/>
        <v>Swimming</v>
      </c>
      <c r="V54" s="107" t="str">
        <f ca="1"/>
        <v>Kayaking / SUP</v>
      </c>
      <c r="W54" s="107" t="str">
        <f ca="1"/>
        <v>Slipway</v>
      </c>
      <c r="X54" s="107" t="str">
        <f ca="1"/>
        <v>Harbour</v>
      </c>
      <c r="Y54" s="107" t="str">
        <f ca="1"/>
        <v>Seasonally Lifeguarded</v>
      </c>
      <c r="Z54" s="107" t="str">
        <f ca="1"/>
        <v>Dog Friendly - seasonal leads</v>
      </c>
      <c r="AA54" s="107" t="str">
        <f ca="1"/>
        <v>Dog Friendly - off lead all year</v>
      </c>
      <c r="AB54" s="107" t="str">
        <f ca="1"/>
        <v>Boat trips nearby</v>
      </c>
      <c r="AC54" s="107" t="str">
        <f ca="1"/>
        <v>Toilets nearby</v>
      </c>
      <c r="AD54" s="107" t="str">
        <f ca="1"/>
        <v>Beach Cafe</v>
      </c>
      <c r="AE54" s="107" t="str">
        <f ca="1"/>
        <v>Promenade</v>
      </c>
    </row>
    <row r="55" spans="1:46">
      <c r="A55" s="107" t="str" cm="1">
        <f t="array" aca="1" ref="A55:O55" ca="1">TRANSPOSE(INDIRECT(_xlfn.SWITCH(Venues!B55,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Rides &amp; attractions</v>
      </c>
      <c r="B55" s="107" t="str">
        <f ca="1"/>
        <v>Animals or animal experiences</v>
      </c>
      <c r="C55" s="107" t="str">
        <f ca="1"/>
        <v>Live shows or performances</v>
      </c>
      <c r="D55" s="107" t="str">
        <f ca="1"/>
        <v>Large interactive exhibits</v>
      </c>
      <c r="E55" s="107" t="str">
        <f ca="1"/>
        <v>Immersive or themed environments</v>
      </c>
      <c r="F55" s="107" t="str">
        <f ca="1"/>
        <v>Meet &amp; greet characters or people</v>
      </c>
      <c r="G55" s="107" t="str">
        <f ca="1"/>
        <v>Hands-on activities</v>
      </c>
      <c r="H55" s="107" t="str">
        <f ca="1"/>
        <v>Discovery trails</v>
      </c>
      <c r="I55" s="107" t="str">
        <f ca="1"/>
        <v>Challenges or missions</v>
      </c>
      <c r="J55" s="107" t="str">
        <f ca="1"/>
        <v>Play or activity zones</v>
      </c>
      <c r="K55" s="107" t="str">
        <f ca="1"/>
        <v>Landmark features</v>
      </c>
      <c r="L55" s="107" t="str">
        <f ca="1"/>
        <v>Iconic structures or rides</v>
      </c>
      <c r="M55" s="107" t="str">
        <f ca="1"/>
        <v>Water features</v>
      </c>
      <c r="N55" s="107" t="str">
        <f ca="1"/>
        <v>Scenic or dramatic settings</v>
      </c>
      <c r="O55" s="107" t="str">
        <f ca="1"/>
        <v>Themed trails (e.g. Halloween, Christmas, Easter)</v>
      </c>
    </row>
    <row r="56" spans="1:46">
      <c r="A56" s="107" t="str" cm="1">
        <f t="array" aca="1" ref="A56:J56" ca="1">TRANSPOSE(INDIRECT(_xlfn.SWITCH(Venues!B56,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56" s="107" t="str">
        <f ca="1"/>
        <v>Toy corner or play table</v>
      </c>
      <c r="C56" s="107" t="str">
        <f ca="1"/>
        <v>Puzzles or games</v>
      </c>
      <c r="D56" s="107" t="str">
        <f ca="1"/>
        <v>Colouring</v>
      </c>
      <c r="E56" s="107" t="str">
        <f ca="1"/>
        <v>Space to run around</v>
      </c>
      <c r="F56" s="107" t="str">
        <f ca="1"/>
        <v>Outdoor play area nearby</v>
      </c>
      <c r="G56" s="107" t="str">
        <f ca="1"/>
        <v>Farm animals nearby</v>
      </c>
      <c r="H56" s="107" t="str">
        <f ca="1"/>
        <v>Shop or browsing area (e.g. farm shop, garden centre)</v>
      </c>
      <c r="I56" s="107" t="str">
        <f ca="1"/>
        <v>Combined with a walk or attraction</v>
      </c>
      <c r="J56" s="107" t="str">
        <f ca="1"/>
        <v>Book swap or exchange library</v>
      </c>
    </row>
    <row r="57" spans="1:46">
      <c r="A57" s="107" t="str" cm="1">
        <f t="array" aca="1" ref="A57:J57" ca="1">TRANSPOSE(INDIRECT(_xlfn.SWITCH(Venues!B57,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57" s="107" t="str">
        <f ca="1"/>
        <v>Toy corner or play table</v>
      </c>
      <c r="C57" s="107" t="str">
        <f ca="1"/>
        <v>Puzzles or games</v>
      </c>
      <c r="D57" s="107" t="str">
        <f ca="1"/>
        <v>Colouring</v>
      </c>
      <c r="E57" s="107" t="str">
        <f ca="1"/>
        <v>Space to run around</v>
      </c>
      <c r="F57" s="107" t="str">
        <f ca="1"/>
        <v>Outdoor play area nearby</v>
      </c>
      <c r="G57" s="107" t="str">
        <f ca="1"/>
        <v>Farm animals nearby</v>
      </c>
      <c r="H57" s="107" t="str">
        <f ca="1"/>
        <v>Shop or browsing area (e.g. farm shop, garden centre)</v>
      </c>
      <c r="I57" s="107" t="str">
        <f ca="1"/>
        <v>Combined with a walk or attraction</v>
      </c>
      <c r="J57" s="107" t="str">
        <f ca="1"/>
        <v>Book swap or exchange library</v>
      </c>
    </row>
    <row r="58" spans="1:46">
      <c r="A58" s="107" t="str" cm="1">
        <f t="array" aca="1" ref="A58:T58" ca="1">TRANSPOSE(INDIRECT(_xlfn.SWITCH(Venues!B58,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58" s="107" t="str">
        <f ca="1"/>
        <v>Ponds or lakes</v>
      </c>
      <c r="C58" s="107" t="str">
        <f ca="1"/>
        <v>Duck Ponds</v>
      </c>
      <c r="D58" s="107" t="str">
        <f ca="1"/>
        <v>Water Features or Fountains</v>
      </c>
      <c r="E58" s="107" t="str">
        <f ca="1"/>
        <v>Streams or ditches</v>
      </c>
      <c r="F58" s="107" t="str">
        <f ca="1"/>
        <v>Natural paddling spots</v>
      </c>
      <c r="G58" s="107" t="str">
        <f ca="1"/>
        <v>Room to run freely</v>
      </c>
      <c r="H58" s="107" t="str">
        <f ca="1"/>
        <v>Open sightlines</v>
      </c>
      <c r="I58" s="107" t="str">
        <f ca="1"/>
        <v>Countryside views</v>
      </c>
      <c r="J58" s="107" t="str">
        <f ca="1"/>
        <v>Scenic backdrops</v>
      </c>
      <c r="K58" s="107" t="str">
        <f ca="1"/>
        <v>Rolling landscapes</v>
      </c>
      <c r="L58" s="107" t="str">
        <f ca="1"/>
        <v>Bridges (wooden, stone, suspension)</v>
      </c>
      <c r="M58" s="107" t="str">
        <f ca="1"/>
        <v>Natural play features (logs, slopes, rocks)</v>
      </c>
      <c r="N58" s="107" t="str">
        <f ca="1"/>
        <v>Climbable trees</v>
      </c>
      <c r="O58" s="107" t="str">
        <f ca="1"/>
        <v>Grassy banks</v>
      </c>
      <c r="P58" s="107" t="str">
        <f ca="1"/>
        <v>Small hills / mounds</v>
      </c>
      <c r="Q58" s="107" t="str">
        <f ca="1"/>
        <v>Play equipment</v>
      </c>
      <c r="R58" s="107" t="str">
        <f ca="1"/>
        <v>Football or Rugby Posts</v>
      </c>
      <c r="S58" s="107" t="str">
        <f ca="1"/>
        <v>Marked Trails</v>
      </c>
      <c r="T58" s="107" t="str">
        <f ca="1"/>
        <v>Children’s Activity Trails</v>
      </c>
    </row>
    <row r="59" spans="1:46">
      <c r="A59" s="107" t="str" cm="1">
        <f t="array" aca="1" ref="A59:AT59" ca="1">TRANSPOSE(INDIRECT(_xlfn.SWITCH(Venues!B59,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59" s="107" t="str">
        <f ca="1"/>
        <v>Climbing frames</v>
      </c>
      <c r="C59" s="107" t="str">
        <f ca="1"/>
        <v>Balance elements</v>
      </c>
      <c r="D59" s="107" t="str">
        <f ca="1"/>
        <v>Scramble nets</v>
      </c>
      <c r="E59" s="107" t="str">
        <f ca="1"/>
        <v>Stepping obstacles</v>
      </c>
      <c r="F59" s="107" t="str">
        <f ca="1"/>
        <v>Towers and platforms</v>
      </c>
      <c r="G59" s="107" t="str">
        <f ca="1"/>
        <v xml:space="preserve">Slides </v>
      </c>
      <c r="H59" s="107" t="str">
        <f ca="1"/>
        <v>Zip wires</v>
      </c>
      <c r="I59" s="107" t="str">
        <f ca="1"/>
        <v>Fireman's poles</v>
      </c>
      <c r="J59" s="107" t="str">
        <f ca="1"/>
        <v>Ropes &amp; aerial adventures</v>
      </c>
      <c r="K59" s="107" t="str">
        <f ca="1"/>
        <v>Climbing rocks or bouldering</v>
      </c>
      <c r="L59" s="107" t="str">
        <f ca="1"/>
        <v>Climbing wall</v>
      </c>
      <c r="M59" s="107" t="str">
        <f ca="1"/>
        <v>Rope swings</v>
      </c>
      <c r="N59" s="107" t="str">
        <f ca="1"/>
        <v>Abseiling or high ropes</v>
      </c>
      <c r="O59" s="107" t="str">
        <f ca="1"/>
        <v>Fort-style structures</v>
      </c>
      <c r="P59" s="107" t="str">
        <f ca="1"/>
        <v>Lookout points</v>
      </c>
      <c r="Q59" s="107" t="str">
        <f ca="1"/>
        <v>Tunnels and crawl spaces</v>
      </c>
      <c r="R59" s="107" t="str">
        <f ca="1"/>
        <v>Obstacle courses</v>
      </c>
      <c r="S59" s="107" t="str">
        <f ca="1"/>
        <v>Mixed-difficulty zones</v>
      </c>
      <c r="T59" s="107" t="str">
        <f ca="1"/>
        <v>Enclosed adventure zones</v>
      </c>
      <c r="U59" s="107" t="str">
        <f ca="1"/>
        <v>Clear sightlines for adults</v>
      </c>
      <c r="V59" s="107" t="str">
        <f ca="1"/>
        <v>Orienteering</v>
      </c>
      <c r="W59" s="107" t="str">
        <f ca="1"/>
        <v>Water play features</v>
      </c>
      <c r="X59" s="107" t="str">
        <f ca="1"/>
        <v>Swings</v>
      </c>
      <c r="Y59" s="107" t="str">
        <f ca="1"/>
        <v>Basket / nest swings</v>
      </c>
      <c r="Z59" s="107" t="str">
        <f ca="1"/>
        <v>Roundabouts</v>
      </c>
      <c r="AA59" s="107" t="str">
        <f ca="1"/>
        <v>Seesaws</v>
      </c>
      <c r="AB59" s="107" t="str">
        <f ca="1"/>
        <v>Springers / rockers</v>
      </c>
      <c r="AC59" s="107" t="str">
        <f ca="1"/>
        <v>Ground trampolines</v>
      </c>
      <c r="AD59" s="107" t="str">
        <f ca="1"/>
        <v>Sand play area</v>
      </c>
      <c r="AE59" s="107" t="str">
        <f ca="1"/>
        <v>Mud kitchen</v>
      </c>
      <c r="AF59" s="107" t="str">
        <f ca="1"/>
        <v>Den building area</v>
      </c>
      <c r="AG59" s="107" t="str">
        <f ca="1"/>
        <v>Log balance trail</v>
      </c>
      <c r="AH59" s="107" t="str">
        <f ca="1"/>
        <v>Natural boulders</v>
      </c>
      <c r="AI59" s="107" t="str">
        <f ca="1"/>
        <v>Stream or water channel</v>
      </c>
      <c r="AJ59" s="107" t="str">
        <f ca="1"/>
        <v>Wooded setting</v>
      </c>
      <c r="AK59" s="107" t="str">
        <f ca="1"/>
        <v>Open grass / running space</v>
      </c>
      <c r="AL59" s="107" t="str">
        <f ca="1"/>
        <v>Bowl</v>
      </c>
      <c r="AM59" s="107" t="str">
        <f ca="1"/>
        <v>Quarter pipes</v>
      </c>
      <c r="AN59" s="107" t="str">
        <f ca="1"/>
        <v>Street skating features</v>
      </c>
      <c r="AO59" s="107" t="str">
        <f ca="1"/>
        <v>Pump track</v>
      </c>
      <c r="AP59" s="107" t="str">
        <f ca="1"/>
        <v>BMX track</v>
      </c>
      <c r="AQ59" s="107" t="str">
        <f ca="1"/>
        <v>Dirt jumps</v>
      </c>
      <c r="AR59" s="107" t="str">
        <f ca="1"/>
        <v>Wheelchair accessible equipment</v>
      </c>
      <c r="AS59" s="107" t="str">
        <f ca="1"/>
        <v>Inclusive swings</v>
      </c>
      <c r="AT59" s="107" t="str">
        <f ca="1"/>
        <v>Sensory play features</v>
      </c>
    </row>
    <row r="60" spans="1:46">
      <c r="A60" s="107" t="str" cm="1">
        <f t="array" aca="1" ref="A60:AF60" ca="1">TRANSPOSE(INDIRECT(_xlfn.SWITCH(Venues!B60,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Early access introduction</v>
      </c>
      <c r="B60" s="107" t="str">
        <f ca="1"/>
        <v>Skill progression</v>
      </c>
      <c r="C60" s="107" t="str">
        <f ca="1"/>
        <v>Confidence building</v>
      </c>
      <c r="D60" s="107" t="str">
        <f ca="1"/>
        <v>Coordination &amp; balance</v>
      </c>
      <c r="E60" s="107" t="str">
        <f ca="1"/>
        <v>Strength &amp; agility</v>
      </c>
      <c r="F60" s="107" t="str">
        <f ca="1"/>
        <v>Structured coaching</v>
      </c>
      <c r="G60" s="107" t="str">
        <f ca="1"/>
        <v>Mixed-ability sessions</v>
      </c>
      <c r="H60" s="107" t="str">
        <f ca="1"/>
        <v>Team-based</v>
      </c>
      <c r="I60" s="107" t="str">
        <f ca="1"/>
        <v>Friendly competition</v>
      </c>
      <c r="J60" s="107" t="str">
        <f ca="1"/>
        <v>Non-competitive options</v>
      </c>
      <c r="K60" s="107" t="str">
        <f ca="1"/>
        <v>Indoor sports halls</v>
      </c>
      <c r="L60" s="107" t="str">
        <f ca="1"/>
        <v>Outdoor pitches</v>
      </c>
      <c r="M60" s="107" t="str">
        <f ca="1"/>
        <v>Purpose-built facilities</v>
      </c>
      <c r="N60" s="107" t="str">
        <f ca="1"/>
        <v>Safe enclosed spaces</v>
      </c>
      <c r="O60" s="107" t="str">
        <f ca="1"/>
        <v>All-weather options</v>
      </c>
      <c r="P60" s="107" t="str">
        <f ca="1"/>
        <v>Swimming</v>
      </c>
      <c r="Q60" s="107" t="str">
        <f ca="1"/>
        <v>Sea-sports</v>
      </c>
      <c r="R60" s="107" t="str">
        <f ca="1"/>
        <v>Climbing</v>
      </c>
      <c r="S60" s="107" t="str">
        <f ca="1"/>
        <v>Athletics &amp; Running</v>
      </c>
      <c r="T60" s="107" t="str">
        <f ca="1"/>
        <v>Gymnastics</v>
      </c>
      <c r="U60" s="107" t="str">
        <f ca="1"/>
        <v>Parkour &amp; freerunning</v>
      </c>
      <c r="V60" s="107" t="str">
        <f ca="1"/>
        <v>Racquet sports</v>
      </c>
      <c r="W60" s="107" t="str">
        <f ca="1"/>
        <v>Ninja warrior style courses</v>
      </c>
      <c r="X60" s="107" t="str">
        <f ca="1"/>
        <v>Assault courses</v>
      </c>
      <c r="Y60" s="107" t="str">
        <f ca="1"/>
        <v>Obstacle courses</v>
      </c>
      <c r="Z60" s="107" t="str">
        <f ca="1"/>
        <v>Aerial / high ropes (indoor)</v>
      </c>
      <c r="AA60" s="107" t="str">
        <f ca="1"/>
        <v>Ball Sports</v>
      </c>
      <c r="AB60" s="107" t="str">
        <f ca="1"/>
        <v>Outdoor Fitness</v>
      </c>
      <c r="AC60" s="107" t="str">
        <f ca="1"/>
        <v>Martial Arts</v>
      </c>
      <c r="AD60" s="107" t="str">
        <f ca="1"/>
        <v>Dance &amp; Movement</v>
      </c>
      <c r="AE60" s="107" t="str">
        <f ca="1"/>
        <v>Skateboarding</v>
      </c>
      <c r="AF60" s="107" t="str">
        <f ca="1"/>
        <v>Movement skills training</v>
      </c>
    </row>
    <row r="61" spans="1:46">
      <c r="A61" s="107" t="str" cm="1">
        <f t="array" aca="1" ref="A61:S61" ca="1">TRANSPOSE(INDIRECT(_xlfn.SWITCH(Venues!B61,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Climbing Logs or balance beams</v>
      </c>
      <c r="B61" s="107" t="str">
        <f ca="1"/>
        <v>Mud kitchens</v>
      </c>
      <c r="C61" s="107" t="str">
        <f ca="1"/>
        <v>Sand, soil, and loose materials</v>
      </c>
      <c r="D61" s="107" t="str">
        <f ca="1"/>
        <v>Den-building materials</v>
      </c>
      <c r="E61" s="107" t="str">
        <f ca="1"/>
        <v>Natural construction zones</v>
      </c>
      <c r="F61" s="107" t="str">
        <f ca="1"/>
        <v>Mud and puddles</v>
      </c>
      <c r="G61" s="107" t="str">
        <f ca="1"/>
        <v>Shallow water play (streams, channels)</v>
      </c>
      <c r="H61" s="107" t="str">
        <f ca="1"/>
        <v>Forest school activities</v>
      </c>
      <c r="I61" s="107" t="str">
        <f ca="1"/>
        <v>Guided outdoor learning prompts</v>
      </c>
      <c r="J61" s="107" t="str">
        <f ca="1"/>
        <v>Marked Trails</v>
      </c>
      <c r="K61" s="107" t="str">
        <f ca="1"/>
        <v>Children’s Activity Trails</v>
      </c>
      <c r="L61" s="107" t="str">
        <f ca="1"/>
        <v>Letterboxing</v>
      </c>
      <c r="M61" s="107" t="str">
        <f ca="1"/>
        <v>Fossil Hunting</v>
      </c>
      <c r="N61" s="107" t="str">
        <f ca="1"/>
        <v>Farming school activities</v>
      </c>
      <c r="O61" s="107" t="str">
        <f ca="1"/>
        <v>Simple tool use (supervised)</v>
      </c>
      <c r="P61" s="107" t="str">
        <f ca="1"/>
        <v>Fire pits (when part of structured sessions)</v>
      </c>
      <c r="Q61" s="107" t="str">
        <f ca="1"/>
        <v>Immersive natural surroundings</v>
      </c>
      <c r="R61" s="107" t="str">
        <f ca="1"/>
        <v>Quiet or low-intervention spaces</v>
      </c>
      <c r="S61" s="107" t="str">
        <f ca="1"/>
        <v>Enclosed or defined play zones</v>
      </c>
    </row>
    <row r="62" spans="1:46">
      <c r="A62" s="107" t="str" cm="1">
        <f t="array" aca="1" ref="A62:AT62" ca="1">TRANSPOSE(INDIRECT(_xlfn.SWITCH(Venues!B62,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62" s="107" t="str">
        <f ca="1"/>
        <v>Climbing frames</v>
      </c>
      <c r="C62" s="107" t="str">
        <f ca="1"/>
        <v>Balance elements</v>
      </c>
      <c r="D62" s="107" t="str">
        <f ca="1"/>
        <v>Scramble nets</v>
      </c>
      <c r="E62" s="107" t="str">
        <f ca="1"/>
        <v>Stepping obstacles</v>
      </c>
      <c r="F62" s="107" t="str">
        <f ca="1"/>
        <v>Towers and platforms</v>
      </c>
      <c r="G62" s="107" t="str">
        <f ca="1"/>
        <v xml:space="preserve">Slides </v>
      </c>
      <c r="H62" s="107" t="str">
        <f ca="1"/>
        <v>Zip wires</v>
      </c>
      <c r="I62" s="107" t="str">
        <f ca="1"/>
        <v>Fireman's poles</v>
      </c>
      <c r="J62" s="107" t="str">
        <f ca="1"/>
        <v>Ropes &amp; aerial adventures</v>
      </c>
      <c r="K62" s="107" t="str">
        <f ca="1"/>
        <v>Climbing rocks or bouldering</v>
      </c>
      <c r="L62" s="107" t="str">
        <f ca="1"/>
        <v>Climbing wall</v>
      </c>
      <c r="M62" s="107" t="str">
        <f ca="1"/>
        <v>Rope swings</v>
      </c>
      <c r="N62" s="107" t="str">
        <f ca="1"/>
        <v>Abseiling or high ropes</v>
      </c>
      <c r="O62" s="107" t="str">
        <f ca="1"/>
        <v>Fort-style structures</v>
      </c>
      <c r="P62" s="107" t="str">
        <f ca="1"/>
        <v>Lookout points</v>
      </c>
      <c r="Q62" s="107" t="str">
        <f ca="1"/>
        <v>Tunnels and crawl spaces</v>
      </c>
      <c r="R62" s="107" t="str">
        <f ca="1"/>
        <v>Obstacle courses</v>
      </c>
      <c r="S62" s="107" t="str">
        <f ca="1"/>
        <v>Mixed-difficulty zones</v>
      </c>
      <c r="T62" s="107" t="str">
        <f ca="1"/>
        <v>Enclosed adventure zones</v>
      </c>
      <c r="U62" s="107" t="str">
        <f ca="1"/>
        <v>Clear sightlines for adults</v>
      </c>
      <c r="V62" s="107" t="str">
        <f ca="1"/>
        <v>Orienteering</v>
      </c>
      <c r="W62" s="107" t="str">
        <f ca="1"/>
        <v>Water play features</v>
      </c>
      <c r="X62" s="107" t="str">
        <f ca="1"/>
        <v>Swings</v>
      </c>
      <c r="Y62" s="107" t="str">
        <f ca="1"/>
        <v>Basket / nest swings</v>
      </c>
      <c r="Z62" s="107" t="str">
        <f ca="1"/>
        <v>Roundabouts</v>
      </c>
      <c r="AA62" s="107" t="str">
        <f ca="1"/>
        <v>Seesaws</v>
      </c>
      <c r="AB62" s="107" t="str">
        <f ca="1"/>
        <v>Springers / rockers</v>
      </c>
      <c r="AC62" s="107" t="str">
        <f ca="1"/>
        <v>Ground trampolines</v>
      </c>
      <c r="AD62" s="107" t="str">
        <f ca="1"/>
        <v>Sand play area</v>
      </c>
      <c r="AE62" s="107" t="str">
        <f ca="1"/>
        <v>Mud kitchen</v>
      </c>
      <c r="AF62" s="107" t="str">
        <f ca="1"/>
        <v>Den building area</v>
      </c>
      <c r="AG62" s="107" t="str">
        <f ca="1"/>
        <v>Log balance trail</v>
      </c>
      <c r="AH62" s="107" t="str">
        <f ca="1"/>
        <v>Natural boulders</v>
      </c>
      <c r="AI62" s="107" t="str">
        <f ca="1"/>
        <v>Stream or water channel</v>
      </c>
      <c r="AJ62" s="107" t="str">
        <f ca="1"/>
        <v>Wooded setting</v>
      </c>
      <c r="AK62" s="107" t="str">
        <f ca="1"/>
        <v>Open grass / running space</v>
      </c>
      <c r="AL62" s="107" t="str">
        <f ca="1"/>
        <v>Bowl</v>
      </c>
      <c r="AM62" s="107" t="str">
        <f ca="1"/>
        <v>Quarter pipes</v>
      </c>
      <c r="AN62" s="107" t="str">
        <f ca="1"/>
        <v>Street skating features</v>
      </c>
      <c r="AO62" s="107" t="str">
        <f ca="1"/>
        <v>Pump track</v>
      </c>
      <c r="AP62" s="107" t="str">
        <f ca="1"/>
        <v>BMX track</v>
      </c>
      <c r="AQ62" s="107" t="str">
        <f ca="1"/>
        <v>Dirt jumps</v>
      </c>
      <c r="AR62" s="107" t="str">
        <f ca="1"/>
        <v>Wheelchair accessible equipment</v>
      </c>
      <c r="AS62" s="107" t="str">
        <f ca="1"/>
        <v>Inclusive swings</v>
      </c>
      <c r="AT62" s="107" t="str">
        <f ca="1"/>
        <v>Sensory play features</v>
      </c>
    </row>
    <row r="63" spans="1:46">
      <c r="A63" s="107" t="str" cm="1">
        <f t="array" aca="1" ref="A63:AT63" ca="1">TRANSPOSE(INDIRECT(_xlfn.SWITCH(Venues!B63,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63" s="107" t="str">
        <f ca="1"/>
        <v>Climbing frames</v>
      </c>
      <c r="C63" s="107" t="str">
        <f ca="1"/>
        <v>Balance elements</v>
      </c>
      <c r="D63" s="107" t="str">
        <f ca="1"/>
        <v>Scramble nets</v>
      </c>
      <c r="E63" s="107" t="str">
        <f ca="1"/>
        <v>Stepping obstacles</v>
      </c>
      <c r="F63" s="107" t="str">
        <f ca="1"/>
        <v>Towers and platforms</v>
      </c>
      <c r="G63" s="107" t="str">
        <f ca="1"/>
        <v xml:space="preserve">Slides </v>
      </c>
      <c r="H63" s="107" t="str">
        <f ca="1"/>
        <v>Zip wires</v>
      </c>
      <c r="I63" s="107" t="str">
        <f ca="1"/>
        <v>Fireman's poles</v>
      </c>
      <c r="J63" s="107" t="str">
        <f ca="1"/>
        <v>Ropes &amp; aerial adventures</v>
      </c>
      <c r="K63" s="107" t="str">
        <f ca="1"/>
        <v>Climbing rocks or bouldering</v>
      </c>
      <c r="L63" s="107" t="str">
        <f ca="1"/>
        <v>Climbing wall</v>
      </c>
      <c r="M63" s="107" t="str">
        <f ca="1"/>
        <v>Rope swings</v>
      </c>
      <c r="N63" s="107" t="str">
        <f ca="1"/>
        <v>Abseiling or high ropes</v>
      </c>
      <c r="O63" s="107" t="str">
        <f ca="1"/>
        <v>Fort-style structures</v>
      </c>
      <c r="P63" s="107" t="str">
        <f ca="1"/>
        <v>Lookout points</v>
      </c>
      <c r="Q63" s="107" t="str">
        <f ca="1"/>
        <v>Tunnels and crawl spaces</v>
      </c>
      <c r="R63" s="107" t="str">
        <f ca="1"/>
        <v>Obstacle courses</v>
      </c>
      <c r="S63" s="107" t="str">
        <f ca="1"/>
        <v>Mixed-difficulty zones</v>
      </c>
      <c r="T63" s="107" t="str">
        <f ca="1"/>
        <v>Enclosed adventure zones</v>
      </c>
      <c r="U63" s="107" t="str">
        <f ca="1"/>
        <v>Clear sightlines for adults</v>
      </c>
      <c r="V63" s="107" t="str">
        <f ca="1"/>
        <v>Orienteering</v>
      </c>
      <c r="W63" s="107" t="str">
        <f ca="1"/>
        <v>Water play features</v>
      </c>
      <c r="X63" s="107" t="str">
        <f ca="1"/>
        <v>Swings</v>
      </c>
      <c r="Y63" s="107" t="str">
        <f ca="1"/>
        <v>Basket / nest swings</v>
      </c>
      <c r="Z63" s="107" t="str">
        <f ca="1"/>
        <v>Roundabouts</v>
      </c>
      <c r="AA63" s="107" t="str">
        <f ca="1"/>
        <v>Seesaws</v>
      </c>
      <c r="AB63" s="107" t="str">
        <f ca="1"/>
        <v>Springers / rockers</v>
      </c>
      <c r="AC63" s="107" t="str">
        <f ca="1"/>
        <v>Ground trampolines</v>
      </c>
      <c r="AD63" s="107" t="str">
        <f ca="1"/>
        <v>Sand play area</v>
      </c>
      <c r="AE63" s="107" t="str">
        <f ca="1"/>
        <v>Mud kitchen</v>
      </c>
      <c r="AF63" s="107" t="str">
        <f ca="1"/>
        <v>Den building area</v>
      </c>
      <c r="AG63" s="107" t="str">
        <f ca="1"/>
        <v>Log balance trail</v>
      </c>
      <c r="AH63" s="107" t="str">
        <f ca="1"/>
        <v>Natural boulders</v>
      </c>
      <c r="AI63" s="107" t="str">
        <f ca="1"/>
        <v>Stream or water channel</v>
      </c>
      <c r="AJ63" s="107" t="str">
        <f ca="1"/>
        <v>Wooded setting</v>
      </c>
      <c r="AK63" s="107" t="str">
        <f ca="1"/>
        <v>Open grass / running space</v>
      </c>
      <c r="AL63" s="107" t="str">
        <f ca="1"/>
        <v>Bowl</v>
      </c>
      <c r="AM63" s="107" t="str">
        <f ca="1"/>
        <v>Quarter pipes</v>
      </c>
      <c r="AN63" s="107" t="str">
        <f ca="1"/>
        <v>Street skating features</v>
      </c>
      <c r="AO63" s="107" t="str">
        <f ca="1"/>
        <v>Pump track</v>
      </c>
      <c r="AP63" s="107" t="str">
        <f ca="1"/>
        <v>BMX track</v>
      </c>
      <c r="AQ63" s="107" t="str">
        <f ca="1"/>
        <v>Dirt jumps</v>
      </c>
      <c r="AR63" s="107" t="str">
        <f ca="1"/>
        <v>Wheelchair accessible equipment</v>
      </c>
      <c r="AS63" s="107" t="str">
        <f ca="1"/>
        <v>Inclusive swings</v>
      </c>
      <c r="AT63" s="107" t="str">
        <f ca="1"/>
        <v>Sensory play features</v>
      </c>
    </row>
    <row r="64" spans="1:46">
      <c r="A64" s="107" t="str" cm="1">
        <f t="array" aca="1" ref="A64:F64" ca="1">TRANSPOSE(INDIRECT(_xlfn.SWITCH(Venues!B64,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Science and engineering themes</v>
      </c>
      <c r="B64" s="107" t="str">
        <f ca="1"/>
        <v>Technology and robotics</v>
      </c>
      <c r="C64" s="107" t="str">
        <f ca="1"/>
        <v>Nature and the environment</v>
      </c>
      <c r="D64" s="107" t="str">
        <f ca="1"/>
        <v>History brought to life</v>
      </c>
      <c r="E64" s="107" t="str">
        <f ca="1"/>
        <v>Space and exploration</v>
      </c>
      <c r="F64" s="107" t="str">
        <f ca="1"/>
        <v>Rotating or seasonal exhibits</v>
      </c>
    </row>
    <row r="65" spans="1:46">
      <c r="A65" s="107" t="str" cm="1">
        <f t="array" aca="1" ref="A65:T65" ca="1">TRANSPOSE(INDIRECT(_xlfn.SWITCH(Venues!B65,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65" s="107" t="str">
        <f ca="1"/>
        <v>Ponds or lakes</v>
      </c>
      <c r="C65" s="107" t="str">
        <f ca="1"/>
        <v>Duck Ponds</v>
      </c>
      <c r="D65" s="107" t="str">
        <f ca="1"/>
        <v>Water Features or Fountains</v>
      </c>
      <c r="E65" s="107" t="str">
        <f ca="1"/>
        <v>Streams or ditches</v>
      </c>
      <c r="F65" s="107" t="str">
        <f ca="1"/>
        <v>Natural paddling spots</v>
      </c>
      <c r="G65" s="107" t="str">
        <f ca="1"/>
        <v>Room to run freely</v>
      </c>
      <c r="H65" s="107" t="str">
        <f ca="1"/>
        <v>Open sightlines</v>
      </c>
      <c r="I65" s="107" t="str">
        <f ca="1"/>
        <v>Countryside views</v>
      </c>
      <c r="J65" s="107" t="str">
        <f ca="1"/>
        <v>Scenic backdrops</v>
      </c>
      <c r="K65" s="107" t="str">
        <f ca="1"/>
        <v>Rolling landscapes</v>
      </c>
      <c r="L65" s="107" t="str">
        <f ca="1"/>
        <v>Bridges (wooden, stone, suspension)</v>
      </c>
      <c r="M65" s="107" t="str">
        <f ca="1"/>
        <v>Natural play features (logs, slopes, rocks)</v>
      </c>
      <c r="N65" s="107" t="str">
        <f ca="1"/>
        <v>Climbable trees</v>
      </c>
      <c r="O65" s="107" t="str">
        <f ca="1"/>
        <v>Grassy banks</v>
      </c>
      <c r="P65" s="107" t="str">
        <f ca="1"/>
        <v>Small hills / mounds</v>
      </c>
      <c r="Q65" s="107" t="str">
        <f ca="1"/>
        <v>Play equipment</v>
      </c>
      <c r="R65" s="107" t="str">
        <f ca="1"/>
        <v>Football or Rugby Posts</v>
      </c>
      <c r="S65" s="107" t="str">
        <f ca="1"/>
        <v>Marked Trails</v>
      </c>
      <c r="T65" s="107" t="str">
        <f ca="1"/>
        <v>Children’s Activity Trails</v>
      </c>
    </row>
    <row r="66" spans="1:46">
      <c r="A66" s="107" t="str" cm="1">
        <f t="array" aca="1" ref="A66:O66" ca="1">TRANSPOSE(INDIRECT(_xlfn.SWITCH(Venues!B66,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Rides &amp; attractions</v>
      </c>
      <c r="B66" s="107" t="str">
        <f ca="1"/>
        <v>Animals or animal experiences</v>
      </c>
      <c r="C66" s="107" t="str">
        <f ca="1"/>
        <v>Live shows or performances</v>
      </c>
      <c r="D66" s="107" t="str">
        <f ca="1"/>
        <v>Large interactive exhibits</v>
      </c>
      <c r="E66" s="107" t="str">
        <f ca="1"/>
        <v>Immersive or themed environments</v>
      </c>
      <c r="F66" s="107" t="str">
        <f ca="1"/>
        <v>Meet &amp; greet characters or people</v>
      </c>
      <c r="G66" s="107" t="str">
        <f ca="1"/>
        <v>Hands-on activities</v>
      </c>
      <c r="H66" s="107" t="str">
        <f ca="1"/>
        <v>Discovery trails</v>
      </c>
      <c r="I66" s="107" t="str">
        <f ca="1"/>
        <v>Challenges or missions</v>
      </c>
      <c r="J66" s="107" t="str">
        <f ca="1"/>
        <v>Play or activity zones</v>
      </c>
      <c r="K66" s="107" t="str">
        <f ca="1"/>
        <v>Landmark features</v>
      </c>
      <c r="L66" s="107" t="str">
        <f ca="1"/>
        <v>Iconic structures or rides</v>
      </c>
      <c r="M66" s="107" t="str">
        <f ca="1"/>
        <v>Water features</v>
      </c>
      <c r="N66" s="107" t="str">
        <f ca="1"/>
        <v>Scenic or dramatic settings</v>
      </c>
      <c r="O66" s="107" t="str">
        <f ca="1"/>
        <v>Themed trails (e.g. Halloween, Christmas, Easter)</v>
      </c>
    </row>
    <row r="67" spans="1:46">
      <c r="A67" s="107" t="str" cm="1">
        <f t="array" aca="1" ref="A67:S67" ca="1">TRANSPOSE(INDIRECT(_xlfn.SWITCH(Venues!B67,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Climbing Logs or balance beams</v>
      </c>
      <c r="B67" s="107" t="str">
        <f ca="1"/>
        <v>Mud kitchens</v>
      </c>
      <c r="C67" s="107" t="str">
        <f ca="1"/>
        <v>Sand, soil, and loose materials</v>
      </c>
      <c r="D67" s="107" t="str">
        <f ca="1"/>
        <v>Den-building materials</v>
      </c>
      <c r="E67" s="107" t="str">
        <f ca="1"/>
        <v>Natural construction zones</v>
      </c>
      <c r="F67" s="107" t="str">
        <f ca="1"/>
        <v>Mud and puddles</v>
      </c>
      <c r="G67" s="107" t="str">
        <f ca="1"/>
        <v>Shallow water play (streams, channels)</v>
      </c>
      <c r="H67" s="107" t="str">
        <f ca="1"/>
        <v>Forest school activities</v>
      </c>
      <c r="I67" s="107" t="str">
        <f ca="1"/>
        <v>Guided outdoor learning prompts</v>
      </c>
      <c r="J67" s="107" t="str">
        <f ca="1"/>
        <v>Marked Trails</v>
      </c>
      <c r="K67" s="107" t="str">
        <f ca="1"/>
        <v>Children’s Activity Trails</v>
      </c>
      <c r="L67" s="107" t="str">
        <f ca="1"/>
        <v>Letterboxing</v>
      </c>
      <c r="M67" s="107" t="str">
        <f ca="1"/>
        <v>Fossil Hunting</v>
      </c>
      <c r="N67" s="107" t="str">
        <f ca="1"/>
        <v>Farming school activities</v>
      </c>
      <c r="O67" s="107" t="str">
        <f ca="1"/>
        <v>Simple tool use (supervised)</v>
      </c>
      <c r="P67" s="107" t="str">
        <f ca="1"/>
        <v>Fire pits (when part of structured sessions)</v>
      </c>
      <c r="Q67" s="107" t="str">
        <f ca="1"/>
        <v>Immersive natural surroundings</v>
      </c>
      <c r="R67" s="107" t="str">
        <f ca="1"/>
        <v>Quiet or low-intervention spaces</v>
      </c>
      <c r="S67" s="107" t="str">
        <f ca="1"/>
        <v>Enclosed or defined play zones</v>
      </c>
    </row>
    <row r="68" spans="1:46">
      <c r="A68" s="107" t="str" cm="1">
        <f t="array" aca="1" ref="A68:AF68" ca="1">TRANSPOSE(INDIRECT(_xlfn.SWITCH(Venues!B68,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Shallow water</v>
      </c>
      <c r="B68" s="107" t="str">
        <f ca="1"/>
        <v>Deep water or plunge pools</v>
      </c>
      <c r="C68" s="107" t="str">
        <f ca="1"/>
        <v>Paddling spots</v>
      </c>
      <c r="D68" s="107" t="str">
        <f ca="1"/>
        <v>Natural Swimming Spots</v>
      </c>
      <c r="E68" s="107" t="str">
        <f ca="1"/>
        <v>Sheltered or shaded options</v>
      </c>
      <c r="F68" s="107" t="str">
        <f ca="1"/>
        <v>Predictable tides or flow</v>
      </c>
      <c r="G68" s="107" t="str">
        <f ca="1"/>
        <v>Lifeguarded areas (where applicable)</v>
      </c>
      <c r="H68" s="107" t="str">
        <f ca="1"/>
        <v>Instructor support</v>
      </c>
      <c r="I68" s="107" t="str">
        <f ca="1"/>
        <v>Splash-friendly areas</v>
      </c>
      <c r="J68" s="107" t="str">
        <f ca="1"/>
        <v>Opportunities to explore</v>
      </c>
      <c r="K68" s="107" t="str">
        <f ca="1"/>
        <v>Wildlife spotting</v>
      </c>
      <c r="L68" s="107" t="str">
        <f ca="1"/>
        <v>Fishing licenses; fishing spot</v>
      </c>
      <c r="M68" s="107" t="str">
        <f ca="1"/>
        <v>Jetty</v>
      </c>
      <c r="N68" s="107" t="str">
        <f ca="1"/>
        <v>River access for small boats or paddleboards</v>
      </c>
      <c r="O68" s="107" t="str">
        <f ca="1"/>
        <v>White water for experienced kayaking</v>
      </c>
      <c r="P68" s="107" t="str">
        <f ca="1"/>
        <v>Kayaking</v>
      </c>
      <c r="Q68" s="107" t="str">
        <f ca="1"/>
        <v>Rowing boats or small crafts</v>
      </c>
      <c r="R68" s="107" t="str">
        <f ca="1"/>
        <v>Paddleboarding</v>
      </c>
      <c r="S68" s="107" t="str">
        <f ca="1"/>
        <v>Lakes or reservoirs</v>
      </c>
      <c r="T68" s="107" t="str">
        <f ca="1"/>
        <v>Rivers or estuaries</v>
      </c>
      <c r="U68" s="107" t="str">
        <f ca="1"/>
        <v>River Beach</v>
      </c>
      <c r="V68" s="107" t="str">
        <f ca="1"/>
        <v>Beaches or coves</v>
      </c>
      <c r="W68" s="107" t="str">
        <f ca="1"/>
        <v>National Park</v>
      </c>
      <c r="X68" s="107" t="str">
        <f ca="1"/>
        <v>Blue Flag Beach</v>
      </c>
      <c r="Y68" s="107" t="str">
        <f ca="1"/>
        <v>Coasteering</v>
      </c>
      <c r="Z68" s="107" t="str">
        <f ca="1"/>
        <v>Raft Building</v>
      </c>
      <c r="AA68" s="107" t="str">
        <f ca="1"/>
        <v>Splash Pads / Sprinklers</v>
      </c>
      <c r="AB68" s="107" t="str">
        <f ca="1"/>
        <v>Water slides</v>
      </c>
      <c r="AC68" s="107" t="str">
        <f ca="1"/>
        <v>Inflatables</v>
      </c>
      <c r="AD68" s="107" t="str">
        <f ca="1"/>
        <v>Wave machines</v>
      </c>
      <c r="AE68" s="107" t="str">
        <f ca="1"/>
        <v>Water rides</v>
      </c>
      <c r="AF68" s="107" t="str">
        <f ca="1"/>
        <v>Woodland or countryside setting</v>
      </c>
    </row>
    <row r="69" spans="1:46">
      <c r="A69" s="107" t="str" cm="1">
        <f t="array" aca="1" ref="A69:AF69" ca="1">TRANSPOSE(INDIRECT(_xlfn.SWITCH(Venues!B69,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Shallow water</v>
      </c>
      <c r="B69" s="107" t="str">
        <f ca="1"/>
        <v>Deep water or plunge pools</v>
      </c>
      <c r="C69" s="107" t="str">
        <f ca="1"/>
        <v>Paddling spots</v>
      </c>
      <c r="D69" s="107" t="str">
        <f ca="1"/>
        <v>Natural Swimming Spots</v>
      </c>
      <c r="E69" s="107" t="str">
        <f ca="1"/>
        <v>Sheltered or shaded options</v>
      </c>
      <c r="F69" s="107" t="str">
        <f ca="1"/>
        <v>Predictable tides or flow</v>
      </c>
      <c r="G69" s="107" t="str">
        <f ca="1"/>
        <v>Lifeguarded areas (where applicable)</v>
      </c>
      <c r="H69" s="107" t="str">
        <f ca="1"/>
        <v>Instructor support</v>
      </c>
      <c r="I69" s="107" t="str">
        <f ca="1"/>
        <v>Splash-friendly areas</v>
      </c>
      <c r="J69" s="107" t="str">
        <f ca="1"/>
        <v>Opportunities to explore</v>
      </c>
      <c r="K69" s="107" t="str">
        <f ca="1"/>
        <v>Wildlife spotting</v>
      </c>
      <c r="L69" s="107" t="str">
        <f ca="1"/>
        <v>Fishing licenses; fishing spot</v>
      </c>
      <c r="M69" s="107" t="str">
        <f ca="1"/>
        <v>Jetty</v>
      </c>
      <c r="N69" s="107" t="str">
        <f ca="1"/>
        <v>River access for small boats or paddleboards</v>
      </c>
      <c r="O69" s="107" t="str">
        <f ca="1"/>
        <v>White water for experienced kayaking</v>
      </c>
      <c r="P69" s="107" t="str">
        <f ca="1"/>
        <v>Kayaking</v>
      </c>
      <c r="Q69" s="107" t="str">
        <f ca="1"/>
        <v>Rowing boats or small crafts</v>
      </c>
      <c r="R69" s="107" t="str">
        <f ca="1"/>
        <v>Paddleboarding</v>
      </c>
      <c r="S69" s="107" t="str">
        <f ca="1"/>
        <v>Lakes or reservoirs</v>
      </c>
      <c r="T69" s="107" t="str">
        <f ca="1"/>
        <v>Rivers or estuaries</v>
      </c>
      <c r="U69" s="107" t="str">
        <f ca="1"/>
        <v>River Beach</v>
      </c>
      <c r="V69" s="107" t="str">
        <f ca="1"/>
        <v>Beaches or coves</v>
      </c>
      <c r="W69" s="107" t="str">
        <f ca="1"/>
        <v>National Park</v>
      </c>
      <c r="X69" s="107" t="str">
        <f ca="1"/>
        <v>Blue Flag Beach</v>
      </c>
      <c r="Y69" s="107" t="str">
        <f ca="1"/>
        <v>Coasteering</v>
      </c>
      <c r="Z69" s="107" t="str">
        <f ca="1"/>
        <v>Raft Building</v>
      </c>
      <c r="AA69" s="107" t="str">
        <f ca="1"/>
        <v>Splash Pads / Sprinklers</v>
      </c>
      <c r="AB69" s="107" t="str">
        <f ca="1"/>
        <v>Water slides</v>
      </c>
      <c r="AC69" s="107" t="str">
        <f ca="1"/>
        <v>Inflatables</v>
      </c>
      <c r="AD69" s="107" t="str">
        <f ca="1"/>
        <v>Wave machines</v>
      </c>
      <c r="AE69" s="107" t="str">
        <f ca="1"/>
        <v>Water rides</v>
      </c>
      <c r="AF69" s="107" t="str">
        <f ca="1"/>
        <v>Woodland or countryside setting</v>
      </c>
    </row>
    <row r="70" spans="1:46">
      <c r="A70" s="107" t="str" cm="1">
        <f t="array" aca="1" ref="A70:F70" ca="1">TRANSPOSE(INDIRECT(_xlfn.SWITCH(Venues!B70,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Science and engineering themes</v>
      </c>
      <c r="B70" s="107" t="str">
        <f ca="1"/>
        <v>Technology and robotics</v>
      </c>
      <c r="C70" s="107" t="str">
        <f ca="1"/>
        <v>Nature and the environment</v>
      </c>
      <c r="D70" s="107" t="str">
        <f ca="1"/>
        <v>History brought to life</v>
      </c>
      <c r="E70" s="107" t="str">
        <f ca="1"/>
        <v>Space and exploration</v>
      </c>
      <c r="F70" s="107" t="str">
        <f ca="1"/>
        <v>Rotating or seasonal exhibits</v>
      </c>
    </row>
    <row r="71" spans="1:46">
      <c r="A71" s="107" t="str" cm="1">
        <f t="array" aca="1" ref="A71:J71" ca="1">TRANSPOSE(INDIRECT(_xlfn.SWITCH(Venues!B71,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71" s="107" t="str">
        <f ca="1"/>
        <v>Toy corner or play table</v>
      </c>
      <c r="C71" s="107" t="str">
        <f ca="1"/>
        <v>Puzzles or games</v>
      </c>
      <c r="D71" s="107" t="str">
        <f ca="1"/>
        <v>Colouring</v>
      </c>
      <c r="E71" s="107" t="str">
        <f ca="1"/>
        <v>Space to run around</v>
      </c>
      <c r="F71" s="107" t="str">
        <f ca="1"/>
        <v>Outdoor play area nearby</v>
      </c>
      <c r="G71" s="107" t="str">
        <f ca="1"/>
        <v>Farm animals nearby</v>
      </c>
      <c r="H71" s="107" t="str">
        <f ca="1"/>
        <v>Shop or browsing area (e.g. farm shop, garden centre)</v>
      </c>
      <c r="I71" s="107" t="str">
        <f ca="1"/>
        <v>Combined with a walk or attraction</v>
      </c>
      <c r="J71" s="107" t="str">
        <f ca="1"/>
        <v>Book swap or exchange library</v>
      </c>
    </row>
    <row r="72" spans="1:46">
      <c r="A72" s="107" t="str" cm="1">
        <f t="array" aca="1" ref="A72:X72" ca="1">TRANSPOSE(INDIRECT(_xlfn.SWITCH(Venues!B72,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Hands-on Petting</v>
      </c>
      <c r="B72" s="107" t="str">
        <f ca="1"/>
        <v>Animal feeding</v>
      </c>
      <c r="C72" s="107" t="str">
        <f ca="1"/>
        <v>Close-up viewing</v>
      </c>
      <c r="D72" s="107" t="str">
        <f ca="1"/>
        <v>Keeper talks</v>
      </c>
      <c r="E72" s="107" t="str">
        <f ca="1"/>
        <v>Animal Experience Day</v>
      </c>
      <c r="F72" s="107" t="str">
        <f ca="1"/>
        <v>Trekking, rides or hacking</v>
      </c>
      <c r="G72" s="107" t="str">
        <f ca="1"/>
        <v>Guided walks</v>
      </c>
      <c r="H72" s="107" t="str">
        <f ca="1"/>
        <v>Animal husbandry</v>
      </c>
      <c r="I72" s="107" t="str">
        <f ca="1"/>
        <v>Tractor rides</v>
      </c>
      <c r="J72" s="107" t="str">
        <f ca="1"/>
        <v>Animal races</v>
      </c>
      <c r="K72" s="107" t="str">
        <f ca="1"/>
        <v>Animal displays or shows</v>
      </c>
      <c r="L72" s="107" t="str">
        <f ca="1"/>
        <v>Drive-through Safari</v>
      </c>
      <c r="M72" s="107" t="str">
        <f ca="1"/>
        <v>Litter Farmer Experiences</v>
      </c>
      <c r="N72" s="107" t="str">
        <f ca="1"/>
        <v>Multiple species</v>
      </c>
      <c r="O72" s="107" t="str">
        <f ca="1"/>
        <v>Rare or exotic animals</v>
      </c>
      <c r="P72" s="107" t="str">
        <f ca="1"/>
        <v>Animal Sanctuary</v>
      </c>
      <c r="Q72" s="107" t="str">
        <f ca="1"/>
        <v>Conservation</v>
      </c>
      <c r="R72" s="107" t="str">
        <f ca="1"/>
        <v>Baby animals (seasonal)</v>
      </c>
      <c r="S72" s="107" t="str">
        <f ca="1"/>
        <v>Walk-through enclosures</v>
      </c>
      <c r="T72" s="107" t="str">
        <f ca="1"/>
        <v>Rides or Treks</v>
      </c>
      <c r="U72" s="107" t="str">
        <f ca="1"/>
        <v>Outdoor animal areas</v>
      </c>
      <c r="V72" s="107" t="str">
        <f ca="1"/>
        <v>Marked Trails</v>
      </c>
      <c r="W72" s="107" t="str">
        <f ca="1"/>
        <v>Children’s Activity Trails</v>
      </c>
      <c r="X72" s="107" t="str">
        <f ca="1"/>
        <v>Farm-based activities (e.g. egg collecting)</v>
      </c>
    </row>
    <row r="73" spans="1:46">
      <c r="A73" s="107" t="str" cm="1">
        <f t="array" aca="1" ref="A73:O73" ca="1">TRANSPOSE(INDIRECT(_xlfn.SWITCH(Venues!B73,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Themed environments</v>
      </c>
      <c r="B73" s="107" t="str">
        <f ca="1"/>
        <v>Immersive settings</v>
      </c>
      <c r="C73" s="107" t="str">
        <f ca="1"/>
        <v>Dressing Up Clothes</v>
      </c>
      <c r="D73" s="107" t="str">
        <f ca="1"/>
        <v>Ride-on vehicles or toys</v>
      </c>
      <c r="E73" s="107" t="str">
        <f ca="1"/>
        <v>Narrative backdrops</v>
      </c>
      <c r="F73" s="107" t="str">
        <f ca="1"/>
        <v>Role-based scenarios</v>
      </c>
      <c r="G73" s="107" t="str">
        <f ca="1"/>
        <v>Character-led play</v>
      </c>
      <c r="H73" s="107" t="str">
        <f ca="1"/>
        <v>Story-led experiences</v>
      </c>
      <c r="I73" s="107" t="str">
        <f ca="1"/>
        <v>Mission or quest elements</v>
      </c>
      <c r="J73" s="107" t="str">
        <f ca="1"/>
        <v>Problem-solving within a storyline</v>
      </c>
      <c r="K73" s="107" t="str">
        <f ca="1"/>
        <v>Cooperative scenarios</v>
      </c>
      <c r="L73" s="107" t="str">
        <f ca="1"/>
        <v>Group problem-solving</v>
      </c>
      <c r="M73" s="107" t="str">
        <f ca="1"/>
        <v>Shared imaginative spaces</v>
      </c>
      <c r="N73" s="107" t="str">
        <f ca="1"/>
        <v>Social role negotiation</v>
      </c>
      <c r="O73" s="107" t="str">
        <f ca="1"/>
        <v>Open-ended play structure</v>
      </c>
    </row>
    <row r="74" spans="1:46">
      <c r="A74" s="107" t="str" cm="1">
        <f t="array" aca="1" ref="A74:X74" ca="1">TRANSPOSE(INDIRECT(_xlfn.SWITCH(Venues!B74,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Hands-on Petting</v>
      </c>
      <c r="B74" s="107" t="str">
        <f ca="1"/>
        <v>Animal feeding</v>
      </c>
      <c r="C74" s="107" t="str">
        <f ca="1"/>
        <v>Close-up viewing</v>
      </c>
      <c r="D74" s="107" t="str">
        <f ca="1"/>
        <v>Keeper talks</v>
      </c>
      <c r="E74" s="107" t="str">
        <f ca="1"/>
        <v>Animal Experience Day</v>
      </c>
      <c r="F74" s="107" t="str">
        <f ca="1"/>
        <v>Trekking, rides or hacking</v>
      </c>
      <c r="G74" s="107" t="str">
        <f ca="1"/>
        <v>Guided walks</v>
      </c>
      <c r="H74" s="107" t="str">
        <f ca="1"/>
        <v>Animal husbandry</v>
      </c>
      <c r="I74" s="107" t="str">
        <f ca="1"/>
        <v>Tractor rides</v>
      </c>
      <c r="J74" s="107" t="str">
        <f ca="1"/>
        <v>Animal races</v>
      </c>
      <c r="K74" s="107" t="str">
        <f ca="1"/>
        <v>Animal displays or shows</v>
      </c>
      <c r="L74" s="107" t="str">
        <f ca="1"/>
        <v>Drive-through Safari</v>
      </c>
      <c r="M74" s="107" t="str">
        <f ca="1"/>
        <v>Litter Farmer Experiences</v>
      </c>
      <c r="N74" s="107" t="str">
        <f ca="1"/>
        <v>Multiple species</v>
      </c>
      <c r="O74" s="107" t="str">
        <f ca="1"/>
        <v>Rare or exotic animals</v>
      </c>
      <c r="P74" s="107" t="str">
        <f ca="1"/>
        <v>Animal Sanctuary</v>
      </c>
      <c r="Q74" s="107" t="str">
        <f ca="1"/>
        <v>Conservation</v>
      </c>
      <c r="R74" s="107" t="str">
        <f ca="1"/>
        <v>Baby animals (seasonal)</v>
      </c>
      <c r="S74" s="107" t="str">
        <f ca="1"/>
        <v>Walk-through enclosures</v>
      </c>
      <c r="T74" s="107" t="str">
        <f ca="1"/>
        <v>Rides or Treks</v>
      </c>
      <c r="U74" s="107" t="str">
        <f ca="1"/>
        <v>Outdoor animal areas</v>
      </c>
      <c r="V74" s="107" t="str">
        <f ca="1"/>
        <v>Marked Trails</v>
      </c>
      <c r="W74" s="107" t="str">
        <f ca="1"/>
        <v>Children’s Activity Trails</v>
      </c>
      <c r="X74" s="107" t="str">
        <f ca="1"/>
        <v>Farm-based activities (e.g. egg collecting)</v>
      </c>
    </row>
    <row r="75" spans="1:46">
      <c r="A75" s="107" t="str" cm="1">
        <f t="array" aca="1" ref="A75:X75" ca="1">TRANSPOSE(INDIRECT(_xlfn.SWITCH(Venues!B75,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Hands-on Petting</v>
      </c>
      <c r="B75" s="107" t="str">
        <f ca="1"/>
        <v>Animal feeding</v>
      </c>
      <c r="C75" s="107" t="str">
        <f ca="1"/>
        <v>Close-up viewing</v>
      </c>
      <c r="D75" s="107" t="str">
        <f ca="1"/>
        <v>Keeper talks</v>
      </c>
      <c r="E75" s="107" t="str">
        <f ca="1"/>
        <v>Animal Experience Day</v>
      </c>
      <c r="F75" s="107" t="str">
        <f ca="1"/>
        <v>Trekking, rides or hacking</v>
      </c>
      <c r="G75" s="107" t="str">
        <f ca="1"/>
        <v>Guided walks</v>
      </c>
      <c r="H75" s="107" t="str">
        <f ca="1"/>
        <v>Animal husbandry</v>
      </c>
      <c r="I75" s="107" t="str">
        <f ca="1"/>
        <v>Tractor rides</v>
      </c>
      <c r="J75" s="107" t="str">
        <f ca="1"/>
        <v>Animal races</v>
      </c>
      <c r="K75" s="107" t="str">
        <f ca="1"/>
        <v>Animal displays or shows</v>
      </c>
      <c r="L75" s="107" t="str">
        <f ca="1"/>
        <v>Drive-through Safari</v>
      </c>
      <c r="M75" s="107" t="str">
        <f ca="1"/>
        <v>Litter Farmer Experiences</v>
      </c>
      <c r="N75" s="107" t="str">
        <f ca="1"/>
        <v>Multiple species</v>
      </c>
      <c r="O75" s="107" t="str">
        <f ca="1"/>
        <v>Rare or exotic animals</v>
      </c>
      <c r="P75" s="107" t="str">
        <f ca="1"/>
        <v>Animal Sanctuary</v>
      </c>
      <c r="Q75" s="107" t="str">
        <f ca="1"/>
        <v>Conservation</v>
      </c>
      <c r="R75" s="107" t="str">
        <f ca="1"/>
        <v>Baby animals (seasonal)</v>
      </c>
      <c r="S75" s="107" t="str">
        <f ca="1"/>
        <v>Walk-through enclosures</v>
      </c>
      <c r="T75" s="107" t="str">
        <f ca="1"/>
        <v>Rides or Treks</v>
      </c>
      <c r="U75" s="107" t="str">
        <f ca="1"/>
        <v>Outdoor animal areas</v>
      </c>
      <c r="V75" s="107" t="str">
        <f ca="1"/>
        <v>Marked Trails</v>
      </c>
      <c r="W75" s="107" t="str">
        <f ca="1"/>
        <v>Children’s Activity Trails</v>
      </c>
      <c r="X75" s="107" t="str">
        <f ca="1"/>
        <v>Farm-based activities (e.g. egg collecting)</v>
      </c>
    </row>
    <row r="76" spans="1:46">
      <c r="A76" s="107" t="str" cm="1">
        <f t="array" aca="1" ref="A76:U76" ca="1">TRANSPOSE(INDIRECT(_xlfn.SWITCH(Venues!B76,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Historic buildings</v>
      </c>
      <c r="B76" s="107" t="str">
        <f ca="1"/>
        <v>Costumed interpretation</v>
      </c>
      <c r="C76" s="107" t="str">
        <f ca="1"/>
        <v>Recreated environments</v>
      </c>
      <c r="D76" s="107" t="str">
        <f ca="1"/>
        <v>Period features</v>
      </c>
      <c r="E76" s="107" t="str">
        <f ca="1"/>
        <v>Ruins to explore</v>
      </c>
      <c r="F76" s="107" t="str">
        <f ca="1"/>
        <v>Dungeons</v>
      </c>
      <c r="G76" s="107" t="str">
        <f ca="1"/>
        <v>Towers, walls, and tunnels</v>
      </c>
      <c r="H76" s="107" t="str">
        <f ca="1"/>
        <v>Fossils</v>
      </c>
      <c r="I76" s="107" t="str">
        <f ca="1"/>
        <v>Castles or Fortresses</v>
      </c>
      <c r="J76" s="107" t="str">
        <f ca="1"/>
        <v>Hidden rooms or passages</v>
      </c>
      <c r="K76" s="107" t="str">
        <f ca="1"/>
        <v>Outdoor grounds</v>
      </c>
      <c r="L76" s="107" t="str">
        <f ca="1"/>
        <v>Story-led interpretation</v>
      </c>
      <c r="M76" s="107" t="str">
        <f ca="1"/>
        <v>Audio guides or trails</v>
      </c>
      <c r="N76" s="107" t="str">
        <f ca="1"/>
        <v>Visual displays</v>
      </c>
      <c r="O76" s="107" t="str">
        <f ca="1"/>
        <v>Interactive elements</v>
      </c>
      <c r="P76" s="107" t="str">
        <f ca="1"/>
        <v>Discovery trails</v>
      </c>
      <c r="Q76" s="107" t="str">
        <f ca="1"/>
        <v>Hands-on exhibits</v>
      </c>
      <c r="R76" s="107" t="str">
        <f ca="1"/>
        <v>Dress-up areas</v>
      </c>
      <c r="S76" s="107" t="str">
        <f ca="1"/>
        <v>Re-enactment days</v>
      </c>
      <c r="T76" s="107" t="str">
        <f ca="1"/>
        <v>Craft or heritage activities</v>
      </c>
      <c r="U76" s="107" t="str">
        <f ca="1"/>
        <v>Demonstrations</v>
      </c>
    </row>
    <row r="77" spans="1:46">
      <c r="A77" s="107" t="str" cm="1">
        <f t="array" aca="1" ref="A77:U77" ca="1">TRANSPOSE(INDIRECT(_xlfn.SWITCH(Venues!B77,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Historic buildings</v>
      </c>
      <c r="B77" s="107" t="str">
        <f ca="1"/>
        <v>Costumed interpretation</v>
      </c>
      <c r="C77" s="107" t="str">
        <f ca="1"/>
        <v>Recreated environments</v>
      </c>
      <c r="D77" s="107" t="str">
        <f ca="1"/>
        <v>Period features</v>
      </c>
      <c r="E77" s="107" t="str">
        <f ca="1"/>
        <v>Ruins to explore</v>
      </c>
      <c r="F77" s="107" t="str">
        <f ca="1"/>
        <v>Dungeons</v>
      </c>
      <c r="G77" s="107" t="str">
        <f ca="1"/>
        <v>Towers, walls, and tunnels</v>
      </c>
      <c r="H77" s="107" t="str">
        <f ca="1"/>
        <v>Fossils</v>
      </c>
      <c r="I77" s="107" t="str">
        <f ca="1"/>
        <v>Castles or Fortresses</v>
      </c>
      <c r="J77" s="107" t="str">
        <f ca="1"/>
        <v>Hidden rooms or passages</v>
      </c>
      <c r="K77" s="107" t="str">
        <f ca="1"/>
        <v>Outdoor grounds</v>
      </c>
      <c r="L77" s="107" t="str">
        <f ca="1"/>
        <v>Story-led interpretation</v>
      </c>
      <c r="M77" s="107" t="str">
        <f ca="1"/>
        <v>Audio guides or trails</v>
      </c>
      <c r="N77" s="107" t="str">
        <f ca="1"/>
        <v>Visual displays</v>
      </c>
      <c r="O77" s="107" t="str">
        <f ca="1"/>
        <v>Interactive elements</v>
      </c>
      <c r="P77" s="107" t="str">
        <f ca="1"/>
        <v>Discovery trails</v>
      </c>
      <c r="Q77" s="107" t="str">
        <f ca="1"/>
        <v>Hands-on exhibits</v>
      </c>
      <c r="R77" s="107" t="str">
        <f ca="1"/>
        <v>Dress-up areas</v>
      </c>
      <c r="S77" s="107" t="str">
        <f ca="1"/>
        <v>Re-enactment days</v>
      </c>
      <c r="T77" s="107" t="str">
        <f ca="1"/>
        <v>Craft or heritage activities</v>
      </c>
      <c r="U77" s="107" t="str">
        <f ca="1"/>
        <v>Demonstrations</v>
      </c>
    </row>
    <row r="78" spans="1:46">
      <c r="A78" s="107" t="str" cm="1">
        <f t="array" aca="1" ref="A78:AF78" ca="1">TRANSPOSE(INDIRECT(_xlfn.SWITCH(Venues!B78,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Early access introduction</v>
      </c>
      <c r="B78" s="107" t="str">
        <f ca="1"/>
        <v>Skill progression</v>
      </c>
      <c r="C78" s="107" t="str">
        <f ca="1"/>
        <v>Confidence building</v>
      </c>
      <c r="D78" s="107" t="str">
        <f ca="1"/>
        <v>Coordination &amp; balance</v>
      </c>
      <c r="E78" s="107" t="str">
        <f ca="1"/>
        <v>Strength &amp; agility</v>
      </c>
      <c r="F78" s="107" t="str">
        <f ca="1"/>
        <v>Structured coaching</v>
      </c>
      <c r="G78" s="107" t="str">
        <f ca="1"/>
        <v>Mixed-ability sessions</v>
      </c>
      <c r="H78" s="107" t="str">
        <f ca="1"/>
        <v>Team-based</v>
      </c>
      <c r="I78" s="107" t="str">
        <f ca="1"/>
        <v>Friendly competition</v>
      </c>
      <c r="J78" s="107" t="str">
        <f ca="1"/>
        <v>Non-competitive options</v>
      </c>
      <c r="K78" s="107" t="str">
        <f ca="1"/>
        <v>Indoor sports halls</v>
      </c>
      <c r="L78" s="107" t="str">
        <f ca="1"/>
        <v>Outdoor pitches</v>
      </c>
      <c r="M78" s="107" t="str">
        <f ca="1"/>
        <v>Purpose-built facilities</v>
      </c>
      <c r="N78" s="107" t="str">
        <f ca="1"/>
        <v>Safe enclosed spaces</v>
      </c>
      <c r="O78" s="107" t="str">
        <f ca="1"/>
        <v>All-weather options</v>
      </c>
      <c r="P78" s="107" t="str">
        <f ca="1"/>
        <v>Swimming</v>
      </c>
      <c r="Q78" s="107" t="str">
        <f ca="1"/>
        <v>Sea-sports</v>
      </c>
      <c r="R78" s="107" t="str">
        <f ca="1"/>
        <v>Climbing</v>
      </c>
      <c r="S78" s="107" t="str">
        <f ca="1"/>
        <v>Athletics &amp; Running</v>
      </c>
      <c r="T78" s="107" t="str">
        <f ca="1"/>
        <v>Gymnastics</v>
      </c>
      <c r="U78" s="107" t="str">
        <f ca="1"/>
        <v>Parkour &amp; freerunning</v>
      </c>
      <c r="V78" s="107" t="str">
        <f ca="1"/>
        <v>Racquet sports</v>
      </c>
      <c r="W78" s="107" t="str">
        <f ca="1"/>
        <v>Ninja warrior style courses</v>
      </c>
      <c r="X78" s="107" t="str">
        <f ca="1"/>
        <v>Assault courses</v>
      </c>
      <c r="Y78" s="107" t="str">
        <f ca="1"/>
        <v>Obstacle courses</v>
      </c>
      <c r="Z78" s="107" t="str">
        <f ca="1"/>
        <v>Aerial / high ropes (indoor)</v>
      </c>
      <c r="AA78" s="107" t="str">
        <f ca="1"/>
        <v>Ball Sports</v>
      </c>
      <c r="AB78" s="107" t="str">
        <f ca="1"/>
        <v>Outdoor Fitness</v>
      </c>
      <c r="AC78" s="107" t="str">
        <f ca="1"/>
        <v>Martial Arts</v>
      </c>
      <c r="AD78" s="107" t="str">
        <f ca="1"/>
        <v>Dance &amp; Movement</v>
      </c>
      <c r="AE78" s="107" t="str">
        <f ca="1"/>
        <v>Skateboarding</v>
      </c>
      <c r="AF78" s="107" t="str">
        <f ca="1"/>
        <v>Movement skills training</v>
      </c>
    </row>
    <row r="79" spans="1:46">
      <c r="A79" s="107" t="str" cm="1">
        <f t="array" aca="1" ref="A79:K79" ca="1">TRANSPOSE(INDIRECT(_xlfn.SWITCH(Venues!B79,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Cinema</v>
      </c>
      <c r="B79" s="107" t="str">
        <f ca="1"/>
        <v>Stage-Show</v>
      </c>
      <c r="C79" s="107" t="str">
        <f ca="1"/>
        <v>Live Events</v>
      </c>
      <c r="D79" s="107" t="str">
        <f ca="1"/>
        <v>Gaming &amp; VR</v>
      </c>
      <c r="E79" s="107" t="str">
        <f ca="1"/>
        <v>Escape Room</v>
      </c>
      <c r="F79" s="107" t="str">
        <f ca="1"/>
        <v>Improvised Performance</v>
      </c>
      <c r="G79" s="107" t="str">
        <f ca="1"/>
        <v>Comedy</v>
      </c>
      <c r="H79" s="107" t="str">
        <f ca="1"/>
        <v>Karaoke</v>
      </c>
      <c r="I79" s="107" t="str">
        <f ca="1"/>
        <v>Arcade / Amusements</v>
      </c>
      <c r="J79" s="107" t="str">
        <f ca="1"/>
        <v>Laser Tag</v>
      </c>
      <c r="K79" s="107" t="str">
        <f ca="1"/>
        <v>Bowling</v>
      </c>
    </row>
    <row r="80" spans="1:46">
      <c r="A80" s="107" t="str" cm="1">
        <f t="array" aca="1" ref="A80:AT80" ca="1">TRANSPOSE(INDIRECT(_xlfn.SWITCH(Venues!B80,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80" s="107" t="str">
        <f ca="1"/>
        <v>Climbing frames</v>
      </c>
      <c r="C80" s="107" t="str">
        <f ca="1"/>
        <v>Balance elements</v>
      </c>
      <c r="D80" s="107" t="str">
        <f ca="1"/>
        <v>Scramble nets</v>
      </c>
      <c r="E80" s="107" t="str">
        <f ca="1"/>
        <v>Stepping obstacles</v>
      </c>
      <c r="F80" s="107" t="str">
        <f ca="1"/>
        <v>Towers and platforms</v>
      </c>
      <c r="G80" s="107" t="str">
        <f ca="1"/>
        <v xml:space="preserve">Slides </v>
      </c>
      <c r="H80" s="107" t="str">
        <f ca="1"/>
        <v>Zip wires</v>
      </c>
      <c r="I80" s="107" t="str">
        <f ca="1"/>
        <v>Fireman's poles</v>
      </c>
      <c r="J80" s="107" t="str">
        <f ca="1"/>
        <v>Ropes &amp; aerial adventures</v>
      </c>
      <c r="K80" s="107" t="str">
        <f ca="1"/>
        <v>Climbing rocks or bouldering</v>
      </c>
      <c r="L80" s="107" t="str">
        <f ca="1"/>
        <v>Climbing wall</v>
      </c>
      <c r="M80" s="107" t="str">
        <f ca="1"/>
        <v>Rope swings</v>
      </c>
      <c r="N80" s="107" t="str">
        <f ca="1"/>
        <v>Abseiling or high ropes</v>
      </c>
      <c r="O80" s="107" t="str">
        <f ca="1"/>
        <v>Fort-style structures</v>
      </c>
      <c r="P80" s="107" t="str">
        <f ca="1"/>
        <v>Lookout points</v>
      </c>
      <c r="Q80" s="107" t="str">
        <f ca="1"/>
        <v>Tunnels and crawl spaces</v>
      </c>
      <c r="R80" s="107" t="str">
        <f ca="1"/>
        <v>Obstacle courses</v>
      </c>
      <c r="S80" s="107" t="str">
        <f ca="1"/>
        <v>Mixed-difficulty zones</v>
      </c>
      <c r="T80" s="107" t="str">
        <f ca="1"/>
        <v>Enclosed adventure zones</v>
      </c>
      <c r="U80" s="107" t="str">
        <f ca="1"/>
        <v>Clear sightlines for adults</v>
      </c>
      <c r="V80" s="107" t="str">
        <f ca="1"/>
        <v>Orienteering</v>
      </c>
      <c r="W80" s="107" t="str">
        <f ca="1"/>
        <v>Water play features</v>
      </c>
      <c r="X80" s="107" t="str">
        <f ca="1"/>
        <v>Swings</v>
      </c>
      <c r="Y80" s="107" t="str">
        <f ca="1"/>
        <v>Basket / nest swings</v>
      </c>
      <c r="Z80" s="107" t="str">
        <f ca="1"/>
        <v>Roundabouts</v>
      </c>
      <c r="AA80" s="107" t="str">
        <f ca="1"/>
        <v>Seesaws</v>
      </c>
      <c r="AB80" s="107" t="str">
        <f ca="1"/>
        <v>Springers / rockers</v>
      </c>
      <c r="AC80" s="107" t="str">
        <f ca="1"/>
        <v>Ground trampolines</v>
      </c>
      <c r="AD80" s="107" t="str">
        <f ca="1"/>
        <v>Sand play area</v>
      </c>
      <c r="AE80" s="107" t="str">
        <f ca="1"/>
        <v>Mud kitchen</v>
      </c>
      <c r="AF80" s="107" t="str">
        <f ca="1"/>
        <v>Den building area</v>
      </c>
      <c r="AG80" s="107" t="str">
        <f ca="1"/>
        <v>Log balance trail</v>
      </c>
      <c r="AH80" s="107" t="str">
        <f ca="1"/>
        <v>Natural boulders</v>
      </c>
      <c r="AI80" s="107" t="str">
        <f ca="1"/>
        <v>Stream or water channel</v>
      </c>
      <c r="AJ80" s="107" t="str">
        <f ca="1"/>
        <v>Wooded setting</v>
      </c>
      <c r="AK80" s="107" t="str">
        <f ca="1"/>
        <v>Open grass / running space</v>
      </c>
      <c r="AL80" s="107" t="str">
        <f ca="1"/>
        <v>Bowl</v>
      </c>
      <c r="AM80" s="107" t="str">
        <f ca="1"/>
        <v>Quarter pipes</v>
      </c>
      <c r="AN80" s="107" t="str">
        <f ca="1"/>
        <v>Street skating features</v>
      </c>
      <c r="AO80" s="107" t="str">
        <f ca="1"/>
        <v>Pump track</v>
      </c>
      <c r="AP80" s="107" t="str">
        <f ca="1"/>
        <v>BMX track</v>
      </c>
      <c r="AQ80" s="107" t="str">
        <f ca="1"/>
        <v>Dirt jumps</v>
      </c>
      <c r="AR80" s="107" t="str">
        <f ca="1"/>
        <v>Wheelchair accessible equipment</v>
      </c>
      <c r="AS80" s="107" t="str">
        <f ca="1"/>
        <v>Inclusive swings</v>
      </c>
      <c r="AT80" s="107" t="str">
        <f ca="1"/>
        <v>Sensory play features</v>
      </c>
    </row>
    <row r="81" spans="1:32">
      <c r="A81" s="107" t="str" cm="1">
        <f t="array" aca="1" ref="A81:AE81" ca="1">TRANSPOSE(INDIRECT(_xlfn.SWITCH(Venues!B81,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81" s="107" t="str">
        <f ca="1"/>
        <v>Seaweed beds</v>
      </c>
      <c r="C81" s="107" t="str">
        <f ca="1"/>
        <v>Shell or seaglass collecting</v>
      </c>
      <c r="D81" s="107" t="str">
        <f ca="1"/>
        <v>Fossil Hunting</v>
      </c>
      <c r="E81" s="107" t="str">
        <f ca="1"/>
        <v>Crabbing</v>
      </c>
      <c r="F81" s="107" t="str">
        <f ca="1"/>
        <v>Diggable sand (Sandcastles)</v>
      </c>
      <c r="G81" s="107" t="str">
        <f ca="1"/>
        <v>Smooth pebbles</v>
      </c>
      <c r="H81" s="107" t="str">
        <f ca="1"/>
        <v>Shallow paddling</v>
      </c>
      <c r="I81" s="107" t="str">
        <f ca="1"/>
        <v>Streams or channels</v>
      </c>
      <c r="J81" s="107" t="str">
        <f ca="1"/>
        <v>Coves &amp; inlets</v>
      </c>
      <c r="K81" s="107" t="str">
        <f ca="1"/>
        <v>Rock formations</v>
      </c>
      <c r="L81" s="107" t="str">
        <f ca="1"/>
        <v>Cliffs Or Headlands</v>
      </c>
      <c r="M81" s="107" t="str">
        <f ca="1"/>
        <v>Caves</v>
      </c>
      <c r="N81" s="107" t="str">
        <f ca="1"/>
        <v>Sand dunes</v>
      </c>
      <c r="O81" s="107" t="str">
        <f ca="1"/>
        <v>Estuary edges</v>
      </c>
      <c r="P81" s="107" t="str">
        <f ca="1"/>
        <v>Coastal Wildlife</v>
      </c>
      <c r="Q81" s="107" t="str">
        <f ca="1"/>
        <v>Equipment Hire</v>
      </c>
      <c r="R81" s="107" t="str">
        <f ca="1"/>
        <v>Watersports Lessons</v>
      </c>
      <c r="S81" s="107" t="str">
        <f ca="1"/>
        <v>Surfing</v>
      </c>
      <c r="T81" s="107" t="str">
        <f ca="1"/>
        <v>Bodyboarding</v>
      </c>
      <c r="U81" s="107" t="str">
        <f ca="1"/>
        <v>Swimming</v>
      </c>
      <c r="V81" s="107" t="str">
        <f ca="1"/>
        <v>Kayaking / SUP</v>
      </c>
      <c r="W81" s="107" t="str">
        <f ca="1"/>
        <v>Slipway</v>
      </c>
      <c r="X81" s="107" t="str">
        <f ca="1"/>
        <v>Harbour</v>
      </c>
      <c r="Y81" s="107" t="str">
        <f ca="1"/>
        <v>Seasonally Lifeguarded</v>
      </c>
      <c r="Z81" s="107" t="str">
        <f ca="1"/>
        <v>Dog Friendly - seasonal leads</v>
      </c>
      <c r="AA81" s="107" t="str">
        <f ca="1"/>
        <v>Dog Friendly - off lead all year</v>
      </c>
      <c r="AB81" s="107" t="str">
        <f ca="1"/>
        <v>Boat trips nearby</v>
      </c>
      <c r="AC81" s="107" t="str">
        <f ca="1"/>
        <v>Toilets nearby</v>
      </c>
      <c r="AD81" s="107" t="str">
        <f ca="1"/>
        <v>Beach Cafe</v>
      </c>
      <c r="AE81" s="107" t="str">
        <f ca="1"/>
        <v>Promenade</v>
      </c>
    </row>
    <row r="82" spans="1:32">
      <c r="A82" s="107" t="str" cm="1">
        <f t="array" aca="1" ref="A82:AE82" ca="1">TRANSPOSE(INDIRECT(_xlfn.SWITCH(Venues!B82,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82" s="107" t="str">
        <f ca="1"/>
        <v>Seaweed beds</v>
      </c>
      <c r="C82" s="107" t="str">
        <f ca="1"/>
        <v>Shell or seaglass collecting</v>
      </c>
      <c r="D82" s="107" t="str">
        <f ca="1"/>
        <v>Fossil Hunting</v>
      </c>
      <c r="E82" s="107" t="str">
        <f ca="1"/>
        <v>Crabbing</v>
      </c>
      <c r="F82" s="107" t="str">
        <f ca="1"/>
        <v>Diggable sand (Sandcastles)</v>
      </c>
      <c r="G82" s="107" t="str">
        <f ca="1"/>
        <v>Smooth pebbles</v>
      </c>
      <c r="H82" s="107" t="str">
        <f ca="1"/>
        <v>Shallow paddling</v>
      </c>
      <c r="I82" s="107" t="str">
        <f ca="1"/>
        <v>Streams or channels</v>
      </c>
      <c r="J82" s="107" t="str">
        <f ca="1"/>
        <v>Coves &amp; inlets</v>
      </c>
      <c r="K82" s="107" t="str">
        <f ca="1"/>
        <v>Rock formations</v>
      </c>
      <c r="L82" s="107" t="str">
        <f ca="1"/>
        <v>Cliffs Or Headlands</v>
      </c>
      <c r="M82" s="107" t="str">
        <f ca="1"/>
        <v>Caves</v>
      </c>
      <c r="N82" s="107" t="str">
        <f ca="1"/>
        <v>Sand dunes</v>
      </c>
      <c r="O82" s="107" t="str">
        <f ca="1"/>
        <v>Estuary edges</v>
      </c>
      <c r="P82" s="107" t="str">
        <f ca="1"/>
        <v>Coastal Wildlife</v>
      </c>
      <c r="Q82" s="107" t="str">
        <f ca="1"/>
        <v>Equipment Hire</v>
      </c>
      <c r="R82" s="107" t="str">
        <f ca="1"/>
        <v>Watersports Lessons</v>
      </c>
      <c r="S82" s="107" t="str">
        <f ca="1"/>
        <v>Surfing</v>
      </c>
      <c r="T82" s="107" t="str">
        <f ca="1"/>
        <v>Bodyboarding</v>
      </c>
      <c r="U82" s="107" t="str">
        <f ca="1"/>
        <v>Swimming</v>
      </c>
      <c r="V82" s="107" t="str">
        <f ca="1"/>
        <v>Kayaking / SUP</v>
      </c>
      <c r="W82" s="107" t="str">
        <f ca="1"/>
        <v>Slipway</v>
      </c>
      <c r="X82" s="107" t="str">
        <f ca="1"/>
        <v>Harbour</v>
      </c>
      <c r="Y82" s="107" t="str">
        <f ca="1"/>
        <v>Seasonally Lifeguarded</v>
      </c>
      <c r="Z82" s="107" t="str">
        <f ca="1"/>
        <v>Dog Friendly - seasonal leads</v>
      </c>
      <c r="AA82" s="107" t="str">
        <f ca="1"/>
        <v>Dog Friendly - off lead all year</v>
      </c>
      <c r="AB82" s="107" t="str">
        <f ca="1"/>
        <v>Boat trips nearby</v>
      </c>
      <c r="AC82" s="107" t="str">
        <f ca="1"/>
        <v>Toilets nearby</v>
      </c>
      <c r="AD82" s="107" t="str">
        <f ca="1"/>
        <v>Beach Cafe</v>
      </c>
      <c r="AE82" s="107" t="str">
        <f ca="1"/>
        <v>Promenade</v>
      </c>
    </row>
    <row r="83" spans="1:32">
      <c r="A83" s="107" t="str" cm="1">
        <f t="array" aca="1" ref="A83:AE83" ca="1">TRANSPOSE(INDIRECT(_xlfn.SWITCH(Venues!B83,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83" s="107" t="str">
        <f ca="1"/>
        <v>Seaweed beds</v>
      </c>
      <c r="C83" s="107" t="str">
        <f ca="1"/>
        <v>Shell or seaglass collecting</v>
      </c>
      <c r="D83" s="107" t="str">
        <f ca="1"/>
        <v>Fossil Hunting</v>
      </c>
      <c r="E83" s="107" t="str">
        <f ca="1"/>
        <v>Crabbing</v>
      </c>
      <c r="F83" s="107" t="str">
        <f ca="1"/>
        <v>Diggable sand (Sandcastles)</v>
      </c>
      <c r="G83" s="107" t="str">
        <f ca="1"/>
        <v>Smooth pebbles</v>
      </c>
      <c r="H83" s="107" t="str">
        <f ca="1"/>
        <v>Shallow paddling</v>
      </c>
      <c r="I83" s="107" t="str">
        <f ca="1"/>
        <v>Streams or channels</v>
      </c>
      <c r="J83" s="107" t="str">
        <f ca="1"/>
        <v>Coves &amp; inlets</v>
      </c>
      <c r="K83" s="107" t="str">
        <f ca="1"/>
        <v>Rock formations</v>
      </c>
      <c r="L83" s="107" t="str">
        <f ca="1"/>
        <v>Cliffs Or Headlands</v>
      </c>
      <c r="M83" s="107" t="str">
        <f ca="1"/>
        <v>Caves</v>
      </c>
      <c r="N83" s="107" t="str">
        <f ca="1"/>
        <v>Sand dunes</v>
      </c>
      <c r="O83" s="107" t="str">
        <f ca="1"/>
        <v>Estuary edges</v>
      </c>
      <c r="P83" s="107" t="str">
        <f ca="1"/>
        <v>Coastal Wildlife</v>
      </c>
      <c r="Q83" s="107" t="str">
        <f ca="1"/>
        <v>Equipment Hire</v>
      </c>
      <c r="R83" s="107" t="str">
        <f ca="1"/>
        <v>Watersports Lessons</v>
      </c>
      <c r="S83" s="107" t="str">
        <f ca="1"/>
        <v>Surfing</v>
      </c>
      <c r="T83" s="107" t="str">
        <f ca="1"/>
        <v>Bodyboarding</v>
      </c>
      <c r="U83" s="107" t="str">
        <f ca="1"/>
        <v>Swimming</v>
      </c>
      <c r="V83" s="107" t="str">
        <f ca="1"/>
        <v>Kayaking / SUP</v>
      </c>
      <c r="W83" s="107" t="str">
        <f ca="1"/>
        <v>Slipway</v>
      </c>
      <c r="X83" s="107" t="str">
        <f ca="1"/>
        <v>Harbour</v>
      </c>
      <c r="Y83" s="107" t="str">
        <f ca="1"/>
        <v>Seasonally Lifeguarded</v>
      </c>
      <c r="Z83" s="107" t="str">
        <f ca="1"/>
        <v>Dog Friendly - seasonal leads</v>
      </c>
      <c r="AA83" s="107" t="str">
        <f ca="1"/>
        <v>Dog Friendly - off lead all year</v>
      </c>
      <c r="AB83" s="107" t="str">
        <f ca="1"/>
        <v>Boat trips nearby</v>
      </c>
      <c r="AC83" s="107" t="str">
        <f ca="1"/>
        <v>Toilets nearby</v>
      </c>
      <c r="AD83" s="107" t="str">
        <f ca="1"/>
        <v>Beach Cafe</v>
      </c>
      <c r="AE83" s="107" t="str">
        <f ca="1"/>
        <v>Promenade</v>
      </c>
    </row>
    <row r="84" spans="1:32">
      <c r="A84" s="107" t="str" cm="1">
        <f t="array" aca="1" ref="A84:T84" ca="1">TRANSPOSE(INDIRECT(_xlfn.SWITCH(Venues!B84,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84" s="107" t="str">
        <f ca="1"/>
        <v>Ponds or lakes</v>
      </c>
      <c r="C84" s="107" t="str">
        <f ca="1"/>
        <v>Duck Ponds</v>
      </c>
      <c r="D84" s="107" t="str">
        <f ca="1"/>
        <v>Water Features or Fountains</v>
      </c>
      <c r="E84" s="107" t="str">
        <f ca="1"/>
        <v>Streams or ditches</v>
      </c>
      <c r="F84" s="107" t="str">
        <f ca="1"/>
        <v>Natural paddling spots</v>
      </c>
      <c r="G84" s="107" t="str">
        <f ca="1"/>
        <v>Room to run freely</v>
      </c>
      <c r="H84" s="107" t="str">
        <f ca="1"/>
        <v>Open sightlines</v>
      </c>
      <c r="I84" s="107" t="str">
        <f ca="1"/>
        <v>Countryside views</v>
      </c>
      <c r="J84" s="107" t="str">
        <f ca="1"/>
        <v>Scenic backdrops</v>
      </c>
      <c r="K84" s="107" t="str">
        <f ca="1"/>
        <v>Rolling landscapes</v>
      </c>
      <c r="L84" s="107" t="str">
        <f ca="1"/>
        <v>Bridges (wooden, stone, suspension)</v>
      </c>
      <c r="M84" s="107" t="str">
        <f ca="1"/>
        <v>Natural play features (logs, slopes, rocks)</v>
      </c>
      <c r="N84" s="107" t="str">
        <f ca="1"/>
        <v>Climbable trees</v>
      </c>
      <c r="O84" s="107" t="str">
        <f ca="1"/>
        <v>Grassy banks</v>
      </c>
      <c r="P84" s="107" t="str">
        <f ca="1"/>
        <v>Small hills / mounds</v>
      </c>
      <c r="Q84" s="107" t="str">
        <f ca="1"/>
        <v>Play equipment</v>
      </c>
      <c r="R84" s="107" t="str">
        <f ca="1"/>
        <v>Football or Rugby Posts</v>
      </c>
      <c r="S84" s="107" t="str">
        <f ca="1"/>
        <v>Marked Trails</v>
      </c>
      <c r="T84" s="107" t="str">
        <f ca="1"/>
        <v>Children’s Activity Trails</v>
      </c>
    </row>
    <row r="85" spans="1:32">
      <c r="A85" s="107" t="str" cm="1">
        <f t="array" aca="1" ref="A85:AE85" ca="1">TRANSPOSE(INDIRECT(_xlfn.SWITCH(Venues!B85,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85" s="107" t="str">
        <f ca="1"/>
        <v>Seaweed beds</v>
      </c>
      <c r="C85" s="107" t="str">
        <f ca="1"/>
        <v>Shell or seaglass collecting</v>
      </c>
      <c r="D85" s="107" t="str">
        <f ca="1"/>
        <v>Fossil Hunting</v>
      </c>
      <c r="E85" s="107" t="str">
        <f ca="1"/>
        <v>Crabbing</v>
      </c>
      <c r="F85" s="107" t="str">
        <f ca="1"/>
        <v>Diggable sand (Sandcastles)</v>
      </c>
      <c r="G85" s="107" t="str">
        <f ca="1"/>
        <v>Smooth pebbles</v>
      </c>
      <c r="H85" s="107" t="str">
        <f ca="1"/>
        <v>Shallow paddling</v>
      </c>
      <c r="I85" s="107" t="str">
        <f ca="1"/>
        <v>Streams or channels</v>
      </c>
      <c r="J85" s="107" t="str">
        <f ca="1"/>
        <v>Coves &amp; inlets</v>
      </c>
      <c r="K85" s="107" t="str">
        <f ca="1"/>
        <v>Rock formations</v>
      </c>
      <c r="L85" s="107" t="str">
        <f ca="1"/>
        <v>Cliffs Or Headlands</v>
      </c>
      <c r="M85" s="107" t="str">
        <f ca="1"/>
        <v>Caves</v>
      </c>
      <c r="N85" s="107" t="str">
        <f ca="1"/>
        <v>Sand dunes</v>
      </c>
      <c r="O85" s="107" t="str">
        <f ca="1"/>
        <v>Estuary edges</v>
      </c>
      <c r="P85" s="107" t="str">
        <f ca="1"/>
        <v>Coastal Wildlife</v>
      </c>
      <c r="Q85" s="107" t="str">
        <f ca="1"/>
        <v>Equipment Hire</v>
      </c>
      <c r="R85" s="107" t="str">
        <f ca="1"/>
        <v>Watersports Lessons</v>
      </c>
      <c r="S85" s="107" t="str">
        <f ca="1"/>
        <v>Surfing</v>
      </c>
      <c r="T85" s="107" t="str">
        <f ca="1"/>
        <v>Bodyboarding</v>
      </c>
      <c r="U85" s="107" t="str">
        <f ca="1"/>
        <v>Swimming</v>
      </c>
      <c r="V85" s="107" t="str">
        <f ca="1"/>
        <v>Kayaking / SUP</v>
      </c>
      <c r="W85" s="107" t="str">
        <f ca="1"/>
        <v>Slipway</v>
      </c>
      <c r="X85" s="107" t="str">
        <f ca="1"/>
        <v>Harbour</v>
      </c>
      <c r="Y85" s="107" t="str">
        <f ca="1"/>
        <v>Seasonally Lifeguarded</v>
      </c>
      <c r="Z85" s="107" t="str">
        <f ca="1"/>
        <v>Dog Friendly - seasonal leads</v>
      </c>
      <c r="AA85" s="107" t="str">
        <f ca="1"/>
        <v>Dog Friendly - off lead all year</v>
      </c>
      <c r="AB85" s="107" t="str">
        <f ca="1"/>
        <v>Boat trips nearby</v>
      </c>
      <c r="AC85" s="107" t="str">
        <f ca="1"/>
        <v>Toilets nearby</v>
      </c>
      <c r="AD85" s="107" t="str">
        <f ca="1"/>
        <v>Beach Cafe</v>
      </c>
      <c r="AE85" s="107" t="str">
        <f ca="1"/>
        <v>Promenade</v>
      </c>
    </row>
    <row r="86" spans="1:32">
      <c r="A86" s="107" t="str" cm="1">
        <f t="array" aca="1" ref="A86:J86" ca="1">TRANSPOSE(INDIRECT(_xlfn.SWITCH(Venues!B86,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86" s="107" t="str">
        <f ca="1"/>
        <v>Toy corner or play table</v>
      </c>
      <c r="C86" s="107" t="str">
        <f ca="1"/>
        <v>Puzzles or games</v>
      </c>
      <c r="D86" s="107" t="str">
        <f ca="1"/>
        <v>Colouring</v>
      </c>
      <c r="E86" s="107" t="str">
        <f ca="1"/>
        <v>Space to run around</v>
      </c>
      <c r="F86" s="107" t="str">
        <f ca="1"/>
        <v>Outdoor play area nearby</v>
      </c>
      <c r="G86" s="107" t="str">
        <f ca="1"/>
        <v>Farm animals nearby</v>
      </c>
      <c r="H86" s="107" t="str">
        <f ca="1"/>
        <v>Shop or browsing area (e.g. farm shop, garden centre)</v>
      </c>
      <c r="I86" s="107" t="str">
        <f ca="1"/>
        <v>Combined with a walk or attraction</v>
      </c>
      <c r="J86" s="107" t="str">
        <f ca="1"/>
        <v>Book swap or exchange library</v>
      </c>
    </row>
    <row r="87" spans="1:32">
      <c r="A87" s="107" t="str" cm="1">
        <f t="array" aca="1" ref="A87:I87" ca="1">TRANSPOSE(INDIRECT(_xlfn.SWITCH(Venues!B87,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Children’s menu</v>
      </c>
      <c r="B87" s="107" t="str">
        <f ca="1"/>
        <v>Flexible seating for families</v>
      </c>
      <c r="C87" s="107" t="str">
        <f ca="1"/>
        <v>Space for children to move a little</v>
      </c>
      <c r="D87" s="107" t="str">
        <f ca="1"/>
        <v>Play area or outdoor play space</v>
      </c>
      <c r="E87" s="107" t="str">
        <f ca="1"/>
        <v>Relaxed, family-welcoming feel</v>
      </c>
      <c r="F87" s="107" t="str">
        <f ca="1"/>
        <v>Outdoor seating or garden</v>
      </c>
      <c r="G87" s="107" t="str">
        <f ca="1"/>
        <v>Rural or scenic setting</v>
      </c>
      <c r="H87" s="107" t="str">
        <f ca="1"/>
        <v>On-site grounds to explore</v>
      </c>
      <c r="I87" s="107" t="str">
        <f ca="1"/>
        <v>Farm animals or gardens</v>
      </c>
    </row>
    <row r="88" spans="1:32">
      <c r="A88" s="107" t="str" cm="1">
        <f t="array" aca="1" ref="A88:AF88" ca="1">TRANSPOSE(INDIRECT(_xlfn.SWITCH(Venues!B88,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Early access introduction</v>
      </c>
      <c r="B88" s="107" t="str">
        <f ca="1"/>
        <v>Skill progression</v>
      </c>
      <c r="C88" s="107" t="str">
        <f ca="1"/>
        <v>Confidence building</v>
      </c>
      <c r="D88" s="107" t="str">
        <f ca="1"/>
        <v>Coordination &amp; balance</v>
      </c>
      <c r="E88" s="107" t="str">
        <f ca="1"/>
        <v>Strength &amp; agility</v>
      </c>
      <c r="F88" s="107" t="str">
        <f ca="1"/>
        <v>Structured coaching</v>
      </c>
      <c r="G88" s="107" t="str">
        <f ca="1"/>
        <v>Mixed-ability sessions</v>
      </c>
      <c r="H88" s="107" t="str">
        <f ca="1"/>
        <v>Team-based</v>
      </c>
      <c r="I88" s="107" t="str">
        <f ca="1"/>
        <v>Friendly competition</v>
      </c>
      <c r="J88" s="107" t="str">
        <f ca="1"/>
        <v>Non-competitive options</v>
      </c>
      <c r="K88" s="107" t="str">
        <f ca="1"/>
        <v>Indoor sports halls</v>
      </c>
      <c r="L88" s="107" t="str">
        <f ca="1"/>
        <v>Outdoor pitches</v>
      </c>
      <c r="M88" s="107" t="str">
        <f ca="1"/>
        <v>Purpose-built facilities</v>
      </c>
      <c r="N88" s="107" t="str">
        <f ca="1"/>
        <v>Safe enclosed spaces</v>
      </c>
      <c r="O88" s="107" t="str">
        <f ca="1"/>
        <v>All-weather options</v>
      </c>
      <c r="P88" s="107" t="str">
        <f ca="1"/>
        <v>Swimming</v>
      </c>
      <c r="Q88" s="107" t="str">
        <f ca="1"/>
        <v>Sea-sports</v>
      </c>
      <c r="R88" s="107" t="str">
        <f ca="1"/>
        <v>Climbing</v>
      </c>
      <c r="S88" s="107" t="str">
        <f ca="1"/>
        <v>Athletics &amp; Running</v>
      </c>
      <c r="T88" s="107" t="str">
        <f ca="1"/>
        <v>Gymnastics</v>
      </c>
      <c r="U88" s="107" t="str">
        <f ca="1"/>
        <v>Parkour &amp; freerunning</v>
      </c>
      <c r="V88" s="107" t="str">
        <f ca="1"/>
        <v>Racquet sports</v>
      </c>
      <c r="W88" s="107" t="str">
        <f ca="1"/>
        <v>Ninja warrior style courses</v>
      </c>
      <c r="X88" s="107" t="str">
        <f ca="1"/>
        <v>Assault courses</v>
      </c>
      <c r="Y88" s="107" t="str">
        <f ca="1"/>
        <v>Obstacle courses</v>
      </c>
      <c r="Z88" s="107" t="str">
        <f ca="1"/>
        <v>Aerial / high ropes (indoor)</v>
      </c>
      <c r="AA88" s="107" t="str">
        <f ca="1"/>
        <v>Ball Sports</v>
      </c>
      <c r="AB88" s="107" t="str">
        <f ca="1"/>
        <v>Outdoor Fitness</v>
      </c>
      <c r="AC88" s="107" t="str">
        <f ca="1"/>
        <v>Martial Arts</v>
      </c>
      <c r="AD88" s="107" t="str">
        <f ca="1"/>
        <v>Dance &amp; Movement</v>
      </c>
      <c r="AE88" s="107" t="str">
        <f ca="1"/>
        <v>Skateboarding</v>
      </c>
      <c r="AF88" s="107" t="str">
        <f ca="1"/>
        <v>Movement skills training</v>
      </c>
    </row>
    <row r="89" spans="1:32">
      <c r="A89" s="107" t="str" cm="1">
        <f t="array" aca="1" ref="A89:K89" ca="1">TRANSPOSE(INDIRECT(_xlfn.SWITCH(Venues!B89,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Soft climbing structures</v>
      </c>
      <c r="B89" s="107" t="str">
        <f ca="1"/>
        <v>Slides</v>
      </c>
      <c r="C89" s="107" t="str">
        <f ca="1"/>
        <v>Tunnels and crawl spaces</v>
      </c>
      <c r="D89" s="107" t="str">
        <f ca="1"/>
        <v>Ball pools</v>
      </c>
      <c r="E89" s="107" t="str">
        <f ca="1"/>
        <v>Enclosed space</v>
      </c>
      <c r="F89" s="107" t="str">
        <f ca="1"/>
        <v>Clear sightlines</v>
      </c>
      <c r="G89" s="107" t="str">
        <f ca="1"/>
        <v>Seating for adults</v>
      </c>
      <c r="H89" s="107" t="str">
        <f ca="1"/>
        <v>Café or refreshment area</v>
      </c>
      <c r="I89" s="107" t="str">
        <f ca="1"/>
        <v>Separate toddler area</v>
      </c>
      <c r="J89" s="107" t="str">
        <f ca="1"/>
        <v>Age-zoned play areas</v>
      </c>
      <c r="K89" s="107" t="str">
        <f ca="1"/>
        <v>Calm or quieter zones</v>
      </c>
    </row>
    <row r="90" spans="1:32">
      <c r="A90" s="107" t="str" cm="1">
        <f t="array" aca="1" ref="A90:J90" ca="1">TRANSPOSE(INDIRECT(_xlfn.SWITCH(Venues!B90,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90" s="107" t="str">
        <f ca="1"/>
        <v>Toy corner or play table</v>
      </c>
      <c r="C90" s="107" t="str">
        <f ca="1"/>
        <v>Puzzles or games</v>
      </c>
      <c r="D90" s="107" t="str">
        <f ca="1"/>
        <v>Colouring</v>
      </c>
      <c r="E90" s="107" t="str">
        <f ca="1"/>
        <v>Space to run around</v>
      </c>
      <c r="F90" s="107" t="str">
        <f ca="1"/>
        <v>Outdoor play area nearby</v>
      </c>
      <c r="G90" s="107" t="str">
        <f ca="1"/>
        <v>Farm animals nearby</v>
      </c>
      <c r="H90" s="107" t="str">
        <f ca="1"/>
        <v>Shop or browsing area (e.g. farm shop, garden centre)</v>
      </c>
      <c r="I90" s="107" t="str">
        <f ca="1"/>
        <v>Combined with a walk or attraction</v>
      </c>
      <c r="J90" s="107" t="str">
        <f ca="1"/>
        <v>Book swap or exchange library</v>
      </c>
    </row>
    <row r="91" spans="1:32">
      <c r="A91" s="107" t="str" cm="1">
        <f t="array" aca="1" ref="A91:T91" ca="1">TRANSPOSE(INDIRECT(_xlfn.SWITCH(Venues!B91,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91" s="107" t="str">
        <f ca="1"/>
        <v>Ponds or lakes</v>
      </c>
      <c r="C91" s="107" t="str">
        <f ca="1"/>
        <v>Duck Ponds</v>
      </c>
      <c r="D91" s="107" t="str">
        <f ca="1"/>
        <v>Water Features or Fountains</v>
      </c>
      <c r="E91" s="107" t="str">
        <f ca="1"/>
        <v>Streams or ditches</v>
      </c>
      <c r="F91" s="107" t="str">
        <f ca="1"/>
        <v>Natural paddling spots</v>
      </c>
      <c r="G91" s="107" t="str">
        <f ca="1"/>
        <v>Room to run freely</v>
      </c>
      <c r="H91" s="107" t="str">
        <f ca="1"/>
        <v>Open sightlines</v>
      </c>
      <c r="I91" s="107" t="str">
        <f ca="1"/>
        <v>Countryside views</v>
      </c>
      <c r="J91" s="107" t="str">
        <f ca="1"/>
        <v>Scenic backdrops</v>
      </c>
      <c r="K91" s="107" t="str">
        <f ca="1"/>
        <v>Rolling landscapes</v>
      </c>
      <c r="L91" s="107" t="str">
        <f ca="1"/>
        <v>Bridges (wooden, stone, suspension)</v>
      </c>
      <c r="M91" s="107" t="str">
        <f ca="1"/>
        <v>Natural play features (logs, slopes, rocks)</v>
      </c>
      <c r="N91" s="107" t="str">
        <f ca="1"/>
        <v>Climbable trees</v>
      </c>
      <c r="O91" s="107" t="str">
        <f ca="1"/>
        <v>Grassy banks</v>
      </c>
      <c r="P91" s="107" t="str">
        <f ca="1"/>
        <v>Small hills / mounds</v>
      </c>
      <c r="Q91" s="107" t="str">
        <f ca="1"/>
        <v>Play equipment</v>
      </c>
      <c r="R91" s="107" t="str">
        <f ca="1"/>
        <v>Football or Rugby Posts</v>
      </c>
      <c r="S91" s="107" t="str">
        <f ca="1"/>
        <v>Marked Trails</v>
      </c>
      <c r="T91" s="107" t="str">
        <f ca="1"/>
        <v>Children’s Activity Trails</v>
      </c>
    </row>
    <row r="92" spans="1:32">
      <c r="A92" s="107" t="str" cm="1">
        <f t="array" aca="1" ref="A92:J92" ca="1">TRANSPOSE(INDIRECT(_xlfn.SWITCH(Venues!B92,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92" s="107" t="str">
        <f ca="1"/>
        <v>Toy corner or play table</v>
      </c>
      <c r="C92" s="107" t="str">
        <f ca="1"/>
        <v>Puzzles or games</v>
      </c>
      <c r="D92" s="107" t="str">
        <f ca="1"/>
        <v>Colouring</v>
      </c>
      <c r="E92" s="107" t="str">
        <f ca="1"/>
        <v>Space to run around</v>
      </c>
      <c r="F92" s="107" t="str">
        <f ca="1"/>
        <v>Outdoor play area nearby</v>
      </c>
      <c r="G92" s="107" t="str">
        <f ca="1"/>
        <v>Farm animals nearby</v>
      </c>
      <c r="H92" s="107" t="str">
        <f ca="1"/>
        <v>Shop or browsing area (e.g. farm shop, garden centre)</v>
      </c>
      <c r="I92" s="107" t="str">
        <f ca="1"/>
        <v>Combined with a walk or attraction</v>
      </c>
      <c r="J92" s="107" t="str">
        <f ca="1"/>
        <v>Book swap or exchange library</v>
      </c>
    </row>
    <row r="93" spans="1:32">
      <c r="A93" s="107" t="str" cm="1">
        <f t="array" aca="1" ref="A93:J93" ca="1">TRANSPOSE(INDIRECT(_xlfn.SWITCH(Venues!B93,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93" s="107" t="str">
        <f ca="1"/>
        <v>Toy corner or play table</v>
      </c>
      <c r="C93" s="107" t="str">
        <f ca="1"/>
        <v>Puzzles or games</v>
      </c>
      <c r="D93" s="107" t="str">
        <f ca="1"/>
        <v>Colouring</v>
      </c>
      <c r="E93" s="107" t="str">
        <f ca="1"/>
        <v>Space to run around</v>
      </c>
      <c r="F93" s="107" t="str">
        <f ca="1"/>
        <v>Outdoor play area nearby</v>
      </c>
      <c r="G93" s="107" t="str">
        <f ca="1"/>
        <v>Farm animals nearby</v>
      </c>
      <c r="H93" s="107" t="str">
        <f ca="1"/>
        <v>Shop or browsing area (e.g. farm shop, garden centre)</v>
      </c>
      <c r="I93" s="107" t="str">
        <f ca="1"/>
        <v>Combined with a walk or attraction</v>
      </c>
      <c r="J93" s="107" t="str">
        <f ca="1"/>
        <v>Book swap or exchange library</v>
      </c>
    </row>
    <row r="94" spans="1:32">
      <c r="A94" s="107" t="str" cm="1">
        <f t="array" aca="1" ref="A94:AE94" ca="1">TRANSPOSE(INDIRECT(_xlfn.SWITCH(Venues!B94,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94" s="107" t="str">
        <f ca="1"/>
        <v>Seaweed beds</v>
      </c>
      <c r="C94" s="107" t="str">
        <f ca="1"/>
        <v>Shell or seaglass collecting</v>
      </c>
      <c r="D94" s="107" t="str">
        <f ca="1"/>
        <v>Fossil Hunting</v>
      </c>
      <c r="E94" s="107" t="str">
        <f ca="1"/>
        <v>Crabbing</v>
      </c>
      <c r="F94" s="107" t="str">
        <f ca="1"/>
        <v>Diggable sand (Sandcastles)</v>
      </c>
      <c r="G94" s="107" t="str">
        <f ca="1"/>
        <v>Smooth pebbles</v>
      </c>
      <c r="H94" s="107" t="str">
        <f ca="1"/>
        <v>Shallow paddling</v>
      </c>
      <c r="I94" s="107" t="str">
        <f ca="1"/>
        <v>Streams or channels</v>
      </c>
      <c r="J94" s="107" t="str">
        <f ca="1"/>
        <v>Coves &amp; inlets</v>
      </c>
      <c r="K94" s="107" t="str">
        <f ca="1"/>
        <v>Rock formations</v>
      </c>
      <c r="L94" s="107" t="str">
        <f ca="1"/>
        <v>Cliffs Or Headlands</v>
      </c>
      <c r="M94" s="107" t="str">
        <f ca="1"/>
        <v>Caves</v>
      </c>
      <c r="N94" s="107" t="str">
        <f ca="1"/>
        <v>Sand dunes</v>
      </c>
      <c r="O94" s="107" t="str">
        <f ca="1"/>
        <v>Estuary edges</v>
      </c>
      <c r="P94" s="107" t="str">
        <f ca="1"/>
        <v>Coastal Wildlife</v>
      </c>
      <c r="Q94" s="107" t="str">
        <f ca="1"/>
        <v>Equipment Hire</v>
      </c>
      <c r="R94" s="107" t="str">
        <f ca="1"/>
        <v>Watersports Lessons</v>
      </c>
      <c r="S94" s="107" t="str">
        <f ca="1"/>
        <v>Surfing</v>
      </c>
      <c r="T94" s="107" t="str">
        <f ca="1"/>
        <v>Bodyboarding</v>
      </c>
      <c r="U94" s="107" t="str">
        <f ca="1"/>
        <v>Swimming</v>
      </c>
      <c r="V94" s="107" t="str">
        <f ca="1"/>
        <v>Kayaking / SUP</v>
      </c>
      <c r="W94" s="107" t="str">
        <f ca="1"/>
        <v>Slipway</v>
      </c>
      <c r="X94" s="107" t="str">
        <f ca="1"/>
        <v>Harbour</v>
      </c>
      <c r="Y94" s="107" t="str">
        <f ca="1"/>
        <v>Seasonally Lifeguarded</v>
      </c>
      <c r="Z94" s="107" t="str">
        <f ca="1"/>
        <v>Dog Friendly - seasonal leads</v>
      </c>
      <c r="AA94" s="107" t="str">
        <f ca="1"/>
        <v>Dog Friendly - off lead all year</v>
      </c>
      <c r="AB94" s="107" t="str">
        <f ca="1"/>
        <v>Boat trips nearby</v>
      </c>
      <c r="AC94" s="107" t="str">
        <f ca="1"/>
        <v>Toilets nearby</v>
      </c>
      <c r="AD94" s="107" t="str">
        <f ca="1"/>
        <v>Beach Cafe</v>
      </c>
      <c r="AE94" s="107" t="str">
        <f ca="1"/>
        <v>Promenade</v>
      </c>
    </row>
    <row r="95" spans="1:32">
      <c r="A95" s="107" t="str" cm="1">
        <f t="array" aca="1" ref="A95:AE95" ca="1">TRANSPOSE(INDIRECT(_xlfn.SWITCH(Venues!B95,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95" s="107" t="str">
        <f ca="1"/>
        <v>Seaweed beds</v>
      </c>
      <c r="C95" s="107" t="str">
        <f ca="1"/>
        <v>Shell or seaglass collecting</v>
      </c>
      <c r="D95" s="107" t="str">
        <f ca="1"/>
        <v>Fossil Hunting</v>
      </c>
      <c r="E95" s="107" t="str">
        <f ca="1"/>
        <v>Crabbing</v>
      </c>
      <c r="F95" s="107" t="str">
        <f ca="1"/>
        <v>Diggable sand (Sandcastles)</v>
      </c>
      <c r="G95" s="107" t="str">
        <f ca="1"/>
        <v>Smooth pebbles</v>
      </c>
      <c r="H95" s="107" t="str">
        <f ca="1"/>
        <v>Shallow paddling</v>
      </c>
      <c r="I95" s="107" t="str">
        <f ca="1"/>
        <v>Streams or channels</v>
      </c>
      <c r="J95" s="107" t="str">
        <f ca="1"/>
        <v>Coves &amp; inlets</v>
      </c>
      <c r="K95" s="107" t="str">
        <f ca="1"/>
        <v>Rock formations</v>
      </c>
      <c r="L95" s="107" t="str">
        <f ca="1"/>
        <v>Cliffs Or Headlands</v>
      </c>
      <c r="M95" s="107" t="str">
        <f ca="1"/>
        <v>Caves</v>
      </c>
      <c r="N95" s="107" t="str">
        <f ca="1"/>
        <v>Sand dunes</v>
      </c>
      <c r="O95" s="107" t="str">
        <f ca="1"/>
        <v>Estuary edges</v>
      </c>
      <c r="P95" s="107" t="str">
        <f ca="1"/>
        <v>Coastal Wildlife</v>
      </c>
      <c r="Q95" s="107" t="str">
        <f ca="1"/>
        <v>Equipment Hire</v>
      </c>
      <c r="R95" s="107" t="str">
        <f ca="1"/>
        <v>Watersports Lessons</v>
      </c>
      <c r="S95" s="107" t="str">
        <f ca="1"/>
        <v>Surfing</v>
      </c>
      <c r="T95" s="107" t="str">
        <f ca="1"/>
        <v>Bodyboarding</v>
      </c>
      <c r="U95" s="107" t="str">
        <f ca="1"/>
        <v>Swimming</v>
      </c>
      <c r="V95" s="107" t="str">
        <f ca="1"/>
        <v>Kayaking / SUP</v>
      </c>
      <c r="W95" s="107" t="str">
        <f ca="1"/>
        <v>Slipway</v>
      </c>
      <c r="X95" s="107" t="str">
        <f ca="1"/>
        <v>Harbour</v>
      </c>
      <c r="Y95" s="107" t="str">
        <f ca="1"/>
        <v>Seasonally Lifeguarded</v>
      </c>
      <c r="Z95" s="107" t="str">
        <f ca="1"/>
        <v>Dog Friendly - seasonal leads</v>
      </c>
      <c r="AA95" s="107" t="str">
        <f ca="1"/>
        <v>Dog Friendly - off lead all year</v>
      </c>
      <c r="AB95" s="107" t="str">
        <f ca="1"/>
        <v>Boat trips nearby</v>
      </c>
      <c r="AC95" s="107" t="str">
        <f ca="1"/>
        <v>Toilets nearby</v>
      </c>
      <c r="AD95" s="107" t="str">
        <f ca="1"/>
        <v>Beach Cafe</v>
      </c>
      <c r="AE95" s="107" t="str">
        <f ca="1"/>
        <v>Promenade</v>
      </c>
    </row>
    <row r="96" spans="1:32">
      <c r="A96" s="107" t="str" cm="1">
        <f t="array" aca="1" ref="A96:AF96" ca="1">TRANSPOSE(INDIRECT(_xlfn.SWITCH(Venues!B96,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Shallow water</v>
      </c>
      <c r="B96" s="107" t="str">
        <f ca="1"/>
        <v>Deep water or plunge pools</v>
      </c>
      <c r="C96" s="107" t="str">
        <f ca="1"/>
        <v>Paddling spots</v>
      </c>
      <c r="D96" s="107" t="str">
        <f ca="1"/>
        <v>Natural Swimming Spots</v>
      </c>
      <c r="E96" s="107" t="str">
        <f ca="1"/>
        <v>Sheltered or shaded options</v>
      </c>
      <c r="F96" s="107" t="str">
        <f ca="1"/>
        <v>Predictable tides or flow</v>
      </c>
      <c r="G96" s="107" t="str">
        <f ca="1"/>
        <v>Lifeguarded areas (where applicable)</v>
      </c>
      <c r="H96" s="107" t="str">
        <f ca="1"/>
        <v>Instructor support</v>
      </c>
      <c r="I96" s="107" t="str">
        <f ca="1"/>
        <v>Splash-friendly areas</v>
      </c>
      <c r="J96" s="107" t="str">
        <f ca="1"/>
        <v>Opportunities to explore</v>
      </c>
      <c r="K96" s="107" t="str">
        <f ca="1"/>
        <v>Wildlife spotting</v>
      </c>
      <c r="L96" s="107" t="str">
        <f ca="1"/>
        <v>Fishing licenses; fishing spot</v>
      </c>
      <c r="M96" s="107" t="str">
        <f ca="1"/>
        <v>Jetty</v>
      </c>
      <c r="N96" s="107" t="str">
        <f ca="1"/>
        <v>River access for small boats or paddleboards</v>
      </c>
      <c r="O96" s="107" t="str">
        <f ca="1"/>
        <v>White water for experienced kayaking</v>
      </c>
      <c r="P96" s="107" t="str">
        <f ca="1"/>
        <v>Kayaking</v>
      </c>
      <c r="Q96" s="107" t="str">
        <f ca="1"/>
        <v>Rowing boats or small crafts</v>
      </c>
      <c r="R96" s="107" t="str">
        <f ca="1"/>
        <v>Paddleboarding</v>
      </c>
      <c r="S96" s="107" t="str">
        <f ca="1"/>
        <v>Lakes or reservoirs</v>
      </c>
      <c r="T96" s="107" t="str">
        <f ca="1"/>
        <v>Rivers or estuaries</v>
      </c>
      <c r="U96" s="107" t="str">
        <f ca="1"/>
        <v>River Beach</v>
      </c>
      <c r="V96" s="107" t="str">
        <f ca="1"/>
        <v>Beaches or coves</v>
      </c>
      <c r="W96" s="107" t="str">
        <f ca="1"/>
        <v>National Park</v>
      </c>
      <c r="X96" s="107" t="str">
        <f ca="1"/>
        <v>Blue Flag Beach</v>
      </c>
      <c r="Y96" s="107" t="str">
        <f ca="1"/>
        <v>Coasteering</v>
      </c>
      <c r="Z96" s="107" t="str">
        <f ca="1"/>
        <v>Raft Building</v>
      </c>
      <c r="AA96" s="107" t="str">
        <f ca="1"/>
        <v>Splash Pads / Sprinklers</v>
      </c>
      <c r="AB96" s="107" t="str">
        <f ca="1"/>
        <v>Water slides</v>
      </c>
      <c r="AC96" s="107" t="str">
        <f ca="1"/>
        <v>Inflatables</v>
      </c>
      <c r="AD96" s="107" t="str">
        <f ca="1"/>
        <v>Wave machines</v>
      </c>
      <c r="AE96" s="107" t="str">
        <f ca="1"/>
        <v>Water rides</v>
      </c>
      <c r="AF96" s="107" t="str">
        <f ca="1"/>
        <v>Woodland or countryside setting</v>
      </c>
    </row>
    <row r="97" spans="1:46">
      <c r="A97" s="107" t="str" cm="1">
        <f t="array" aca="1" ref="A97:AF97" ca="1">TRANSPOSE(INDIRECT(_xlfn.SWITCH(Venues!B97,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Shallow water</v>
      </c>
      <c r="B97" s="107" t="str">
        <f ca="1"/>
        <v>Deep water or plunge pools</v>
      </c>
      <c r="C97" s="107" t="str">
        <f ca="1"/>
        <v>Paddling spots</v>
      </c>
      <c r="D97" s="107" t="str">
        <f ca="1"/>
        <v>Natural Swimming Spots</v>
      </c>
      <c r="E97" s="107" t="str">
        <f ca="1"/>
        <v>Sheltered or shaded options</v>
      </c>
      <c r="F97" s="107" t="str">
        <f ca="1"/>
        <v>Predictable tides or flow</v>
      </c>
      <c r="G97" s="107" t="str">
        <f ca="1"/>
        <v>Lifeguarded areas (where applicable)</v>
      </c>
      <c r="H97" s="107" t="str">
        <f ca="1"/>
        <v>Instructor support</v>
      </c>
      <c r="I97" s="107" t="str">
        <f ca="1"/>
        <v>Splash-friendly areas</v>
      </c>
      <c r="J97" s="107" t="str">
        <f ca="1"/>
        <v>Opportunities to explore</v>
      </c>
      <c r="K97" s="107" t="str">
        <f ca="1"/>
        <v>Wildlife spotting</v>
      </c>
      <c r="L97" s="107" t="str">
        <f ca="1"/>
        <v>Fishing licenses; fishing spot</v>
      </c>
      <c r="M97" s="107" t="str">
        <f ca="1"/>
        <v>Jetty</v>
      </c>
      <c r="N97" s="107" t="str">
        <f ca="1"/>
        <v>River access for small boats or paddleboards</v>
      </c>
      <c r="O97" s="107" t="str">
        <f ca="1"/>
        <v>White water for experienced kayaking</v>
      </c>
      <c r="P97" s="107" t="str">
        <f ca="1"/>
        <v>Kayaking</v>
      </c>
      <c r="Q97" s="107" t="str">
        <f ca="1"/>
        <v>Rowing boats or small crafts</v>
      </c>
      <c r="R97" s="107" t="str">
        <f ca="1"/>
        <v>Paddleboarding</v>
      </c>
      <c r="S97" s="107" t="str">
        <f ca="1"/>
        <v>Lakes or reservoirs</v>
      </c>
      <c r="T97" s="107" t="str">
        <f ca="1"/>
        <v>Rivers or estuaries</v>
      </c>
      <c r="U97" s="107" t="str">
        <f ca="1"/>
        <v>River Beach</v>
      </c>
      <c r="V97" s="107" t="str">
        <f ca="1"/>
        <v>Beaches or coves</v>
      </c>
      <c r="W97" s="107" t="str">
        <f ca="1"/>
        <v>National Park</v>
      </c>
      <c r="X97" s="107" t="str">
        <f ca="1"/>
        <v>Blue Flag Beach</v>
      </c>
      <c r="Y97" s="107" t="str">
        <f ca="1"/>
        <v>Coasteering</v>
      </c>
      <c r="Z97" s="107" t="str">
        <f ca="1"/>
        <v>Raft Building</v>
      </c>
      <c r="AA97" s="107" t="str">
        <f ca="1"/>
        <v>Splash Pads / Sprinklers</v>
      </c>
      <c r="AB97" s="107" t="str">
        <f ca="1"/>
        <v>Water slides</v>
      </c>
      <c r="AC97" s="107" t="str">
        <f ca="1"/>
        <v>Inflatables</v>
      </c>
      <c r="AD97" s="107" t="str">
        <f ca="1"/>
        <v>Wave machines</v>
      </c>
      <c r="AE97" s="107" t="str">
        <f ca="1"/>
        <v>Water rides</v>
      </c>
      <c r="AF97" s="107" t="str">
        <f ca="1"/>
        <v>Woodland or countryside setting</v>
      </c>
    </row>
    <row r="98" spans="1:46">
      <c r="A98" s="107" t="str" cm="1">
        <f t="array" aca="1" ref="A98:AE98" ca="1">TRANSPOSE(INDIRECT(_xlfn.SWITCH(Venues!B98,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98" s="107" t="str">
        <f ca="1"/>
        <v>Seaweed beds</v>
      </c>
      <c r="C98" s="107" t="str">
        <f ca="1"/>
        <v>Shell or seaglass collecting</v>
      </c>
      <c r="D98" s="107" t="str">
        <f ca="1"/>
        <v>Fossil Hunting</v>
      </c>
      <c r="E98" s="107" t="str">
        <f ca="1"/>
        <v>Crabbing</v>
      </c>
      <c r="F98" s="107" t="str">
        <f ca="1"/>
        <v>Diggable sand (Sandcastles)</v>
      </c>
      <c r="G98" s="107" t="str">
        <f ca="1"/>
        <v>Smooth pebbles</v>
      </c>
      <c r="H98" s="107" t="str">
        <f ca="1"/>
        <v>Shallow paddling</v>
      </c>
      <c r="I98" s="107" t="str">
        <f ca="1"/>
        <v>Streams or channels</v>
      </c>
      <c r="J98" s="107" t="str">
        <f ca="1"/>
        <v>Coves &amp; inlets</v>
      </c>
      <c r="K98" s="107" t="str">
        <f ca="1"/>
        <v>Rock formations</v>
      </c>
      <c r="L98" s="107" t="str">
        <f ca="1"/>
        <v>Cliffs Or Headlands</v>
      </c>
      <c r="M98" s="107" t="str">
        <f ca="1"/>
        <v>Caves</v>
      </c>
      <c r="N98" s="107" t="str">
        <f ca="1"/>
        <v>Sand dunes</v>
      </c>
      <c r="O98" s="107" t="str">
        <f ca="1"/>
        <v>Estuary edges</v>
      </c>
      <c r="P98" s="107" t="str">
        <f ca="1"/>
        <v>Coastal Wildlife</v>
      </c>
      <c r="Q98" s="107" t="str">
        <f ca="1"/>
        <v>Equipment Hire</v>
      </c>
      <c r="R98" s="107" t="str">
        <f ca="1"/>
        <v>Watersports Lessons</v>
      </c>
      <c r="S98" s="107" t="str">
        <f ca="1"/>
        <v>Surfing</v>
      </c>
      <c r="T98" s="107" t="str">
        <f ca="1"/>
        <v>Bodyboarding</v>
      </c>
      <c r="U98" s="107" t="str">
        <f ca="1"/>
        <v>Swimming</v>
      </c>
      <c r="V98" s="107" t="str">
        <f ca="1"/>
        <v>Kayaking / SUP</v>
      </c>
      <c r="W98" s="107" t="str">
        <f ca="1"/>
        <v>Slipway</v>
      </c>
      <c r="X98" s="107" t="str">
        <f ca="1"/>
        <v>Harbour</v>
      </c>
      <c r="Y98" s="107" t="str">
        <f ca="1"/>
        <v>Seasonally Lifeguarded</v>
      </c>
      <c r="Z98" s="107" t="str">
        <f ca="1"/>
        <v>Dog Friendly - seasonal leads</v>
      </c>
      <c r="AA98" s="107" t="str">
        <f ca="1"/>
        <v>Dog Friendly - off lead all year</v>
      </c>
      <c r="AB98" s="107" t="str">
        <f ca="1"/>
        <v>Boat trips nearby</v>
      </c>
      <c r="AC98" s="107" t="str">
        <f ca="1"/>
        <v>Toilets nearby</v>
      </c>
      <c r="AD98" s="107" t="str">
        <f ca="1"/>
        <v>Beach Cafe</v>
      </c>
      <c r="AE98" s="107" t="str">
        <f ca="1"/>
        <v>Promenade</v>
      </c>
    </row>
    <row r="99" spans="1:46">
      <c r="A99" s="107" t="str" cm="1">
        <f t="array" aca="1" ref="A99:AT99" ca="1">TRANSPOSE(INDIRECT(_xlfn.SWITCH(Venues!B99,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99" s="107" t="str">
        <f ca="1"/>
        <v>Climbing frames</v>
      </c>
      <c r="C99" s="107" t="str">
        <f ca="1"/>
        <v>Balance elements</v>
      </c>
      <c r="D99" s="107" t="str">
        <f ca="1"/>
        <v>Scramble nets</v>
      </c>
      <c r="E99" s="107" t="str">
        <f ca="1"/>
        <v>Stepping obstacles</v>
      </c>
      <c r="F99" s="107" t="str">
        <f ca="1"/>
        <v>Towers and platforms</v>
      </c>
      <c r="G99" s="107" t="str">
        <f ca="1"/>
        <v xml:space="preserve">Slides </v>
      </c>
      <c r="H99" s="107" t="str">
        <f ca="1"/>
        <v>Zip wires</v>
      </c>
      <c r="I99" s="107" t="str">
        <f ca="1"/>
        <v>Fireman's poles</v>
      </c>
      <c r="J99" s="107" t="str">
        <f ca="1"/>
        <v>Ropes &amp; aerial adventures</v>
      </c>
      <c r="K99" s="107" t="str">
        <f ca="1"/>
        <v>Climbing rocks or bouldering</v>
      </c>
      <c r="L99" s="107" t="str">
        <f ca="1"/>
        <v>Climbing wall</v>
      </c>
      <c r="M99" s="107" t="str">
        <f ca="1"/>
        <v>Rope swings</v>
      </c>
      <c r="N99" s="107" t="str">
        <f ca="1"/>
        <v>Abseiling or high ropes</v>
      </c>
      <c r="O99" s="107" t="str">
        <f ca="1"/>
        <v>Fort-style structures</v>
      </c>
      <c r="P99" s="107" t="str">
        <f ca="1"/>
        <v>Lookout points</v>
      </c>
      <c r="Q99" s="107" t="str">
        <f ca="1"/>
        <v>Tunnels and crawl spaces</v>
      </c>
      <c r="R99" s="107" t="str">
        <f ca="1"/>
        <v>Obstacle courses</v>
      </c>
      <c r="S99" s="107" t="str">
        <f ca="1"/>
        <v>Mixed-difficulty zones</v>
      </c>
      <c r="T99" s="107" t="str">
        <f ca="1"/>
        <v>Enclosed adventure zones</v>
      </c>
      <c r="U99" s="107" t="str">
        <f ca="1"/>
        <v>Clear sightlines for adults</v>
      </c>
      <c r="V99" s="107" t="str">
        <f ca="1"/>
        <v>Orienteering</v>
      </c>
      <c r="W99" s="107" t="str">
        <f ca="1"/>
        <v>Water play features</v>
      </c>
      <c r="X99" s="107" t="str">
        <f ca="1"/>
        <v>Swings</v>
      </c>
      <c r="Y99" s="107" t="str">
        <f ca="1"/>
        <v>Basket / nest swings</v>
      </c>
      <c r="Z99" s="107" t="str">
        <f ca="1"/>
        <v>Roundabouts</v>
      </c>
      <c r="AA99" s="107" t="str">
        <f ca="1"/>
        <v>Seesaws</v>
      </c>
      <c r="AB99" s="107" t="str">
        <f ca="1"/>
        <v>Springers / rockers</v>
      </c>
      <c r="AC99" s="107" t="str">
        <f ca="1"/>
        <v>Ground trampolines</v>
      </c>
      <c r="AD99" s="107" t="str">
        <f ca="1"/>
        <v>Sand play area</v>
      </c>
      <c r="AE99" s="107" t="str">
        <f ca="1"/>
        <v>Mud kitchen</v>
      </c>
      <c r="AF99" s="107" t="str">
        <f ca="1"/>
        <v>Den building area</v>
      </c>
      <c r="AG99" s="107" t="str">
        <f ca="1"/>
        <v>Log balance trail</v>
      </c>
      <c r="AH99" s="107" t="str">
        <f ca="1"/>
        <v>Natural boulders</v>
      </c>
      <c r="AI99" s="107" t="str">
        <f ca="1"/>
        <v>Stream or water channel</v>
      </c>
      <c r="AJ99" s="107" t="str">
        <f ca="1"/>
        <v>Wooded setting</v>
      </c>
      <c r="AK99" s="107" t="str">
        <f ca="1"/>
        <v>Open grass / running space</v>
      </c>
      <c r="AL99" s="107" t="str">
        <f ca="1"/>
        <v>Bowl</v>
      </c>
      <c r="AM99" s="107" t="str">
        <f ca="1"/>
        <v>Quarter pipes</v>
      </c>
      <c r="AN99" s="107" t="str">
        <f ca="1"/>
        <v>Street skating features</v>
      </c>
      <c r="AO99" s="107" t="str">
        <f ca="1"/>
        <v>Pump track</v>
      </c>
      <c r="AP99" s="107" t="str">
        <f ca="1"/>
        <v>BMX track</v>
      </c>
      <c r="AQ99" s="107" t="str">
        <f ca="1"/>
        <v>Dirt jumps</v>
      </c>
      <c r="AR99" s="107" t="str">
        <f ca="1"/>
        <v>Wheelchair accessible equipment</v>
      </c>
      <c r="AS99" s="107" t="str">
        <f ca="1"/>
        <v>Inclusive swings</v>
      </c>
      <c r="AT99" s="107" t="str">
        <f ca="1"/>
        <v>Sensory play features</v>
      </c>
    </row>
    <row r="100" spans="1:46">
      <c r="A100" s="107" t="str" cm="1">
        <f t="array" aca="1" ref="A100:S100" ca="1">TRANSPOSE(INDIRECT(_xlfn.SWITCH(Venues!B100,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Climbing Logs or balance beams</v>
      </c>
      <c r="B100" s="107" t="str">
        <f ca="1"/>
        <v>Mud kitchens</v>
      </c>
      <c r="C100" s="107" t="str">
        <f ca="1"/>
        <v>Sand, soil, and loose materials</v>
      </c>
      <c r="D100" s="107" t="str">
        <f ca="1"/>
        <v>Den-building materials</v>
      </c>
      <c r="E100" s="107" t="str">
        <f ca="1"/>
        <v>Natural construction zones</v>
      </c>
      <c r="F100" s="107" t="str">
        <f ca="1"/>
        <v>Mud and puddles</v>
      </c>
      <c r="G100" s="107" t="str">
        <f ca="1"/>
        <v>Shallow water play (streams, channels)</v>
      </c>
      <c r="H100" s="107" t="str">
        <f ca="1"/>
        <v>Forest school activities</v>
      </c>
      <c r="I100" s="107" t="str">
        <f ca="1"/>
        <v>Guided outdoor learning prompts</v>
      </c>
      <c r="J100" s="107" t="str">
        <f ca="1"/>
        <v>Marked Trails</v>
      </c>
      <c r="K100" s="107" t="str">
        <f ca="1"/>
        <v>Children’s Activity Trails</v>
      </c>
      <c r="L100" s="107" t="str">
        <f ca="1"/>
        <v>Letterboxing</v>
      </c>
      <c r="M100" s="107" t="str">
        <f ca="1"/>
        <v>Fossil Hunting</v>
      </c>
      <c r="N100" s="107" t="str">
        <f ca="1"/>
        <v>Farming school activities</v>
      </c>
      <c r="O100" s="107" t="str">
        <f ca="1"/>
        <v>Simple tool use (supervised)</v>
      </c>
      <c r="P100" s="107" t="str">
        <f ca="1"/>
        <v>Fire pits (when part of structured sessions)</v>
      </c>
      <c r="Q100" s="107" t="str">
        <f ca="1"/>
        <v>Immersive natural surroundings</v>
      </c>
      <c r="R100" s="107" t="str">
        <f ca="1"/>
        <v>Quiet or low-intervention spaces</v>
      </c>
      <c r="S100" s="107" t="str">
        <f ca="1"/>
        <v>Enclosed or defined play zones</v>
      </c>
    </row>
    <row r="101" spans="1:46">
      <c r="A101" s="107" t="str" cm="1">
        <f t="array" aca="1" ref="A101:U101" ca="1">TRANSPOSE(INDIRECT(_xlfn.SWITCH(Venues!B101,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Historic buildings</v>
      </c>
      <c r="B101" s="107" t="str">
        <f ca="1"/>
        <v>Costumed interpretation</v>
      </c>
      <c r="C101" s="107" t="str">
        <f ca="1"/>
        <v>Recreated environments</v>
      </c>
      <c r="D101" s="107" t="str">
        <f ca="1"/>
        <v>Period features</v>
      </c>
      <c r="E101" s="107" t="str">
        <f ca="1"/>
        <v>Ruins to explore</v>
      </c>
      <c r="F101" s="107" t="str">
        <f ca="1"/>
        <v>Dungeons</v>
      </c>
      <c r="G101" s="107" t="str">
        <f ca="1"/>
        <v>Towers, walls, and tunnels</v>
      </c>
      <c r="H101" s="107" t="str">
        <f ca="1"/>
        <v>Fossils</v>
      </c>
      <c r="I101" s="107" t="str">
        <f ca="1"/>
        <v>Castles or Fortresses</v>
      </c>
      <c r="J101" s="107" t="str">
        <f ca="1"/>
        <v>Hidden rooms or passages</v>
      </c>
      <c r="K101" s="107" t="str">
        <f ca="1"/>
        <v>Outdoor grounds</v>
      </c>
      <c r="L101" s="107" t="str">
        <f ca="1"/>
        <v>Story-led interpretation</v>
      </c>
      <c r="M101" s="107" t="str">
        <f ca="1"/>
        <v>Audio guides or trails</v>
      </c>
      <c r="N101" s="107" t="str">
        <f ca="1"/>
        <v>Visual displays</v>
      </c>
      <c r="O101" s="107" t="str">
        <f ca="1"/>
        <v>Interactive elements</v>
      </c>
      <c r="P101" s="107" t="str">
        <f ca="1"/>
        <v>Discovery trails</v>
      </c>
      <c r="Q101" s="107" t="str">
        <f ca="1"/>
        <v>Hands-on exhibits</v>
      </c>
      <c r="R101" s="107" t="str">
        <f ca="1"/>
        <v>Dress-up areas</v>
      </c>
      <c r="S101" s="107" t="str">
        <f ca="1"/>
        <v>Re-enactment days</v>
      </c>
      <c r="T101" s="107" t="str">
        <f ca="1"/>
        <v>Craft or heritage activities</v>
      </c>
      <c r="U101" s="107" t="str">
        <f ca="1"/>
        <v>Demonstrations</v>
      </c>
    </row>
    <row r="102" spans="1:46">
      <c r="A102" s="107" t="str" cm="1">
        <f t="array" aca="1" ref="A102:J102" ca="1">TRANSPOSE(INDIRECT(_xlfn.SWITCH(Venues!B102,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102" s="107" t="str">
        <f ca="1"/>
        <v>Toy corner or play table</v>
      </c>
      <c r="C102" s="107" t="str">
        <f ca="1"/>
        <v>Puzzles or games</v>
      </c>
      <c r="D102" s="107" t="str">
        <f ca="1"/>
        <v>Colouring</v>
      </c>
      <c r="E102" s="107" t="str">
        <f ca="1"/>
        <v>Space to run around</v>
      </c>
      <c r="F102" s="107" t="str">
        <f ca="1"/>
        <v>Outdoor play area nearby</v>
      </c>
      <c r="G102" s="107" t="str">
        <f ca="1"/>
        <v>Farm animals nearby</v>
      </c>
      <c r="H102" s="107" t="str">
        <f ca="1"/>
        <v>Shop or browsing area (e.g. farm shop, garden centre)</v>
      </c>
      <c r="I102" s="107" t="str">
        <f ca="1"/>
        <v>Combined with a walk or attraction</v>
      </c>
      <c r="J102" s="107" t="str">
        <f ca="1"/>
        <v>Book swap or exchange library</v>
      </c>
    </row>
    <row r="103" spans="1:46">
      <c r="A103" s="107" t="str" cm="1">
        <f t="array" aca="1" ref="A103:K103" ca="1">TRANSPOSE(INDIRECT(_xlfn.SWITCH(Venues!B103,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Soft climbing structures</v>
      </c>
      <c r="B103" s="107" t="str">
        <f ca="1"/>
        <v>Slides</v>
      </c>
      <c r="C103" s="107" t="str">
        <f ca="1"/>
        <v>Tunnels and crawl spaces</v>
      </c>
      <c r="D103" s="107" t="str">
        <f ca="1"/>
        <v>Ball pools</v>
      </c>
      <c r="E103" s="107" t="str">
        <f ca="1"/>
        <v>Enclosed space</v>
      </c>
      <c r="F103" s="107" t="str">
        <f ca="1"/>
        <v>Clear sightlines</v>
      </c>
      <c r="G103" s="107" t="str">
        <f ca="1"/>
        <v>Seating for adults</v>
      </c>
      <c r="H103" s="107" t="str">
        <f ca="1"/>
        <v>Café or refreshment area</v>
      </c>
      <c r="I103" s="107" t="str">
        <f ca="1"/>
        <v>Separate toddler area</v>
      </c>
      <c r="J103" s="107" t="str">
        <f ca="1"/>
        <v>Age-zoned play areas</v>
      </c>
      <c r="K103" s="107" t="str">
        <f ca="1"/>
        <v>Calm or quieter zones</v>
      </c>
    </row>
    <row r="104" spans="1:46">
      <c r="A104" s="107" t="str" cm="1">
        <f t="array" aca="1" ref="A104:K104" ca="1">TRANSPOSE(INDIRECT(_xlfn.SWITCH(Venues!B104,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Soft climbing structures</v>
      </c>
      <c r="B104" s="107" t="str">
        <f ca="1"/>
        <v>Slides</v>
      </c>
      <c r="C104" s="107" t="str">
        <f ca="1"/>
        <v>Tunnels and crawl spaces</v>
      </c>
      <c r="D104" s="107" t="str">
        <f ca="1"/>
        <v>Ball pools</v>
      </c>
      <c r="E104" s="107" t="str">
        <f ca="1"/>
        <v>Enclosed space</v>
      </c>
      <c r="F104" s="107" t="str">
        <f ca="1"/>
        <v>Clear sightlines</v>
      </c>
      <c r="G104" s="107" t="str">
        <f ca="1"/>
        <v>Seating for adults</v>
      </c>
      <c r="H104" s="107" t="str">
        <f ca="1"/>
        <v>Café or refreshment area</v>
      </c>
      <c r="I104" s="107" t="str">
        <f ca="1"/>
        <v>Separate toddler area</v>
      </c>
      <c r="J104" s="107" t="str">
        <f ca="1"/>
        <v>Age-zoned play areas</v>
      </c>
      <c r="K104" s="107" t="str">
        <f ca="1"/>
        <v>Calm or quieter zones</v>
      </c>
    </row>
    <row r="105" spans="1:46">
      <c r="A105" s="107" t="str" cm="1">
        <f t="array" aca="1" ref="A105:AT105" ca="1">TRANSPOSE(INDIRECT(_xlfn.SWITCH(Venues!B105,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105" s="107" t="str">
        <f ca="1"/>
        <v>Climbing frames</v>
      </c>
      <c r="C105" s="107" t="str">
        <f ca="1"/>
        <v>Balance elements</v>
      </c>
      <c r="D105" s="107" t="str">
        <f ca="1"/>
        <v>Scramble nets</v>
      </c>
      <c r="E105" s="107" t="str">
        <f ca="1"/>
        <v>Stepping obstacles</v>
      </c>
      <c r="F105" s="107" t="str">
        <f ca="1"/>
        <v>Towers and platforms</v>
      </c>
      <c r="G105" s="107" t="str">
        <f ca="1"/>
        <v xml:space="preserve">Slides </v>
      </c>
      <c r="H105" s="107" t="str">
        <f ca="1"/>
        <v>Zip wires</v>
      </c>
      <c r="I105" s="107" t="str">
        <f ca="1"/>
        <v>Fireman's poles</v>
      </c>
      <c r="J105" s="107" t="str">
        <f ca="1"/>
        <v>Ropes &amp; aerial adventures</v>
      </c>
      <c r="K105" s="107" t="str">
        <f ca="1"/>
        <v>Climbing rocks or bouldering</v>
      </c>
      <c r="L105" s="107" t="str">
        <f ca="1"/>
        <v>Climbing wall</v>
      </c>
      <c r="M105" s="107" t="str">
        <f ca="1"/>
        <v>Rope swings</v>
      </c>
      <c r="N105" s="107" t="str">
        <f ca="1"/>
        <v>Abseiling or high ropes</v>
      </c>
      <c r="O105" s="107" t="str">
        <f ca="1"/>
        <v>Fort-style structures</v>
      </c>
      <c r="P105" s="107" t="str">
        <f ca="1"/>
        <v>Lookout points</v>
      </c>
      <c r="Q105" s="107" t="str">
        <f ca="1"/>
        <v>Tunnels and crawl spaces</v>
      </c>
      <c r="R105" s="107" t="str">
        <f ca="1"/>
        <v>Obstacle courses</v>
      </c>
      <c r="S105" s="107" t="str">
        <f ca="1"/>
        <v>Mixed-difficulty zones</v>
      </c>
      <c r="T105" s="107" t="str">
        <f ca="1"/>
        <v>Enclosed adventure zones</v>
      </c>
      <c r="U105" s="107" t="str">
        <f ca="1"/>
        <v>Clear sightlines for adults</v>
      </c>
      <c r="V105" s="107" t="str">
        <f ca="1"/>
        <v>Orienteering</v>
      </c>
      <c r="W105" s="107" t="str">
        <f ca="1"/>
        <v>Water play features</v>
      </c>
      <c r="X105" s="107" t="str">
        <f ca="1"/>
        <v>Swings</v>
      </c>
      <c r="Y105" s="107" t="str">
        <f ca="1"/>
        <v>Basket / nest swings</v>
      </c>
      <c r="Z105" s="107" t="str">
        <f ca="1"/>
        <v>Roundabouts</v>
      </c>
      <c r="AA105" s="107" t="str">
        <f ca="1"/>
        <v>Seesaws</v>
      </c>
      <c r="AB105" s="107" t="str">
        <f ca="1"/>
        <v>Springers / rockers</v>
      </c>
      <c r="AC105" s="107" t="str">
        <f ca="1"/>
        <v>Ground trampolines</v>
      </c>
      <c r="AD105" s="107" t="str">
        <f ca="1"/>
        <v>Sand play area</v>
      </c>
      <c r="AE105" s="107" t="str">
        <f ca="1"/>
        <v>Mud kitchen</v>
      </c>
      <c r="AF105" s="107" t="str">
        <f ca="1"/>
        <v>Den building area</v>
      </c>
      <c r="AG105" s="107" t="str">
        <f ca="1"/>
        <v>Log balance trail</v>
      </c>
      <c r="AH105" s="107" t="str">
        <f ca="1"/>
        <v>Natural boulders</v>
      </c>
      <c r="AI105" s="107" t="str">
        <f ca="1"/>
        <v>Stream or water channel</v>
      </c>
      <c r="AJ105" s="107" t="str">
        <f ca="1"/>
        <v>Wooded setting</v>
      </c>
      <c r="AK105" s="107" t="str">
        <f ca="1"/>
        <v>Open grass / running space</v>
      </c>
      <c r="AL105" s="107" t="str">
        <f ca="1"/>
        <v>Bowl</v>
      </c>
      <c r="AM105" s="107" t="str">
        <f ca="1"/>
        <v>Quarter pipes</v>
      </c>
      <c r="AN105" s="107" t="str">
        <f ca="1"/>
        <v>Street skating features</v>
      </c>
      <c r="AO105" s="107" t="str">
        <f ca="1"/>
        <v>Pump track</v>
      </c>
      <c r="AP105" s="107" t="str">
        <f ca="1"/>
        <v>BMX track</v>
      </c>
      <c r="AQ105" s="107" t="str">
        <f ca="1"/>
        <v>Dirt jumps</v>
      </c>
      <c r="AR105" s="107" t="str">
        <f ca="1"/>
        <v>Wheelchair accessible equipment</v>
      </c>
      <c r="AS105" s="107" t="str">
        <f ca="1"/>
        <v>Inclusive swings</v>
      </c>
      <c r="AT105" s="107" t="str">
        <f ca="1"/>
        <v>Sensory play features</v>
      </c>
    </row>
    <row r="106" spans="1:46">
      <c r="A106" s="107" t="str" cm="1">
        <f t="array" aca="1" ref="A106:V106" ca="1">TRANSPOSE(INDIRECT(_xlfn.SWITCH(Venues!B106,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106" s="107" t="str">
        <f ca="1"/>
        <v>Seasonal foliage</v>
      </c>
      <c r="C106" s="107" t="str">
        <f ca="1"/>
        <v>Seasonal or curated displays</v>
      </c>
      <c r="D106" s="107" t="str">
        <f ca="1"/>
        <v>Water Features or Fountains</v>
      </c>
      <c r="E106" s="107" t="str">
        <f ca="1"/>
        <v>Meadows &amp; wild grass</v>
      </c>
      <c r="F106" s="107" t="str">
        <f ca="1"/>
        <v>Lakes or wildlife ponds</v>
      </c>
      <c r="G106" s="107" t="str">
        <f ca="1"/>
        <v>Room to run freely</v>
      </c>
      <c r="H106" s="107" t="str">
        <f ca="1"/>
        <v>Open sightlines</v>
      </c>
      <c r="I106" s="107" t="str">
        <f ca="1"/>
        <v>Vegetable gardens &amp; growing spaces</v>
      </c>
      <c r="J106" s="107" t="str">
        <f ca="1"/>
        <v>Meandering paths</v>
      </c>
      <c r="K106" s="107" t="str">
        <f ca="1"/>
        <v>Hidden corners, passageways, gates &amp; gardens</v>
      </c>
      <c r="L106" s="107" t="str">
        <f ca="1"/>
        <v>Garden “rooms”</v>
      </c>
      <c r="M106" s="107" t="str">
        <f ca="1"/>
        <v>Bug hotels, discovery boards</v>
      </c>
      <c r="N106" s="107" t="str">
        <f ca="1"/>
        <v>Bird Hydes &amp; Viewing Platforms</v>
      </c>
      <c r="O106" s="107" t="str">
        <f ca="1"/>
        <v>Marked Trails</v>
      </c>
      <c r="P106" s="107" t="str">
        <f ca="1"/>
        <v>Children’s Activity Trails</v>
      </c>
      <c r="Q106" s="107" t="str">
        <f ca="1"/>
        <v>Historic features</v>
      </c>
      <c r="R106" s="107" t="str">
        <f ca="1"/>
        <v>Statues &amp; sculptures</v>
      </c>
      <c r="S106" s="107" t="str">
        <f ca="1"/>
        <v>Maze</v>
      </c>
      <c r="T106" s="107" t="str">
        <f ca="1"/>
        <v>Greenhouses &amp; tropical plants</v>
      </c>
      <c r="U106" s="107" t="str">
        <f ca="1"/>
        <v>Biomes &amp; unusual environments</v>
      </c>
      <c r="V106" s="107" t="str">
        <f ca="1"/>
        <v>Conservation displays or learning</v>
      </c>
    </row>
    <row r="107" spans="1:46">
      <c r="A107" s="107" t="str" cm="1">
        <f t="array" aca="1" ref="A107:AT107" ca="1">TRANSPOSE(INDIRECT(_xlfn.SWITCH(Venues!B107,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107" s="107" t="str">
        <f ca="1"/>
        <v>Climbing frames</v>
      </c>
      <c r="C107" s="107" t="str">
        <f ca="1"/>
        <v>Balance elements</v>
      </c>
      <c r="D107" s="107" t="str">
        <f ca="1"/>
        <v>Scramble nets</v>
      </c>
      <c r="E107" s="107" t="str">
        <f ca="1"/>
        <v>Stepping obstacles</v>
      </c>
      <c r="F107" s="107" t="str">
        <f ca="1"/>
        <v>Towers and platforms</v>
      </c>
      <c r="G107" s="107" t="str">
        <f ca="1"/>
        <v xml:space="preserve">Slides </v>
      </c>
      <c r="H107" s="107" t="str">
        <f ca="1"/>
        <v>Zip wires</v>
      </c>
      <c r="I107" s="107" t="str">
        <f ca="1"/>
        <v>Fireman's poles</v>
      </c>
      <c r="J107" s="107" t="str">
        <f ca="1"/>
        <v>Ropes &amp; aerial adventures</v>
      </c>
      <c r="K107" s="107" t="str">
        <f ca="1"/>
        <v>Climbing rocks or bouldering</v>
      </c>
      <c r="L107" s="107" t="str">
        <f ca="1"/>
        <v>Climbing wall</v>
      </c>
      <c r="M107" s="107" t="str">
        <f ca="1"/>
        <v>Rope swings</v>
      </c>
      <c r="N107" s="107" t="str">
        <f ca="1"/>
        <v>Abseiling or high ropes</v>
      </c>
      <c r="O107" s="107" t="str">
        <f ca="1"/>
        <v>Fort-style structures</v>
      </c>
      <c r="P107" s="107" t="str">
        <f ca="1"/>
        <v>Lookout points</v>
      </c>
      <c r="Q107" s="107" t="str">
        <f ca="1"/>
        <v>Tunnels and crawl spaces</v>
      </c>
      <c r="R107" s="107" t="str">
        <f ca="1"/>
        <v>Obstacle courses</v>
      </c>
      <c r="S107" s="107" t="str">
        <f ca="1"/>
        <v>Mixed-difficulty zones</v>
      </c>
      <c r="T107" s="107" t="str">
        <f ca="1"/>
        <v>Enclosed adventure zones</v>
      </c>
      <c r="U107" s="107" t="str">
        <f ca="1"/>
        <v>Clear sightlines for adults</v>
      </c>
      <c r="V107" s="107" t="str">
        <f ca="1"/>
        <v>Orienteering</v>
      </c>
      <c r="W107" s="107" t="str">
        <f ca="1"/>
        <v>Water play features</v>
      </c>
      <c r="X107" s="107" t="str">
        <f ca="1"/>
        <v>Swings</v>
      </c>
      <c r="Y107" s="107" t="str">
        <f ca="1"/>
        <v>Basket / nest swings</v>
      </c>
      <c r="Z107" s="107" t="str">
        <f ca="1"/>
        <v>Roundabouts</v>
      </c>
      <c r="AA107" s="107" t="str">
        <f ca="1"/>
        <v>Seesaws</v>
      </c>
      <c r="AB107" s="107" t="str">
        <f ca="1"/>
        <v>Springers / rockers</v>
      </c>
      <c r="AC107" s="107" t="str">
        <f ca="1"/>
        <v>Ground trampolines</v>
      </c>
      <c r="AD107" s="107" t="str">
        <f ca="1"/>
        <v>Sand play area</v>
      </c>
      <c r="AE107" s="107" t="str">
        <f ca="1"/>
        <v>Mud kitchen</v>
      </c>
      <c r="AF107" s="107" t="str">
        <f ca="1"/>
        <v>Den building area</v>
      </c>
      <c r="AG107" s="107" t="str">
        <f ca="1"/>
        <v>Log balance trail</v>
      </c>
      <c r="AH107" s="107" t="str">
        <f ca="1"/>
        <v>Natural boulders</v>
      </c>
      <c r="AI107" s="107" t="str">
        <f ca="1"/>
        <v>Stream or water channel</v>
      </c>
      <c r="AJ107" s="107" t="str">
        <f ca="1"/>
        <v>Wooded setting</v>
      </c>
      <c r="AK107" s="107" t="str">
        <f ca="1"/>
        <v>Open grass / running space</v>
      </c>
      <c r="AL107" s="107" t="str">
        <f ca="1"/>
        <v>Bowl</v>
      </c>
      <c r="AM107" s="107" t="str">
        <f ca="1"/>
        <v>Quarter pipes</v>
      </c>
      <c r="AN107" s="107" t="str">
        <f ca="1"/>
        <v>Street skating features</v>
      </c>
      <c r="AO107" s="107" t="str">
        <f ca="1"/>
        <v>Pump track</v>
      </c>
      <c r="AP107" s="107" t="str">
        <f ca="1"/>
        <v>BMX track</v>
      </c>
      <c r="AQ107" s="107" t="str">
        <f ca="1"/>
        <v>Dirt jumps</v>
      </c>
      <c r="AR107" s="107" t="str">
        <f ca="1"/>
        <v>Wheelchair accessible equipment</v>
      </c>
      <c r="AS107" s="107" t="str">
        <f ca="1"/>
        <v>Inclusive swings</v>
      </c>
      <c r="AT107" s="107" t="str">
        <f ca="1"/>
        <v>Sensory play features</v>
      </c>
    </row>
    <row r="108" spans="1:46">
      <c r="A108" s="107" t="str" cm="1">
        <f t="array" aca="1" ref="A108:AT108" ca="1">TRANSPOSE(INDIRECT(_xlfn.SWITCH(Venues!B108,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108" s="107" t="str">
        <f ca="1"/>
        <v>Climbing frames</v>
      </c>
      <c r="C108" s="107" t="str">
        <f ca="1"/>
        <v>Balance elements</v>
      </c>
      <c r="D108" s="107" t="str">
        <f ca="1"/>
        <v>Scramble nets</v>
      </c>
      <c r="E108" s="107" t="str">
        <f ca="1"/>
        <v>Stepping obstacles</v>
      </c>
      <c r="F108" s="107" t="str">
        <f ca="1"/>
        <v>Towers and platforms</v>
      </c>
      <c r="G108" s="107" t="str">
        <f ca="1"/>
        <v xml:space="preserve">Slides </v>
      </c>
      <c r="H108" s="107" t="str">
        <f ca="1"/>
        <v>Zip wires</v>
      </c>
      <c r="I108" s="107" t="str">
        <f ca="1"/>
        <v>Fireman's poles</v>
      </c>
      <c r="J108" s="107" t="str">
        <f ca="1"/>
        <v>Ropes &amp; aerial adventures</v>
      </c>
      <c r="K108" s="107" t="str">
        <f ca="1"/>
        <v>Climbing rocks or bouldering</v>
      </c>
      <c r="L108" s="107" t="str">
        <f ca="1"/>
        <v>Climbing wall</v>
      </c>
      <c r="M108" s="107" t="str">
        <f ca="1"/>
        <v>Rope swings</v>
      </c>
      <c r="N108" s="107" t="str">
        <f ca="1"/>
        <v>Abseiling or high ropes</v>
      </c>
      <c r="O108" s="107" t="str">
        <f ca="1"/>
        <v>Fort-style structures</v>
      </c>
      <c r="P108" s="107" t="str">
        <f ca="1"/>
        <v>Lookout points</v>
      </c>
      <c r="Q108" s="107" t="str">
        <f ca="1"/>
        <v>Tunnels and crawl spaces</v>
      </c>
      <c r="R108" s="107" t="str">
        <f ca="1"/>
        <v>Obstacle courses</v>
      </c>
      <c r="S108" s="107" t="str">
        <f ca="1"/>
        <v>Mixed-difficulty zones</v>
      </c>
      <c r="T108" s="107" t="str">
        <f ca="1"/>
        <v>Enclosed adventure zones</v>
      </c>
      <c r="U108" s="107" t="str">
        <f ca="1"/>
        <v>Clear sightlines for adults</v>
      </c>
      <c r="V108" s="107" t="str">
        <f ca="1"/>
        <v>Orienteering</v>
      </c>
      <c r="W108" s="107" t="str">
        <f ca="1"/>
        <v>Water play features</v>
      </c>
      <c r="X108" s="107" t="str">
        <f ca="1"/>
        <v>Swings</v>
      </c>
      <c r="Y108" s="107" t="str">
        <f ca="1"/>
        <v>Basket / nest swings</v>
      </c>
      <c r="Z108" s="107" t="str">
        <f ca="1"/>
        <v>Roundabouts</v>
      </c>
      <c r="AA108" s="107" t="str">
        <f ca="1"/>
        <v>Seesaws</v>
      </c>
      <c r="AB108" s="107" t="str">
        <f ca="1"/>
        <v>Springers / rockers</v>
      </c>
      <c r="AC108" s="107" t="str">
        <f ca="1"/>
        <v>Ground trampolines</v>
      </c>
      <c r="AD108" s="107" t="str">
        <f ca="1"/>
        <v>Sand play area</v>
      </c>
      <c r="AE108" s="107" t="str">
        <f ca="1"/>
        <v>Mud kitchen</v>
      </c>
      <c r="AF108" s="107" t="str">
        <f ca="1"/>
        <v>Den building area</v>
      </c>
      <c r="AG108" s="107" t="str">
        <f ca="1"/>
        <v>Log balance trail</v>
      </c>
      <c r="AH108" s="107" t="str">
        <f ca="1"/>
        <v>Natural boulders</v>
      </c>
      <c r="AI108" s="107" t="str">
        <f ca="1"/>
        <v>Stream or water channel</v>
      </c>
      <c r="AJ108" s="107" t="str">
        <f ca="1"/>
        <v>Wooded setting</v>
      </c>
      <c r="AK108" s="107" t="str">
        <f ca="1"/>
        <v>Open grass / running space</v>
      </c>
      <c r="AL108" s="107" t="str">
        <f ca="1"/>
        <v>Bowl</v>
      </c>
      <c r="AM108" s="107" t="str">
        <f ca="1"/>
        <v>Quarter pipes</v>
      </c>
      <c r="AN108" s="107" t="str">
        <f ca="1"/>
        <v>Street skating features</v>
      </c>
      <c r="AO108" s="107" t="str">
        <f ca="1"/>
        <v>Pump track</v>
      </c>
      <c r="AP108" s="107" t="str">
        <f ca="1"/>
        <v>BMX track</v>
      </c>
      <c r="AQ108" s="107" t="str">
        <f ca="1"/>
        <v>Dirt jumps</v>
      </c>
      <c r="AR108" s="107" t="str">
        <f ca="1"/>
        <v>Wheelchair accessible equipment</v>
      </c>
      <c r="AS108" s="107" t="str">
        <f ca="1"/>
        <v>Inclusive swings</v>
      </c>
      <c r="AT108" s="107" t="str">
        <f ca="1"/>
        <v>Sensory play features</v>
      </c>
    </row>
    <row r="109" spans="1:46">
      <c r="A109" s="107" t="str" cm="1">
        <f t="array" aca="1" ref="A109:AT109" ca="1">TRANSPOSE(INDIRECT(_xlfn.SWITCH(Venues!B109,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109" s="107" t="str">
        <f ca="1"/>
        <v>Climbing frames</v>
      </c>
      <c r="C109" s="107" t="str">
        <f ca="1"/>
        <v>Balance elements</v>
      </c>
      <c r="D109" s="107" t="str">
        <f ca="1"/>
        <v>Scramble nets</v>
      </c>
      <c r="E109" s="107" t="str">
        <f ca="1"/>
        <v>Stepping obstacles</v>
      </c>
      <c r="F109" s="107" t="str">
        <f ca="1"/>
        <v>Towers and platforms</v>
      </c>
      <c r="G109" s="107" t="str">
        <f ca="1"/>
        <v xml:space="preserve">Slides </v>
      </c>
      <c r="H109" s="107" t="str">
        <f ca="1"/>
        <v>Zip wires</v>
      </c>
      <c r="I109" s="107" t="str">
        <f ca="1"/>
        <v>Fireman's poles</v>
      </c>
      <c r="J109" s="107" t="str">
        <f ca="1"/>
        <v>Ropes &amp; aerial adventures</v>
      </c>
      <c r="K109" s="107" t="str">
        <f ca="1"/>
        <v>Climbing rocks or bouldering</v>
      </c>
      <c r="L109" s="107" t="str">
        <f ca="1"/>
        <v>Climbing wall</v>
      </c>
      <c r="M109" s="107" t="str">
        <f ca="1"/>
        <v>Rope swings</v>
      </c>
      <c r="N109" s="107" t="str">
        <f ca="1"/>
        <v>Abseiling or high ropes</v>
      </c>
      <c r="O109" s="107" t="str">
        <f ca="1"/>
        <v>Fort-style structures</v>
      </c>
      <c r="P109" s="107" t="str">
        <f ca="1"/>
        <v>Lookout points</v>
      </c>
      <c r="Q109" s="107" t="str">
        <f ca="1"/>
        <v>Tunnels and crawl spaces</v>
      </c>
      <c r="R109" s="107" t="str">
        <f ca="1"/>
        <v>Obstacle courses</v>
      </c>
      <c r="S109" s="107" t="str">
        <f ca="1"/>
        <v>Mixed-difficulty zones</v>
      </c>
      <c r="T109" s="107" t="str">
        <f ca="1"/>
        <v>Enclosed adventure zones</v>
      </c>
      <c r="U109" s="107" t="str">
        <f ca="1"/>
        <v>Clear sightlines for adults</v>
      </c>
      <c r="V109" s="107" t="str">
        <f ca="1"/>
        <v>Orienteering</v>
      </c>
      <c r="W109" s="107" t="str">
        <f ca="1"/>
        <v>Water play features</v>
      </c>
      <c r="X109" s="107" t="str">
        <f ca="1"/>
        <v>Swings</v>
      </c>
      <c r="Y109" s="107" t="str">
        <f ca="1"/>
        <v>Basket / nest swings</v>
      </c>
      <c r="Z109" s="107" t="str">
        <f ca="1"/>
        <v>Roundabouts</v>
      </c>
      <c r="AA109" s="107" t="str">
        <f ca="1"/>
        <v>Seesaws</v>
      </c>
      <c r="AB109" s="107" t="str">
        <f ca="1"/>
        <v>Springers / rockers</v>
      </c>
      <c r="AC109" s="107" t="str">
        <f ca="1"/>
        <v>Ground trampolines</v>
      </c>
      <c r="AD109" s="107" t="str">
        <f ca="1"/>
        <v>Sand play area</v>
      </c>
      <c r="AE109" s="107" t="str">
        <f ca="1"/>
        <v>Mud kitchen</v>
      </c>
      <c r="AF109" s="107" t="str">
        <f ca="1"/>
        <v>Den building area</v>
      </c>
      <c r="AG109" s="107" t="str">
        <f ca="1"/>
        <v>Log balance trail</v>
      </c>
      <c r="AH109" s="107" t="str">
        <f ca="1"/>
        <v>Natural boulders</v>
      </c>
      <c r="AI109" s="107" t="str">
        <f ca="1"/>
        <v>Stream or water channel</v>
      </c>
      <c r="AJ109" s="107" t="str">
        <f ca="1"/>
        <v>Wooded setting</v>
      </c>
      <c r="AK109" s="107" t="str">
        <f ca="1"/>
        <v>Open grass / running space</v>
      </c>
      <c r="AL109" s="107" t="str">
        <f ca="1"/>
        <v>Bowl</v>
      </c>
      <c r="AM109" s="107" t="str">
        <f ca="1"/>
        <v>Quarter pipes</v>
      </c>
      <c r="AN109" s="107" t="str">
        <f ca="1"/>
        <v>Street skating features</v>
      </c>
      <c r="AO109" s="107" t="str">
        <f ca="1"/>
        <v>Pump track</v>
      </c>
      <c r="AP109" s="107" t="str">
        <f ca="1"/>
        <v>BMX track</v>
      </c>
      <c r="AQ109" s="107" t="str">
        <f ca="1"/>
        <v>Dirt jumps</v>
      </c>
      <c r="AR109" s="107" t="str">
        <f ca="1"/>
        <v>Wheelchair accessible equipment</v>
      </c>
      <c r="AS109" s="107" t="str">
        <f ca="1"/>
        <v>Inclusive swings</v>
      </c>
      <c r="AT109" s="107" t="str">
        <f ca="1"/>
        <v>Sensory play features</v>
      </c>
    </row>
    <row r="110" spans="1:46">
      <c r="A110" s="107" t="str" cm="1">
        <f t="array" aca="1" ref="A110:AF110" ca="1">TRANSPOSE(INDIRECT(_xlfn.SWITCH(Venues!B110,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Shallow water</v>
      </c>
      <c r="B110" s="107" t="str">
        <f ca="1"/>
        <v>Deep water or plunge pools</v>
      </c>
      <c r="C110" s="107" t="str">
        <f ca="1"/>
        <v>Paddling spots</v>
      </c>
      <c r="D110" s="107" t="str">
        <f ca="1"/>
        <v>Natural Swimming Spots</v>
      </c>
      <c r="E110" s="107" t="str">
        <f ca="1"/>
        <v>Sheltered or shaded options</v>
      </c>
      <c r="F110" s="107" t="str">
        <f ca="1"/>
        <v>Predictable tides or flow</v>
      </c>
      <c r="G110" s="107" t="str">
        <f ca="1"/>
        <v>Lifeguarded areas (where applicable)</v>
      </c>
      <c r="H110" s="107" t="str">
        <f ca="1"/>
        <v>Instructor support</v>
      </c>
      <c r="I110" s="107" t="str">
        <f ca="1"/>
        <v>Splash-friendly areas</v>
      </c>
      <c r="J110" s="107" t="str">
        <f ca="1"/>
        <v>Opportunities to explore</v>
      </c>
      <c r="K110" s="107" t="str">
        <f ca="1"/>
        <v>Wildlife spotting</v>
      </c>
      <c r="L110" s="107" t="str">
        <f ca="1"/>
        <v>Fishing licenses; fishing spot</v>
      </c>
      <c r="M110" s="107" t="str">
        <f ca="1"/>
        <v>Jetty</v>
      </c>
      <c r="N110" s="107" t="str">
        <f ca="1"/>
        <v>River access for small boats or paddleboards</v>
      </c>
      <c r="O110" s="107" t="str">
        <f ca="1"/>
        <v>White water for experienced kayaking</v>
      </c>
      <c r="P110" s="107" t="str">
        <f ca="1"/>
        <v>Kayaking</v>
      </c>
      <c r="Q110" s="107" t="str">
        <f ca="1"/>
        <v>Rowing boats or small crafts</v>
      </c>
      <c r="R110" s="107" t="str">
        <f ca="1"/>
        <v>Paddleboarding</v>
      </c>
      <c r="S110" s="107" t="str">
        <f ca="1"/>
        <v>Lakes or reservoirs</v>
      </c>
      <c r="T110" s="107" t="str">
        <f ca="1"/>
        <v>Rivers or estuaries</v>
      </c>
      <c r="U110" s="107" t="str">
        <f ca="1"/>
        <v>River Beach</v>
      </c>
      <c r="V110" s="107" t="str">
        <f ca="1"/>
        <v>Beaches or coves</v>
      </c>
      <c r="W110" s="107" t="str">
        <f ca="1"/>
        <v>National Park</v>
      </c>
      <c r="X110" s="107" t="str">
        <f ca="1"/>
        <v>Blue Flag Beach</v>
      </c>
      <c r="Y110" s="107" t="str">
        <f ca="1"/>
        <v>Coasteering</v>
      </c>
      <c r="Z110" s="107" t="str">
        <f ca="1"/>
        <v>Raft Building</v>
      </c>
      <c r="AA110" s="107" t="str">
        <f ca="1"/>
        <v>Splash Pads / Sprinklers</v>
      </c>
      <c r="AB110" s="107" t="str">
        <f ca="1"/>
        <v>Water slides</v>
      </c>
      <c r="AC110" s="107" t="str">
        <f ca="1"/>
        <v>Inflatables</v>
      </c>
      <c r="AD110" s="107" t="str">
        <f ca="1"/>
        <v>Wave machines</v>
      </c>
      <c r="AE110" s="107" t="str">
        <f ca="1"/>
        <v>Water rides</v>
      </c>
      <c r="AF110" s="107" t="str">
        <f ca="1"/>
        <v>Woodland or countryside setting</v>
      </c>
    </row>
    <row r="111" spans="1:46">
      <c r="A111" s="107" t="str" cm="1">
        <f t="array" aca="1" ref="A111:AT111" ca="1">TRANSPOSE(INDIRECT(_xlfn.SWITCH(Venues!B111,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111" s="107" t="str">
        <f ca="1"/>
        <v>Climbing frames</v>
      </c>
      <c r="C111" s="107" t="str">
        <f ca="1"/>
        <v>Balance elements</v>
      </c>
      <c r="D111" s="107" t="str">
        <f ca="1"/>
        <v>Scramble nets</v>
      </c>
      <c r="E111" s="107" t="str">
        <f ca="1"/>
        <v>Stepping obstacles</v>
      </c>
      <c r="F111" s="107" t="str">
        <f ca="1"/>
        <v>Towers and platforms</v>
      </c>
      <c r="G111" s="107" t="str">
        <f ca="1"/>
        <v xml:space="preserve">Slides </v>
      </c>
      <c r="H111" s="107" t="str">
        <f ca="1"/>
        <v>Zip wires</v>
      </c>
      <c r="I111" s="107" t="str">
        <f ca="1"/>
        <v>Fireman's poles</v>
      </c>
      <c r="J111" s="107" t="str">
        <f ca="1"/>
        <v>Ropes &amp; aerial adventures</v>
      </c>
      <c r="K111" s="107" t="str">
        <f ca="1"/>
        <v>Climbing rocks or bouldering</v>
      </c>
      <c r="L111" s="107" t="str">
        <f ca="1"/>
        <v>Climbing wall</v>
      </c>
      <c r="M111" s="107" t="str">
        <f ca="1"/>
        <v>Rope swings</v>
      </c>
      <c r="N111" s="107" t="str">
        <f ca="1"/>
        <v>Abseiling or high ropes</v>
      </c>
      <c r="O111" s="107" t="str">
        <f ca="1"/>
        <v>Fort-style structures</v>
      </c>
      <c r="P111" s="107" t="str">
        <f ca="1"/>
        <v>Lookout points</v>
      </c>
      <c r="Q111" s="107" t="str">
        <f ca="1"/>
        <v>Tunnels and crawl spaces</v>
      </c>
      <c r="R111" s="107" t="str">
        <f ca="1"/>
        <v>Obstacle courses</v>
      </c>
      <c r="S111" s="107" t="str">
        <f ca="1"/>
        <v>Mixed-difficulty zones</v>
      </c>
      <c r="T111" s="107" t="str">
        <f ca="1"/>
        <v>Enclosed adventure zones</v>
      </c>
      <c r="U111" s="107" t="str">
        <f ca="1"/>
        <v>Clear sightlines for adults</v>
      </c>
      <c r="V111" s="107" t="str">
        <f ca="1"/>
        <v>Orienteering</v>
      </c>
      <c r="W111" s="107" t="str">
        <f ca="1"/>
        <v>Water play features</v>
      </c>
      <c r="X111" s="107" t="str">
        <f ca="1"/>
        <v>Swings</v>
      </c>
      <c r="Y111" s="107" t="str">
        <f ca="1"/>
        <v>Basket / nest swings</v>
      </c>
      <c r="Z111" s="107" t="str">
        <f ca="1"/>
        <v>Roundabouts</v>
      </c>
      <c r="AA111" s="107" t="str">
        <f ca="1"/>
        <v>Seesaws</v>
      </c>
      <c r="AB111" s="107" t="str">
        <f ca="1"/>
        <v>Springers / rockers</v>
      </c>
      <c r="AC111" s="107" t="str">
        <f ca="1"/>
        <v>Ground trampolines</v>
      </c>
      <c r="AD111" s="107" t="str">
        <f ca="1"/>
        <v>Sand play area</v>
      </c>
      <c r="AE111" s="107" t="str">
        <f ca="1"/>
        <v>Mud kitchen</v>
      </c>
      <c r="AF111" s="107" t="str">
        <f ca="1"/>
        <v>Den building area</v>
      </c>
      <c r="AG111" s="107" t="str">
        <f ca="1"/>
        <v>Log balance trail</v>
      </c>
      <c r="AH111" s="107" t="str">
        <f ca="1"/>
        <v>Natural boulders</v>
      </c>
      <c r="AI111" s="107" t="str">
        <f ca="1"/>
        <v>Stream or water channel</v>
      </c>
      <c r="AJ111" s="107" t="str">
        <f ca="1"/>
        <v>Wooded setting</v>
      </c>
      <c r="AK111" s="107" t="str">
        <f ca="1"/>
        <v>Open grass / running space</v>
      </c>
      <c r="AL111" s="107" t="str">
        <f ca="1"/>
        <v>Bowl</v>
      </c>
      <c r="AM111" s="107" t="str">
        <f ca="1"/>
        <v>Quarter pipes</v>
      </c>
      <c r="AN111" s="107" t="str">
        <f ca="1"/>
        <v>Street skating features</v>
      </c>
      <c r="AO111" s="107" t="str">
        <f ca="1"/>
        <v>Pump track</v>
      </c>
      <c r="AP111" s="107" t="str">
        <f ca="1"/>
        <v>BMX track</v>
      </c>
      <c r="AQ111" s="107" t="str">
        <f ca="1"/>
        <v>Dirt jumps</v>
      </c>
      <c r="AR111" s="107" t="str">
        <f ca="1"/>
        <v>Wheelchair accessible equipment</v>
      </c>
      <c r="AS111" s="107" t="str">
        <f ca="1"/>
        <v>Inclusive swings</v>
      </c>
      <c r="AT111" s="107" t="str">
        <f ca="1"/>
        <v>Sensory play features</v>
      </c>
    </row>
    <row r="112" spans="1:46">
      <c r="A112" s="107" t="str" cm="1">
        <f t="array" aca="1" ref="A112:AT112" ca="1">TRANSPOSE(INDIRECT(_xlfn.SWITCH(Venues!B112,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112" s="107" t="str">
        <f ca="1"/>
        <v>Climbing frames</v>
      </c>
      <c r="C112" s="107" t="str">
        <f ca="1"/>
        <v>Balance elements</v>
      </c>
      <c r="D112" s="107" t="str">
        <f ca="1"/>
        <v>Scramble nets</v>
      </c>
      <c r="E112" s="107" t="str">
        <f ca="1"/>
        <v>Stepping obstacles</v>
      </c>
      <c r="F112" s="107" t="str">
        <f ca="1"/>
        <v>Towers and platforms</v>
      </c>
      <c r="G112" s="107" t="str">
        <f ca="1"/>
        <v xml:space="preserve">Slides </v>
      </c>
      <c r="H112" s="107" t="str">
        <f ca="1"/>
        <v>Zip wires</v>
      </c>
      <c r="I112" s="107" t="str">
        <f ca="1"/>
        <v>Fireman's poles</v>
      </c>
      <c r="J112" s="107" t="str">
        <f ca="1"/>
        <v>Ropes &amp; aerial adventures</v>
      </c>
      <c r="K112" s="107" t="str">
        <f ca="1"/>
        <v>Climbing rocks or bouldering</v>
      </c>
      <c r="L112" s="107" t="str">
        <f ca="1"/>
        <v>Climbing wall</v>
      </c>
      <c r="M112" s="107" t="str">
        <f ca="1"/>
        <v>Rope swings</v>
      </c>
      <c r="N112" s="107" t="str">
        <f ca="1"/>
        <v>Abseiling or high ropes</v>
      </c>
      <c r="O112" s="107" t="str">
        <f ca="1"/>
        <v>Fort-style structures</v>
      </c>
      <c r="P112" s="107" t="str">
        <f ca="1"/>
        <v>Lookout points</v>
      </c>
      <c r="Q112" s="107" t="str">
        <f ca="1"/>
        <v>Tunnels and crawl spaces</v>
      </c>
      <c r="R112" s="107" t="str">
        <f ca="1"/>
        <v>Obstacle courses</v>
      </c>
      <c r="S112" s="107" t="str">
        <f ca="1"/>
        <v>Mixed-difficulty zones</v>
      </c>
      <c r="T112" s="107" t="str">
        <f ca="1"/>
        <v>Enclosed adventure zones</v>
      </c>
      <c r="U112" s="107" t="str">
        <f ca="1"/>
        <v>Clear sightlines for adults</v>
      </c>
      <c r="V112" s="107" t="str">
        <f ca="1"/>
        <v>Orienteering</v>
      </c>
      <c r="W112" s="107" t="str">
        <f ca="1"/>
        <v>Water play features</v>
      </c>
      <c r="X112" s="107" t="str">
        <f ca="1"/>
        <v>Swings</v>
      </c>
      <c r="Y112" s="107" t="str">
        <f ca="1"/>
        <v>Basket / nest swings</v>
      </c>
      <c r="Z112" s="107" t="str">
        <f ca="1"/>
        <v>Roundabouts</v>
      </c>
      <c r="AA112" s="107" t="str">
        <f ca="1"/>
        <v>Seesaws</v>
      </c>
      <c r="AB112" s="107" t="str">
        <f ca="1"/>
        <v>Springers / rockers</v>
      </c>
      <c r="AC112" s="107" t="str">
        <f ca="1"/>
        <v>Ground trampolines</v>
      </c>
      <c r="AD112" s="107" t="str">
        <f ca="1"/>
        <v>Sand play area</v>
      </c>
      <c r="AE112" s="107" t="str">
        <f ca="1"/>
        <v>Mud kitchen</v>
      </c>
      <c r="AF112" s="107" t="str">
        <f ca="1"/>
        <v>Den building area</v>
      </c>
      <c r="AG112" s="107" t="str">
        <f ca="1"/>
        <v>Log balance trail</v>
      </c>
      <c r="AH112" s="107" t="str">
        <f ca="1"/>
        <v>Natural boulders</v>
      </c>
      <c r="AI112" s="107" t="str">
        <f ca="1"/>
        <v>Stream or water channel</v>
      </c>
      <c r="AJ112" s="107" t="str">
        <f ca="1"/>
        <v>Wooded setting</v>
      </c>
      <c r="AK112" s="107" t="str">
        <f ca="1"/>
        <v>Open grass / running space</v>
      </c>
      <c r="AL112" s="107" t="str">
        <f ca="1"/>
        <v>Bowl</v>
      </c>
      <c r="AM112" s="107" t="str">
        <f ca="1"/>
        <v>Quarter pipes</v>
      </c>
      <c r="AN112" s="107" t="str">
        <f ca="1"/>
        <v>Street skating features</v>
      </c>
      <c r="AO112" s="107" t="str">
        <f ca="1"/>
        <v>Pump track</v>
      </c>
      <c r="AP112" s="107" t="str">
        <f ca="1"/>
        <v>BMX track</v>
      </c>
      <c r="AQ112" s="107" t="str">
        <f ca="1"/>
        <v>Dirt jumps</v>
      </c>
      <c r="AR112" s="107" t="str">
        <f ca="1"/>
        <v>Wheelchair accessible equipment</v>
      </c>
      <c r="AS112" s="107" t="str">
        <f ca="1"/>
        <v>Inclusive swings</v>
      </c>
      <c r="AT112" s="107" t="str">
        <f ca="1"/>
        <v>Sensory play features</v>
      </c>
    </row>
    <row r="113" spans="1:46">
      <c r="A113" s="107" t="str" cm="1">
        <f t="array" aca="1" ref="A113:T113" ca="1">TRANSPOSE(INDIRECT(_xlfn.SWITCH(Venues!B113,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113" s="107" t="str">
        <f ca="1"/>
        <v>Ponds or lakes</v>
      </c>
      <c r="C113" s="107" t="str">
        <f ca="1"/>
        <v>Duck Ponds</v>
      </c>
      <c r="D113" s="107" t="str">
        <f ca="1"/>
        <v>Water Features or Fountains</v>
      </c>
      <c r="E113" s="107" t="str">
        <f ca="1"/>
        <v>Streams or ditches</v>
      </c>
      <c r="F113" s="107" t="str">
        <f ca="1"/>
        <v>Natural paddling spots</v>
      </c>
      <c r="G113" s="107" t="str">
        <f ca="1"/>
        <v>Room to run freely</v>
      </c>
      <c r="H113" s="107" t="str">
        <f ca="1"/>
        <v>Open sightlines</v>
      </c>
      <c r="I113" s="107" t="str">
        <f ca="1"/>
        <v>Countryside views</v>
      </c>
      <c r="J113" s="107" t="str">
        <f ca="1"/>
        <v>Scenic backdrops</v>
      </c>
      <c r="K113" s="107" t="str">
        <f ca="1"/>
        <v>Rolling landscapes</v>
      </c>
      <c r="L113" s="107" t="str">
        <f ca="1"/>
        <v>Bridges (wooden, stone, suspension)</v>
      </c>
      <c r="M113" s="107" t="str">
        <f ca="1"/>
        <v>Natural play features (logs, slopes, rocks)</v>
      </c>
      <c r="N113" s="107" t="str">
        <f ca="1"/>
        <v>Climbable trees</v>
      </c>
      <c r="O113" s="107" t="str">
        <f ca="1"/>
        <v>Grassy banks</v>
      </c>
      <c r="P113" s="107" t="str">
        <f ca="1"/>
        <v>Small hills / mounds</v>
      </c>
      <c r="Q113" s="107" t="str">
        <f ca="1"/>
        <v>Play equipment</v>
      </c>
      <c r="R113" s="107" t="str">
        <f ca="1"/>
        <v>Football or Rugby Posts</v>
      </c>
      <c r="S113" s="107" t="str">
        <f ca="1"/>
        <v>Marked Trails</v>
      </c>
      <c r="T113" s="107" t="str">
        <f ca="1"/>
        <v>Children’s Activity Trails</v>
      </c>
    </row>
    <row r="114" spans="1:46">
      <c r="A114" s="107" t="str" cm="1">
        <f t="array" aca="1" ref="A114:T114" ca="1">TRANSPOSE(INDIRECT(_xlfn.SWITCH(Venues!B114,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114" s="107" t="str">
        <f ca="1"/>
        <v>Ponds or lakes</v>
      </c>
      <c r="C114" s="107" t="str">
        <f ca="1"/>
        <v>Duck Ponds</v>
      </c>
      <c r="D114" s="107" t="str">
        <f ca="1"/>
        <v>Water Features or Fountains</v>
      </c>
      <c r="E114" s="107" t="str">
        <f ca="1"/>
        <v>Streams or ditches</v>
      </c>
      <c r="F114" s="107" t="str">
        <f ca="1"/>
        <v>Natural paddling spots</v>
      </c>
      <c r="G114" s="107" t="str">
        <f ca="1"/>
        <v>Room to run freely</v>
      </c>
      <c r="H114" s="107" t="str">
        <f ca="1"/>
        <v>Open sightlines</v>
      </c>
      <c r="I114" s="107" t="str">
        <f ca="1"/>
        <v>Countryside views</v>
      </c>
      <c r="J114" s="107" t="str">
        <f ca="1"/>
        <v>Scenic backdrops</v>
      </c>
      <c r="K114" s="107" t="str">
        <f ca="1"/>
        <v>Rolling landscapes</v>
      </c>
      <c r="L114" s="107" t="str">
        <f ca="1"/>
        <v>Bridges (wooden, stone, suspension)</v>
      </c>
      <c r="M114" s="107" t="str">
        <f ca="1"/>
        <v>Natural play features (logs, slopes, rocks)</v>
      </c>
      <c r="N114" s="107" t="str">
        <f ca="1"/>
        <v>Climbable trees</v>
      </c>
      <c r="O114" s="107" t="str">
        <f ca="1"/>
        <v>Grassy banks</v>
      </c>
      <c r="P114" s="107" t="str">
        <f ca="1"/>
        <v>Small hills / mounds</v>
      </c>
      <c r="Q114" s="107" t="str">
        <f ca="1"/>
        <v>Play equipment</v>
      </c>
      <c r="R114" s="107" t="str">
        <f ca="1"/>
        <v>Football or Rugby Posts</v>
      </c>
      <c r="S114" s="107" t="str">
        <f ca="1"/>
        <v>Marked Trails</v>
      </c>
      <c r="T114" s="107" t="str">
        <f ca="1"/>
        <v>Children’s Activity Trails</v>
      </c>
    </row>
    <row r="115" spans="1:46">
      <c r="A115" s="107" t="str" cm="1">
        <f t="array" aca="1" ref="A115:AF115" ca="1">TRANSPOSE(INDIRECT(_xlfn.SWITCH(Venues!B115,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Shallow water</v>
      </c>
      <c r="B115" s="107" t="str">
        <f ca="1"/>
        <v>Deep water or plunge pools</v>
      </c>
      <c r="C115" s="107" t="str">
        <f ca="1"/>
        <v>Paddling spots</v>
      </c>
      <c r="D115" s="107" t="str">
        <f ca="1"/>
        <v>Natural Swimming Spots</v>
      </c>
      <c r="E115" s="107" t="str">
        <f ca="1"/>
        <v>Sheltered or shaded options</v>
      </c>
      <c r="F115" s="107" t="str">
        <f ca="1"/>
        <v>Predictable tides or flow</v>
      </c>
      <c r="G115" s="107" t="str">
        <f ca="1"/>
        <v>Lifeguarded areas (where applicable)</v>
      </c>
      <c r="H115" s="107" t="str">
        <f ca="1"/>
        <v>Instructor support</v>
      </c>
      <c r="I115" s="107" t="str">
        <f ca="1"/>
        <v>Splash-friendly areas</v>
      </c>
      <c r="J115" s="107" t="str">
        <f ca="1"/>
        <v>Opportunities to explore</v>
      </c>
      <c r="K115" s="107" t="str">
        <f ca="1"/>
        <v>Wildlife spotting</v>
      </c>
      <c r="L115" s="107" t="str">
        <f ca="1"/>
        <v>Fishing licenses; fishing spot</v>
      </c>
      <c r="M115" s="107" t="str">
        <f ca="1"/>
        <v>Jetty</v>
      </c>
      <c r="N115" s="107" t="str">
        <f ca="1"/>
        <v>River access for small boats or paddleboards</v>
      </c>
      <c r="O115" s="107" t="str">
        <f ca="1"/>
        <v>White water for experienced kayaking</v>
      </c>
      <c r="P115" s="107" t="str">
        <f ca="1"/>
        <v>Kayaking</v>
      </c>
      <c r="Q115" s="107" t="str">
        <f ca="1"/>
        <v>Rowing boats or small crafts</v>
      </c>
      <c r="R115" s="107" t="str">
        <f ca="1"/>
        <v>Paddleboarding</v>
      </c>
      <c r="S115" s="107" t="str">
        <f ca="1"/>
        <v>Lakes or reservoirs</v>
      </c>
      <c r="T115" s="107" t="str">
        <f ca="1"/>
        <v>Rivers or estuaries</v>
      </c>
      <c r="U115" s="107" t="str">
        <f ca="1"/>
        <v>River Beach</v>
      </c>
      <c r="V115" s="107" t="str">
        <f ca="1"/>
        <v>Beaches or coves</v>
      </c>
      <c r="W115" s="107" t="str">
        <f ca="1"/>
        <v>National Park</v>
      </c>
      <c r="X115" s="107" t="str">
        <f ca="1"/>
        <v>Blue Flag Beach</v>
      </c>
      <c r="Y115" s="107" t="str">
        <f ca="1"/>
        <v>Coasteering</v>
      </c>
      <c r="Z115" s="107" t="str">
        <f ca="1"/>
        <v>Raft Building</v>
      </c>
      <c r="AA115" s="107" t="str">
        <f ca="1"/>
        <v>Splash Pads / Sprinklers</v>
      </c>
      <c r="AB115" s="107" t="str">
        <f ca="1"/>
        <v>Water slides</v>
      </c>
      <c r="AC115" s="107" t="str">
        <f ca="1"/>
        <v>Inflatables</v>
      </c>
      <c r="AD115" s="107" t="str">
        <f ca="1"/>
        <v>Wave machines</v>
      </c>
      <c r="AE115" s="107" t="str">
        <f ca="1"/>
        <v>Water rides</v>
      </c>
      <c r="AF115" s="107" t="str">
        <f ca="1"/>
        <v>Woodland or countryside setting</v>
      </c>
    </row>
    <row r="116" spans="1:46">
      <c r="A116" s="107" t="str" cm="1">
        <f t="array" aca="1" ref="A116:AF116" ca="1">TRANSPOSE(INDIRECT(_xlfn.SWITCH(Venues!B116,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Shallow water</v>
      </c>
      <c r="B116" s="107" t="str">
        <f ca="1"/>
        <v>Deep water or plunge pools</v>
      </c>
      <c r="C116" s="107" t="str">
        <f ca="1"/>
        <v>Paddling spots</v>
      </c>
      <c r="D116" s="107" t="str">
        <f ca="1"/>
        <v>Natural Swimming Spots</v>
      </c>
      <c r="E116" s="107" t="str">
        <f ca="1"/>
        <v>Sheltered or shaded options</v>
      </c>
      <c r="F116" s="107" t="str">
        <f ca="1"/>
        <v>Predictable tides or flow</v>
      </c>
      <c r="G116" s="107" t="str">
        <f ca="1"/>
        <v>Lifeguarded areas (where applicable)</v>
      </c>
      <c r="H116" s="107" t="str">
        <f ca="1"/>
        <v>Instructor support</v>
      </c>
      <c r="I116" s="107" t="str">
        <f ca="1"/>
        <v>Splash-friendly areas</v>
      </c>
      <c r="J116" s="107" t="str">
        <f ca="1"/>
        <v>Opportunities to explore</v>
      </c>
      <c r="K116" s="107" t="str">
        <f ca="1"/>
        <v>Wildlife spotting</v>
      </c>
      <c r="L116" s="107" t="str">
        <f ca="1"/>
        <v>Fishing licenses; fishing spot</v>
      </c>
      <c r="M116" s="107" t="str">
        <f ca="1"/>
        <v>Jetty</v>
      </c>
      <c r="N116" s="107" t="str">
        <f ca="1"/>
        <v>River access for small boats or paddleboards</v>
      </c>
      <c r="O116" s="107" t="str">
        <f ca="1"/>
        <v>White water for experienced kayaking</v>
      </c>
      <c r="P116" s="107" t="str">
        <f ca="1"/>
        <v>Kayaking</v>
      </c>
      <c r="Q116" s="107" t="str">
        <f ca="1"/>
        <v>Rowing boats or small crafts</v>
      </c>
      <c r="R116" s="107" t="str">
        <f ca="1"/>
        <v>Paddleboarding</v>
      </c>
      <c r="S116" s="107" t="str">
        <f ca="1"/>
        <v>Lakes or reservoirs</v>
      </c>
      <c r="T116" s="107" t="str">
        <f ca="1"/>
        <v>Rivers or estuaries</v>
      </c>
      <c r="U116" s="107" t="str">
        <f ca="1"/>
        <v>River Beach</v>
      </c>
      <c r="V116" s="107" t="str">
        <f ca="1"/>
        <v>Beaches or coves</v>
      </c>
      <c r="W116" s="107" t="str">
        <f ca="1"/>
        <v>National Park</v>
      </c>
      <c r="X116" s="107" t="str">
        <f ca="1"/>
        <v>Blue Flag Beach</v>
      </c>
      <c r="Y116" s="107" t="str">
        <f ca="1"/>
        <v>Coasteering</v>
      </c>
      <c r="Z116" s="107" t="str">
        <f ca="1"/>
        <v>Raft Building</v>
      </c>
      <c r="AA116" s="107" t="str">
        <f ca="1"/>
        <v>Splash Pads / Sprinklers</v>
      </c>
      <c r="AB116" s="107" t="str">
        <f ca="1"/>
        <v>Water slides</v>
      </c>
      <c r="AC116" s="107" t="str">
        <f ca="1"/>
        <v>Inflatables</v>
      </c>
      <c r="AD116" s="107" t="str">
        <f ca="1"/>
        <v>Wave machines</v>
      </c>
      <c r="AE116" s="107" t="str">
        <f ca="1"/>
        <v>Water rides</v>
      </c>
      <c r="AF116" s="107" t="str">
        <f ca="1"/>
        <v>Woodland or countryside setting</v>
      </c>
    </row>
    <row r="117" spans="1:46">
      <c r="A117" s="107" t="str" cm="1">
        <f t="array" aca="1" ref="A117:AT117" ca="1">TRANSPOSE(INDIRECT(_xlfn.SWITCH(Venues!B117,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Rope bridges</v>
      </c>
      <c r="B117" s="107" t="str">
        <f ca="1"/>
        <v>Climbing frames</v>
      </c>
      <c r="C117" s="107" t="str">
        <f ca="1"/>
        <v>Balance elements</v>
      </c>
      <c r="D117" s="107" t="str">
        <f ca="1"/>
        <v>Scramble nets</v>
      </c>
      <c r="E117" s="107" t="str">
        <f ca="1"/>
        <v>Stepping obstacles</v>
      </c>
      <c r="F117" s="107" t="str">
        <f ca="1"/>
        <v>Towers and platforms</v>
      </c>
      <c r="G117" s="107" t="str">
        <f ca="1"/>
        <v xml:space="preserve">Slides </v>
      </c>
      <c r="H117" s="107" t="str">
        <f ca="1"/>
        <v>Zip wires</v>
      </c>
      <c r="I117" s="107" t="str">
        <f ca="1"/>
        <v>Fireman's poles</v>
      </c>
      <c r="J117" s="107" t="str">
        <f ca="1"/>
        <v>Ropes &amp; aerial adventures</v>
      </c>
      <c r="K117" s="107" t="str">
        <f ca="1"/>
        <v>Climbing rocks or bouldering</v>
      </c>
      <c r="L117" s="107" t="str">
        <f ca="1"/>
        <v>Climbing wall</v>
      </c>
      <c r="M117" s="107" t="str">
        <f ca="1"/>
        <v>Rope swings</v>
      </c>
      <c r="N117" s="107" t="str">
        <f ca="1"/>
        <v>Abseiling or high ropes</v>
      </c>
      <c r="O117" s="107" t="str">
        <f ca="1"/>
        <v>Fort-style structures</v>
      </c>
      <c r="P117" s="107" t="str">
        <f ca="1"/>
        <v>Lookout points</v>
      </c>
      <c r="Q117" s="107" t="str">
        <f ca="1"/>
        <v>Tunnels and crawl spaces</v>
      </c>
      <c r="R117" s="107" t="str">
        <f ca="1"/>
        <v>Obstacle courses</v>
      </c>
      <c r="S117" s="107" t="str">
        <f ca="1"/>
        <v>Mixed-difficulty zones</v>
      </c>
      <c r="T117" s="107" t="str">
        <f ca="1"/>
        <v>Enclosed adventure zones</v>
      </c>
      <c r="U117" s="107" t="str">
        <f ca="1"/>
        <v>Clear sightlines for adults</v>
      </c>
      <c r="V117" s="107" t="str">
        <f ca="1"/>
        <v>Orienteering</v>
      </c>
      <c r="W117" s="107" t="str">
        <f ca="1"/>
        <v>Water play features</v>
      </c>
      <c r="X117" s="107" t="str">
        <f ca="1"/>
        <v>Swings</v>
      </c>
      <c r="Y117" s="107" t="str">
        <f ca="1"/>
        <v>Basket / nest swings</v>
      </c>
      <c r="Z117" s="107" t="str">
        <f ca="1"/>
        <v>Roundabouts</v>
      </c>
      <c r="AA117" s="107" t="str">
        <f ca="1"/>
        <v>Seesaws</v>
      </c>
      <c r="AB117" s="107" t="str">
        <f ca="1"/>
        <v>Springers / rockers</v>
      </c>
      <c r="AC117" s="107" t="str">
        <f ca="1"/>
        <v>Ground trampolines</v>
      </c>
      <c r="AD117" s="107" t="str">
        <f ca="1"/>
        <v>Sand play area</v>
      </c>
      <c r="AE117" s="107" t="str">
        <f ca="1"/>
        <v>Mud kitchen</v>
      </c>
      <c r="AF117" s="107" t="str">
        <f ca="1"/>
        <v>Den building area</v>
      </c>
      <c r="AG117" s="107" t="str">
        <f ca="1"/>
        <v>Log balance trail</v>
      </c>
      <c r="AH117" s="107" t="str">
        <f ca="1"/>
        <v>Natural boulders</v>
      </c>
      <c r="AI117" s="107" t="str">
        <f ca="1"/>
        <v>Stream or water channel</v>
      </c>
      <c r="AJ117" s="107" t="str">
        <f ca="1"/>
        <v>Wooded setting</v>
      </c>
      <c r="AK117" s="107" t="str">
        <f ca="1"/>
        <v>Open grass / running space</v>
      </c>
      <c r="AL117" s="107" t="str">
        <f ca="1"/>
        <v>Bowl</v>
      </c>
      <c r="AM117" s="107" t="str">
        <f ca="1"/>
        <v>Quarter pipes</v>
      </c>
      <c r="AN117" s="107" t="str">
        <f ca="1"/>
        <v>Street skating features</v>
      </c>
      <c r="AO117" s="107" t="str">
        <f ca="1"/>
        <v>Pump track</v>
      </c>
      <c r="AP117" s="107" t="str">
        <f ca="1"/>
        <v>BMX track</v>
      </c>
      <c r="AQ117" s="107" t="str">
        <f ca="1"/>
        <v>Dirt jumps</v>
      </c>
      <c r="AR117" s="107" t="str">
        <f ca="1"/>
        <v>Wheelchair accessible equipment</v>
      </c>
      <c r="AS117" s="107" t="str">
        <f ca="1"/>
        <v>Inclusive swings</v>
      </c>
      <c r="AT117" s="107" t="str">
        <f ca="1"/>
        <v>Sensory play features</v>
      </c>
    </row>
    <row r="118" spans="1:46">
      <c r="A118" s="107" t="str" cm="1">
        <f t="array" aca="1" ref="A118:AE118" ca="1">TRANSPOSE(INDIRECT(_xlfn.SWITCH(Venues!B118,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118" s="107" t="str">
        <f ca="1"/>
        <v>Seaweed beds</v>
      </c>
      <c r="C118" s="107" t="str">
        <f ca="1"/>
        <v>Shell or seaglass collecting</v>
      </c>
      <c r="D118" s="107" t="str">
        <f ca="1"/>
        <v>Fossil Hunting</v>
      </c>
      <c r="E118" s="107" t="str">
        <f ca="1"/>
        <v>Crabbing</v>
      </c>
      <c r="F118" s="107" t="str">
        <f ca="1"/>
        <v>Diggable sand (Sandcastles)</v>
      </c>
      <c r="G118" s="107" t="str">
        <f ca="1"/>
        <v>Smooth pebbles</v>
      </c>
      <c r="H118" s="107" t="str">
        <f ca="1"/>
        <v>Shallow paddling</v>
      </c>
      <c r="I118" s="107" t="str">
        <f ca="1"/>
        <v>Streams or channels</v>
      </c>
      <c r="J118" s="107" t="str">
        <f ca="1"/>
        <v>Coves &amp; inlets</v>
      </c>
      <c r="K118" s="107" t="str">
        <f ca="1"/>
        <v>Rock formations</v>
      </c>
      <c r="L118" s="107" t="str">
        <f ca="1"/>
        <v>Cliffs Or Headlands</v>
      </c>
      <c r="M118" s="107" t="str">
        <f ca="1"/>
        <v>Caves</v>
      </c>
      <c r="N118" s="107" t="str">
        <f ca="1"/>
        <v>Sand dunes</v>
      </c>
      <c r="O118" s="107" t="str">
        <f ca="1"/>
        <v>Estuary edges</v>
      </c>
      <c r="P118" s="107" t="str">
        <f ca="1"/>
        <v>Coastal Wildlife</v>
      </c>
      <c r="Q118" s="107" t="str">
        <f ca="1"/>
        <v>Equipment Hire</v>
      </c>
      <c r="R118" s="107" t="str">
        <f ca="1"/>
        <v>Watersports Lessons</v>
      </c>
      <c r="S118" s="107" t="str">
        <f ca="1"/>
        <v>Surfing</v>
      </c>
      <c r="T118" s="107" t="str">
        <f ca="1"/>
        <v>Bodyboarding</v>
      </c>
      <c r="U118" s="107" t="str">
        <f ca="1"/>
        <v>Swimming</v>
      </c>
      <c r="V118" s="107" t="str">
        <f ca="1"/>
        <v>Kayaking / SUP</v>
      </c>
      <c r="W118" s="107" t="str">
        <f ca="1"/>
        <v>Slipway</v>
      </c>
      <c r="X118" s="107" t="str">
        <f ca="1"/>
        <v>Harbour</v>
      </c>
      <c r="Y118" s="107" t="str">
        <f ca="1"/>
        <v>Seasonally Lifeguarded</v>
      </c>
      <c r="Z118" s="107" t="str">
        <f ca="1"/>
        <v>Dog Friendly - seasonal leads</v>
      </c>
      <c r="AA118" s="107" t="str">
        <f ca="1"/>
        <v>Dog Friendly - off lead all year</v>
      </c>
      <c r="AB118" s="107" t="str">
        <f ca="1"/>
        <v>Boat trips nearby</v>
      </c>
      <c r="AC118" s="107" t="str">
        <f ca="1"/>
        <v>Toilets nearby</v>
      </c>
      <c r="AD118" s="107" t="str">
        <f ca="1"/>
        <v>Beach Cafe</v>
      </c>
      <c r="AE118" s="107" t="str">
        <f ca="1"/>
        <v>Promenade</v>
      </c>
    </row>
    <row r="119" spans="1:46">
      <c r="A119" s="107" t="str" cm="1">
        <f t="array" aca="1" ref="A119:AE119" ca="1">TRANSPOSE(INDIRECT(_xlfn.SWITCH(Venues!B119,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Rockpools</v>
      </c>
      <c r="B119" s="107" t="str">
        <f ca="1"/>
        <v>Seaweed beds</v>
      </c>
      <c r="C119" s="107" t="str">
        <f ca="1"/>
        <v>Shell or seaglass collecting</v>
      </c>
      <c r="D119" s="107" t="str">
        <f ca="1"/>
        <v>Fossil Hunting</v>
      </c>
      <c r="E119" s="107" t="str">
        <f ca="1"/>
        <v>Crabbing</v>
      </c>
      <c r="F119" s="107" t="str">
        <f ca="1"/>
        <v>Diggable sand (Sandcastles)</v>
      </c>
      <c r="G119" s="107" t="str">
        <f ca="1"/>
        <v>Smooth pebbles</v>
      </c>
      <c r="H119" s="107" t="str">
        <f ca="1"/>
        <v>Shallow paddling</v>
      </c>
      <c r="I119" s="107" t="str">
        <f ca="1"/>
        <v>Streams or channels</v>
      </c>
      <c r="J119" s="107" t="str">
        <f ca="1"/>
        <v>Coves &amp; inlets</v>
      </c>
      <c r="K119" s="107" t="str">
        <f ca="1"/>
        <v>Rock formations</v>
      </c>
      <c r="L119" s="107" t="str">
        <f ca="1"/>
        <v>Cliffs Or Headlands</v>
      </c>
      <c r="M119" s="107" t="str">
        <f ca="1"/>
        <v>Caves</v>
      </c>
      <c r="N119" s="107" t="str">
        <f ca="1"/>
        <v>Sand dunes</v>
      </c>
      <c r="O119" s="107" t="str">
        <f ca="1"/>
        <v>Estuary edges</v>
      </c>
      <c r="P119" s="107" t="str">
        <f ca="1"/>
        <v>Coastal Wildlife</v>
      </c>
      <c r="Q119" s="107" t="str">
        <f ca="1"/>
        <v>Equipment Hire</v>
      </c>
      <c r="R119" s="107" t="str">
        <f ca="1"/>
        <v>Watersports Lessons</v>
      </c>
      <c r="S119" s="107" t="str">
        <f ca="1"/>
        <v>Surfing</v>
      </c>
      <c r="T119" s="107" t="str">
        <f ca="1"/>
        <v>Bodyboarding</v>
      </c>
      <c r="U119" s="107" t="str">
        <f ca="1"/>
        <v>Swimming</v>
      </c>
      <c r="V119" s="107" t="str">
        <f ca="1"/>
        <v>Kayaking / SUP</v>
      </c>
      <c r="W119" s="107" t="str">
        <f ca="1"/>
        <v>Slipway</v>
      </c>
      <c r="X119" s="107" t="str">
        <f ca="1"/>
        <v>Harbour</v>
      </c>
      <c r="Y119" s="107" t="str">
        <f ca="1"/>
        <v>Seasonally Lifeguarded</v>
      </c>
      <c r="Z119" s="107" t="str">
        <f ca="1"/>
        <v>Dog Friendly - seasonal leads</v>
      </c>
      <c r="AA119" s="107" t="str">
        <f ca="1"/>
        <v>Dog Friendly - off lead all year</v>
      </c>
      <c r="AB119" s="107" t="str">
        <f ca="1"/>
        <v>Boat trips nearby</v>
      </c>
      <c r="AC119" s="107" t="str">
        <f ca="1"/>
        <v>Toilets nearby</v>
      </c>
      <c r="AD119" s="107" t="str">
        <f ca="1"/>
        <v>Beach Cafe</v>
      </c>
      <c r="AE119" s="107" t="str">
        <f ca="1"/>
        <v>Promenade</v>
      </c>
    </row>
    <row r="120" spans="1:46">
      <c r="A120" s="107" t="str" cm="1">
        <f t="array" aca="1" ref="A120:V120" ca="1">TRANSPOSE(INDIRECT(_xlfn.SWITCH(Venues!B120,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120" s="107" t="str">
        <f ca="1"/>
        <v>Seasonal foliage</v>
      </c>
      <c r="C120" s="107" t="str">
        <f ca="1"/>
        <v>Seasonal or curated displays</v>
      </c>
      <c r="D120" s="107" t="str">
        <f ca="1"/>
        <v>Water Features or Fountains</v>
      </c>
      <c r="E120" s="107" t="str">
        <f ca="1"/>
        <v>Meadows &amp; wild grass</v>
      </c>
      <c r="F120" s="107" t="str">
        <f ca="1"/>
        <v>Lakes or wildlife ponds</v>
      </c>
      <c r="G120" s="107" t="str">
        <f ca="1"/>
        <v>Room to run freely</v>
      </c>
      <c r="H120" s="107" t="str">
        <f ca="1"/>
        <v>Open sightlines</v>
      </c>
      <c r="I120" s="107" t="str">
        <f ca="1"/>
        <v>Vegetable gardens &amp; growing spaces</v>
      </c>
      <c r="J120" s="107" t="str">
        <f ca="1"/>
        <v>Meandering paths</v>
      </c>
      <c r="K120" s="107" t="str">
        <f ca="1"/>
        <v>Hidden corners, passageways, gates &amp; gardens</v>
      </c>
      <c r="L120" s="107" t="str">
        <f ca="1"/>
        <v>Garden “rooms”</v>
      </c>
      <c r="M120" s="107" t="str">
        <f ca="1"/>
        <v>Bug hotels, discovery boards</v>
      </c>
      <c r="N120" s="107" t="str">
        <f ca="1"/>
        <v>Bird Hydes &amp; Viewing Platforms</v>
      </c>
      <c r="O120" s="107" t="str">
        <f ca="1"/>
        <v>Marked Trails</v>
      </c>
      <c r="P120" s="107" t="str">
        <f ca="1"/>
        <v>Children’s Activity Trails</v>
      </c>
      <c r="Q120" s="107" t="str">
        <f ca="1"/>
        <v>Historic features</v>
      </c>
      <c r="R120" s="107" t="str">
        <f ca="1"/>
        <v>Statues &amp; sculptures</v>
      </c>
      <c r="S120" s="107" t="str">
        <f ca="1"/>
        <v>Maze</v>
      </c>
      <c r="T120" s="107" t="str">
        <f ca="1"/>
        <v>Greenhouses &amp; tropical plants</v>
      </c>
      <c r="U120" s="107" t="str">
        <f ca="1"/>
        <v>Biomes &amp; unusual environments</v>
      </c>
      <c r="V120" s="107" t="str">
        <f ca="1"/>
        <v>Conservation displays or learning</v>
      </c>
    </row>
    <row r="121" spans="1:46">
      <c r="A121" s="107" t="str" cm="1">
        <f t="array" aca="1" ref="A121:J121" ca="1">TRANSPOSE(INDIRECT(_xlfn.SWITCH(Venues!B121,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Dedicated play area</v>
      </c>
      <c r="B121" s="107" t="str">
        <f ca="1"/>
        <v>Toy corner or play table</v>
      </c>
      <c r="C121" s="107" t="str">
        <f ca="1"/>
        <v>Puzzles or games</v>
      </c>
      <c r="D121" s="107" t="str">
        <f ca="1"/>
        <v>Colouring</v>
      </c>
      <c r="E121" s="107" t="str">
        <f ca="1"/>
        <v>Space to run around</v>
      </c>
      <c r="F121" s="107" t="str">
        <f ca="1"/>
        <v>Outdoor play area nearby</v>
      </c>
      <c r="G121" s="107" t="str">
        <f ca="1"/>
        <v>Farm animals nearby</v>
      </c>
      <c r="H121" s="107" t="str">
        <f ca="1"/>
        <v>Shop or browsing area (e.g. farm shop, garden centre)</v>
      </c>
      <c r="I121" s="107" t="str">
        <f ca="1"/>
        <v>Combined with a walk or attraction</v>
      </c>
      <c r="J121" s="107" t="str">
        <f ca="1"/>
        <v>Book swap or exchange library</v>
      </c>
    </row>
    <row r="122" spans="1:46">
      <c r="A122" s="107" t="str" cm="1">
        <f t="array" aca="1" ref="A122:U122" ca="1">TRANSPOSE(INDIRECT(_xlfn.SWITCH(Venues!B122,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Historic buildings</v>
      </c>
      <c r="B122" s="107" t="str">
        <f ca="1"/>
        <v>Costumed interpretation</v>
      </c>
      <c r="C122" s="107" t="str">
        <f ca="1"/>
        <v>Recreated environments</v>
      </c>
      <c r="D122" s="107" t="str">
        <f ca="1"/>
        <v>Period features</v>
      </c>
      <c r="E122" s="107" t="str">
        <f ca="1"/>
        <v>Ruins to explore</v>
      </c>
      <c r="F122" s="107" t="str">
        <f ca="1"/>
        <v>Dungeons</v>
      </c>
      <c r="G122" s="107" t="str">
        <f ca="1"/>
        <v>Towers, walls, and tunnels</v>
      </c>
      <c r="H122" s="107" t="str">
        <f ca="1"/>
        <v>Fossils</v>
      </c>
      <c r="I122" s="107" t="str">
        <f ca="1"/>
        <v>Castles or Fortresses</v>
      </c>
      <c r="J122" s="107" t="str">
        <f ca="1"/>
        <v>Hidden rooms or passages</v>
      </c>
      <c r="K122" s="107" t="str">
        <f ca="1"/>
        <v>Outdoor grounds</v>
      </c>
      <c r="L122" s="107" t="str">
        <f ca="1"/>
        <v>Story-led interpretation</v>
      </c>
      <c r="M122" s="107" t="str">
        <f ca="1"/>
        <v>Audio guides or trails</v>
      </c>
      <c r="N122" s="107" t="str">
        <f ca="1"/>
        <v>Visual displays</v>
      </c>
      <c r="O122" s="107" t="str">
        <f ca="1"/>
        <v>Interactive elements</v>
      </c>
      <c r="P122" s="107" t="str">
        <f ca="1"/>
        <v>Discovery trails</v>
      </c>
      <c r="Q122" s="107" t="str">
        <f ca="1"/>
        <v>Hands-on exhibits</v>
      </c>
      <c r="R122" s="107" t="str">
        <f ca="1"/>
        <v>Dress-up areas</v>
      </c>
      <c r="S122" s="107" t="str">
        <f ca="1"/>
        <v>Re-enactment days</v>
      </c>
      <c r="T122" s="107" t="str">
        <f ca="1"/>
        <v>Craft or heritage activities</v>
      </c>
      <c r="U122" s="107" t="str">
        <f ca="1"/>
        <v>Demonstrations</v>
      </c>
    </row>
    <row r="123" spans="1:46">
      <c r="A123" s="107" t="str" cm="1">
        <f t="array" aca="1" ref="A123:O123" ca="1">TRANSPOSE(INDIRECT(_xlfn.SWITCH(Venues!B123,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Themed environments</v>
      </c>
      <c r="B123" s="107" t="str">
        <f ca="1"/>
        <v>Immersive settings</v>
      </c>
      <c r="C123" s="107" t="str">
        <f ca="1"/>
        <v>Dressing Up Clothes</v>
      </c>
      <c r="D123" s="107" t="str">
        <f ca="1"/>
        <v>Ride-on vehicles or toys</v>
      </c>
      <c r="E123" s="107" t="str">
        <f ca="1"/>
        <v>Narrative backdrops</v>
      </c>
      <c r="F123" s="107" t="str">
        <f ca="1"/>
        <v>Role-based scenarios</v>
      </c>
      <c r="G123" s="107" t="str">
        <f ca="1"/>
        <v>Character-led play</v>
      </c>
      <c r="H123" s="107" t="str">
        <f ca="1"/>
        <v>Story-led experiences</v>
      </c>
      <c r="I123" s="107" t="str">
        <f ca="1"/>
        <v>Mission or quest elements</v>
      </c>
      <c r="J123" s="107" t="str">
        <f ca="1"/>
        <v>Problem-solving within a storyline</v>
      </c>
      <c r="K123" s="107" t="str">
        <f ca="1"/>
        <v>Cooperative scenarios</v>
      </c>
      <c r="L123" s="107" t="str">
        <f ca="1"/>
        <v>Group problem-solving</v>
      </c>
      <c r="M123" s="107" t="str">
        <f ca="1"/>
        <v>Shared imaginative spaces</v>
      </c>
      <c r="N123" s="107" t="str">
        <f ca="1"/>
        <v>Social role negotiation</v>
      </c>
      <c r="O123" s="107" t="str">
        <f ca="1"/>
        <v>Open-ended play structure</v>
      </c>
    </row>
    <row r="124" spans="1:46">
      <c r="A124" s="107" t="e" cm="1">
        <f t="array" aca="1" ref="A124" ca="1">TRANSPOSE(INDIRECT(_xlfn.SWITCH(Venues!B124,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row r="125" spans="1:46">
      <c r="A125" s="107" t="e" cm="1">
        <f t="array" aca="1" ref="A125" ca="1">TRANSPOSE(INDIRECT(_xlfn.SWITCH(Venues!B125,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row r="126" spans="1:46">
      <c r="A126" s="107" t="e" cm="1">
        <f t="array" aca="1" ref="A126" ca="1">TRANSPOSE(INDIRECT(_xlfn.SWITCH(Venues!B126,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row r="127" spans="1:46">
      <c r="A127" s="107" t="e" cm="1">
        <f t="array" aca="1" ref="A127" ca="1">TRANSPOSE(INDIRECT(_xlfn.SWITCH(Venues!B127,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row r="128" spans="1:46">
      <c r="A128" s="107" t="e" cm="1">
        <f t="array" aca="1" ref="A128" ca="1">TRANSPOSE(INDIRECT(_xlfn.SWITCH(Venues!B128,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row r="129" spans="1:1">
      <c r="A129" s="107" t="e" cm="1">
        <f t="array" aca="1" ref="A129" ca="1">TRANSPOSE(INDIRECT(_xlfn.SWITCH(Venues!B129,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row r="130" spans="1:1">
      <c r="A130" s="107" t="e" cm="1">
        <f t="array" aca="1" ref="A130" ca="1">TRANSPOSE(INDIRECT(_xlfn.SWITCH(Venues!B130,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#N/A</v>
      </c>
    </row>
  </sheetData>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5:AC90"/>
  <sheetViews>
    <sheetView workbookViewId="0"/>
  </sheetViews>
  <sheetFormatPr defaultColWidth="12.5703125" defaultRowHeight="15.75" customHeight="1"/>
  <sheetData>
    <row r="5" spans="1:29">
      <c r="A5" s="107" t="str" cm="1">
        <f t="array" aca="1" ref="A5:V5" ca="1">TRANSPOSE(INDIRECT(_xlfn.SWITCH(Events!B5,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5" s="107" t="str">
        <f ca="1"/>
        <v>Seasonal foliage</v>
      </c>
      <c r="C5" s="107" t="str">
        <f ca="1"/>
        <v>Seasonal or curated displays</v>
      </c>
      <c r="D5" s="107" t="str">
        <f ca="1"/>
        <v>Water Features or Fountains</v>
      </c>
      <c r="E5" s="107" t="str">
        <f ca="1"/>
        <v>Meadows &amp; wild grass</v>
      </c>
      <c r="F5" s="107" t="str">
        <f ca="1"/>
        <v>Lakes or wildlife ponds</v>
      </c>
      <c r="G5" s="107" t="str">
        <f ca="1"/>
        <v>Room to run freely</v>
      </c>
      <c r="H5" s="107" t="str">
        <f ca="1"/>
        <v>Open sightlines</v>
      </c>
      <c r="I5" s="107" t="str">
        <f ca="1"/>
        <v>Vegetable gardens &amp; growing spaces</v>
      </c>
      <c r="J5" s="107" t="str">
        <f ca="1"/>
        <v>Meandering paths</v>
      </c>
      <c r="K5" s="107" t="str">
        <f ca="1"/>
        <v>Hidden corners, passageways, gates &amp; gardens</v>
      </c>
      <c r="L5" s="107" t="str">
        <f ca="1"/>
        <v>Garden “rooms”</v>
      </c>
      <c r="M5" s="107" t="str">
        <f ca="1"/>
        <v>Bug hotels, discovery boards</v>
      </c>
      <c r="N5" s="107" t="str">
        <f ca="1"/>
        <v>Bird Hydes &amp; Viewing Platforms</v>
      </c>
      <c r="O5" s="107" t="str">
        <f ca="1"/>
        <v>Marked Trails</v>
      </c>
      <c r="P5" s="107" t="str">
        <f ca="1"/>
        <v>Children’s Activity Trails</v>
      </c>
      <c r="Q5" s="107" t="str">
        <f ca="1"/>
        <v>Historic features</v>
      </c>
      <c r="R5" s="107" t="str">
        <f ca="1"/>
        <v>Statues &amp; sculptures</v>
      </c>
      <c r="S5" s="107" t="str">
        <f ca="1"/>
        <v>Maze</v>
      </c>
      <c r="T5" s="107" t="str">
        <f ca="1"/>
        <v>Greenhouses &amp; tropical plants</v>
      </c>
      <c r="U5" s="107" t="str">
        <f ca="1"/>
        <v>Biomes &amp; unusual environments</v>
      </c>
      <c r="V5" s="107" t="str">
        <f ca="1"/>
        <v>Conservation displays or learning</v>
      </c>
    </row>
    <row r="6" spans="1:29">
      <c r="A6" s="107" t="str" cm="1">
        <f t="array" aca="1" ref="A6:V6" ca="1">TRANSPOSE(INDIRECT(_xlfn.SWITCH(Events!B6,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6" s="107" t="str">
        <f ca="1"/>
        <v>Seasonal foliage</v>
      </c>
      <c r="C6" s="107" t="str">
        <f ca="1"/>
        <v>Seasonal or curated displays</v>
      </c>
      <c r="D6" s="107" t="str">
        <f ca="1"/>
        <v>Water Features or Fountains</v>
      </c>
      <c r="E6" s="107" t="str">
        <f ca="1"/>
        <v>Meadows &amp; wild grass</v>
      </c>
      <c r="F6" s="107" t="str">
        <f ca="1"/>
        <v>Lakes or wildlife ponds</v>
      </c>
      <c r="G6" s="107" t="str">
        <f ca="1"/>
        <v>Room to run freely</v>
      </c>
      <c r="H6" s="107" t="str">
        <f ca="1"/>
        <v>Open sightlines</v>
      </c>
      <c r="I6" s="107" t="str">
        <f ca="1"/>
        <v>Vegetable gardens &amp; growing spaces</v>
      </c>
      <c r="J6" s="107" t="str">
        <f ca="1"/>
        <v>Meandering paths</v>
      </c>
      <c r="K6" s="107" t="str">
        <f ca="1"/>
        <v>Hidden corners, passageways, gates &amp; gardens</v>
      </c>
      <c r="L6" s="107" t="str">
        <f ca="1"/>
        <v>Garden “rooms”</v>
      </c>
      <c r="M6" s="107" t="str">
        <f ca="1"/>
        <v>Bug hotels, discovery boards</v>
      </c>
      <c r="N6" s="107" t="str">
        <f ca="1"/>
        <v>Bird Hydes &amp; Viewing Platforms</v>
      </c>
      <c r="O6" s="107" t="str">
        <f ca="1"/>
        <v>Marked Trails</v>
      </c>
      <c r="P6" s="107" t="str">
        <f ca="1"/>
        <v>Children’s Activity Trails</v>
      </c>
      <c r="Q6" s="107" t="str">
        <f ca="1"/>
        <v>Historic features</v>
      </c>
      <c r="R6" s="107" t="str">
        <f ca="1"/>
        <v>Statues &amp; sculptures</v>
      </c>
      <c r="S6" s="107" t="str">
        <f ca="1"/>
        <v>Maze</v>
      </c>
      <c r="T6" s="107" t="str">
        <f ca="1"/>
        <v>Greenhouses &amp; tropical plants</v>
      </c>
      <c r="U6" s="107" t="str">
        <f ca="1"/>
        <v>Biomes &amp; unusual environments</v>
      </c>
      <c r="V6" s="107" t="str">
        <f ca="1"/>
        <v>Conservation displays or learning</v>
      </c>
    </row>
    <row r="7" spans="1:29">
      <c r="A7" s="107" t="str" cm="1">
        <f t="array" aca="1" ref="A7:V7" ca="1">TRANSPOSE(INDIRECT(_xlfn.SWITCH(Events!B7,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7" s="107" t="str">
        <f ca="1"/>
        <v>Seasonal foliage</v>
      </c>
      <c r="C7" s="107" t="str">
        <f ca="1"/>
        <v>Seasonal or curated displays</v>
      </c>
      <c r="D7" s="107" t="str">
        <f ca="1"/>
        <v>Water Features or Fountains</v>
      </c>
      <c r="E7" s="107" t="str">
        <f ca="1"/>
        <v>Meadows &amp; wild grass</v>
      </c>
      <c r="F7" s="107" t="str">
        <f ca="1"/>
        <v>Lakes or wildlife ponds</v>
      </c>
      <c r="G7" s="107" t="str">
        <f ca="1"/>
        <v>Room to run freely</v>
      </c>
      <c r="H7" s="107" t="str">
        <f ca="1"/>
        <v>Open sightlines</v>
      </c>
      <c r="I7" s="107" t="str">
        <f ca="1"/>
        <v>Vegetable gardens &amp; growing spaces</v>
      </c>
      <c r="J7" s="107" t="str">
        <f ca="1"/>
        <v>Meandering paths</v>
      </c>
      <c r="K7" s="107" t="str">
        <f ca="1"/>
        <v>Hidden corners, passageways, gates &amp; gardens</v>
      </c>
      <c r="L7" s="107" t="str">
        <f ca="1"/>
        <v>Garden “rooms”</v>
      </c>
      <c r="M7" s="107" t="str">
        <f ca="1"/>
        <v>Bug hotels, discovery boards</v>
      </c>
      <c r="N7" s="107" t="str">
        <f ca="1"/>
        <v>Bird Hydes &amp; Viewing Platforms</v>
      </c>
      <c r="O7" s="107" t="str">
        <f ca="1"/>
        <v>Marked Trails</v>
      </c>
      <c r="P7" s="107" t="str">
        <f ca="1"/>
        <v>Children’s Activity Trails</v>
      </c>
      <c r="Q7" s="107" t="str">
        <f ca="1"/>
        <v>Historic features</v>
      </c>
      <c r="R7" s="107" t="str">
        <f ca="1"/>
        <v>Statues &amp; sculptures</v>
      </c>
      <c r="S7" s="107" t="str">
        <f ca="1"/>
        <v>Maze</v>
      </c>
      <c r="T7" s="107" t="str">
        <f ca="1"/>
        <v>Greenhouses &amp; tropical plants</v>
      </c>
      <c r="U7" s="107" t="str">
        <f ca="1"/>
        <v>Biomes &amp; unusual environments</v>
      </c>
      <c r="V7" s="107" t="str">
        <f ca="1"/>
        <v>Conservation displays or learning</v>
      </c>
    </row>
    <row r="8" spans="1:29">
      <c r="A8" s="107" t="str" cm="1">
        <f t="array" aca="1" ref="A8:V8" ca="1">TRANSPOSE(INDIRECT(_xlfn.SWITCH(Events!B8,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8" s="107" t="str">
        <f ca="1"/>
        <v>Seasonal foliage</v>
      </c>
      <c r="C8" s="107" t="str">
        <f ca="1"/>
        <v>Seasonal or curated displays</v>
      </c>
      <c r="D8" s="107" t="str">
        <f ca="1"/>
        <v>Water Features or Fountains</v>
      </c>
      <c r="E8" s="107" t="str">
        <f ca="1"/>
        <v>Meadows &amp; wild grass</v>
      </c>
      <c r="F8" s="107" t="str">
        <f ca="1"/>
        <v>Lakes or wildlife ponds</v>
      </c>
      <c r="G8" s="107" t="str">
        <f ca="1"/>
        <v>Room to run freely</v>
      </c>
      <c r="H8" s="107" t="str">
        <f ca="1"/>
        <v>Open sightlines</v>
      </c>
      <c r="I8" s="107" t="str">
        <f ca="1"/>
        <v>Vegetable gardens &amp; growing spaces</v>
      </c>
      <c r="J8" s="107" t="str">
        <f ca="1"/>
        <v>Meandering paths</v>
      </c>
      <c r="K8" s="107" t="str">
        <f ca="1"/>
        <v>Hidden corners, passageways, gates &amp; gardens</v>
      </c>
      <c r="L8" s="107" t="str">
        <f ca="1"/>
        <v>Garden “rooms”</v>
      </c>
      <c r="M8" s="107" t="str">
        <f ca="1"/>
        <v>Bug hotels, discovery boards</v>
      </c>
      <c r="N8" s="107" t="str">
        <f ca="1"/>
        <v>Bird Hydes &amp; Viewing Platforms</v>
      </c>
      <c r="O8" s="107" t="str">
        <f ca="1"/>
        <v>Marked Trails</v>
      </c>
      <c r="P8" s="107" t="str">
        <f ca="1"/>
        <v>Children’s Activity Trails</v>
      </c>
      <c r="Q8" s="107" t="str">
        <f ca="1"/>
        <v>Historic features</v>
      </c>
      <c r="R8" s="107" t="str">
        <f ca="1"/>
        <v>Statues &amp; sculptures</v>
      </c>
      <c r="S8" s="107" t="str">
        <f ca="1"/>
        <v>Maze</v>
      </c>
      <c r="T8" s="107" t="str">
        <f ca="1"/>
        <v>Greenhouses &amp; tropical plants</v>
      </c>
      <c r="U8" s="107" t="str">
        <f ca="1"/>
        <v>Biomes &amp; unusual environments</v>
      </c>
      <c r="V8" s="107" t="str">
        <f ca="1"/>
        <v>Conservation displays or learning</v>
      </c>
    </row>
    <row r="9" spans="1:29">
      <c r="A9" s="107" t="str" cm="1">
        <f t="array" aca="1" ref="A9:V9" ca="1">TRANSPOSE(INDIRECT(_xlfn.SWITCH(Events!B9,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9" s="107" t="str">
        <f ca="1"/>
        <v>Seasonal foliage</v>
      </c>
      <c r="C9" s="107" t="str">
        <f ca="1"/>
        <v>Seasonal or curated displays</v>
      </c>
      <c r="D9" s="107" t="str">
        <f ca="1"/>
        <v>Water Features or Fountains</v>
      </c>
      <c r="E9" s="107" t="str">
        <f ca="1"/>
        <v>Meadows &amp; wild grass</v>
      </c>
      <c r="F9" s="107" t="str">
        <f ca="1"/>
        <v>Lakes or wildlife ponds</v>
      </c>
      <c r="G9" s="107" t="str">
        <f ca="1"/>
        <v>Room to run freely</v>
      </c>
      <c r="H9" s="107" t="str">
        <f ca="1"/>
        <v>Open sightlines</v>
      </c>
      <c r="I9" s="107" t="str">
        <f ca="1"/>
        <v>Vegetable gardens &amp; growing spaces</v>
      </c>
      <c r="J9" s="107" t="str">
        <f ca="1"/>
        <v>Meandering paths</v>
      </c>
      <c r="K9" s="107" t="str">
        <f ca="1"/>
        <v>Hidden corners, passageways, gates &amp; gardens</v>
      </c>
      <c r="L9" s="107" t="str">
        <f ca="1"/>
        <v>Garden “rooms”</v>
      </c>
      <c r="M9" s="107" t="str">
        <f ca="1"/>
        <v>Bug hotels, discovery boards</v>
      </c>
      <c r="N9" s="107" t="str">
        <f ca="1"/>
        <v>Bird Hydes &amp; Viewing Platforms</v>
      </c>
      <c r="O9" s="107" t="str">
        <f ca="1"/>
        <v>Marked Trails</v>
      </c>
      <c r="P9" s="107" t="str">
        <f ca="1"/>
        <v>Children’s Activity Trails</v>
      </c>
      <c r="Q9" s="107" t="str">
        <f ca="1"/>
        <v>Historic features</v>
      </c>
      <c r="R9" s="107" t="str">
        <f ca="1"/>
        <v>Statues &amp; sculptures</v>
      </c>
      <c r="S9" s="107" t="str">
        <f ca="1"/>
        <v>Maze</v>
      </c>
      <c r="T9" s="107" t="str">
        <f ca="1"/>
        <v>Greenhouses &amp; tropical plants</v>
      </c>
      <c r="U9" s="107" t="str">
        <f ca="1"/>
        <v>Biomes &amp; unusual environments</v>
      </c>
      <c r="V9" s="107" t="str">
        <f ca="1"/>
        <v>Conservation displays or learning</v>
      </c>
    </row>
    <row r="10" spans="1:29">
      <c r="A10" s="107" t="str" cm="1">
        <f t="array" aca="1" ref="A10:V10" ca="1">TRANSPOSE(INDIRECT(_xlfn.SWITCH(Events!B10,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10" s="107" t="str">
        <f ca="1"/>
        <v>Seasonal foliage</v>
      </c>
      <c r="C10" s="107" t="str">
        <f ca="1"/>
        <v>Seasonal or curated displays</v>
      </c>
      <c r="D10" s="107" t="str">
        <f ca="1"/>
        <v>Water Features or Fountains</v>
      </c>
      <c r="E10" s="107" t="str">
        <f ca="1"/>
        <v>Meadows &amp; wild grass</v>
      </c>
      <c r="F10" s="107" t="str">
        <f ca="1"/>
        <v>Lakes or wildlife ponds</v>
      </c>
      <c r="G10" s="107" t="str">
        <f ca="1"/>
        <v>Room to run freely</v>
      </c>
      <c r="H10" s="107" t="str">
        <f ca="1"/>
        <v>Open sightlines</v>
      </c>
      <c r="I10" s="107" t="str">
        <f ca="1"/>
        <v>Vegetable gardens &amp; growing spaces</v>
      </c>
      <c r="J10" s="107" t="str">
        <f ca="1"/>
        <v>Meandering paths</v>
      </c>
      <c r="K10" s="107" t="str">
        <f ca="1"/>
        <v>Hidden corners, passageways, gates &amp; gardens</v>
      </c>
      <c r="L10" s="107" t="str">
        <f ca="1"/>
        <v>Garden “rooms”</v>
      </c>
      <c r="M10" s="107" t="str">
        <f ca="1"/>
        <v>Bug hotels, discovery boards</v>
      </c>
      <c r="N10" s="107" t="str">
        <f ca="1"/>
        <v>Bird Hydes &amp; Viewing Platforms</v>
      </c>
      <c r="O10" s="107" t="str">
        <f ca="1"/>
        <v>Marked Trails</v>
      </c>
      <c r="P10" s="107" t="str">
        <f ca="1"/>
        <v>Children’s Activity Trails</v>
      </c>
      <c r="Q10" s="107" t="str">
        <f ca="1"/>
        <v>Historic features</v>
      </c>
      <c r="R10" s="107" t="str">
        <f ca="1"/>
        <v>Statues &amp; sculptures</v>
      </c>
      <c r="S10" s="107" t="str">
        <f ca="1"/>
        <v>Maze</v>
      </c>
      <c r="T10" s="107" t="str">
        <f ca="1"/>
        <v>Greenhouses &amp; tropical plants</v>
      </c>
      <c r="U10" s="107" t="str">
        <f ca="1"/>
        <v>Biomes &amp; unusual environments</v>
      </c>
      <c r="V10" s="107" t="str">
        <f ca="1"/>
        <v>Conservation displays or learning</v>
      </c>
    </row>
    <row r="11" spans="1:29">
      <c r="A11" s="107" t="str" cm="1">
        <f t="array" aca="1" ref="A11:V11" ca="1">TRANSPOSE(INDIRECT(_xlfn.SWITCH(Events!B11,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11" s="107" t="str">
        <f ca="1"/>
        <v>Seasonal foliage</v>
      </c>
      <c r="C11" s="107" t="str">
        <f ca="1"/>
        <v>Seasonal or curated displays</v>
      </c>
      <c r="D11" s="107" t="str">
        <f ca="1"/>
        <v>Water Features or Fountains</v>
      </c>
      <c r="E11" s="107" t="str">
        <f ca="1"/>
        <v>Meadows &amp; wild grass</v>
      </c>
      <c r="F11" s="107" t="str">
        <f ca="1"/>
        <v>Lakes or wildlife ponds</v>
      </c>
      <c r="G11" s="107" t="str">
        <f ca="1"/>
        <v>Room to run freely</v>
      </c>
      <c r="H11" s="107" t="str">
        <f ca="1"/>
        <v>Open sightlines</v>
      </c>
      <c r="I11" s="107" t="str">
        <f ca="1"/>
        <v>Vegetable gardens &amp; growing spaces</v>
      </c>
      <c r="J11" s="107" t="str">
        <f ca="1"/>
        <v>Meandering paths</v>
      </c>
      <c r="K11" s="107" t="str">
        <f ca="1"/>
        <v>Hidden corners, passageways, gates &amp; gardens</v>
      </c>
      <c r="L11" s="107" t="str">
        <f ca="1"/>
        <v>Garden “rooms”</v>
      </c>
      <c r="M11" s="107" t="str">
        <f ca="1"/>
        <v>Bug hotels, discovery boards</v>
      </c>
      <c r="N11" s="107" t="str">
        <f ca="1"/>
        <v>Bird Hydes &amp; Viewing Platforms</v>
      </c>
      <c r="O11" s="107" t="str">
        <f ca="1"/>
        <v>Marked Trails</v>
      </c>
      <c r="P11" s="107" t="str">
        <f ca="1"/>
        <v>Children’s Activity Trails</v>
      </c>
      <c r="Q11" s="107" t="str">
        <f ca="1"/>
        <v>Historic features</v>
      </c>
      <c r="R11" s="107" t="str">
        <f ca="1"/>
        <v>Statues &amp; sculptures</v>
      </c>
      <c r="S11" s="107" t="str">
        <f ca="1"/>
        <v>Maze</v>
      </c>
      <c r="T11" s="107" t="str">
        <f ca="1"/>
        <v>Greenhouses &amp; tropical plants</v>
      </c>
      <c r="U11" s="107" t="str">
        <f ca="1"/>
        <v>Biomes &amp; unusual environments</v>
      </c>
      <c r="V11" s="107" t="str">
        <f ca="1"/>
        <v>Conservation displays or learning</v>
      </c>
    </row>
    <row r="12" spans="1:29">
      <c r="A12" s="107" t="str" cm="1">
        <f t="array" aca="1" ref="A12:V12" ca="1">TRANSPOSE(INDIRECT(_xlfn.SWITCH(Events!B12,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Designed or sculpted landscapes</v>
      </c>
      <c r="B12" s="107" t="str">
        <f ca="1"/>
        <v>Seasonal foliage</v>
      </c>
      <c r="C12" s="107" t="str">
        <f ca="1"/>
        <v>Seasonal or curated displays</v>
      </c>
      <c r="D12" s="107" t="str">
        <f ca="1"/>
        <v>Water Features or Fountains</v>
      </c>
      <c r="E12" s="107" t="str">
        <f ca="1"/>
        <v>Meadows &amp; wild grass</v>
      </c>
      <c r="F12" s="107" t="str">
        <f ca="1"/>
        <v>Lakes or wildlife ponds</v>
      </c>
      <c r="G12" s="107" t="str">
        <f ca="1"/>
        <v>Room to run freely</v>
      </c>
      <c r="H12" s="107" t="str">
        <f ca="1"/>
        <v>Open sightlines</v>
      </c>
      <c r="I12" s="107" t="str">
        <f ca="1"/>
        <v>Vegetable gardens &amp; growing spaces</v>
      </c>
      <c r="J12" s="107" t="str">
        <f ca="1"/>
        <v>Meandering paths</v>
      </c>
      <c r="K12" s="107" t="str">
        <f ca="1"/>
        <v>Hidden corners, passageways, gates &amp; gardens</v>
      </c>
      <c r="L12" s="107" t="str">
        <f ca="1"/>
        <v>Garden “rooms”</v>
      </c>
      <c r="M12" s="107" t="str">
        <f ca="1"/>
        <v>Bug hotels, discovery boards</v>
      </c>
      <c r="N12" s="107" t="str">
        <f ca="1"/>
        <v>Bird Hydes &amp; Viewing Platforms</v>
      </c>
      <c r="O12" s="107" t="str">
        <f ca="1"/>
        <v>Marked Trails</v>
      </c>
      <c r="P12" s="107" t="str">
        <f ca="1"/>
        <v>Children’s Activity Trails</v>
      </c>
      <c r="Q12" s="107" t="str">
        <f ca="1"/>
        <v>Historic features</v>
      </c>
      <c r="R12" s="107" t="str">
        <f ca="1"/>
        <v>Statues &amp; sculptures</v>
      </c>
      <c r="S12" s="107" t="str">
        <f ca="1"/>
        <v>Maze</v>
      </c>
      <c r="T12" s="107" t="str">
        <f ca="1"/>
        <v>Greenhouses &amp; tropical plants</v>
      </c>
      <c r="U12" s="107" t="str">
        <f ca="1"/>
        <v>Biomes &amp; unusual environments</v>
      </c>
      <c r="V12" s="107" t="str">
        <f ca="1"/>
        <v>Conservation displays or learning</v>
      </c>
    </row>
    <row r="13" spans="1:29">
      <c r="A13" s="107" t="str" cm="1">
        <f t="array" aca="1" ref="A13:T13" ca="1">TRANSPOSE(INDIRECT(_xlfn.SWITCH(Events!B13,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13" s="107" t="str">
        <f ca="1"/>
        <v>Ponds or lakes</v>
      </c>
      <c r="C13" s="107" t="str">
        <f ca="1"/>
        <v>Duck Ponds</v>
      </c>
      <c r="D13" s="107" t="str">
        <f ca="1"/>
        <v>Water Features or Fountains</v>
      </c>
      <c r="E13" s="107" t="str">
        <f ca="1"/>
        <v>Streams or ditches</v>
      </c>
      <c r="F13" s="107" t="str">
        <f ca="1"/>
        <v>Natural paddling spots</v>
      </c>
      <c r="G13" s="107" t="str">
        <f ca="1"/>
        <v>Room to run freely</v>
      </c>
      <c r="H13" s="107" t="str">
        <f ca="1"/>
        <v>Open sightlines</v>
      </c>
      <c r="I13" s="107" t="str">
        <f ca="1"/>
        <v>Countryside views</v>
      </c>
      <c r="J13" s="107" t="str">
        <f ca="1"/>
        <v>Scenic backdrops</v>
      </c>
      <c r="K13" s="107" t="str">
        <f ca="1"/>
        <v>Rolling landscapes</v>
      </c>
      <c r="L13" s="107" t="str">
        <f ca="1"/>
        <v>Bridges (wooden, stone, suspension)</v>
      </c>
      <c r="M13" s="107" t="str">
        <f ca="1"/>
        <v>Natural play features (logs, slopes, rocks)</v>
      </c>
      <c r="N13" s="107" t="str">
        <f ca="1"/>
        <v>Climbable trees</v>
      </c>
      <c r="O13" s="107" t="str">
        <f ca="1"/>
        <v>Grassy banks</v>
      </c>
      <c r="P13" s="107" t="str">
        <f ca="1"/>
        <v>Small hills / mounds</v>
      </c>
      <c r="Q13" s="107" t="str">
        <f ca="1"/>
        <v>Play equipment</v>
      </c>
      <c r="R13" s="107" t="str">
        <f ca="1"/>
        <v>Football or Rugby Posts</v>
      </c>
      <c r="S13" s="107" t="str">
        <f ca="1"/>
        <v>Marked Trails</v>
      </c>
      <c r="T13" s="107" t="str">
        <f ca="1"/>
        <v>Children’s Activity Trails</v>
      </c>
    </row>
    <row r="14" spans="1:29">
      <c r="A14" s="107" t="str" cm="1">
        <f t="array" aca="1" ref="A14:T14" ca="1">TRANSPOSE(INDIRECT(_xlfn.SWITCH(Events!B14,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Meadows or wild grass</v>
      </c>
      <c r="B14" s="107" t="str">
        <f ca="1"/>
        <v>Ponds or lakes</v>
      </c>
      <c r="C14" s="107" t="str">
        <f ca="1"/>
        <v>Duck Ponds</v>
      </c>
      <c r="D14" s="107" t="str">
        <f ca="1"/>
        <v>Water Features or Fountains</v>
      </c>
      <c r="E14" s="107" t="str">
        <f ca="1"/>
        <v>Streams or ditches</v>
      </c>
      <c r="F14" s="107" t="str">
        <f ca="1"/>
        <v>Natural paddling spots</v>
      </c>
      <c r="G14" s="107" t="str">
        <f ca="1"/>
        <v>Room to run freely</v>
      </c>
      <c r="H14" s="107" t="str">
        <f ca="1"/>
        <v>Open sightlines</v>
      </c>
      <c r="I14" s="107" t="str">
        <f ca="1"/>
        <v>Countryside views</v>
      </c>
      <c r="J14" s="107" t="str">
        <f ca="1"/>
        <v>Scenic backdrops</v>
      </c>
      <c r="K14" s="107" t="str">
        <f ca="1"/>
        <v>Rolling landscapes</v>
      </c>
      <c r="L14" s="107" t="str">
        <f ca="1"/>
        <v>Bridges (wooden, stone, suspension)</v>
      </c>
      <c r="M14" s="107" t="str">
        <f ca="1"/>
        <v>Natural play features (logs, slopes, rocks)</v>
      </c>
      <c r="N14" s="107" t="str">
        <f ca="1"/>
        <v>Climbable trees</v>
      </c>
      <c r="O14" s="107" t="str">
        <f ca="1"/>
        <v>Grassy banks</v>
      </c>
      <c r="P14" s="107" t="str">
        <f ca="1"/>
        <v>Small hills / mounds</v>
      </c>
      <c r="Q14" s="107" t="str">
        <f ca="1"/>
        <v>Play equipment</v>
      </c>
      <c r="R14" s="107" t="str">
        <f ca="1"/>
        <v>Football or Rugby Posts</v>
      </c>
      <c r="S14" s="107" t="str">
        <f ca="1"/>
        <v>Marked Trails</v>
      </c>
      <c r="T14" s="107" t="str">
        <f ca="1"/>
        <v>Children’s Activity Trails</v>
      </c>
    </row>
    <row r="15" spans="1:29">
      <c r="A15" s="107" t="str" cm="1">
        <f t="array" aca="1" ref="A15:AC15" ca="1">TRANSPOSE(INDIRECT(_xlfn.SWITCH(Events!B15,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 "Seasonal", "highlightsseasonal",)))</f>
        <v>Meet Father Christmas</v>
      </c>
      <c r="B15" s="107" t="str">
        <f ca="1"/>
        <v>Festive Shows</v>
      </c>
      <c r="C15" s="107" t="str">
        <f ca="1"/>
        <v>Singing figures or characters</v>
      </c>
      <c r="D15" s="107" t="str">
        <f ca="1"/>
        <v>Seasonal Hot Chocolates</v>
      </c>
      <c r="E15" s="107" t="str">
        <f ca="1"/>
        <v>Festive Displays</v>
      </c>
      <c r="F15" s="107" t="str">
        <f ca="1"/>
        <v>Winter Wonderland</v>
      </c>
      <c r="G15" s="107" t="str">
        <f ca="1"/>
        <v>Themed Areas</v>
      </c>
      <c r="H15" s="107" t="str">
        <f ca="1"/>
        <v>Themed Food</v>
      </c>
      <c r="I15" s="107" t="str">
        <f ca="1"/>
        <v>Easter Egg Hunts</v>
      </c>
      <c r="J15" s="107" t="str">
        <f ca="1"/>
        <v>Clues or Treasure Hunts</v>
      </c>
      <c r="K15" s="107" t="str">
        <f ca="1"/>
        <v>Meet the Easter Bunny</v>
      </c>
      <c r="L15" s="107" t="str">
        <f ca="1"/>
        <v>Costumes or Fancy Dress-up</v>
      </c>
      <c r="M15" s="107" t="str">
        <f ca="1"/>
        <v>Firework Displays</v>
      </c>
      <c r="N15" s="107" t="str">
        <f ca="1"/>
        <v>Roasting Marshmallows</v>
      </c>
      <c r="O15" s="107" t="str">
        <f ca="1"/>
        <v>Bonfires</v>
      </c>
      <c r="P15" s="107" t="str">
        <f ca="1"/>
        <v>Solstice Rituals</v>
      </c>
      <c r="Q15" s="107" t="str">
        <f ca="1"/>
        <v>Seasonal Fruit Picking</v>
      </c>
      <c r="R15" s="107" t="str">
        <f ca="1"/>
        <v>Maize Mazes</v>
      </c>
      <c r="S15" s="107" t="str">
        <f ca="1"/>
        <v>Flower collecting or displays</v>
      </c>
      <c r="T15" s="107" t="str">
        <f ca="1"/>
        <v>Splash Parks</v>
      </c>
      <c r="U15" s="107" t="str">
        <f ca="1"/>
        <v>Inflatables Sessions</v>
      </c>
      <c r="V15" s="107" t="str">
        <f ca="1"/>
        <v>BBQs</v>
      </c>
      <c r="W15" s="107" t="str">
        <f ca="1"/>
        <v>Surf &amp; Turf</v>
      </c>
      <c r="X15" s="107" t="str">
        <f ca="1"/>
        <v>Wildlife Spotting</v>
      </c>
      <c r="Y15" s="107" t="str">
        <f ca="1"/>
        <v>Sea Safari</v>
      </c>
      <c r="Z15" s="107" t="str">
        <f ca="1"/>
        <v>Airshows or displays</v>
      </c>
      <c r="AA15" s="107" t="str">
        <f ca="1"/>
        <v>Food stands &amp; stalls</v>
      </c>
      <c r="AB15" s="107" t="str">
        <f ca="1"/>
        <v>Live Performance</v>
      </c>
      <c r="AC15" s="107" t="str">
        <f ca="1"/>
        <v>Live Music</v>
      </c>
    </row>
    <row r="16" spans="1:29">
      <c r="A16" s="107" t="str" cm="1">
        <f t="array" aca="1" ref="A16:AC16" ca="1">TRANSPOSE(INDIRECT(_xlfn.SWITCH(Events!B16,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 "Seasonal", "highlightsseasonal",)))</f>
        <v>Meet Father Christmas</v>
      </c>
      <c r="B16" s="107" t="str">
        <f ca="1"/>
        <v>Festive Shows</v>
      </c>
      <c r="C16" s="107" t="str">
        <f ca="1"/>
        <v>Singing figures or characters</v>
      </c>
      <c r="D16" s="107" t="str">
        <f ca="1"/>
        <v>Seasonal Hot Chocolates</v>
      </c>
      <c r="E16" s="107" t="str">
        <f ca="1"/>
        <v>Festive Displays</v>
      </c>
      <c r="F16" s="107" t="str">
        <f ca="1"/>
        <v>Winter Wonderland</v>
      </c>
      <c r="G16" s="107" t="str">
        <f ca="1"/>
        <v>Themed Areas</v>
      </c>
      <c r="H16" s="107" t="str">
        <f ca="1"/>
        <v>Themed Food</v>
      </c>
      <c r="I16" s="107" t="str">
        <f ca="1"/>
        <v>Easter Egg Hunts</v>
      </c>
      <c r="J16" s="107" t="str">
        <f ca="1"/>
        <v>Clues or Treasure Hunts</v>
      </c>
      <c r="K16" s="107" t="str">
        <f ca="1"/>
        <v>Meet the Easter Bunny</v>
      </c>
      <c r="L16" s="107" t="str">
        <f ca="1"/>
        <v>Costumes or Fancy Dress-up</v>
      </c>
      <c r="M16" s="107" t="str">
        <f ca="1"/>
        <v>Firework Displays</v>
      </c>
      <c r="N16" s="107" t="str">
        <f ca="1"/>
        <v>Roasting Marshmallows</v>
      </c>
      <c r="O16" s="107" t="str">
        <f ca="1"/>
        <v>Bonfires</v>
      </c>
      <c r="P16" s="107" t="str">
        <f ca="1"/>
        <v>Solstice Rituals</v>
      </c>
      <c r="Q16" s="107" t="str">
        <f ca="1"/>
        <v>Seasonal Fruit Picking</v>
      </c>
      <c r="R16" s="107" t="str">
        <f ca="1"/>
        <v>Maize Mazes</v>
      </c>
      <c r="S16" s="107" t="str">
        <f ca="1"/>
        <v>Flower collecting or displays</v>
      </c>
      <c r="T16" s="107" t="str">
        <f ca="1"/>
        <v>Splash Parks</v>
      </c>
      <c r="U16" s="107" t="str">
        <f ca="1"/>
        <v>Inflatables Sessions</v>
      </c>
      <c r="V16" s="107" t="str">
        <f ca="1"/>
        <v>BBQs</v>
      </c>
      <c r="W16" s="107" t="str">
        <f ca="1"/>
        <v>Surf &amp; Turf</v>
      </c>
      <c r="X16" s="107" t="str">
        <f ca="1"/>
        <v>Wildlife Spotting</v>
      </c>
      <c r="Y16" s="107" t="str">
        <f ca="1"/>
        <v>Sea Safari</v>
      </c>
      <c r="Z16" s="107" t="str">
        <f ca="1"/>
        <v>Airshows or displays</v>
      </c>
      <c r="AA16" s="107" t="str">
        <f ca="1"/>
        <v>Food stands &amp; stalls</v>
      </c>
      <c r="AB16" s="107" t="str">
        <f ca="1"/>
        <v>Live Performance</v>
      </c>
      <c r="AC16" s="107" t="str">
        <f ca="1"/>
        <v>Live Music</v>
      </c>
    </row>
    <row r="17" spans="1:19">
      <c r="A17" s="107" t="str" cm="1">
        <f t="array" aca="1" ref="A17:S17" ca="1">TRANSPOSE(INDIRECT(_xlfn.SWITCH(Events!B17,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Climbing Logs or balance beams</v>
      </c>
      <c r="B17" s="107" t="str">
        <f ca="1"/>
        <v>Mud kitchens</v>
      </c>
      <c r="C17" s="107" t="str">
        <f ca="1"/>
        <v>Sand, soil, and loose materials</v>
      </c>
      <c r="D17" s="107" t="str">
        <f ca="1"/>
        <v>Den-building materials</v>
      </c>
      <c r="E17" s="107" t="str">
        <f ca="1"/>
        <v>Natural construction zones</v>
      </c>
      <c r="F17" s="107" t="str">
        <f ca="1"/>
        <v>Mud and puddles</v>
      </c>
      <c r="G17" s="107" t="str">
        <f ca="1"/>
        <v>Shallow water play (streams, channels)</v>
      </c>
      <c r="H17" s="107" t="str">
        <f ca="1"/>
        <v>Forest school activities</v>
      </c>
      <c r="I17" s="107" t="str">
        <f ca="1"/>
        <v>Guided outdoor learning prompts</v>
      </c>
      <c r="J17" s="107" t="str">
        <f ca="1"/>
        <v>Marked Trails</v>
      </c>
      <c r="K17" s="107" t="str">
        <f ca="1"/>
        <v>Children’s Activity Trails</v>
      </c>
      <c r="L17" s="107" t="str">
        <f ca="1"/>
        <v>Letterboxing</v>
      </c>
      <c r="M17" s="107" t="str">
        <f ca="1"/>
        <v>Fossil Hunting</v>
      </c>
      <c r="N17" s="107" t="str">
        <f ca="1"/>
        <v>Farming school activities</v>
      </c>
      <c r="O17" s="107" t="str">
        <f ca="1"/>
        <v>Simple tool use (supervised)</v>
      </c>
      <c r="P17" s="107" t="str">
        <f ca="1"/>
        <v>Fire pits (when part of structured sessions)</v>
      </c>
      <c r="Q17" s="107" t="str">
        <f ca="1"/>
        <v>Immersive natural surroundings</v>
      </c>
      <c r="R17" s="107" t="str">
        <f ca="1"/>
        <v>Quiet or low-intervention spaces</v>
      </c>
      <c r="S17" s="107" t="str">
        <f ca="1"/>
        <v>Enclosed or defined play zones</v>
      </c>
    </row>
    <row r="18" spans="1:19">
      <c r="A18"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 "Seasonal", "highlightsseasonal",))))))</f>
        <v>#REF!</v>
      </c>
    </row>
    <row r="19" spans="1:19">
      <c r="A19"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 "Seasonal", "highlightsseasonal",))))))</f>
        <v>#REF!</v>
      </c>
    </row>
    <row r="20" spans="1:19">
      <c r="A20"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 "Seasonal", "highlightsseasonal",))))))</f>
        <v>#REF!</v>
      </c>
    </row>
    <row r="21" spans="1:19">
      <c r="A21"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 "Seasonal", "highlightsseasonal",))))))</f>
        <v>#REF!</v>
      </c>
    </row>
    <row r="22" spans="1:19">
      <c r="A22" s="107" t="e" cm="1">
        <f t="array" aca="1" ref="A22" ca="1">TRANSPOSE(INDIRECT(_xlfn.SWITCH(Events!B18,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3" spans="1:19">
      <c r="A23" s="107" t="e" cm="1">
        <f t="array" aca="1" ref="A23" ca="1">TRANSPOSE(INDIRECT(_xlfn.SWITCH(Events!B19,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4" spans="1:19">
      <c r="A24" s="107" t="e" cm="1">
        <f t="array" aca="1" ref="A24" ca="1">TRANSPOSE(INDIRECT(_xlfn.SWITCH(Events!B20,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5" spans="1:19">
      <c r="A25" s="107" t="e" cm="1">
        <f t="array" aca="1" ref="A25" ca="1">TRANSPOSE(INDIRECT(_xlfn.SWITCH(Events!B21,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6" spans="1:19">
      <c r="A26" s="107" t="e" cm="1">
        <f t="array" aca="1" ref="A26" ca="1">TRANSPOSE(INDIRECT(_xlfn.SWITCH(Events!B22,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7" spans="1:19">
      <c r="A27" s="107" t="e" cm="1">
        <f t="array" aca="1" ref="A27" ca="1">TRANSPOSE(INDIRECT(_xlfn.SWITCH(Events!B23,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8" spans="1:19">
      <c r="A28" s="107" t="e" cm="1">
        <f t="array" aca="1" ref="A28" ca="1">TRANSPOSE(INDIRECT(_xlfn.SWITCH(Events!B24,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29" spans="1:19">
      <c r="A29" s="107" t="e" cm="1">
        <f t="array" aca="1" ref="A29" ca="1">TRANSPOSE(INDIRECT(_xlfn.SWITCH(Events!B25,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0" spans="1:19">
      <c r="A30" s="107" t="e" cm="1">
        <f t="array" aca="1" ref="A30" ca="1">TRANSPOSE(INDIRECT(_xlfn.SWITCH(Events!B26,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1" spans="1:19">
      <c r="A31" s="107" t="e" cm="1">
        <f t="array" aca="1" ref="A31" ca="1">TRANSPOSE(INDIRECT(_xlfn.SWITCH(Events!B27,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2" spans="1:19">
      <c r="A32" s="107" t="e" cm="1">
        <f t="array" aca="1" ref="A32" ca="1">TRANSPOSE(INDIRECT(_xlfn.SWITCH(Events!B28,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3" spans="1:1">
      <c r="A33" s="107" t="e" cm="1">
        <f t="array" aca="1" ref="A33" ca="1">TRANSPOSE(INDIRECT(_xlfn.SWITCH(Events!B29,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4" spans="1:1">
      <c r="A34" s="107" t="e" cm="1">
        <f t="array" aca="1" ref="A34" ca="1">TRANSPOSE(INDIRECT(_xlfn.SWITCH(Events!B30,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5" spans="1:1">
      <c r="A35" s="107" t="e" cm="1">
        <f t="array" aca="1" ref="A35" ca="1">TRANSPOSE(INDIRECT(_xlfn.SWITCH(Events!B31,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6" spans="1:1">
      <c r="A36" s="107" t="e" cm="1">
        <f t="array" aca="1" ref="A36" ca="1">TRANSPOSE(INDIRECT(_xlfn.SWITCH(Events!B32,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7" spans="1:1">
      <c r="A37"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8" spans="1:1">
      <c r="A38"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39" spans="1:1">
      <c r="A39" s="107" t="e">
        <f ca="1">_xlfn.SINGLE(TRANSPOSE(_xlfn.SINGLE(INDIRECT(_xlfn.SINGLE(_xlfn.SWITCH(#REF!,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0" spans="1:1">
      <c r="A40" s="107" t="e" cm="1">
        <f t="array" aca="1" ref="A40" ca="1">TRANSPOSE(INDIRECT(_xlfn.SWITCH(Events!B18,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1" spans="1:1">
      <c r="A41" s="107" t="e" cm="1">
        <f t="array" aca="1" ref="A41" ca="1">TRANSPOSE(INDIRECT(_xlfn.SWITCH(Events!B19,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2" spans="1:1">
      <c r="A42" s="107" t="e" cm="1">
        <f t="array" aca="1" ref="A42" ca="1">TRANSPOSE(INDIRECT(_xlfn.SWITCH(Events!B20,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3" spans="1:1">
      <c r="A43" s="107" t="e" cm="1">
        <f t="array" aca="1" ref="A43" ca="1">TRANSPOSE(INDIRECT(_xlfn.SWITCH(Events!B21,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4" spans="1:1">
      <c r="A44" s="107" t="e" cm="1">
        <f t="array" aca="1" ref="A44" ca="1">TRANSPOSE(INDIRECT(_xlfn.SWITCH(Events!B22,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5" spans="1:1">
      <c r="A45" s="107" t="e" cm="1">
        <f t="array" aca="1" ref="A45" ca="1">TRANSPOSE(INDIRECT(_xlfn.SWITCH(Events!B23,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6" spans="1:1">
      <c r="A46" s="107" t="e" cm="1">
        <f t="array" aca="1" ref="A46" ca="1">TRANSPOSE(INDIRECT(_xlfn.SWITCH(Events!B24,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7" spans="1:1">
      <c r="A47" s="107" t="e" cm="1">
        <f t="array" aca="1" ref="A47" ca="1">TRANSPOSE(INDIRECT(_xlfn.SWITCH(Events!B25,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8" spans="1:1">
      <c r="A48" s="107" t="e" cm="1">
        <f t="array" aca="1" ref="A48" ca="1">TRANSPOSE(INDIRECT(_xlfn.SWITCH(Events!B26,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49" spans="1:1">
      <c r="A49" s="107" t="e" cm="1">
        <f t="array" aca="1" ref="A49" ca="1">TRANSPOSE(INDIRECT(_xlfn.SWITCH(Events!B27,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0" spans="1:1">
      <c r="A50" s="107" t="e" cm="1">
        <f t="array" aca="1" ref="A50" ca="1">TRANSPOSE(INDIRECT(_xlfn.SWITCH(Events!B28,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1" spans="1:1">
      <c r="A51" s="107" t="e" cm="1">
        <f t="array" aca="1" ref="A51" ca="1">TRANSPOSE(INDIRECT(_xlfn.SWITCH(Events!B29,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2" spans="1:1">
      <c r="A52" s="107" t="e" cm="1">
        <f t="array" aca="1" ref="A52" ca="1">TRANSPOSE(INDIRECT(_xlfn.SWITCH(Events!B30,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3" spans="1:1">
      <c r="A53" s="107" t="e" cm="1">
        <f t="array" aca="1" ref="A53" ca="1">TRANSPOSE(INDIRECT(_xlfn.SWITCH(Events!B31,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4" spans="1:1">
      <c r="A54" s="107" t="e" cm="1">
        <f t="array" aca="1" ref="A54" ca="1">TRANSPOSE(INDIRECT(_xlfn.SWITCH(Events!B32,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5" spans="1:1">
      <c r="A55" s="107" t="e" cm="1">
        <f t="array" aca="1" ref="A55" ca="1">TRANSPOSE(INDIRECT(_xlfn.SWITCH(Events!B33,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6" spans="1:1">
      <c r="A56" s="107" t="e" cm="1">
        <f t="array" aca="1" ref="A56" ca="1">TRANSPOSE(INDIRECT(_xlfn.SWITCH(Events!B34,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7" spans="1:1">
      <c r="A57" s="107" t="e" cm="1">
        <f t="array" aca="1" ref="A57" ca="1">TRANSPOSE(INDIRECT(_xlfn.SWITCH(Events!B35,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8" spans="1:1">
      <c r="A58" s="107" t="e" cm="1">
        <f t="array" aca="1" ref="A58" ca="1">TRANSPOSE(INDIRECT(_xlfn.SWITCH(Events!B36,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59" spans="1:1">
      <c r="A59" s="107" t="e" cm="1">
        <f t="array" aca="1" ref="A59" ca="1">TRANSPOSE(INDIRECT(_xlfn.SWITCH(Events!B37,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0" spans="1:1">
      <c r="A60" s="107" t="e" cm="1">
        <f t="array" aca="1" ref="A60" ca="1">TRANSPOSE(INDIRECT(_xlfn.SWITCH(Events!B38,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1" spans="1:1">
      <c r="A61" s="107" t="e" cm="1">
        <f t="array" aca="1" ref="A61" ca="1">TRANSPOSE(INDIRECT(_xlfn.SWITCH(Events!B39,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2" spans="1:1">
      <c r="A62" s="107" t="e" cm="1">
        <f t="array" aca="1" ref="A62" ca="1">TRANSPOSE(INDIRECT(_xlfn.SWITCH(Events!B40,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3" spans="1:1">
      <c r="A63" s="107" t="e" cm="1">
        <f t="array" aca="1" ref="A63" ca="1">TRANSPOSE(INDIRECT(_xlfn.SWITCH(Events!B41,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4" spans="1:1">
      <c r="A64" s="107" t="e" cm="1">
        <f t="array" aca="1" ref="A64" ca="1">TRANSPOSE(INDIRECT(_xlfn.SWITCH(Events!B42,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5" spans="1:1">
      <c r="A65" s="107" t="e" cm="1">
        <f t="array" aca="1" ref="A65" ca="1">TRANSPOSE(INDIRECT(_xlfn.SWITCH(Events!B43,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6" spans="1:1">
      <c r="A66" s="107" t="e" cm="1">
        <f t="array" aca="1" ref="A66" ca="1">TRANSPOSE(INDIRECT(_xlfn.SWITCH(Events!B44,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7" spans="1:1">
      <c r="A67" s="107" t="e" cm="1">
        <f t="array" aca="1" ref="A67" ca="1">TRANSPOSE(INDIRECT(_xlfn.SWITCH(Events!B45,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8" spans="1:1">
      <c r="A68" s="107" t="e" cm="1">
        <f t="array" aca="1" ref="A68" ca="1">TRANSPOSE(INDIRECT(_xlfn.SWITCH(Events!B46,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69" spans="1:1">
      <c r="A69" s="107" t="e" cm="1">
        <f t="array" aca="1" ref="A69" ca="1">TRANSPOSE(INDIRECT(_xlfn.SWITCH(Events!B47,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0" spans="1:1">
      <c r="A70" s="107" t="e" cm="1">
        <f t="array" aca="1" ref="A70" ca="1">TRANSPOSE(INDIRECT(_xlfn.SWITCH(Events!B48,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1" spans="1:1">
      <c r="A71" s="107" t="e" cm="1">
        <f t="array" aca="1" ref="A71" ca="1">TRANSPOSE(INDIRECT(_xlfn.SWITCH(Events!B49,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2" spans="1:1">
      <c r="A72" s="107" t="e" cm="1">
        <f t="array" aca="1" ref="A72" ca="1">TRANSPOSE(INDIRECT(_xlfn.SWITCH(Events!B50,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3" spans="1:1">
      <c r="A73" s="107" t="e" cm="1">
        <f t="array" aca="1" ref="A73" ca="1">TRANSPOSE(INDIRECT(_xlfn.SWITCH(Events!B51,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4" spans="1:1">
      <c r="A74" s="107" t="e" cm="1">
        <f t="array" aca="1" ref="A74" ca="1">TRANSPOSE(INDIRECT(_xlfn.SWITCH(Events!B52,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5" spans="1:1">
      <c r="A75" s="107" t="e" cm="1">
        <f t="array" aca="1" ref="A75" ca="1">TRANSPOSE(INDIRECT(_xlfn.SWITCH(Events!B53,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6" spans="1:1">
      <c r="A76" s="107" t="e" cm="1">
        <f t="array" aca="1" ref="A76" ca="1">TRANSPOSE(INDIRECT(_xlfn.SWITCH(Events!B54,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7" spans="1:1">
      <c r="A77" s="107" t="e" cm="1">
        <f t="array" aca="1" ref="A77" ca="1">TRANSPOSE(INDIRECT(_xlfn.SWITCH(Events!B55,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8" spans="1:1">
      <c r="A78" s="107" t="e" cm="1">
        <f t="array" aca="1" ref="A78" ca="1">TRANSPOSE(INDIRECT(_xlfn.SWITCH(Events!B56,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79" spans="1:1">
      <c r="A79" s="107" t="e" cm="1">
        <f t="array" aca="1" ref="A79" ca="1">TRANSPOSE(INDIRECT(_xlfn.SWITCH(Events!B57,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0" spans="1:1">
      <c r="A80" s="107" t="e" cm="1">
        <f t="array" aca="1" ref="A80" ca="1">TRANSPOSE(INDIRECT(_xlfn.SWITCH(Events!B58,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1" spans="1:1">
      <c r="A81" s="107" t="e" cm="1">
        <f t="array" aca="1" ref="A81" ca="1">TRANSPOSE(INDIRECT(_xlfn.SWITCH(Events!B59,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2" spans="1:1">
      <c r="A82" s="107" t="e" cm="1">
        <f t="array" aca="1" ref="A82" ca="1">TRANSPOSE(INDIRECT(_xlfn.SWITCH(Events!B60,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3" spans="1:1">
      <c r="A83" s="107" t="e" cm="1">
        <f t="array" aca="1" ref="A83" ca="1">TRANSPOSE(INDIRECT(_xlfn.SWITCH(Events!B61,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4" spans="1:1">
      <c r="A84" s="107" t="e" cm="1">
        <f t="array" aca="1" ref="A84" ca="1">TRANSPOSE(INDIRECT(_xlfn.SWITCH(Events!B62,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5" spans="1:1">
      <c r="A85" s="107" t="e" cm="1">
        <f t="array" aca="1" ref="A85" ca="1">TRANSPOSE(INDIRECT(_xlfn.SWITCH(Events!B63,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6" spans="1:1">
      <c r="A86" s="107" t="e" cm="1">
        <f t="array" aca="1" ref="A86" ca="1">TRANSPOSE(INDIRECT(_xlfn.SWITCH(Events!B64,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7" spans="1:1">
      <c r="A87" s="107" t="e" cm="1">
        <f t="array" aca="1" ref="A87" ca="1">TRANSPOSE(INDIRECT(_xlfn.SWITCH(Events!B65,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8" spans="1:1">
      <c r="A88" s="107" t="e" cm="1">
        <f t="array" aca="1" ref="A88" ca="1">TRANSPOSE(INDIRECT(_xlfn.SWITCH(Events!B66,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89" spans="1:1">
      <c r="A89" s="107" t="e" cm="1">
        <f t="array" aca="1" ref="A89" ca="1">TRANSPOSE(INDIRECT(_xlfn.SWITCH(Events!B67,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row r="90" spans="1:1">
      <c r="A90" s="107" t="e" cm="1">
        <f t="array" aca="1" ref="A90" ca="1">TRANSPOSE(INDIRECT(_xlfn.SWITCH(Events!B68, "Green Open Spaces", "highlightsgreenspace", "Nature &amp; Wildlife Exploration", "highlightsnature", "Coastal Adventures", "highlightscoastal", "Gardens &amp; Curated Outdoor Spaces", "highlightsgardens", "Playgrounds &amp; Adventure Parks", "highlightsplaygrounds", "Sporty Activities", "highlightssports", "Rideable Routes", "highlightswheels", "Water Activities", "highlightswaterfun", "Creative Activities", "highlightscreative", "Imaginative &amp; Role Play", "highlightsimaginative", "Sensory or Calming Experiences", "highlightssensory", "Hands-On Learning", "highlightslearning", "Museums &amp; Discovery", "highlightsdiscovery", "History &amp; Culture", "highlightshistorical", "Animal Encounters", "highlightsanimals", "Soft Play &amp; Indoor Active Play", "highlightsindoorenergy", "Indoor Entertainment", "indoorentertainment", "Transport &amp; Engineering", "highlightstransport", "A Big Day Out", "highlightsbigday", "Cafés &amp; Coffee Stops", "highlightscoffee", "Family Dining", "highlightsfamilydining",)))</f>
        <v>#REF!</v>
      </c>
    </row>
  </sheetData>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K1684"/>
  <sheetViews>
    <sheetView tabSelected="1" topLeftCell="A1680" workbookViewId="0">
      <selection activeCell="G645" sqref="G645"/>
    </sheetView>
  </sheetViews>
  <sheetFormatPr defaultColWidth="12.5703125" defaultRowHeight="15.75" customHeight="1"/>
  <cols>
    <col min="1" max="2" width="21.42578125" customWidth="1"/>
    <col min="3" max="3" width="45" customWidth="1"/>
    <col min="4" max="37" width="21.42578125" customWidth="1"/>
  </cols>
  <sheetData>
    <row r="1" spans="1:37">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row>
    <row r="2" spans="1:37">
      <c r="A2" s="146" t="s">
        <v>2505</v>
      </c>
      <c r="B2" s="146" t="s">
        <v>2506</v>
      </c>
      <c r="C2" s="146" t="s">
        <v>2507</v>
      </c>
      <c r="D2" s="146" t="s">
        <v>2508</v>
      </c>
      <c r="E2" s="146" t="s">
        <v>2509</v>
      </c>
      <c r="F2" s="146" t="s">
        <v>2510</v>
      </c>
      <c r="G2" s="146" t="s">
        <v>2511</v>
      </c>
      <c r="H2" s="147" t="s">
        <v>2512</v>
      </c>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row>
    <row r="3" spans="1:37">
      <c r="A3" s="233" t="s">
        <v>2513</v>
      </c>
      <c r="B3" s="216"/>
      <c r="C3" s="216"/>
      <c r="D3" s="216"/>
      <c r="E3" s="216"/>
      <c r="F3" s="216"/>
      <c r="G3" s="216"/>
      <c r="H3" s="78"/>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row>
    <row r="4" spans="1:37">
      <c r="A4" s="152" t="s">
        <v>115</v>
      </c>
      <c r="B4" s="152" t="s">
        <v>26</v>
      </c>
      <c r="C4" s="152" t="s">
        <v>204</v>
      </c>
      <c r="D4" s="152" t="s">
        <v>2514</v>
      </c>
      <c r="E4" s="152" t="s">
        <v>2515</v>
      </c>
      <c r="F4" s="152" t="s">
        <v>2516</v>
      </c>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row>
    <row r="5" spans="1:37">
      <c r="A5" s="152" t="s">
        <v>115</v>
      </c>
      <c r="B5" s="152" t="s">
        <v>26</v>
      </c>
      <c r="C5" s="152" t="s">
        <v>2070</v>
      </c>
      <c r="D5" s="152" t="s">
        <v>2517</v>
      </c>
      <c r="E5" s="152" t="s">
        <v>2515</v>
      </c>
      <c r="F5" s="152" t="s">
        <v>2516</v>
      </c>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row>
    <row r="6" spans="1:37">
      <c r="A6" s="152" t="s">
        <v>115</v>
      </c>
      <c r="B6" s="152" t="s">
        <v>26</v>
      </c>
      <c r="C6" s="152" t="s">
        <v>2006</v>
      </c>
      <c r="D6" s="152" t="s">
        <v>2518</v>
      </c>
      <c r="E6" s="152" t="s">
        <v>2515</v>
      </c>
      <c r="F6" s="152" t="s">
        <v>2516</v>
      </c>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row>
    <row r="7" spans="1:37">
      <c r="A7" s="152" t="s">
        <v>115</v>
      </c>
      <c r="B7" s="152" t="s">
        <v>26</v>
      </c>
      <c r="C7" s="152" t="s">
        <v>1789</v>
      </c>
      <c r="D7" s="152" t="s">
        <v>2519</v>
      </c>
      <c r="E7" s="152" t="s">
        <v>2515</v>
      </c>
      <c r="F7" s="152" t="s">
        <v>2516</v>
      </c>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row>
    <row r="8" spans="1:37">
      <c r="A8" s="152" t="s">
        <v>115</v>
      </c>
      <c r="B8" s="152" t="s">
        <v>26</v>
      </c>
      <c r="C8" s="152" t="s">
        <v>2520</v>
      </c>
      <c r="D8" s="152" t="s">
        <v>2521</v>
      </c>
      <c r="E8" s="152" t="s">
        <v>215</v>
      </c>
      <c r="F8" s="152" t="s">
        <v>2522</v>
      </c>
      <c r="G8" s="152" t="s">
        <v>2523</v>
      </c>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row>
    <row r="9" spans="1:37">
      <c r="A9" s="152" t="s">
        <v>115</v>
      </c>
      <c r="B9" s="152" t="s">
        <v>26</v>
      </c>
      <c r="C9" s="152" t="s">
        <v>2524</v>
      </c>
      <c r="D9" s="152" t="s">
        <v>2525</v>
      </c>
      <c r="E9" s="152" t="s">
        <v>215</v>
      </c>
      <c r="F9" s="152" t="s">
        <v>2522</v>
      </c>
      <c r="G9" s="152" t="s">
        <v>2523</v>
      </c>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row>
    <row r="10" spans="1:37">
      <c r="A10" s="152" t="s">
        <v>115</v>
      </c>
      <c r="B10" s="152" t="s">
        <v>26</v>
      </c>
      <c r="C10" s="152" t="s">
        <v>2526</v>
      </c>
      <c r="D10" s="152" t="s">
        <v>2527</v>
      </c>
      <c r="E10" s="152" t="s">
        <v>215</v>
      </c>
      <c r="F10" s="152" t="s">
        <v>2522</v>
      </c>
      <c r="G10" s="152" t="s">
        <v>2523</v>
      </c>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row>
    <row r="11" spans="1:37">
      <c r="A11" s="78"/>
      <c r="B11" s="78"/>
      <c r="C11" s="78"/>
      <c r="D11" s="78"/>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row>
    <row r="12" spans="1:37">
      <c r="A12" s="233" t="s">
        <v>2528</v>
      </c>
      <c r="B12" s="216"/>
      <c r="C12" s="216"/>
      <c r="D12" s="216"/>
      <c r="E12" s="216"/>
      <c r="F12" s="216"/>
      <c r="G12" s="216"/>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row>
    <row r="13" spans="1:37" ht="24.75" customHeight="1">
      <c r="A13" s="152" t="s">
        <v>2529</v>
      </c>
      <c r="B13" s="78" t="s">
        <v>1929</v>
      </c>
      <c r="C13" s="152" t="s">
        <v>1783</v>
      </c>
      <c r="D13" s="152" t="s">
        <v>105</v>
      </c>
      <c r="E13" s="152" t="s">
        <v>2515</v>
      </c>
      <c r="F13" s="152" t="s">
        <v>2530</v>
      </c>
      <c r="G13" s="152" t="s">
        <v>2531</v>
      </c>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row>
    <row r="14" spans="1:37" ht="24.75" customHeight="1">
      <c r="A14" s="152" t="s">
        <v>2529</v>
      </c>
      <c r="B14" s="78" t="s">
        <v>1929</v>
      </c>
      <c r="C14" s="152" t="s">
        <v>1782</v>
      </c>
      <c r="D14" s="152" t="s">
        <v>104</v>
      </c>
      <c r="E14" s="152" t="s">
        <v>2515</v>
      </c>
      <c r="F14" s="152" t="s">
        <v>2530</v>
      </c>
      <c r="G14" s="152" t="s">
        <v>2532</v>
      </c>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row>
    <row r="15" spans="1:37" ht="24.75" customHeight="1">
      <c r="A15" s="152" t="s">
        <v>2529</v>
      </c>
      <c r="B15" s="78" t="s">
        <v>1929</v>
      </c>
      <c r="C15" s="152" t="s">
        <v>2533</v>
      </c>
      <c r="D15" s="152" t="s">
        <v>1058</v>
      </c>
      <c r="E15" s="152" t="s">
        <v>2515</v>
      </c>
      <c r="F15" s="152" t="s">
        <v>2530</v>
      </c>
      <c r="G15" s="152" t="s">
        <v>2534</v>
      </c>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row>
    <row r="16" spans="1:37" ht="24.75" customHeight="1">
      <c r="A16" s="152" t="s">
        <v>2529</v>
      </c>
      <c r="B16" s="152" t="s">
        <v>1929</v>
      </c>
      <c r="C16" s="152" t="s">
        <v>1784</v>
      </c>
      <c r="D16" s="152" t="s">
        <v>106</v>
      </c>
      <c r="E16" s="152" t="s">
        <v>2515</v>
      </c>
      <c r="F16" s="152" t="s">
        <v>2530</v>
      </c>
      <c r="G16" s="152" t="s">
        <v>2535</v>
      </c>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row>
    <row r="17" spans="1:37" ht="24.75" customHeight="1">
      <c r="A17" s="152" t="s">
        <v>2529</v>
      </c>
      <c r="B17" s="152" t="s">
        <v>1929</v>
      </c>
      <c r="C17" s="152" t="s">
        <v>2536</v>
      </c>
      <c r="D17" s="152" t="s">
        <v>235</v>
      </c>
      <c r="E17" s="152" t="s">
        <v>2515</v>
      </c>
      <c r="F17" s="152" t="s">
        <v>2530</v>
      </c>
      <c r="G17" s="152" t="s">
        <v>2537</v>
      </c>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row>
    <row r="18" spans="1:37">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row>
    <row r="19" spans="1:37">
      <c r="A19" s="233" t="s">
        <v>2538</v>
      </c>
      <c r="B19" s="216"/>
      <c r="C19" s="216"/>
      <c r="D19" s="216"/>
      <c r="E19" s="216"/>
      <c r="F19" s="216"/>
      <c r="G19" s="216"/>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row>
    <row r="20" spans="1:37" ht="22.5" customHeight="1">
      <c r="A20" s="152" t="s">
        <v>2539</v>
      </c>
      <c r="B20" s="152" t="s">
        <v>2540</v>
      </c>
      <c r="C20" s="152" t="s">
        <v>2541</v>
      </c>
      <c r="D20" s="152" t="s">
        <v>2542</v>
      </c>
      <c r="E20" s="152" t="s">
        <v>2543</v>
      </c>
      <c r="F20" s="152" t="s">
        <v>2530</v>
      </c>
      <c r="G20" s="152" t="s">
        <v>2544</v>
      </c>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row>
    <row r="21" spans="1:37" ht="22.5" customHeight="1">
      <c r="A21" s="152" t="s">
        <v>2539</v>
      </c>
      <c r="B21" s="152" t="s">
        <v>2540</v>
      </c>
      <c r="C21" s="152" t="s">
        <v>2545</v>
      </c>
      <c r="D21" s="152" t="s">
        <v>2546</v>
      </c>
      <c r="E21" s="152" t="s">
        <v>2543</v>
      </c>
      <c r="F21" s="152" t="s">
        <v>2530</v>
      </c>
      <c r="G21" s="152" t="s">
        <v>2547</v>
      </c>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row>
    <row r="22" spans="1:37" ht="22.5" customHeight="1">
      <c r="A22" s="152" t="s">
        <v>2539</v>
      </c>
      <c r="B22" s="152" t="s">
        <v>2540</v>
      </c>
      <c r="C22" s="152" t="s">
        <v>2548</v>
      </c>
      <c r="D22" s="152" t="s">
        <v>2549</v>
      </c>
      <c r="E22" s="152" t="s">
        <v>2543</v>
      </c>
      <c r="F22" s="152" t="s">
        <v>2530</v>
      </c>
      <c r="G22" s="152" t="s">
        <v>2550</v>
      </c>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row>
    <row r="23" spans="1:37" ht="22.5" customHeight="1">
      <c r="A23" s="152" t="s">
        <v>2539</v>
      </c>
      <c r="B23" s="152" t="s">
        <v>2540</v>
      </c>
      <c r="C23" s="152" t="s">
        <v>2551</v>
      </c>
      <c r="D23" s="152" t="s">
        <v>2552</v>
      </c>
      <c r="E23" s="152" t="s">
        <v>2543</v>
      </c>
      <c r="F23" s="152" t="s">
        <v>2530</v>
      </c>
      <c r="G23" s="152" t="s">
        <v>2553</v>
      </c>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row>
    <row r="24" spans="1:37" ht="22.5" customHeight="1">
      <c r="A24" s="152" t="s">
        <v>2539</v>
      </c>
      <c r="B24" s="152" t="s">
        <v>2540</v>
      </c>
      <c r="C24" s="152" t="s">
        <v>2554</v>
      </c>
      <c r="D24" s="152" t="s">
        <v>2555</v>
      </c>
      <c r="E24" s="152" t="s">
        <v>2543</v>
      </c>
      <c r="F24" s="152" t="s">
        <v>2530</v>
      </c>
      <c r="G24" s="152" t="s">
        <v>2556</v>
      </c>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row>
    <row r="25" spans="1:37" ht="22.5" customHeight="1">
      <c r="A25" s="152" t="s">
        <v>2539</v>
      </c>
      <c r="B25" s="152" t="s">
        <v>2540</v>
      </c>
      <c r="C25" s="152" t="s">
        <v>2557</v>
      </c>
      <c r="D25" s="152" t="s">
        <v>2558</v>
      </c>
      <c r="E25" s="152" t="s">
        <v>2543</v>
      </c>
      <c r="F25" s="152" t="s">
        <v>2530</v>
      </c>
      <c r="G25" s="152" t="s">
        <v>2559</v>
      </c>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row>
    <row r="26" spans="1:37" ht="22.5" customHeight="1">
      <c r="A26" s="152" t="s">
        <v>2539</v>
      </c>
      <c r="B26" s="152" t="s">
        <v>2540</v>
      </c>
      <c r="C26" s="152" t="s">
        <v>2560</v>
      </c>
      <c r="D26" s="152" t="s">
        <v>2561</v>
      </c>
      <c r="E26" s="152" t="s">
        <v>2543</v>
      </c>
      <c r="F26" s="152" t="s">
        <v>2530</v>
      </c>
      <c r="G26" s="152" t="s">
        <v>2562</v>
      </c>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row>
    <row r="27" spans="1:37">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row>
    <row r="28" spans="1:37">
      <c r="A28" s="233" t="s">
        <v>2563</v>
      </c>
      <c r="B28" s="216"/>
      <c r="C28" s="216"/>
      <c r="D28" s="216"/>
      <c r="E28" s="216"/>
      <c r="F28" s="216"/>
      <c r="G28" s="216"/>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row>
    <row r="29" spans="1:37" ht="18" customHeight="1">
      <c r="A29" s="152" t="s">
        <v>2564</v>
      </c>
      <c r="B29" s="152" t="s">
        <v>2565</v>
      </c>
      <c r="C29" s="152" t="s">
        <v>2566</v>
      </c>
      <c r="D29" s="172" t="s">
        <v>2071</v>
      </c>
      <c r="E29" s="152" t="s">
        <v>2567</v>
      </c>
      <c r="F29" s="152" t="s">
        <v>2530</v>
      </c>
      <c r="G29" s="152" t="s">
        <v>2568</v>
      </c>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row>
    <row r="30" spans="1:37" ht="18" customHeight="1">
      <c r="A30" s="152" t="s">
        <v>2564</v>
      </c>
      <c r="B30" s="152" t="s">
        <v>2565</v>
      </c>
      <c r="C30" s="152" t="s">
        <v>2569</v>
      </c>
      <c r="D30" s="172" t="s">
        <v>205</v>
      </c>
      <c r="E30" s="152" t="s">
        <v>2570</v>
      </c>
      <c r="F30" s="152" t="s">
        <v>2530</v>
      </c>
      <c r="G30" s="152" t="s">
        <v>2571</v>
      </c>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row>
    <row r="31" spans="1:37" ht="18" customHeight="1">
      <c r="A31" s="152" t="s">
        <v>2564</v>
      </c>
      <c r="B31" s="152" t="s">
        <v>2565</v>
      </c>
      <c r="C31" s="152" t="s">
        <v>2572</v>
      </c>
      <c r="D31" s="152" t="s">
        <v>232</v>
      </c>
      <c r="E31" s="152" t="s">
        <v>2573</v>
      </c>
      <c r="F31" s="152" t="s">
        <v>2530</v>
      </c>
      <c r="G31" s="152" t="s">
        <v>2574</v>
      </c>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row>
    <row r="32" spans="1:37" ht="18" customHeight="1">
      <c r="A32" s="152" t="s">
        <v>2564</v>
      </c>
      <c r="B32" s="152" t="s">
        <v>2565</v>
      </c>
      <c r="C32" s="152" t="s">
        <v>2575</v>
      </c>
      <c r="D32" s="152" t="s">
        <v>253</v>
      </c>
      <c r="E32" s="152" t="s">
        <v>2570</v>
      </c>
      <c r="F32" s="152" t="s">
        <v>2530</v>
      </c>
      <c r="G32" s="152" t="s">
        <v>2576</v>
      </c>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row>
    <row r="33" spans="1:37" ht="18" customHeight="1">
      <c r="A33" s="152" t="s">
        <v>2564</v>
      </c>
      <c r="B33" s="152" t="s">
        <v>2565</v>
      </c>
      <c r="C33" s="152" t="s">
        <v>2577</v>
      </c>
      <c r="D33" s="152" t="s">
        <v>304</v>
      </c>
      <c r="E33" s="152" t="s">
        <v>2570</v>
      </c>
      <c r="F33" s="152" t="s">
        <v>2530</v>
      </c>
      <c r="G33" s="152" t="s">
        <v>2578</v>
      </c>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row>
    <row r="34" spans="1:37" ht="18" customHeight="1">
      <c r="A34" s="152" t="s">
        <v>2564</v>
      </c>
      <c r="B34" s="152" t="s">
        <v>2565</v>
      </c>
      <c r="C34" s="152" t="s">
        <v>2579</v>
      </c>
      <c r="D34" s="172" t="s">
        <v>349</v>
      </c>
      <c r="E34" s="152" t="s">
        <v>2570</v>
      </c>
      <c r="F34" s="152" t="s">
        <v>2530</v>
      </c>
      <c r="G34" s="152" t="s">
        <v>2580</v>
      </c>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row>
    <row r="35" spans="1:37" ht="18" customHeight="1">
      <c r="A35" s="152" t="s">
        <v>2564</v>
      </c>
      <c r="B35" s="152" t="s">
        <v>2565</v>
      </c>
      <c r="C35" s="152" t="s">
        <v>2581</v>
      </c>
      <c r="D35" s="152" t="s">
        <v>374</v>
      </c>
      <c r="E35" s="152" t="s">
        <v>2570</v>
      </c>
      <c r="F35" s="152" t="s">
        <v>2530</v>
      </c>
      <c r="G35" s="152" t="s">
        <v>2582</v>
      </c>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row>
    <row r="36" spans="1:37" ht="18" customHeight="1">
      <c r="A36" s="152" t="s">
        <v>2564</v>
      </c>
      <c r="B36" s="152" t="s">
        <v>2565</v>
      </c>
      <c r="C36" s="152" t="s">
        <v>2583</v>
      </c>
      <c r="D36" s="172" t="s">
        <v>513</v>
      </c>
      <c r="E36" s="152" t="s">
        <v>2567</v>
      </c>
      <c r="F36" s="152" t="s">
        <v>2530</v>
      </c>
      <c r="G36" s="152" t="s">
        <v>2584</v>
      </c>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row>
    <row r="37" spans="1:37" ht="18" customHeight="1">
      <c r="A37" s="152" t="s">
        <v>2564</v>
      </c>
      <c r="B37" s="152" t="s">
        <v>2565</v>
      </c>
      <c r="C37" s="152" t="s">
        <v>2585</v>
      </c>
      <c r="D37" s="172" t="s">
        <v>1055</v>
      </c>
      <c r="E37" s="152" t="s">
        <v>2570</v>
      </c>
      <c r="F37" s="152" t="s">
        <v>2530</v>
      </c>
      <c r="G37" s="152" t="s">
        <v>2586</v>
      </c>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row>
    <row r="38" spans="1:37" ht="18" customHeight="1">
      <c r="A38" s="152" t="s">
        <v>2564</v>
      </c>
      <c r="B38" s="152" t="s">
        <v>2565</v>
      </c>
      <c r="C38" s="152" t="s">
        <v>2587</v>
      </c>
      <c r="D38" s="172" t="s">
        <v>712</v>
      </c>
      <c r="E38" s="152" t="s">
        <v>2570</v>
      </c>
      <c r="F38" s="152" t="s">
        <v>2530</v>
      </c>
      <c r="G38" s="152" t="s">
        <v>2588</v>
      </c>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row>
    <row r="39" spans="1:37" ht="18" customHeight="1">
      <c r="A39" s="152" t="s">
        <v>2564</v>
      </c>
      <c r="B39" s="152" t="s">
        <v>2565</v>
      </c>
      <c r="C39" s="152" t="s">
        <v>2589</v>
      </c>
      <c r="D39" s="152" t="s">
        <v>1118</v>
      </c>
      <c r="E39" s="152" t="s">
        <v>2570</v>
      </c>
      <c r="F39" s="152" t="s">
        <v>2530</v>
      </c>
      <c r="G39" s="152" t="s">
        <v>2590</v>
      </c>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row>
    <row r="40" spans="1:37" ht="18" customHeight="1">
      <c r="A40" s="152" t="s">
        <v>2564</v>
      </c>
      <c r="B40" s="152" t="s">
        <v>2565</v>
      </c>
      <c r="C40" s="152" t="s">
        <v>2591</v>
      </c>
      <c r="D40" s="152" t="s">
        <v>2592</v>
      </c>
      <c r="E40" s="152" t="s">
        <v>2570</v>
      </c>
      <c r="F40" s="152" t="s">
        <v>2530</v>
      </c>
      <c r="G40" s="152" t="s">
        <v>2593</v>
      </c>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row>
    <row r="41" spans="1:37" ht="18" customHeight="1">
      <c r="A41" s="152" t="s">
        <v>2564</v>
      </c>
      <c r="B41" s="152" t="s">
        <v>2565</v>
      </c>
      <c r="C41" s="152" t="s">
        <v>2594</v>
      </c>
      <c r="D41" s="152" t="s">
        <v>2595</v>
      </c>
      <c r="E41" s="152" t="s">
        <v>2570</v>
      </c>
      <c r="F41" s="152" t="s">
        <v>2530</v>
      </c>
      <c r="G41" s="152" t="s">
        <v>2596</v>
      </c>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row>
    <row r="42" spans="1:37" ht="18" customHeight="1">
      <c r="A42" s="152" t="s">
        <v>2564</v>
      </c>
      <c r="B42" s="152" t="s">
        <v>2565</v>
      </c>
      <c r="C42" s="152" t="s">
        <v>2597</v>
      </c>
      <c r="D42" s="172" t="s">
        <v>1014</v>
      </c>
      <c r="E42" s="152" t="s">
        <v>2570</v>
      </c>
      <c r="F42" s="152" t="s">
        <v>2530</v>
      </c>
      <c r="G42" s="152" t="s">
        <v>2598</v>
      </c>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row>
    <row r="43" spans="1:37" ht="18" customHeight="1">
      <c r="A43" s="152" t="s">
        <v>2564</v>
      </c>
      <c r="B43" s="152" t="s">
        <v>2565</v>
      </c>
      <c r="C43" s="152" t="s">
        <v>2599</v>
      </c>
      <c r="D43" s="172" t="s">
        <v>1163</v>
      </c>
      <c r="E43" s="152" t="s">
        <v>2570</v>
      </c>
      <c r="F43" s="152" t="s">
        <v>2530</v>
      </c>
      <c r="G43" s="152" t="s">
        <v>2600</v>
      </c>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row>
    <row r="44" spans="1:37" ht="18" customHeight="1">
      <c r="A44" s="152" t="s">
        <v>2564</v>
      </c>
      <c r="B44" s="152" t="s">
        <v>2565</v>
      </c>
      <c r="C44" s="152" t="s">
        <v>2601</v>
      </c>
      <c r="D44" s="152" t="s">
        <v>383</v>
      </c>
      <c r="E44" s="152" t="s">
        <v>2570</v>
      </c>
      <c r="F44" s="152" t="s">
        <v>2530</v>
      </c>
      <c r="G44" s="152" t="s">
        <v>2602</v>
      </c>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row>
    <row r="45" spans="1:37" ht="18" customHeight="1">
      <c r="A45" s="152" t="s">
        <v>2564</v>
      </c>
      <c r="B45" s="152" t="s">
        <v>2565</v>
      </c>
      <c r="C45" s="152" t="s">
        <v>2603</v>
      </c>
      <c r="D45" s="172" t="s">
        <v>758</v>
      </c>
      <c r="E45" s="152" t="s">
        <v>2604</v>
      </c>
      <c r="F45" s="152" t="s">
        <v>2530</v>
      </c>
      <c r="G45" s="152" t="s">
        <v>2605</v>
      </c>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row>
    <row r="46" spans="1:37" ht="18" customHeight="1">
      <c r="A46" s="152" t="s">
        <v>2564</v>
      </c>
      <c r="B46" s="152" t="s">
        <v>2565</v>
      </c>
      <c r="C46" s="152" t="s">
        <v>2606</v>
      </c>
      <c r="D46" s="152" t="s">
        <v>811</v>
      </c>
      <c r="E46" s="152" t="s">
        <v>2607</v>
      </c>
      <c r="F46" s="152" t="s">
        <v>2530</v>
      </c>
      <c r="G46" s="152" t="s">
        <v>2608</v>
      </c>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row>
    <row r="47" spans="1:37" ht="18" customHeight="1">
      <c r="A47" s="152" t="s">
        <v>2564</v>
      </c>
      <c r="B47" s="152" t="s">
        <v>2565</v>
      </c>
      <c r="C47" s="152" t="s">
        <v>2609</v>
      </c>
      <c r="D47" s="152" t="s">
        <v>2610</v>
      </c>
      <c r="E47" s="152" t="s">
        <v>2570</v>
      </c>
      <c r="F47" s="152" t="s">
        <v>2530</v>
      </c>
      <c r="G47" s="152" t="s">
        <v>2611</v>
      </c>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row>
    <row r="48" spans="1:37" ht="18" customHeight="1">
      <c r="A48" s="152" t="s">
        <v>2564</v>
      </c>
      <c r="B48" s="152" t="s">
        <v>2565</v>
      </c>
      <c r="C48" s="152" t="s">
        <v>2612</v>
      </c>
      <c r="D48" s="152" t="s">
        <v>847</v>
      </c>
      <c r="E48" s="152" t="s">
        <v>2604</v>
      </c>
      <c r="F48" s="152" t="s">
        <v>2530</v>
      </c>
      <c r="G48" s="152" t="s">
        <v>2613</v>
      </c>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row>
    <row r="49" spans="1:37" ht="18" customHeight="1">
      <c r="A49" s="152" t="s">
        <v>2564</v>
      </c>
      <c r="B49" s="152" t="s">
        <v>2565</v>
      </c>
      <c r="C49" s="152" t="s">
        <v>2614</v>
      </c>
      <c r="D49" s="172" t="s">
        <v>441</v>
      </c>
      <c r="E49" s="152" t="s">
        <v>204</v>
      </c>
      <c r="F49" s="152" t="s">
        <v>2530</v>
      </c>
      <c r="G49" s="152" t="s">
        <v>2615</v>
      </c>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row>
    <row r="50" spans="1:37" ht="18" customHeight="1">
      <c r="A50" s="152" t="s">
        <v>2564</v>
      </c>
      <c r="B50" s="152" t="s">
        <v>2565</v>
      </c>
      <c r="C50" s="152" t="s">
        <v>2616</v>
      </c>
      <c r="D50" s="152" t="s">
        <v>1280</v>
      </c>
      <c r="E50" s="152" t="s">
        <v>204</v>
      </c>
      <c r="F50" s="152" t="s">
        <v>2530</v>
      </c>
      <c r="G50" s="152" t="s">
        <v>2617</v>
      </c>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row>
    <row r="51" spans="1:37" ht="18" customHeight="1">
      <c r="A51" s="154" t="s">
        <v>2564</v>
      </c>
      <c r="B51" s="154" t="s">
        <v>2565</v>
      </c>
      <c r="C51" s="154" t="s">
        <v>2618</v>
      </c>
      <c r="D51" s="154" t="s">
        <v>1828</v>
      </c>
      <c r="E51" s="154" t="s">
        <v>2570</v>
      </c>
      <c r="F51" s="154"/>
      <c r="G51" s="154"/>
      <c r="H51" s="155"/>
      <c r="I51" s="155"/>
      <c r="J51" s="155"/>
      <c r="K51" s="155"/>
      <c r="L51" s="155"/>
      <c r="M51" s="155"/>
      <c r="N51" s="155"/>
      <c r="O51" s="155"/>
      <c r="P51" s="155"/>
      <c r="Q51" s="155"/>
      <c r="R51" s="155"/>
      <c r="S51" s="155"/>
      <c r="T51" s="155"/>
      <c r="U51" s="155"/>
      <c r="V51" s="155"/>
      <c r="W51" s="155"/>
      <c r="X51" s="155"/>
      <c r="Y51" s="155"/>
      <c r="Z51" s="155"/>
      <c r="AA51" s="155"/>
      <c r="AB51" s="155"/>
      <c r="AC51" s="155"/>
      <c r="AD51" s="155"/>
      <c r="AE51" s="155"/>
      <c r="AF51" s="155"/>
      <c r="AG51" s="155"/>
      <c r="AH51" s="155"/>
      <c r="AI51" s="155"/>
      <c r="AJ51" s="155"/>
      <c r="AK51" s="155"/>
    </row>
    <row r="52" spans="1:37">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row>
    <row r="53" spans="1:37">
      <c r="A53" s="233" t="s">
        <v>2619</v>
      </c>
      <c r="B53" s="216"/>
      <c r="C53" s="216"/>
      <c r="D53" s="216"/>
      <c r="E53" s="216"/>
      <c r="F53" s="216"/>
      <c r="G53" s="216"/>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row>
    <row r="54" spans="1:37" ht="21" customHeight="1">
      <c r="A54" s="152" t="s">
        <v>2620</v>
      </c>
      <c r="B54" s="232" t="s">
        <v>2621</v>
      </c>
      <c r="C54" s="152" t="s">
        <v>2566</v>
      </c>
      <c r="D54" s="152" t="s">
        <v>2622</v>
      </c>
      <c r="E54" s="78"/>
      <c r="F54" s="232" t="s">
        <v>2623</v>
      </c>
      <c r="G54" s="216"/>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row>
    <row r="55" spans="1:37" ht="21" customHeight="1">
      <c r="A55" s="78"/>
      <c r="B55" s="216"/>
      <c r="C55" s="152" t="s">
        <v>2569</v>
      </c>
      <c r="D55" s="172" t="s">
        <v>205</v>
      </c>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row>
    <row r="56" spans="1:37" ht="21" customHeight="1">
      <c r="A56" s="78"/>
      <c r="B56" s="216"/>
      <c r="C56" s="152" t="s">
        <v>2572</v>
      </c>
      <c r="D56" s="152" t="s">
        <v>232</v>
      </c>
      <c r="E56" s="78"/>
      <c r="F56" s="152" t="s">
        <v>2624</v>
      </c>
      <c r="G56" s="78" t="s">
        <v>2625</v>
      </c>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row>
    <row r="57" spans="1:37" ht="21" customHeight="1">
      <c r="A57" s="78"/>
      <c r="B57" s="216"/>
      <c r="C57" s="232" t="s">
        <v>2575</v>
      </c>
      <c r="D57" s="232" t="s">
        <v>253</v>
      </c>
      <c r="E57" s="78"/>
      <c r="F57" s="152" t="s">
        <v>2626</v>
      </c>
      <c r="G57" s="78" t="s">
        <v>2627</v>
      </c>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row>
    <row r="58" spans="1:37" ht="21" customHeight="1">
      <c r="A58" s="78"/>
      <c r="B58" s="216"/>
      <c r="C58" s="216"/>
      <c r="D58" s="216"/>
      <c r="E58" s="78"/>
      <c r="F58" s="152" t="s">
        <v>2628</v>
      </c>
      <c r="G58" s="78" t="s">
        <v>2625</v>
      </c>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row>
    <row r="59" spans="1:37" ht="21" customHeight="1">
      <c r="A59" s="78"/>
      <c r="B59" s="216"/>
      <c r="C59" s="152" t="s">
        <v>2577</v>
      </c>
      <c r="D59" s="172" t="s">
        <v>2629</v>
      </c>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row>
    <row r="60" spans="1:37" ht="21" customHeight="1">
      <c r="A60" s="78"/>
      <c r="B60" s="216"/>
      <c r="C60" s="232" t="s">
        <v>2585</v>
      </c>
      <c r="D60" s="235" t="s">
        <v>1055</v>
      </c>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row>
    <row r="61" spans="1:37" ht="21" customHeight="1">
      <c r="A61" s="78"/>
      <c r="B61" s="216"/>
      <c r="C61" s="216"/>
      <c r="D61" s="216"/>
      <c r="E61" s="78"/>
      <c r="F61" s="152" t="s">
        <v>2630</v>
      </c>
      <c r="G61" s="78" t="s">
        <v>2625</v>
      </c>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row>
    <row r="62" spans="1:37" ht="21" customHeight="1">
      <c r="A62" s="78"/>
      <c r="B62" s="216"/>
      <c r="C62" s="216"/>
      <c r="D62" s="216"/>
      <c r="E62" s="78"/>
      <c r="F62" s="152" t="s">
        <v>2631</v>
      </c>
      <c r="G62" s="78" t="s">
        <v>2625</v>
      </c>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row>
    <row r="63" spans="1:37" ht="21" customHeight="1">
      <c r="A63" s="78"/>
      <c r="B63" s="216"/>
      <c r="C63" s="216"/>
      <c r="D63" s="216"/>
      <c r="E63" s="78"/>
      <c r="F63" s="152" t="s">
        <v>2632</v>
      </c>
      <c r="G63" s="78" t="s">
        <v>2627</v>
      </c>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row>
    <row r="64" spans="1:37">
      <c r="A64" s="152" t="s">
        <v>2620</v>
      </c>
      <c r="B64" s="232" t="s">
        <v>2633</v>
      </c>
      <c r="C64" s="152" t="s">
        <v>2634</v>
      </c>
      <c r="D64" s="172" t="s">
        <v>349</v>
      </c>
      <c r="E64" s="78"/>
      <c r="F64" s="152" t="s">
        <v>2635</v>
      </c>
      <c r="G64" s="78" t="s">
        <v>2627</v>
      </c>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row>
    <row r="65" spans="1:37">
      <c r="A65" s="78"/>
      <c r="B65" s="216"/>
      <c r="C65" s="232" t="s">
        <v>2581</v>
      </c>
      <c r="D65" s="232" t="s">
        <v>374</v>
      </c>
      <c r="E65" s="78"/>
      <c r="F65" s="78" t="s">
        <v>2636</v>
      </c>
      <c r="G65" s="152" t="s">
        <v>2627</v>
      </c>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row>
    <row r="66" spans="1:37">
      <c r="A66" s="78"/>
      <c r="B66" s="216"/>
      <c r="C66" s="216"/>
      <c r="D66" s="216"/>
      <c r="E66" s="78"/>
      <c r="F66" s="152" t="s">
        <v>2637</v>
      </c>
      <c r="G66" s="78" t="s">
        <v>2638</v>
      </c>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row>
    <row r="67" spans="1:37">
      <c r="A67" s="78"/>
      <c r="B67" s="216"/>
      <c r="C67" s="216"/>
      <c r="D67" s="216"/>
      <c r="E67" s="78"/>
      <c r="F67" s="152" t="s">
        <v>2639</v>
      </c>
      <c r="G67" s="78" t="s">
        <v>2640</v>
      </c>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row>
    <row r="68" spans="1:37">
      <c r="A68" s="78"/>
      <c r="B68" s="216"/>
      <c r="C68" s="216"/>
      <c r="D68" s="216"/>
      <c r="E68" s="78"/>
      <c r="F68" s="152" t="s">
        <v>2641</v>
      </c>
      <c r="G68" s="78" t="s">
        <v>2640</v>
      </c>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row>
    <row r="69" spans="1:37">
      <c r="A69" s="78"/>
      <c r="B69" s="216"/>
      <c r="C69" s="216"/>
      <c r="D69" s="216"/>
      <c r="E69" s="78"/>
      <c r="F69" s="152" t="s">
        <v>2642</v>
      </c>
      <c r="G69" s="78" t="s">
        <v>2627</v>
      </c>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row>
    <row r="70" spans="1:37">
      <c r="A70" s="78"/>
      <c r="B70" s="216"/>
      <c r="C70" s="232" t="s">
        <v>2583</v>
      </c>
      <c r="D70" s="235" t="s">
        <v>513</v>
      </c>
      <c r="E70" s="78"/>
      <c r="F70" s="78" t="s">
        <v>2643</v>
      </c>
      <c r="G70" s="78" t="s">
        <v>2640</v>
      </c>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row>
    <row r="71" spans="1:37">
      <c r="A71" s="78"/>
      <c r="B71" s="216"/>
      <c r="C71" s="216"/>
      <c r="D71" s="216"/>
      <c r="E71" s="78"/>
      <c r="F71" s="152" t="s">
        <v>2644</v>
      </c>
      <c r="G71" s="78" t="s">
        <v>2627</v>
      </c>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row>
    <row r="72" spans="1:37">
      <c r="A72" s="78"/>
      <c r="B72" s="216"/>
      <c r="C72" s="216"/>
      <c r="D72" s="216"/>
      <c r="E72" s="78"/>
      <c r="F72" s="152" t="s">
        <v>2645</v>
      </c>
      <c r="G72" s="78" t="s">
        <v>2627</v>
      </c>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row>
    <row r="73" spans="1:37">
      <c r="A73" s="78"/>
      <c r="B73" s="216"/>
      <c r="C73" s="152" t="s">
        <v>2603</v>
      </c>
      <c r="D73" s="172" t="s">
        <v>758</v>
      </c>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row>
    <row r="74" spans="1:37">
      <c r="A74" s="78"/>
      <c r="B74" s="216"/>
      <c r="C74" s="152" t="s">
        <v>2585</v>
      </c>
      <c r="D74" s="172" t="s">
        <v>1055</v>
      </c>
      <c r="E74" s="78"/>
      <c r="F74" s="157" t="s">
        <v>2646</v>
      </c>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row>
    <row r="75" spans="1:37">
      <c r="A75" s="78"/>
      <c r="B75" s="216"/>
      <c r="C75" s="152" t="s">
        <v>2594</v>
      </c>
      <c r="D75" s="152" t="s">
        <v>2595</v>
      </c>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row>
    <row r="76" spans="1:37">
      <c r="A76" s="152" t="s">
        <v>2620</v>
      </c>
      <c r="B76" s="232" t="s">
        <v>2647</v>
      </c>
      <c r="C76" s="232" t="s">
        <v>2587</v>
      </c>
      <c r="D76" s="235" t="s">
        <v>712</v>
      </c>
      <c r="E76" s="78"/>
      <c r="F76" s="152" t="s">
        <v>2648</v>
      </c>
      <c r="G76" s="78" t="s">
        <v>2638</v>
      </c>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row>
    <row r="77" spans="1:37">
      <c r="A77" s="78"/>
      <c r="B77" s="216"/>
      <c r="C77" s="216"/>
      <c r="D77" s="216"/>
      <c r="E77" s="78"/>
      <c r="F77" s="152" t="s">
        <v>2649</v>
      </c>
      <c r="G77" s="78" t="s">
        <v>2625</v>
      </c>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row>
    <row r="78" spans="1:37">
      <c r="A78" s="78"/>
      <c r="B78" s="216"/>
      <c r="C78" s="216"/>
      <c r="D78" s="216"/>
      <c r="E78" s="78"/>
      <c r="F78" s="152" t="s">
        <v>2650</v>
      </c>
      <c r="G78" s="78" t="s">
        <v>2651</v>
      </c>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row>
    <row r="79" spans="1:37">
      <c r="A79" s="78"/>
      <c r="B79" s="216"/>
      <c r="C79" s="152" t="s">
        <v>2589</v>
      </c>
      <c r="D79" s="152" t="s">
        <v>1118</v>
      </c>
      <c r="E79" s="78"/>
      <c r="F79" s="152" t="s">
        <v>2652</v>
      </c>
      <c r="G79" s="78" t="s">
        <v>2638</v>
      </c>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row>
    <row r="80" spans="1:37">
      <c r="A80" s="78"/>
      <c r="B80" s="216"/>
      <c r="C80" s="152" t="s">
        <v>2597</v>
      </c>
      <c r="D80" s="172" t="s">
        <v>1014</v>
      </c>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row>
    <row r="81" spans="1:37">
      <c r="A81" s="78"/>
      <c r="B81" s="216"/>
      <c r="C81" s="152" t="s">
        <v>2606</v>
      </c>
      <c r="D81" s="152" t="s">
        <v>811</v>
      </c>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row>
    <row r="82" spans="1:37">
      <c r="A82" s="78"/>
      <c r="B82" s="216"/>
      <c r="C82" s="152" t="s">
        <v>2599</v>
      </c>
      <c r="D82" s="172" t="s">
        <v>1163</v>
      </c>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row>
    <row r="83" spans="1:37">
      <c r="A83" s="152" t="s">
        <v>2620</v>
      </c>
      <c r="B83" s="232" t="s">
        <v>2653</v>
      </c>
      <c r="C83" s="152" t="s">
        <v>2594</v>
      </c>
      <c r="D83" s="152" t="s">
        <v>2595</v>
      </c>
      <c r="E83" s="78"/>
      <c r="F83" s="152" t="s">
        <v>2654</v>
      </c>
      <c r="G83" s="78" t="s">
        <v>2625</v>
      </c>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row>
    <row r="84" spans="1:37">
      <c r="A84" s="78"/>
      <c r="B84" s="216"/>
      <c r="C84" s="152" t="s">
        <v>2597</v>
      </c>
      <c r="D84" s="172" t="s">
        <v>1014</v>
      </c>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row>
    <row r="85" spans="1:37">
      <c r="A85" s="78"/>
      <c r="B85" s="216"/>
      <c r="C85" s="152" t="s">
        <v>2599</v>
      </c>
      <c r="D85" s="172" t="s">
        <v>1163</v>
      </c>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row>
    <row r="86" spans="1:37">
      <c r="A86" s="78"/>
      <c r="B86" s="216"/>
      <c r="C86" s="232" t="s">
        <v>2601</v>
      </c>
      <c r="D86" s="232" t="s">
        <v>383</v>
      </c>
      <c r="E86" s="78"/>
      <c r="F86" s="152" t="s">
        <v>2655</v>
      </c>
      <c r="G86" s="158" t="s">
        <v>2627</v>
      </c>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row>
    <row r="87" spans="1:37">
      <c r="A87" s="78"/>
      <c r="B87" s="216"/>
      <c r="C87" s="216"/>
      <c r="D87" s="216"/>
      <c r="E87" s="78"/>
      <c r="F87" s="152" t="s">
        <v>2656</v>
      </c>
      <c r="G87" s="78" t="s">
        <v>2625</v>
      </c>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row>
    <row r="88" spans="1:37">
      <c r="A88" s="78"/>
      <c r="B88" s="216"/>
      <c r="C88" s="232" t="s">
        <v>2609</v>
      </c>
      <c r="D88" s="232" t="s">
        <v>2610</v>
      </c>
      <c r="E88" s="78"/>
      <c r="F88" s="152" t="s">
        <v>2657</v>
      </c>
      <c r="G88" s="78" t="s">
        <v>2625</v>
      </c>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row>
    <row r="89" spans="1:37">
      <c r="A89" s="78"/>
      <c r="B89" s="216"/>
      <c r="C89" s="216"/>
      <c r="D89" s="216"/>
      <c r="E89" s="78"/>
      <c r="F89" s="152" t="s">
        <v>2658</v>
      </c>
      <c r="G89" s="78" t="s">
        <v>2625</v>
      </c>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row>
    <row r="90" spans="1:37">
      <c r="A90" s="78"/>
      <c r="B90" s="232" t="s">
        <v>2659</v>
      </c>
      <c r="C90" s="152" t="s">
        <v>2591</v>
      </c>
      <c r="D90" s="152" t="s">
        <v>2592</v>
      </c>
      <c r="E90" s="78"/>
      <c r="F90" s="152" t="s">
        <v>2660</v>
      </c>
      <c r="G90" s="78" t="s">
        <v>2651</v>
      </c>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row>
    <row r="91" spans="1:37">
      <c r="A91" s="78"/>
      <c r="B91" s="216"/>
      <c r="C91" s="152" t="s">
        <v>2614</v>
      </c>
      <c r="D91" s="172" t="s">
        <v>441</v>
      </c>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row>
    <row r="92" spans="1:37">
      <c r="A92" s="78"/>
      <c r="B92" s="232" t="s">
        <v>2558</v>
      </c>
      <c r="C92" s="152" t="s">
        <v>2616</v>
      </c>
      <c r="D92" s="152" t="s">
        <v>1280</v>
      </c>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row>
    <row r="93" spans="1:37">
      <c r="A93" s="78"/>
      <c r="B93" s="216"/>
      <c r="C93" s="152" t="s">
        <v>2612</v>
      </c>
      <c r="D93" s="152" t="s">
        <v>847</v>
      </c>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row>
    <row r="94" spans="1:37">
      <c r="A94" s="78"/>
      <c r="B94" s="216"/>
      <c r="C94" s="152" t="s">
        <v>2606</v>
      </c>
      <c r="D94" s="152" t="s">
        <v>811</v>
      </c>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row>
    <row r="95" spans="1:37">
      <c r="A95" s="78"/>
      <c r="B95" s="216"/>
      <c r="C95" s="152" t="s">
        <v>2614</v>
      </c>
      <c r="D95" s="172" t="s">
        <v>441</v>
      </c>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row>
    <row r="96" spans="1:37">
      <c r="A96" s="78"/>
      <c r="B96" s="232" t="s">
        <v>2561</v>
      </c>
      <c r="C96" s="152" t="s">
        <v>2661</v>
      </c>
      <c r="D96" s="152" t="s">
        <v>847</v>
      </c>
      <c r="E96" s="78"/>
      <c r="F96" s="152" t="s">
        <v>2662</v>
      </c>
      <c r="G96" s="152" t="s">
        <v>2625</v>
      </c>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row>
    <row r="97" spans="1:37">
      <c r="A97" s="78"/>
      <c r="B97" s="216"/>
      <c r="C97" s="152" t="s">
        <v>2606</v>
      </c>
      <c r="D97" s="152" t="s">
        <v>811</v>
      </c>
      <c r="E97" s="78"/>
      <c r="F97" s="152" t="s">
        <v>2663</v>
      </c>
      <c r="G97" s="152" t="s">
        <v>2625</v>
      </c>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row>
    <row r="98" spans="1:37">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row>
    <row r="99" spans="1:37">
      <c r="A99" s="233" t="s">
        <v>2664</v>
      </c>
      <c r="B99" s="216"/>
      <c r="C99" s="216"/>
      <c r="D99" s="216"/>
      <c r="E99" s="216"/>
      <c r="F99" s="216"/>
      <c r="G99" s="216"/>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row>
    <row r="100" spans="1:37">
      <c r="A100" s="152" t="s">
        <v>2665</v>
      </c>
      <c r="B100" s="78"/>
      <c r="C100" s="78"/>
      <c r="D100" s="152" t="s">
        <v>2666</v>
      </c>
      <c r="E100" s="78"/>
      <c r="F100" s="78"/>
      <c r="G100" s="152" t="s">
        <v>2667</v>
      </c>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row>
    <row r="101" spans="1:37">
      <c r="A101" s="152" t="s">
        <v>2665</v>
      </c>
      <c r="B101" s="78"/>
      <c r="C101" s="78"/>
      <c r="D101" s="152" t="s">
        <v>2668</v>
      </c>
      <c r="E101" s="78"/>
      <c r="F101" s="78"/>
      <c r="G101" s="152" t="s">
        <v>2669</v>
      </c>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row>
    <row r="102" spans="1:37">
      <c r="A102" s="152" t="s">
        <v>2665</v>
      </c>
      <c r="B102" s="78"/>
      <c r="C102" s="78"/>
      <c r="D102" s="78" t="s">
        <v>2670</v>
      </c>
      <c r="E102" s="78"/>
      <c r="F102" s="78"/>
      <c r="G102" s="152" t="s">
        <v>2671</v>
      </c>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row>
    <row r="103" spans="1:37">
      <c r="A103" s="152" t="s">
        <v>2665</v>
      </c>
      <c r="B103" s="78"/>
      <c r="C103" s="78"/>
      <c r="D103" s="152" t="s">
        <v>2672</v>
      </c>
      <c r="E103" s="78"/>
      <c r="F103" s="78"/>
      <c r="G103" s="78" t="s">
        <v>2673</v>
      </c>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row>
    <row r="104" spans="1:37">
      <c r="A104" s="152" t="s">
        <v>2665</v>
      </c>
      <c r="B104" s="78"/>
      <c r="C104" s="78"/>
      <c r="D104" s="152" t="s">
        <v>2674</v>
      </c>
      <c r="E104" s="78"/>
      <c r="F104" s="78"/>
      <c r="G104" s="78" t="s">
        <v>2675</v>
      </c>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row>
    <row r="105" spans="1:37">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row>
    <row r="106" spans="1:37">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row>
    <row r="107" spans="1:37">
      <c r="A107" s="233" t="s">
        <v>2676</v>
      </c>
      <c r="B107" s="216"/>
      <c r="C107" s="216"/>
      <c r="D107" s="216"/>
      <c r="E107" s="216"/>
      <c r="F107" s="216"/>
      <c r="G107" s="216"/>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row>
    <row r="108" spans="1:37">
      <c r="A108" s="159" t="s">
        <v>2677</v>
      </c>
      <c r="B108" s="234" t="s">
        <v>2678</v>
      </c>
      <c r="C108" s="159" t="s">
        <v>2679</v>
      </c>
      <c r="D108" s="172" t="s">
        <v>2071</v>
      </c>
      <c r="E108" s="159" t="s">
        <v>2070</v>
      </c>
      <c r="F108" s="159" t="s">
        <v>2530</v>
      </c>
      <c r="G108" s="160"/>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row>
    <row r="109" spans="1:37">
      <c r="A109" s="159" t="s">
        <v>2677</v>
      </c>
      <c r="B109" s="216"/>
      <c r="C109" s="159" t="s">
        <v>2679</v>
      </c>
      <c r="D109" s="172" t="s">
        <v>513</v>
      </c>
      <c r="E109" s="159" t="s">
        <v>2070</v>
      </c>
      <c r="F109" s="159" t="s">
        <v>2530</v>
      </c>
      <c r="G109" s="160"/>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row>
    <row r="110" spans="1:37">
      <c r="A110" s="159" t="s">
        <v>2677</v>
      </c>
      <c r="B110" s="216"/>
      <c r="C110" s="159" t="s">
        <v>2679</v>
      </c>
      <c r="D110" s="159" t="s">
        <v>232</v>
      </c>
      <c r="E110" s="159" t="s">
        <v>2070</v>
      </c>
      <c r="F110" s="159" t="s">
        <v>2530</v>
      </c>
      <c r="G110" s="160"/>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row>
    <row r="111" spans="1:37">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row>
    <row r="112" spans="1:37">
      <c r="A112" s="161" t="s">
        <v>2677</v>
      </c>
      <c r="B112" s="236" t="s">
        <v>2680</v>
      </c>
      <c r="C112" s="161" t="s">
        <v>2681</v>
      </c>
      <c r="D112" s="172" t="s">
        <v>205</v>
      </c>
      <c r="E112" s="161" t="s">
        <v>204</v>
      </c>
      <c r="F112" s="162"/>
      <c r="G112" s="162"/>
      <c r="H112" s="152" t="s">
        <v>2682</v>
      </c>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c r="AI112" s="152"/>
      <c r="AJ112" s="152"/>
      <c r="AK112" s="152"/>
    </row>
    <row r="113" spans="1:37">
      <c r="A113" s="161" t="s">
        <v>2677</v>
      </c>
      <c r="B113" s="216"/>
      <c r="C113" s="161" t="s">
        <v>2681</v>
      </c>
      <c r="D113" s="161" t="s">
        <v>232</v>
      </c>
      <c r="E113" s="161" t="s">
        <v>204</v>
      </c>
      <c r="F113" s="162"/>
      <c r="G113" s="162"/>
      <c r="H113" s="152" t="s">
        <v>232</v>
      </c>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c r="AE113" s="152"/>
      <c r="AF113" s="152"/>
      <c r="AG113" s="152"/>
      <c r="AH113" s="152"/>
      <c r="AI113" s="152"/>
      <c r="AJ113" s="152"/>
      <c r="AK113" s="152"/>
    </row>
    <row r="114" spans="1:37">
      <c r="A114" s="161" t="s">
        <v>2677</v>
      </c>
      <c r="B114" s="216"/>
      <c r="C114" s="161" t="s">
        <v>2681</v>
      </c>
      <c r="D114" s="161" t="s">
        <v>253</v>
      </c>
      <c r="E114" s="161" t="s">
        <v>204</v>
      </c>
      <c r="F114" s="162"/>
      <c r="G114" s="162"/>
      <c r="H114" s="152" t="s">
        <v>253</v>
      </c>
      <c r="I114" s="152"/>
      <c r="J114" s="152"/>
      <c r="K114" s="152"/>
      <c r="L114" s="152"/>
      <c r="M114" s="152"/>
      <c r="N114" s="152"/>
      <c r="O114" s="152"/>
      <c r="P114" s="152"/>
      <c r="Q114" s="152"/>
      <c r="R114" s="152"/>
      <c r="S114" s="152"/>
      <c r="T114" s="152"/>
      <c r="U114" s="152"/>
      <c r="V114" s="152"/>
      <c r="W114" s="152"/>
      <c r="X114" s="152"/>
      <c r="Y114" s="152"/>
      <c r="Z114" s="152"/>
      <c r="AA114" s="152"/>
      <c r="AB114" s="152"/>
      <c r="AC114" s="152"/>
      <c r="AD114" s="152"/>
      <c r="AE114" s="152"/>
      <c r="AF114" s="152"/>
      <c r="AG114" s="152"/>
      <c r="AH114" s="152"/>
      <c r="AI114" s="152"/>
      <c r="AJ114" s="152"/>
      <c r="AK114" s="152"/>
    </row>
    <row r="115" spans="1:37">
      <c r="A115" s="161" t="s">
        <v>2677</v>
      </c>
      <c r="B115" s="216"/>
      <c r="C115" s="161" t="s">
        <v>2681</v>
      </c>
      <c r="D115" s="161" t="s">
        <v>304</v>
      </c>
      <c r="E115" s="161" t="s">
        <v>204</v>
      </c>
      <c r="F115" s="162"/>
      <c r="G115" s="162"/>
      <c r="H115" s="152" t="s">
        <v>2683</v>
      </c>
      <c r="I115" s="152"/>
      <c r="J115" s="152"/>
      <c r="K115" s="152"/>
      <c r="L115" s="152"/>
      <c r="M115" s="152"/>
      <c r="N115" s="152"/>
      <c r="O115" s="152"/>
      <c r="P115" s="152"/>
      <c r="Q115" s="152"/>
      <c r="R115" s="152"/>
      <c r="S115" s="152"/>
      <c r="T115" s="152"/>
      <c r="U115" s="152"/>
      <c r="V115" s="152"/>
      <c r="W115" s="152"/>
      <c r="X115" s="152"/>
      <c r="Y115" s="152"/>
      <c r="Z115" s="152"/>
      <c r="AA115" s="152"/>
      <c r="AB115" s="152"/>
      <c r="AC115" s="152"/>
      <c r="AD115" s="152"/>
      <c r="AE115" s="152"/>
      <c r="AF115" s="152"/>
      <c r="AG115" s="152"/>
      <c r="AH115" s="152"/>
      <c r="AI115" s="152"/>
      <c r="AJ115" s="152"/>
      <c r="AK115" s="152"/>
    </row>
    <row r="116" spans="1:37">
      <c r="A116" s="161" t="s">
        <v>2677</v>
      </c>
      <c r="B116" s="216"/>
      <c r="C116" s="161" t="s">
        <v>2681</v>
      </c>
      <c r="D116" s="172" t="s">
        <v>349</v>
      </c>
      <c r="E116" s="161" t="s">
        <v>204</v>
      </c>
      <c r="F116" s="162"/>
      <c r="G116" s="162"/>
      <c r="H116" s="152" t="s">
        <v>2684</v>
      </c>
      <c r="I116" s="152"/>
      <c r="J116" s="152"/>
      <c r="K116" s="152"/>
      <c r="L116" s="152"/>
      <c r="M116" s="152"/>
      <c r="N116" s="152"/>
      <c r="O116" s="152"/>
      <c r="P116" s="152"/>
      <c r="Q116" s="152"/>
      <c r="R116" s="152"/>
      <c r="S116" s="152"/>
      <c r="T116" s="152"/>
      <c r="U116" s="152"/>
      <c r="V116" s="152"/>
      <c r="W116" s="152"/>
      <c r="X116" s="152"/>
      <c r="Y116" s="152"/>
      <c r="Z116" s="152"/>
      <c r="AA116" s="152"/>
      <c r="AB116" s="152"/>
      <c r="AC116" s="152"/>
      <c r="AD116" s="152"/>
      <c r="AE116" s="152"/>
      <c r="AF116" s="152"/>
      <c r="AG116" s="152"/>
      <c r="AH116" s="152"/>
      <c r="AI116" s="152"/>
      <c r="AJ116" s="152"/>
      <c r="AK116" s="152"/>
    </row>
    <row r="117" spans="1:37">
      <c r="A117" s="161" t="s">
        <v>2677</v>
      </c>
      <c r="B117" s="216"/>
      <c r="C117" s="161" t="s">
        <v>2681</v>
      </c>
      <c r="D117" s="161" t="s">
        <v>374</v>
      </c>
      <c r="E117" s="161" t="s">
        <v>204</v>
      </c>
      <c r="F117" s="162"/>
      <c r="G117" s="162"/>
      <c r="H117" s="152" t="s">
        <v>374</v>
      </c>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c r="AE117" s="152"/>
      <c r="AF117" s="152"/>
      <c r="AG117" s="152"/>
      <c r="AH117" s="152"/>
      <c r="AI117" s="152"/>
      <c r="AJ117" s="152"/>
      <c r="AK117" s="152"/>
    </row>
    <row r="118" spans="1:37">
      <c r="A118" s="161" t="s">
        <v>2677</v>
      </c>
      <c r="B118" s="216"/>
      <c r="C118" s="161" t="s">
        <v>2681</v>
      </c>
      <c r="D118" s="172" t="s">
        <v>513</v>
      </c>
      <c r="E118" s="161" t="s">
        <v>204</v>
      </c>
      <c r="F118" s="162"/>
      <c r="G118" s="162"/>
      <c r="H118" s="152" t="s">
        <v>2685</v>
      </c>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c r="AH118" s="152"/>
      <c r="AI118" s="152"/>
      <c r="AJ118" s="152"/>
      <c r="AK118" s="152"/>
    </row>
    <row r="119" spans="1:37">
      <c r="A119" s="161" t="s">
        <v>2677</v>
      </c>
      <c r="B119" s="216"/>
      <c r="C119" s="161" t="s">
        <v>2681</v>
      </c>
      <c r="D119" s="172" t="s">
        <v>1055</v>
      </c>
      <c r="E119" s="161" t="s">
        <v>204</v>
      </c>
      <c r="F119" s="162"/>
      <c r="G119" s="162"/>
      <c r="H119" s="152" t="s">
        <v>2686</v>
      </c>
      <c r="I119" s="152"/>
      <c r="J119" s="152"/>
      <c r="K119" s="152"/>
      <c r="L119" s="152"/>
      <c r="M119" s="152"/>
      <c r="N119" s="152"/>
      <c r="O119" s="152"/>
      <c r="P119" s="152"/>
      <c r="Q119" s="152"/>
      <c r="R119" s="152"/>
      <c r="S119" s="152"/>
      <c r="T119" s="152"/>
      <c r="U119" s="152"/>
      <c r="V119" s="152"/>
      <c r="W119" s="152"/>
      <c r="X119" s="152"/>
      <c r="Y119" s="152"/>
      <c r="Z119" s="152"/>
      <c r="AA119" s="152"/>
      <c r="AB119" s="152"/>
      <c r="AC119" s="152"/>
      <c r="AD119" s="152"/>
      <c r="AE119" s="152"/>
      <c r="AF119" s="152"/>
      <c r="AG119" s="152"/>
      <c r="AH119" s="152"/>
      <c r="AI119" s="152"/>
      <c r="AJ119" s="152"/>
      <c r="AK119" s="152"/>
    </row>
    <row r="120" spans="1:37">
      <c r="A120" s="161" t="s">
        <v>2677</v>
      </c>
      <c r="B120" s="216"/>
      <c r="C120" s="161" t="s">
        <v>2681</v>
      </c>
      <c r="D120" s="172" t="s">
        <v>712</v>
      </c>
      <c r="E120" s="161" t="s">
        <v>204</v>
      </c>
      <c r="F120" s="162"/>
      <c r="G120" s="162"/>
      <c r="H120" s="152" t="s">
        <v>2687</v>
      </c>
      <c r="I120" s="152"/>
      <c r="J120" s="152"/>
      <c r="K120" s="152"/>
      <c r="L120" s="152"/>
      <c r="M120" s="152"/>
      <c r="N120" s="152"/>
      <c r="O120" s="152"/>
      <c r="P120" s="152"/>
      <c r="Q120" s="152"/>
      <c r="R120" s="152"/>
      <c r="S120" s="152"/>
      <c r="T120" s="152"/>
      <c r="U120" s="152"/>
      <c r="V120" s="152"/>
      <c r="W120" s="152"/>
      <c r="X120" s="152"/>
      <c r="Y120" s="152"/>
      <c r="Z120" s="152"/>
      <c r="AA120" s="152"/>
      <c r="AB120" s="152"/>
      <c r="AC120" s="152"/>
      <c r="AD120" s="152"/>
      <c r="AE120" s="152"/>
      <c r="AF120" s="152"/>
      <c r="AG120" s="152"/>
      <c r="AH120" s="152"/>
      <c r="AI120" s="152"/>
      <c r="AJ120" s="152"/>
      <c r="AK120" s="152"/>
    </row>
    <row r="121" spans="1:37">
      <c r="A121" s="161" t="s">
        <v>2677</v>
      </c>
      <c r="B121" s="216"/>
      <c r="C121" s="161" t="s">
        <v>2681</v>
      </c>
      <c r="D121" s="161" t="s">
        <v>1118</v>
      </c>
      <c r="E121" s="161" t="s">
        <v>204</v>
      </c>
      <c r="F121" s="162"/>
      <c r="G121" s="162"/>
      <c r="H121" s="78" t="s">
        <v>2688</v>
      </c>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row>
    <row r="122" spans="1:37">
      <c r="A122" s="161" t="s">
        <v>2677</v>
      </c>
      <c r="B122" s="216"/>
      <c r="C122" s="161" t="s">
        <v>2681</v>
      </c>
      <c r="D122" s="161" t="s">
        <v>2592</v>
      </c>
      <c r="E122" s="161" t="s">
        <v>204</v>
      </c>
      <c r="F122" s="162"/>
      <c r="G122" s="162"/>
      <c r="H122" s="152" t="s">
        <v>2689</v>
      </c>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c r="AK122" s="152"/>
    </row>
    <row r="123" spans="1:37">
      <c r="A123" s="161" t="s">
        <v>2677</v>
      </c>
      <c r="B123" s="216"/>
      <c r="C123" s="161" t="s">
        <v>2681</v>
      </c>
      <c r="D123" s="161" t="s">
        <v>2595</v>
      </c>
      <c r="E123" s="161" t="s">
        <v>204</v>
      </c>
      <c r="F123" s="162"/>
      <c r="G123" s="162"/>
      <c r="H123" s="152" t="s">
        <v>2595</v>
      </c>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c r="AH123" s="152"/>
      <c r="AI123" s="152"/>
      <c r="AJ123" s="152"/>
      <c r="AK123" s="152"/>
    </row>
    <row r="124" spans="1:37">
      <c r="A124" s="161" t="s">
        <v>2677</v>
      </c>
      <c r="B124" s="216"/>
      <c r="C124" s="161" t="s">
        <v>2681</v>
      </c>
      <c r="D124" s="172" t="s">
        <v>1014</v>
      </c>
      <c r="E124" s="161" t="s">
        <v>204</v>
      </c>
      <c r="F124" s="162"/>
      <c r="G124" s="162"/>
      <c r="H124" s="152" t="s">
        <v>2690</v>
      </c>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c r="AH124" s="152"/>
      <c r="AI124" s="152"/>
      <c r="AJ124" s="152"/>
      <c r="AK124" s="152"/>
    </row>
    <row r="125" spans="1:37">
      <c r="A125" s="161" t="s">
        <v>2677</v>
      </c>
      <c r="B125" s="216"/>
      <c r="C125" s="161" t="s">
        <v>2681</v>
      </c>
      <c r="D125" s="172" t="s">
        <v>1163</v>
      </c>
      <c r="E125" s="161" t="s">
        <v>204</v>
      </c>
      <c r="F125" s="162"/>
      <c r="G125" s="162"/>
      <c r="H125" s="152" t="s">
        <v>2691</v>
      </c>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row>
    <row r="126" spans="1:37">
      <c r="A126" s="161" t="s">
        <v>2677</v>
      </c>
      <c r="B126" s="216"/>
      <c r="C126" s="161" t="s">
        <v>2681</v>
      </c>
      <c r="D126" s="161" t="s">
        <v>383</v>
      </c>
      <c r="E126" s="161" t="s">
        <v>204</v>
      </c>
      <c r="F126" s="162"/>
      <c r="G126" s="162"/>
      <c r="H126" s="152" t="s">
        <v>383</v>
      </c>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152"/>
      <c r="AH126" s="152"/>
      <c r="AI126" s="152"/>
      <c r="AJ126" s="152"/>
      <c r="AK126" s="152"/>
    </row>
    <row r="127" spans="1:37">
      <c r="A127" s="161" t="s">
        <v>2677</v>
      </c>
      <c r="B127" s="216"/>
      <c r="C127" s="161" t="s">
        <v>2681</v>
      </c>
      <c r="D127" s="172" t="s">
        <v>758</v>
      </c>
      <c r="E127" s="161" t="s">
        <v>204</v>
      </c>
      <c r="F127" s="162"/>
      <c r="G127" s="162"/>
      <c r="H127" s="152" t="s">
        <v>2692</v>
      </c>
      <c r="I127" s="152"/>
      <c r="J127" s="152"/>
      <c r="K127" s="152"/>
      <c r="L127" s="152"/>
      <c r="M127" s="152"/>
      <c r="N127" s="152"/>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c r="AK127" s="152"/>
    </row>
    <row r="128" spans="1:37">
      <c r="A128" s="161" t="s">
        <v>2677</v>
      </c>
      <c r="B128" s="216"/>
      <c r="C128" s="161" t="s">
        <v>2681</v>
      </c>
      <c r="D128" s="161" t="s">
        <v>811</v>
      </c>
      <c r="E128" s="161" t="s">
        <v>204</v>
      </c>
      <c r="F128" s="162"/>
      <c r="G128" s="162"/>
      <c r="H128" s="152" t="s">
        <v>811</v>
      </c>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152"/>
      <c r="AH128" s="152"/>
      <c r="AI128" s="152"/>
      <c r="AJ128" s="152"/>
      <c r="AK128" s="152"/>
    </row>
    <row r="129" spans="1:37">
      <c r="A129" s="161" t="s">
        <v>2677</v>
      </c>
      <c r="B129" s="216"/>
      <c r="C129" s="161" t="s">
        <v>2681</v>
      </c>
      <c r="D129" s="161" t="s">
        <v>2610</v>
      </c>
      <c r="E129" s="161" t="s">
        <v>204</v>
      </c>
      <c r="F129" s="162"/>
      <c r="G129" s="162"/>
      <c r="H129" s="152" t="s">
        <v>2693</v>
      </c>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c r="AE129" s="152"/>
      <c r="AF129" s="152"/>
      <c r="AG129" s="152"/>
      <c r="AH129" s="152"/>
      <c r="AI129" s="152"/>
      <c r="AJ129" s="152"/>
      <c r="AK129" s="152"/>
    </row>
    <row r="130" spans="1:37">
      <c r="A130" s="161" t="s">
        <v>2677</v>
      </c>
      <c r="B130" s="216"/>
      <c r="C130" s="161" t="s">
        <v>2681</v>
      </c>
      <c r="D130" s="161" t="s">
        <v>847</v>
      </c>
      <c r="E130" s="161" t="s">
        <v>204</v>
      </c>
      <c r="F130" s="162"/>
      <c r="G130" s="162"/>
      <c r="H130" s="152" t="s">
        <v>2694</v>
      </c>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2"/>
      <c r="AE130" s="152"/>
      <c r="AF130" s="152"/>
      <c r="AG130" s="152"/>
      <c r="AH130" s="152"/>
      <c r="AI130" s="152"/>
      <c r="AJ130" s="152"/>
      <c r="AK130" s="152"/>
    </row>
    <row r="131" spans="1:37">
      <c r="A131" s="161" t="s">
        <v>2677</v>
      </c>
      <c r="B131" s="216"/>
      <c r="C131" s="161" t="s">
        <v>2681</v>
      </c>
      <c r="D131" s="172" t="s">
        <v>441</v>
      </c>
      <c r="E131" s="161" t="s">
        <v>204</v>
      </c>
      <c r="F131" s="162"/>
      <c r="G131" s="162"/>
      <c r="H131" s="152" t="s">
        <v>2695</v>
      </c>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152"/>
      <c r="AH131" s="152"/>
      <c r="AI131" s="152"/>
      <c r="AJ131" s="152"/>
      <c r="AK131" s="152"/>
    </row>
    <row r="132" spans="1:37">
      <c r="A132" s="161" t="s">
        <v>2677</v>
      </c>
      <c r="B132" s="216"/>
      <c r="C132" s="161" t="s">
        <v>2681</v>
      </c>
      <c r="D132" s="161" t="s">
        <v>1280</v>
      </c>
      <c r="E132" s="161" t="s">
        <v>204</v>
      </c>
      <c r="F132" s="162"/>
      <c r="G132" s="162"/>
      <c r="H132" s="152" t="s">
        <v>2696</v>
      </c>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152"/>
      <c r="AH132" s="152"/>
      <c r="AI132" s="152"/>
      <c r="AJ132" s="152"/>
      <c r="AK132" s="152"/>
    </row>
    <row r="133" spans="1:37">
      <c r="A133" s="154" t="s">
        <v>2677</v>
      </c>
      <c r="B133" s="154"/>
      <c r="C133" s="154" t="s">
        <v>2681</v>
      </c>
      <c r="D133" s="154" t="s">
        <v>1828</v>
      </c>
      <c r="E133" s="154" t="s">
        <v>204</v>
      </c>
      <c r="F133" s="155"/>
      <c r="G133" s="155"/>
      <c r="H133" s="154"/>
      <c r="I133" s="154"/>
      <c r="J133" s="154"/>
      <c r="K133" s="154"/>
      <c r="L133" s="154"/>
      <c r="M133" s="154"/>
      <c r="N133" s="154"/>
      <c r="O133" s="154"/>
      <c r="P133" s="154"/>
      <c r="Q133" s="154"/>
      <c r="R133" s="154"/>
      <c r="S133" s="154"/>
      <c r="T133" s="154"/>
      <c r="U133" s="154"/>
      <c r="V133" s="154"/>
      <c r="W133" s="154"/>
      <c r="X133" s="154"/>
      <c r="Y133" s="154"/>
      <c r="Z133" s="154"/>
      <c r="AA133" s="154"/>
      <c r="AB133" s="154"/>
      <c r="AC133" s="154"/>
      <c r="AD133" s="154"/>
      <c r="AE133" s="154"/>
      <c r="AF133" s="154"/>
      <c r="AG133" s="154"/>
      <c r="AH133" s="154"/>
      <c r="AI133" s="154"/>
      <c r="AJ133" s="154"/>
      <c r="AK133" s="154"/>
    </row>
    <row r="134" spans="1:37">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row>
    <row r="135" spans="1:37">
      <c r="A135" s="163" t="s">
        <v>2677</v>
      </c>
      <c r="B135" s="237" t="s">
        <v>2697</v>
      </c>
      <c r="C135" s="163" t="s">
        <v>2698</v>
      </c>
      <c r="D135" s="172" t="s">
        <v>2071</v>
      </c>
      <c r="E135" s="163" t="s">
        <v>2006</v>
      </c>
      <c r="F135" s="164"/>
      <c r="G135" s="164"/>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row>
    <row r="136" spans="1:37">
      <c r="A136" s="163" t="s">
        <v>2677</v>
      </c>
      <c r="B136" s="216"/>
      <c r="C136" s="163" t="s">
        <v>2698</v>
      </c>
      <c r="D136" s="163" t="s">
        <v>232</v>
      </c>
      <c r="E136" s="163" t="s">
        <v>2006</v>
      </c>
      <c r="F136" s="164"/>
      <c r="G136" s="164"/>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row>
    <row r="137" spans="1:37">
      <c r="A137" s="163" t="s">
        <v>2677</v>
      </c>
      <c r="B137" s="216"/>
      <c r="C137" s="163" t="s">
        <v>2698</v>
      </c>
      <c r="D137" s="163" t="s">
        <v>253</v>
      </c>
      <c r="E137" s="163" t="s">
        <v>2006</v>
      </c>
      <c r="F137" s="164"/>
      <c r="G137" s="164"/>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row>
    <row r="138" spans="1:37">
      <c r="A138" s="163" t="s">
        <v>2677</v>
      </c>
      <c r="B138" s="216"/>
      <c r="C138" s="163" t="s">
        <v>2698</v>
      </c>
      <c r="D138" s="163" t="s">
        <v>374</v>
      </c>
      <c r="E138" s="163" t="s">
        <v>2006</v>
      </c>
      <c r="F138" s="164"/>
      <c r="G138" s="164"/>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row>
    <row r="139" spans="1:37">
      <c r="A139" s="163" t="s">
        <v>2677</v>
      </c>
      <c r="B139" s="216"/>
      <c r="C139" s="163" t="s">
        <v>2698</v>
      </c>
      <c r="D139" s="172" t="s">
        <v>513</v>
      </c>
      <c r="E139" s="163" t="s">
        <v>2006</v>
      </c>
      <c r="F139" s="164"/>
      <c r="G139" s="164"/>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row>
    <row r="140" spans="1:37">
      <c r="A140" s="163" t="s">
        <v>2677</v>
      </c>
      <c r="B140" s="216"/>
      <c r="C140" s="163" t="s">
        <v>2698</v>
      </c>
      <c r="D140" s="172" t="s">
        <v>1055</v>
      </c>
      <c r="E140" s="163" t="s">
        <v>2006</v>
      </c>
      <c r="F140" s="164"/>
      <c r="G140" s="164"/>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row>
    <row r="141" spans="1:37">
      <c r="A141" s="163" t="s">
        <v>2677</v>
      </c>
      <c r="B141" s="216"/>
      <c r="C141" s="163" t="s">
        <v>2698</v>
      </c>
      <c r="D141" s="172" t="s">
        <v>712</v>
      </c>
      <c r="E141" s="163" t="s">
        <v>2006</v>
      </c>
      <c r="F141" s="164"/>
      <c r="G141" s="164"/>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row>
    <row r="142" spans="1:37">
      <c r="A142" s="163" t="s">
        <v>2677</v>
      </c>
      <c r="B142" s="216"/>
      <c r="C142" s="163" t="s">
        <v>2698</v>
      </c>
      <c r="D142" s="163" t="s">
        <v>1118</v>
      </c>
      <c r="E142" s="163" t="s">
        <v>2006</v>
      </c>
      <c r="F142" s="164"/>
      <c r="G142" s="164"/>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row>
    <row r="143" spans="1:37">
      <c r="A143" s="163" t="s">
        <v>2677</v>
      </c>
      <c r="B143" s="216"/>
      <c r="C143" s="163" t="s">
        <v>2698</v>
      </c>
      <c r="D143" s="163" t="s">
        <v>2592</v>
      </c>
      <c r="E143" s="163" t="s">
        <v>2006</v>
      </c>
      <c r="F143" s="164"/>
      <c r="G143" s="164"/>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row>
    <row r="144" spans="1:37">
      <c r="A144" s="163" t="s">
        <v>2677</v>
      </c>
      <c r="B144" s="216"/>
      <c r="C144" s="163" t="s">
        <v>2698</v>
      </c>
      <c r="D144" s="163" t="s">
        <v>2595</v>
      </c>
      <c r="E144" s="163" t="s">
        <v>2006</v>
      </c>
      <c r="F144" s="164"/>
      <c r="G144" s="164"/>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row>
    <row r="145" spans="1:37">
      <c r="A145" s="163" t="s">
        <v>2677</v>
      </c>
      <c r="B145" s="216"/>
      <c r="C145" s="163" t="s">
        <v>2698</v>
      </c>
      <c r="D145" s="163" t="s">
        <v>811</v>
      </c>
      <c r="E145" s="163" t="s">
        <v>2006</v>
      </c>
      <c r="F145" s="164"/>
      <c r="G145" s="164"/>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row>
    <row r="146" spans="1:37">
      <c r="A146" s="163" t="s">
        <v>2677</v>
      </c>
      <c r="B146" s="216"/>
      <c r="C146" s="163" t="s">
        <v>2698</v>
      </c>
      <c r="D146" s="172" t="s">
        <v>1014</v>
      </c>
      <c r="E146" s="163" t="s">
        <v>2006</v>
      </c>
      <c r="F146" s="164"/>
      <c r="G146" s="164"/>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row>
    <row r="147" spans="1:37">
      <c r="A147" s="163" t="s">
        <v>2677</v>
      </c>
      <c r="B147" s="216"/>
      <c r="C147" s="163" t="s">
        <v>2698</v>
      </c>
      <c r="D147" s="172" t="s">
        <v>1163</v>
      </c>
      <c r="E147" s="163" t="s">
        <v>2006</v>
      </c>
      <c r="F147" s="164"/>
      <c r="G147" s="164"/>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row>
    <row r="148" spans="1:37">
      <c r="A148" s="163" t="s">
        <v>2677</v>
      </c>
      <c r="B148" s="216"/>
      <c r="C148" s="163" t="s">
        <v>2698</v>
      </c>
      <c r="D148" s="163" t="s">
        <v>383</v>
      </c>
      <c r="E148" s="163" t="s">
        <v>2006</v>
      </c>
      <c r="F148" s="164"/>
      <c r="G148" s="164"/>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row>
    <row r="149" spans="1:37">
      <c r="A149" s="163" t="s">
        <v>2677</v>
      </c>
      <c r="B149" s="216"/>
      <c r="C149" s="163" t="s">
        <v>2698</v>
      </c>
      <c r="D149" s="163" t="s">
        <v>2610</v>
      </c>
      <c r="E149" s="163" t="s">
        <v>2006</v>
      </c>
      <c r="F149" s="164"/>
      <c r="G149" s="164"/>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row>
    <row r="150" spans="1:37">
      <c r="A150" s="154" t="s">
        <v>2677</v>
      </c>
      <c r="B150" s="154"/>
      <c r="C150" s="154" t="s">
        <v>2698</v>
      </c>
      <c r="D150" s="154" t="s">
        <v>1828</v>
      </c>
      <c r="E150" s="154" t="s">
        <v>204</v>
      </c>
      <c r="F150" s="155"/>
      <c r="G150" s="155"/>
      <c r="H150" s="154"/>
      <c r="I150" s="154"/>
      <c r="J150" s="154"/>
      <c r="K150" s="154"/>
      <c r="L150" s="154"/>
      <c r="M150" s="154"/>
      <c r="N150" s="154"/>
      <c r="O150" s="154"/>
      <c r="P150" s="154"/>
      <c r="Q150" s="154"/>
      <c r="R150" s="154"/>
      <c r="S150" s="154"/>
      <c r="T150" s="154"/>
      <c r="U150" s="154"/>
      <c r="V150" s="154"/>
      <c r="W150" s="154"/>
      <c r="X150" s="154"/>
      <c r="Y150" s="154"/>
      <c r="Z150" s="154"/>
      <c r="AA150" s="154"/>
      <c r="AB150" s="154"/>
      <c r="AC150" s="154"/>
      <c r="AD150" s="154"/>
      <c r="AE150" s="154"/>
      <c r="AF150" s="154"/>
      <c r="AG150" s="154"/>
      <c r="AH150" s="154"/>
      <c r="AI150" s="154"/>
      <c r="AJ150" s="154"/>
      <c r="AK150" s="154"/>
    </row>
    <row r="151" spans="1:37">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row>
    <row r="152" spans="1:37">
      <c r="A152" s="152" t="s">
        <v>2677</v>
      </c>
      <c r="B152" s="232" t="s">
        <v>2699</v>
      </c>
      <c r="C152" s="152" t="s">
        <v>2700</v>
      </c>
      <c r="D152" s="172" t="s">
        <v>2071</v>
      </c>
      <c r="E152" s="152" t="s">
        <v>1789</v>
      </c>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row>
    <row r="153" spans="1:37">
      <c r="A153" s="152" t="s">
        <v>2677</v>
      </c>
      <c r="B153" s="216"/>
      <c r="C153" s="152" t="s">
        <v>2700</v>
      </c>
      <c r="D153" s="172" t="s">
        <v>205</v>
      </c>
      <c r="E153" s="152" t="s">
        <v>1789</v>
      </c>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row>
    <row r="154" spans="1:37">
      <c r="A154" s="152" t="s">
        <v>2677</v>
      </c>
      <c r="B154" s="216"/>
      <c r="C154" s="152" t="s">
        <v>2700</v>
      </c>
      <c r="D154" s="152" t="s">
        <v>232</v>
      </c>
      <c r="E154" s="152" t="s">
        <v>1789</v>
      </c>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row>
    <row r="155" spans="1:37">
      <c r="A155" s="152" t="s">
        <v>2677</v>
      </c>
      <c r="B155" s="216"/>
      <c r="C155" s="152" t="s">
        <v>2700</v>
      </c>
      <c r="D155" s="152" t="s">
        <v>253</v>
      </c>
      <c r="E155" s="152" t="s">
        <v>1789</v>
      </c>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row>
    <row r="156" spans="1:37">
      <c r="A156" s="152" t="s">
        <v>2677</v>
      </c>
      <c r="B156" s="216"/>
      <c r="C156" s="152" t="s">
        <v>2700</v>
      </c>
      <c r="D156" s="152" t="s">
        <v>304</v>
      </c>
      <c r="E156" s="152" t="s">
        <v>1789</v>
      </c>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row>
    <row r="157" spans="1:37">
      <c r="A157" s="152" t="s">
        <v>2677</v>
      </c>
      <c r="B157" s="216"/>
      <c r="C157" s="152" t="s">
        <v>2700</v>
      </c>
      <c r="D157" s="172" t="s">
        <v>349</v>
      </c>
      <c r="E157" s="152" t="s">
        <v>1789</v>
      </c>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row>
    <row r="158" spans="1:37">
      <c r="A158" s="152" t="s">
        <v>2677</v>
      </c>
      <c r="B158" s="216"/>
      <c r="C158" s="152" t="s">
        <v>2700</v>
      </c>
      <c r="D158" s="152" t="s">
        <v>374</v>
      </c>
      <c r="E158" s="152" t="s">
        <v>1789</v>
      </c>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row>
    <row r="159" spans="1:37">
      <c r="A159" s="152" t="s">
        <v>2677</v>
      </c>
      <c r="B159" s="216"/>
      <c r="C159" s="152" t="s">
        <v>2700</v>
      </c>
      <c r="D159" s="172" t="s">
        <v>513</v>
      </c>
      <c r="E159" s="152" t="s">
        <v>1789</v>
      </c>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row>
    <row r="160" spans="1:37">
      <c r="A160" s="152" t="s">
        <v>2677</v>
      </c>
      <c r="B160" s="216"/>
      <c r="C160" s="152" t="s">
        <v>2700</v>
      </c>
      <c r="D160" s="172" t="s">
        <v>1055</v>
      </c>
      <c r="E160" s="152" t="s">
        <v>1789</v>
      </c>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row>
    <row r="161" spans="1:37">
      <c r="A161" s="152" t="s">
        <v>2677</v>
      </c>
      <c r="B161" s="216"/>
      <c r="C161" s="152" t="s">
        <v>2700</v>
      </c>
      <c r="D161" s="172" t="s">
        <v>712</v>
      </c>
      <c r="E161" s="152" t="s">
        <v>1789</v>
      </c>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row>
    <row r="162" spans="1:37">
      <c r="A162" s="152" t="s">
        <v>2677</v>
      </c>
      <c r="B162" s="216"/>
      <c r="C162" s="152" t="s">
        <v>2700</v>
      </c>
      <c r="D162" s="152" t="s">
        <v>1118</v>
      </c>
      <c r="E162" s="152" t="s">
        <v>1789</v>
      </c>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row>
    <row r="163" spans="1:37">
      <c r="A163" s="152" t="s">
        <v>2677</v>
      </c>
      <c r="B163" s="216"/>
      <c r="C163" s="152" t="s">
        <v>2700</v>
      </c>
      <c r="D163" s="152" t="s">
        <v>2592</v>
      </c>
      <c r="E163" s="152" t="s">
        <v>1789</v>
      </c>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row>
    <row r="164" spans="1:37">
      <c r="A164" s="152" t="s">
        <v>2677</v>
      </c>
      <c r="B164" s="216"/>
      <c r="C164" s="152" t="s">
        <v>2700</v>
      </c>
      <c r="D164" s="152" t="s">
        <v>2595</v>
      </c>
      <c r="E164" s="152" t="s">
        <v>1789</v>
      </c>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row>
    <row r="165" spans="1:37">
      <c r="A165" s="152" t="s">
        <v>2677</v>
      </c>
      <c r="B165" s="216"/>
      <c r="C165" s="152" t="s">
        <v>2700</v>
      </c>
      <c r="D165" s="172" t="s">
        <v>1014</v>
      </c>
      <c r="E165" s="152" t="s">
        <v>1789</v>
      </c>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row>
    <row r="166" spans="1:37">
      <c r="A166" s="152" t="s">
        <v>2677</v>
      </c>
      <c r="B166" s="216"/>
      <c r="C166" s="152" t="s">
        <v>2700</v>
      </c>
      <c r="D166" s="152" t="s">
        <v>811</v>
      </c>
      <c r="E166" s="152" t="s">
        <v>1789</v>
      </c>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row>
    <row r="167" spans="1:37">
      <c r="A167" s="152" t="s">
        <v>2677</v>
      </c>
      <c r="B167" s="216"/>
      <c r="C167" s="152" t="s">
        <v>2700</v>
      </c>
      <c r="D167" s="172" t="s">
        <v>1163</v>
      </c>
      <c r="E167" s="152" t="s">
        <v>1789</v>
      </c>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row>
    <row r="168" spans="1:37">
      <c r="A168" s="152" t="s">
        <v>2677</v>
      </c>
      <c r="B168" s="216"/>
      <c r="C168" s="152" t="s">
        <v>2700</v>
      </c>
      <c r="D168" s="152" t="s">
        <v>383</v>
      </c>
      <c r="E168" s="152" t="s">
        <v>1789</v>
      </c>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row>
    <row r="169" spans="1:37">
      <c r="A169" s="152" t="s">
        <v>2677</v>
      </c>
      <c r="B169" s="216"/>
      <c r="C169" s="152" t="s">
        <v>2700</v>
      </c>
      <c r="D169" s="172" t="s">
        <v>758</v>
      </c>
      <c r="E169" s="152" t="s">
        <v>1789</v>
      </c>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row>
    <row r="170" spans="1:37">
      <c r="A170" s="152" t="s">
        <v>2677</v>
      </c>
      <c r="B170" s="216"/>
      <c r="C170" s="152" t="s">
        <v>2700</v>
      </c>
      <c r="D170" s="152" t="s">
        <v>2610</v>
      </c>
      <c r="E170" s="152" t="s">
        <v>1789</v>
      </c>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row>
    <row r="171" spans="1:37">
      <c r="A171" s="152" t="s">
        <v>2677</v>
      </c>
      <c r="B171" s="216"/>
      <c r="C171" s="152" t="s">
        <v>2700</v>
      </c>
      <c r="D171" s="152" t="s">
        <v>847</v>
      </c>
      <c r="E171" s="152" t="s">
        <v>1789</v>
      </c>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row>
    <row r="172" spans="1:37">
      <c r="A172" s="154" t="s">
        <v>2677</v>
      </c>
      <c r="B172" s="154"/>
      <c r="C172" s="154" t="s">
        <v>2700</v>
      </c>
      <c r="D172" s="154" t="s">
        <v>1828</v>
      </c>
      <c r="E172" s="154" t="s">
        <v>204</v>
      </c>
      <c r="F172" s="155"/>
      <c r="G172" s="155"/>
      <c r="H172" s="154"/>
      <c r="I172" s="154"/>
      <c r="J172" s="154"/>
      <c r="K172" s="154"/>
      <c r="L172" s="154"/>
      <c r="M172" s="154"/>
      <c r="N172" s="154"/>
      <c r="O172" s="154"/>
      <c r="P172" s="154"/>
      <c r="Q172" s="154"/>
      <c r="R172" s="154"/>
      <c r="S172" s="154"/>
      <c r="T172" s="154"/>
      <c r="U172" s="154"/>
      <c r="V172" s="154"/>
      <c r="W172" s="154"/>
      <c r="X172" s="154"/>
      <c r="Y172" s="154"/>
      <c r="Z172" s="154"/>
      <c r="AA172" s="154"/>
      <c r="AB172" s="154"/>
      <c r="AC172" s="154"/>
      <c r="AD172" s="154"/>
      <c r="AE172" s="154"/>
      <c r="AF172" s="154"/>
      <c r="AG172" s="154"/>
      <c r="AH172" s="154"/>
      <c r="AI172" s="154"/>
      <c r="AJ172" s="154"/>
      <c r="AK172" s="154"/>
    </row>
    <row r="173" spans="1:37">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row>
    <row r="174" spans="1:37">
      <c r="A174" s="233" t="s">
        <v>2701</v>
      </c>
      <c r="B174" s="216"/>
      <c r="C174" s="216"/>
      <c r="D174" s="216"/>
      <c r="E174" s="216"/>
      <c r="F174" s="216"/>
      <c r="G174" s="216"/>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row>
    <row r="175" spans="1:37">
      <c r="A175" s="152" t="s">
        <v>2702</v>
      </c>
      <c r="B175" s="235" t="s">
        <v>2071</v>
      </c>
      <c r="C175" s="152" t="s">
        <v>2703</v>
      </c>
      <c r="D175" s="152" t="s">
        <v>2212</v>
      </c>
      <c r="E175" s="152" t="s">
        <v>2070</v>
      </c>
      <c r="F175" s="152" t="s">
        <v>2530</v>
      </c>
      <c r="G175" s="152" t="s">
        <v>2704</v>
      </c>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row>
    <row r="176" spans="1:37">
      <c r="A176" s="152" t="s">
        <v>2702</v>
      </c>
      <c r="B176" s="216"/>
      <c r="C176" s="152" t="s">
        <v>2705</v>
      </c>
      <c r="D176" s="172" t="s">
        <v>2273</v>
      </c>
      <c r="E176" s="152" t="s">
        <v>2070</v>
      </c>
      <c r="F176" s="152" t="s">
        <v>2530</v>
      </c>
      <c r="G176" s="152" t="s">
        <v>2706</v>
      </c>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row>
    <row r="177" spans="1:37">
      <c r="A177" s="152" t="s">
        <v>2702</v>
      </c>
      <c r="B177" s="216"/>
      <c r="C177" s="152" t="s">
        <v>2707</v>
      </c>
      <c r="D177" s="152" t="s">
        <v>2227</v>
      </c>
      <c r="E177" s="152" t="s">
        <v>2070</v>
      </c>
      <c r="F177" s="152" t="s">
        <v>2530</v>
      </c>
      <c r="G177" s="152" t="s">
        <v>2708</v>
      </c>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row>
    <row r="178" spans="1:37">
      <c r="A178" s="152" t="s">
        <v>2702</v>
      </c>
      <c r="B178" s="216"/>
      <c r="C178" s="152" t="s">
        <v>2709</v>
      </c>
      <c r="D178" s="152" t="s">
        <v>2419</v>
      </c>
      <c r="E178" s="152" t="s">
        <v>2070</v>
      </c>
      <c r="F178" s="152" t="s">
        <v>2530</v>
      </c>
      <c r="G178" s="152" t="s">
        <v>2710</v>
      </c>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row>
    <row r="179" spans="1:37">
      <c r="A179" s="152" t="s">
        <v>2702</v>
      </c>
      <c r="B179" s="216"/>
      <c r="C179" s="172" t="s">
        <v>2711</v>
      </c>
      <c r="D179" s="172" t="s">
        <v>2712</v>
      </c>
      <c r="E179" s="152" t="s">
        <v>2713</v>
      </c>
      <c r="F179" s="152"/>
      <c r="G179" s="152"/>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row>
    <row r="180" spans="1:37">
      <c r="A180" s="152" t="s">
        <v>2702</v>
      </c>
      <c r="B180" s="216"/>
      <c r="C180" s="172" t="s">
        <v>2714</v>
      </c>
      <c r="D180" s="172" t="s">
        <v>2715</v>
      </c>
      <c r="E180" s="152" t="s">
        <v>2070</v>
      </c>
      <c r="F180" s="152"/>
      <c r="G180" s="152"/>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row>
    <row r="181" spans="1:37">
      <c r="A181" s="152" t="s">
        <v>2702</v>
      </c>
      <c r="B181" s="216"/>
      <c r="C181" s="192" t="s">
        <v>2716</v>
      </c>
      <c r="D181" s="192" t="s">
        <v>2252</v>
      </c>
      <c r="E181" s="195" t="s">
        <v>2713</v>
      </c>
      <c r="F181" s="152"/>
      <c r="G181" s="152"/>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row>
    <row r="182" spans="1:37">
      <c r="A182" s="152" t="s">
        <v>2702</v>
      </c>
      <c r="B182" s="216"/>
      <c r="C182" s="172" t="s">
        <v>2717</v>
      </c>
      <c r="D182" s="172" t="s">
        <v>2428</v>
      </c>
      <c r="E182" s="152" t="s">
        <v>2070</v>
      </c>
      <c r="F182" s="152"/>
      <c r="G182" s="152"/>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row>
    <row r="183" spans="1:37">
      <c r="A183" s="152" t="s">
        <v>2702</v>
      </c>
      <c r="B183" s="216"/>
      <c r="C183" s="152" t="s">
        <v>2718</v>
      </c>
      <c r="D183" s="152" t="s">
        <v>2322</v>
      </c>
      <c r="E183" s="152" t="s">
        <v>2070</v>
      </c>
      <c r="F183" s="152" t="s">
        <v>2530</v>
      </c>
      <c r="G183" s="152" t="s">
        <v>2719</v>
      </c>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row>
    <row r="184" spans="1:37">
      <c r="A184" s="152" t="s">
        <v>2702</v>
      </c>
      <c r="B184" s="216"/>
      <c r="C184" s="152" t="s">
        <v>2720</v>
      </c>
      <c r="D184" s="152" t="s">
        <v>2112</v>
      </c>
      <c r="E184" s="152" t="s">
        <v>2070</v>
      </c>
      <c r="F184" s="152" t="s">
        <v>2530</v>
      </c>
      <c r="G184" s="152" t="s">
        <v>2721</v>
      </c>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row>
    <row r="185" spans="1:37">
      <c r="A185" s="152" t="s">
        <v>2702</v>
      </c>
      <c r="B185" s="216"/>
      <c r="C185" s="152" t="s">
        <v>2722</v>
      </c>
      <c r="D185" s="152" t="s">
        <v>2723</v>
      </c>
      <c r="E185" s="152" t="s">
        <v>2070</v>
      </c>
      <c r="F185" s="152" t="s">
        <v>2530</v>
      </c>
      <c r="G185" s="152" t="s">
        <v>2724</v>
      </c>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row>
    <row r="186" spans="1:37">
      <c r="A186" s="152" t="s">
        <v>2702</v>
      </c>
      <c r="B186" s="216"/>
      <c r="C186" s="152" t="s">
        <v>2725</v>
      </c>
      <c r="D186" s="152" t="s">
        <v>2726</v>
      </c>
      <c r="E186" s="152" t="s">
        <v>2070</v>
      </c>
      <c r="F186" s="152" t="s">
        <v>2530</v>
      </c>
      <c r="G186" s="152" t="s">
        <v>2727</v>
      </c>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row>
    <row r="187" spans="1:37">
      <c r="A187" s="152" t="s">
        <v>2702</v>
      </c>
      <c r="B187" s="216"/>
      <c r="C187" s="152" t="s">
        <v>2728</v>
      </c>
      <c r="D187" s="152" t="s">
        <v>2312</v>
      </c>
      <c r="E187" s="152" t="s">
        <v>2070</v>
      </c>
      <c r="F187" s="152" t="s">
        <v>2530</v>
      </c>
      <c r="G187" s="152" t="s">
        <v>2729</v>
      </c>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row>
    <row r="188" spans="1:37">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row>
    <row r="189" spans="1:37">
      <c r="A189" s="152" t="s">
        <v>2730</v>
      </c>
      <c r="B189" s="235" t="s">
        <v>2731</v>
      </c>
      <c r="C189" s="152" t="s">
        <v>2732</v>
      </c>
      <c r="D189" s="152" t="s">
        <v>206</v>
      </c>
      <c r="E189" s="152" t="s">
        <v>2515</v>
      </c>
      <c r="F189" s="152" t="s">
        <v>2530</v>
      </c>
      <c r="G189" s="152" t="s">
        <v>2733</v>
      </c>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row>
    <row r="190" spans="1:37">
      <c r="A190" s="152" t="s">
        <v>2730</v>
      </c>
      <c r="B190" s="216"/>
      <c r="C190" s="152" t="s">
        <v>2734</v>
      </c>
      <c r="D190" s="152" t="s">
        <v>966</v>
      </c>
      <c r="E190" s="152" t="s">
        <v>2515</v>
      </c>
      <c r="F190" s="152" t="s">
        <v>2530</v>
      </c>
      <c r="G190" s="152" t="s">
        <v>2735</v>
      </c>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row>
    <row r="191" spans="1:37">
      <c r="A191" s="152" t="s">
        <v>2730</v>
      </c>
      <c r="B191" s="216"/>
      <c r="C191" s="152" t="s">
        <v>2736</v>
      </c>
      <c r="D191" s="152" t="s">
        <v>2737</v>
      </c>
      <c r="E191" s="152" t="s">
        <v>2515</v>
      </c>
      <c r="F191" s="152" t="s">
        <v>2530</v>
      </c>
      <c r="G191" s="152" t="s">
        <v>2738</v>
      </c>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row>
    <row r="192" spans="1:37">
      <c r="A192" s="152" t="s">
        <v>2730</v>
      </c>
      <c r="B192" s="216"/>
      <c r="C192" s="152" t="s">
        <v>2739</v>
      </c>
      <c r="D192" s="152" t="s">
        <v>2740</v>
      </c>
      <c r="E192" s="152" t="s">
        <v>2515</v>
      </c>
      <c r="F192" s="152" t="s">
        <v>2530</v>
      </c>
      <c r="G192" s="152" t="s">
        <v>2741</v>
      </c>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row>
    <row r="193" spans="1:37">
      <c r="A193" s="152" t="s">
        <v>2730</v>
      </c>
      <c r="B193" s="216"/>
      <c r="C193" s="152" t="s">
        <v>2742</v>
      </c>
      <c r="D193" s="152" t="s">
        <v>1318</v>
      </c>
      <c r="E193" s="152" t="s">
        <v>2515</v>
      </c>
      <c r="F193" s="152" t="s">
        <v>2530</v>
      </c>
      <c r="G193" s="152" t="s">
        <v>2743</v>
      </c>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row>
    <row r="194" spans="1:37">
      <c r="A194" s="154" t="s">
        <v>2730</v>
      </c>
      <c r="B194" s="216"/>
      <c r="C194" s="154" t="s">
        <v>2744</v>
      </c>
      <c r="D194" s="154" t="s">
        <v>2745</v>
      </c>
      <c r="E194" s="154" t="s">
        <v>2515</v>
      </c>
      <c r="F194" s="154"/>
      <c r="G194" s="154"/>
      <c r="H194" s="155"/>
      <c r="I194" s="155"/>
      <c r="J194" s="155"/>
      <c r="K194" s="155"/>
      <c r="L194" s="155"/>
      <c r="M194" s="155"/>
      <c r="N194" s="155"/>
      <c r="O194" s="155"/>
      <c r="P194" s="155"/>
      <c r="Q194" s="155"/>
      <c r="R194" s="155"/>
      <c r="S194" s="155"/>
      <c r="T194" s="155"/>
      <c r="U194" s="155"/>
      <c r="V194" s="155"/>
      <c r="W194" s="155"/>
      <c r="X194" s="155"/>
      <c r="Y194" s="155"/>
      <c r="Z194" s="155"/>
      <c r="AA194" s="155"/>
      <c r="AB194" s="155"/>
      <c r="AC194" s="155"/>
      <c r="AD194" s="155"/>
      <c r="AE194" s="155"/>
      <c r="AF194" s="155"/>
      <c r="AG194" s="155"/>
      <c r="AH194" s="155"/>
      <c r="AI194" s="155"/>
      <c r="AJ194" s="155"/>
      <c r="AK194" s="155"/>
    </row>
    <row r="195" spans="1:37">
      <c r="A195" s="152" t="s">
        <v>2730</v>
      </c>
      <c r="B195" s="216"/>
      <c r="C195" s="152" t="s">
        <v>2716</v>
      </c>
      <c r="D195" s="152" t="s">
        <v>2252</v>
      </c>
      <c r="E195" s="152" t="s">
        <v>2515</v>
      </c>
      <c r="F195" s="152" t="s">
        <v>2530</v>
      </c>
      <c r="G195" s="152" t="s">
        <v>2746</v>
      </c>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row>
    <row r="196" spans="1:37">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row>
    <row r="197" spans="1:37">
      <c r="A197" s="152" t="s">
        <v>2730</v>
      </c>
      <c r="B197" s="232" t="s">
        <v>232</v>
      </c>
      <c r="C197" s="152" t="s">
        <v>2747</v>
      </c>
      <c r="D197" s="152" t="s">
        <v>1048</v>
      </c>
      <c r="E197" s="152" t="s">
        <v>2748</v>
      </c>
      <c r="F197" s="152" t="s">
        <v>2530</v>
      </c>
      <c r="G197" s="152" t="s">
        <v>2749</v>
      </c>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row>
    <row r="198" spans="1:37">
      <c r="A198" s="152" t="s">
        <v>2730</v>
      </c>
      <c r="B198" s="216"/>
      <c r="C198" s="152" t="s">
        <v>2750</v>
      </c>
      <c r="D198" s="152" t="s">
        <v>1399</v>
      </c>
      <c r="E198" s="152" t="s">
        <v>2515</v>
      </c>
      <c r="F198" s="152" t="s">
        <v>2530</v>
      </c>
      <c r="G198" s="152" t="s">
        <v>2751</v>
      </c>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row>
    <row r="199" spans="1:37">
      <c r="A199" s="152" t="s">
        <v>2730</v>
      </c>
      <c r="B199" s="216"/>
      <c r="C199" s="152" t="s">
        <v>2752</v>
      </c>
      <c r="D199" s="152" t="s">
        <v>233</v>
      </c>
      <c r="E199" s="152" t="s">
        <v>2515</v>
      </c>
      <c r="F199" s="152" t="s">
        <v>2530</v>
      </c>
      <c r="G199" s="152" t="s">
        <v>2753</v>
      </c>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row>
    <row r="200" spans="1:37">
      <c r="A200" s="172" t="s">
        <v>2730</v>
      </c>
      <c r="B200" s="216"/>
      <c r="C200" s="172" t="s">
        <v>2754</v>
      </c>
      <c r="D200" s="172" t="s">
        <v>984</v>
      </c>
      <c r="E200" s="172" t="s">
        <v>2515</v>
      </c>
      <c r="F200" s="172"/>
      <c r="G200" s="172"/>
      <c r="H200" s="173"/>
      <c r="I200" s="173"/>
      <c r="J200" s="173"/>
      <c r="K200" s="173"/>
      <c r="L200" s="173"/>
      <c r="M200" s="173"/>
      <c r="N200" s="173"/>
      <c r="O200" s="173"/>
      <c r="P200" s="173"/>
      <c r="Q200" s="173"/>
      <c r="R200" s="173"/>
      <c r="S200" s="173"/>
      <c r="T200" s="173"/>
      <c r="U200" s="173"/>
      <c r="V200" s="173"/>
      <c r="W200" s="173"/>
      <c r="X200" s="173"/>
      <c r="Y200" s="173"/>
      <c r="Z200" s="173"/>
      <c r="AA200" s="173"/>
      <c r="AB200" s="173"/>
      <c r="AC200" s="173"/>
      <c r="AD200" s="173"/>
      <c r="AE200" s="173"/>
      <c r="AF200" s="173"/>
      <c r="AG200" s="173"/>
      <c r="AH200" s="173"/>
      <c r="AI200" s="173"/>
      <c r="AJ200" s="173"/>
      <c r="AK200" s="173"/>
    </row>
    <row r="201" spans="1:37">
      <c r="A201" s="152" t="s">
        <v>2730</v>
      </c>
      <c r="B201" s="216"/>
      <c r="C201" s="152" t="s">
        <v>2755</v>
      </c>
      <c r="D201" s="152" t="s">
        <v>2756</v>
      </c>
      <c r="E201" s="152" t="s">
        <v>2515</v>
      </c>
      <c r="F201" s="152" t="s">
        <v>2530</v>
      </c>
      <c r="G201" s="152" t="s">
        <v>2757</v>
      </c>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row>
    <row r="202" spans="1:37">
      <c r="A202" s="152" t="s">
        <v>2730</v>
      </c>
      <c r="B202" s="216"/>
      <c r="C202" s="152" t="s">
        <v>2758</v>
      </c>
      <c r="D202" s="152" t="s">
        <v>2759</v>
      </c>
      <c r="E202" s="152" t="s">
        <v>2515</v>
      </c>
      <c r="F202" s="152" t="s">
        <v>2530</v>
      </c>
      <c r="G202" s="152" t="s">
        <v>2760</v>
      </c>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row>
    <row r="203" spans="1:37">
      <c r="A203" s="152" t="s">
        <v>2730</v>
      </c>
      <c r="B203" s="216"/>
      <c r="C203" s="152" t="s">
        <v>2761</v>
      </c>
      <c r="D203" s="152" t="s">
        <v>2762</v>
      </c>
      <c r="E203" s="152" t="s">
        <v>2515</v>
      </c>
      <c r="F203" s="152" t="s">
        <v>2530</v>
      </c>
      <c r="G203" s="152" t="s">
        <v>2763</v>
      </c>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row>
    <row r="204" spans="1:37">
      <c r="A204" s="152" t="s">
        <v>2730</v>
      </c>
      <c r="B204" s="216"/>
      <c r="C204" s="152" t="s">
        <v>2764</v>
      </c>
      <c r="D204" s="152" t="s">
        <v>2765</v>
      </c>
      <c r="E204" s="152" t="s">
        <v>2070</v>
      </c>
      <c r="F204" s="152" t="s">
        <v>2530</v>
      </c>
      <c r="G204" s="152" t="s">
        <v>2766</v>
      </c>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row>
    <row r="205" spans="1:37">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row>
    <row r="206" spans="1:37">
      <c r="A206" s="152" t="s">
        <v>2730</v>
      </c>
      <c r="B206" s="232" t="s">
        <v>253</v>
      </c>
      <c r="C206" s="152" t="s">
        <v>2767</v>
      </c>
      <c r="D206" s="152" t="s">
        <v>1230</v>
      </c>
      <c r="E206" s="152" t="s">
        <v>2515</v>
      </c>
      <c r="F206" s="152" t="s">
        <v>2530</v>
      </c>
      <c r="G206" s="152" t="s">
        <v>2768</v>
      </c>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row>
    <row r="207" spans="1:37">
      <c r="A207" s="174" t="s">
        <v>2730</v>
      </c>
      <c r="B207" s="216"/>
      <c r="C207" s="174" t="s">
        <v>2769</v>
      </c>
      <c r="D207" s="174" t="s">
        <v>539</v>
      </c>
      <c r="E207" s="174" t="s">
        <v>2515</v>
      </c>
      <c r="F207" s="174" t="s">
        <v>2530</v>
      </c>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row>
    <row r="208" spans="1:37">
      <c r="A208" s="176" t="s">
        <v>2730</v>
      </c>
      <c r="B208" s="216"/>
      <c r="C208" s="176" t="s">
        <v>2770</v>
      </c>
      <c r="D208" s="152" t="s">
        <v>2771</v>
      </c>
      <c r="E208" s="176" t="s">
        <v>2515</v>
      </c>
      <c r="F208" s="176" t="s">
        <v>2530</v>
      </c>
      <c r="G208" s="176" t="s">
        <v>2772</v>
      </c>
      <c r="H208" s="177"/>
      <c r="I208" s="177"/>
      <c r="J208" s="177"/>
      <c r="K208" s="177"/>
      <c r="L208" s="177"/>
      <c r="M208" s="177"/>
      <c r="N208" s="177"/>
      <c r="O208" s="177"/>
      <c r="P208" s="177"/>
      <c r="Q208" s="177"/>
      <c r="R208" s="177"/>
      <c r="S208" s="177"/>
      <c r="T208" s="177"/>
      <c r="U208" s="177"/>
      <c r="V208" s="177"/>
      <c r="W208" s="177"/>
      <c r="X208" s="177"/>
      <c r="Y208" s="177"/>
      <c r="Z208" s="177"/>
      <c r="AA208" s="177"/>
      <c r="AB208" s="177"/>
      <c r="AC208" s="177"/>
      <c r="AD208" s="177"/>
      <c r="AE208" s="177"/>
      <c r="AF208" s="177"/>
      <c r="AG208" s="177"/>
      <c r="AH208" s="177"/>
      <c r="AI208" s="177"/>
      <c r="AJ208" s="177"/>
      <c r="AK208" s="177"/>
    </row>
    <row r="209" spans="1:37">
      <c r="A209" s="152" t="s">
        <v>2730</v>
      </c>
      <c r="B209" s="216"/>
      <c r="C209" s="152" t="s">
        <v>2773</v>
      </c>
      <c r="D209" s="172" t="s">
        <v>2774</v>
      </c>
      <c r="E209" s="152" t="s">
        <v>2515</v>
      </c>
      <c r="F209" s="152" t="s">
        <v>2530</v>
      </c>
      <c r="G209" s="152" t="s">
        <v>2775</v>
      </c>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row>
    <row r="210" spans="1:37">
      <c r="A210" s="152" t="s">
        <v>2730</v>
      </c>
      <c r="B210" s="216"/>
      <c r="C210" s="152" t="s">
        <v>2776</v>
      </c>
      <c r="D210" s="172" t="s">
        <v>2777</v>
      </c>
      <c r="E210" s="152" t="s">
        <v>2778</v>
      </c>
      <c r="F210" s="152" t="s">
        <v>2530</v>
      </c>
      <c r="G210" s="152" t="s">
        <v>2779</v>
      </c>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row>
    <row r="211" spans="1:37">
      <c r="A211" s="152" t="s">
        <v>2730</v>
      </c>
      <c r="B211" s="216"/>
      <c r="C211" s="152" t="s">
        <v>2780</v>
      </c>
      <c r="D211" s="172" t="s">
        <v>2781</v>
      </c>
      <c r="E211" s="152" t="s">
        <v>2515</v>
      </c>
      <c r="F211" s="152" t="s">
        <v>2530</v>
      </c>
      <c r="G211" s="152" t="s">
        <v>2782</v>
      </c>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row>
    <row r="212" spans="1:37">
      <c r="A212" s="152" t="s">
        <v>2730</v>
      </c>
      <c r="B212" s="216"/>
      <c r="C212" s="152" t="s">
        <v>2783</v>
      </c>
      <c r="D212" s="152" t="s">
        <v>291</v>
      </c>
      <c r="E212" s="152" t="s">
        <v>2515</v>
      </c>
      <c r="F212" s="152" t="s">
        <v>2530</v>
      </c>
      <c r="G212" s="152" t="s">
        <v>2784</v>
      </c>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row>
    <row r="213" spans="1:37">
      <c r="A213" s="152" t="s">
        <v>2730</v>
      </c>
      <c r="B213" s="216"/>
      <c r="C213" s="172" t="s">
        <v>2785</v>
      </c>
      <c r="D213" s="172" t="s">
        <v>2786</v>
      </c>
      <c r="E213" s="172"/>
      <c r="F213" s="172"/>
      <c r="G213" s="172"/>
      <c r="H213" s="173"/>
      <c r="I213" s="173"/>
      <c r="J213" s="173"/>
      <c r="K213" s="173"/>
      <c r="L213" s="173"/>
      <c r="M213" s="173"/>
      <c r="N213" s="173"/>
      <c r="O213" s="173"/>
      <c r="P213" s="173"/>
      <c r="Q213" s="173"/>
      <c r="R213" s="173"/>
      <c r="S213" s="173"/>
      <c r="T213" s="173"/>
      <c r="U213" s="173"/>
      <c r="V213" s="173"/>
      <c r="W213" s="173"/>
      <c r="X213" s="173"/>
      <c r="Y213" s="173"/>
      <c r="Z213" s="173"/>
      <c r="AA213" s="173"/>
      <c r="AB213" s="173"/>
      <c r="AC213" s="173"/>
      <c r="AD213" s="173"/>
      <c r="AE213" s="173"/>
      <c r="AF213" s="173"/>
      <c r="AG213" s="173"/>
      <c r="AH213" s="173"/>
      <c r="AI213" s="173"/>
      <c r="AJ213" s="173"/>
      <c r="AK213" s="173"/>
    </row>
    <row r="214" spans="1:37">
      <c r="A214" s="152" t="s">
        <v>2730</v>
      </c>
      <c r="B214" s="216"/>
      <c r="C214" s="172" t="s">
        <v>2787</v>
      </c>
      <c r="D214" s="172" t="s">
        <v>2788</v>
      </c>
      <c r="E214" s="172"/>
      <c r="F214" s="172"/>
      <c r="G214" s="172"/>
      <c r="H214" s="173"/>
      <c r="I214" s="173"/>
      <c r="J214" s="173"/>
      <c r="K214" s="173"/>
      <c r="L214" s="173"/>
      <c r="M214" s="173"/>
      <c r="N214" s="173"/>
      <c r="O214" s="173"/>
      <c r="P214" s="173"/>
      <c r="Q214" s="173"/>
      <c r="R214" s="173"/>
      <c r="S214" s="173"/>
      <c r="T214" s="173"/>
      <c r="U214" s="173"/>
      <c r="V214" s="173"/>
      <c r="W214" s="173"/>
      <c r="X214" s="173"/>
      <c r="Y214" s="173"/>
      <c r="Z214" s="173"/>
      <c r="AA214" s="173"/>
      <c r="AB214" s="173"/>
      <c r="AC214" s="173"/>
      <c r="AD214" s="173"/>
      <c r="AE214" s="173"/>
      <c r="AF214" s="173"/>
      <c r="AG214" s="173"/>
      <c r="AH214" s="173"/>
      <c r="AI214" s="173"/>
      <c r="AJ214" s="173"/>
      <c r="AK214" s="173"/>
    </row>
    <row r="215" spans="1:37">
      <c r="A215" s="152" t="s">
        <v>2730</v>
      </c>
      <c r="B215" s="216"/>
      <c r="C215" s="172" t="s">
        <v>2789</v>
      </c>
      <c r="D215" s="172" t="s">
        <v>2790</v>
      </c>
      <c r="E215" s="172"/>
      <c r="F215" s="172"/>
      <c r="G215" s="172"/>
      <c r="H215" s="173"/>
      <c r="I215" s="173"/>
      <c r="J215" s="173"/>
      <c r="K215" s="173"/>
      <c r="L215" s="173"/>
      <c r="M215" s="173"/>
      <c r="N215" s="173"/>
      <c r="O215" s="173"/>
      <c r="P215" s="173"/>
      <c r="Q215" s="173"/>
      <c r="R215" s="173"/>
      <c r="S215" s="173"/>
      <c r="T215" s="173"/>
      <c r="U215" s="173"/>
      <c r="V215" s="173"/>
      <c r="W215" s="173"/>
      <c r="X215" s="173"/>
      <c r="Y215" s="173"/>
      <c r="Z215" s="173"/>
      <c r="AA215" s="173"/>
      <c r="AB215" s="173"/>
      <c r="AC215" s="173"/>
      <c r="AD215" s="173"/>
      <c r="AE215" s="173"/>
      <c r="AF215" s="173"/>
      <c r="AG215" s="173"/>
      <c r="AH215" s="173"/>
      <c r="AI215" s="173"/>
      <c r="AJ215" s="173"/>
      <c r="AK215" s="173"/>
    </row>
    <row r="216" spans="1:37">
      <c r="A216" s="152" t="s">
        <v>2730</v>
      </c>
      <c r="B216" s="216"/>
      <c r="C216" s="172" t="s">
        <v>2791</v>
      </c>
      <c r="D216" s="172" t="s">
        <v>772</v>
      </c>
      <c r="E216" s="172"/>
      <c r="F216" s="172"/>
      <c r="G216" s="172"/>
      <c r="H216" s="173"/>
      <c r="I216" s="173"/>
      <c r="J216" s="173"/>
      <c r="K216" s="173"/>
      <c r="L216" s="173"/>
      <c r="M216" s="173"/>
      <c r="N216" s="173"/>
      <c r="O216" s="173"/>
      <c r="P216" s="173"/>
      <c r="Q216" s="173"/>
      <c r="R216" s="173"/>
      <c r="S216" s="173"/>
      <c r="T216" s="173"/>
      <c r="U216" s="173"/>
      <c r="V216" s="173"/>
      <c r="W216" s="173"/>
      <c r="X216" s="173"/>
      <c r="Y216" s="173"/>
      <c r="Z216" s="173"/>
      <c r="AA216" s="173"/>
      <c r="AB216" s="173"/>
      <c r="AC216" s="173"/>
      <c r="AD216" s="173"/>
      <c r="AE216" s="173"/>
      <c r="AF216" s="173"/>
      <c r="AG216" s="173"/>
      <c r="AH216" s="173"/>
      <c r="AI216" s="173"/>
      <c r="AJ216" s="173"/>
      <c r="AK216" s="173"/>
    </row>
    <row r="217" spans="1:37">
      <c r="A217" s="152" t="s">
        <v>2730</v>
      </c>
      <c r="B217" s="216"/>
      <c r="C217" s="172" t="s">
        <v>2792</v>
      </c>
      <c r="D217" s="172" t="s">
        <v>2793</v>
      </c>
      <c r="E217" s="172"/>
      <c r="F217" s="172"/>
      <c r="G217" s="172"/>
      <c r="H217" s="173"/>
      <c r="I217" s="173"/>
      <c r="J217" s="173"/>
      <c r="K217" s="173"/>
      <c r="L217" s="173"/>
      <c r="M217" s="173"/>
      <c r="N217" s="173"/>
      <c r="O217" s="173"/>
      <c r="P217" s="173"/>
      <c r="Q217" s="173"/>
      <c r="R217" s="173"/>
      <c r="S217" s="173"/>
      <c r="T217" s="173"/>
      <c r="U217" s="173"/>
      <c r="V217" s="173"/>
      <c r="W217" s="173"/>
      <c r="X217" s="173"/>
      <c r="Y217" s="173"/>
      <c r="Z217" s="173"/>
      <c r="AA217" s="173"/>
      <c r="AB217" s="173"/>
      <c r="AC217" s="173"/>
      <c r="AD217" s="173"/>
      <c r="AE217" s="173"/>
      <c r="AF217" s="173"/>
      <c r="AG217" s="173"/>
      <c r="AH217" s="173"/>
      <c r="AI217" s="173"/>
      <c r="AJ217" s="173"/>
      <c r="AK217" s="173"/>
    </row>
    <row r="218" spans="1:37">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row>
    <row r="219" spans="1:37">
      <c r="A219" s="152" t="s">
        <v>2730</v>
      </c>
      <c r="B219" s="232" t="s">
        <v>304</v>
      </c>
      <c r="C219" s="152" t="s">
        <v>2794</v>
      </c>
      <c r="D219" s="152" t="s">
        <v>2795</v>
      </c>
      <c r="E219" s="152" t="s">
        <v>204</v>
      </c>
      <c r="F219" s="152" t="s">
        <v>2530</v>
      </c>
      <c r="G219" s="152" t="s">
        <v>2796</v>
      </c>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row>
    <row r="220" spans="1:37">
      <c r="A220" s="78"/>
      <c r="B220" s="216"/>
      <c r="C220" s="152" t="s">
        <v>2797</v>
      </c>
      <c r="D220" s="152" t="s">
        <v>2798</v>
      </c>
      <c r="E220" s="152" t="s">
        <v>204</v>
      </c>
      <c r="F220" s="152" t="s">
        <v>2530</v>
      </c>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row>
    <row r="221" spans="1:37">
      <c r="A221" s="152" t="s">
        <v>2730</v>
      </c>
      <c r="B221" s="216"/>
      <c r="C221" s="152" t="s">
        <v>2799</v>
      </c>
      <c r="D221" s="152" t="s">
        <v>328</v>
      </c>
      <c r="E221" s="152" t="s">
        <v>204</v>
      </c>
      <c r="F221" s="152" t="s">
        <v>2530</v>
      </c>
      <c r="G221" s="152" t="s">
        <v>2800</v>
      </c>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row>
    <row r="222" spans="1:37">
      <c r="A222" s="152" t="s">
        <v>2730</v>
      </c>
      <c r="B222" s="216"/>
      <c r="C222" s="152" t="s">
        <v>2801</v>
      </c>
      <c r="D222" s="152" t="s">
        <v>305</v>
      </c>
      <c r="E222" s="152" t="s">
        <v>204</v>
      </c>
      <c r="F222" s="152" t="s">
        <v>2530</v>
      </c>
      <c r="G222" s="152" t="s">
        <v>2802</v>
      </c>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row>
    <row r="223" spans="1:37">
      <c r="A223" s="152" t="s">
        <v>2730</v>
      </c>
      <c r="B223" s="216"/>
      <c r="C223" s="152" t="s">
        <v>2803</v>
      </c>
      <c r="D223" s="152" t="s">
        <v>2804</v>
      </c>
      <c r="E223" s="152" t="s">
        <v>204</v>
      </c>
      <c r="F223" s="152" t="s">
        <v>2530</v>
      </c>
      <c r="G223" s="152" t="s">
        <v>2805</v>
      </c>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row>
    <row r="224" spans="1:37">
      <c r="A224" s="152" t="s">
        <v>2730</v>
      </c>
      <c r="B224" s="216"/>
      <c r="C224" s="152" t="s">
        <v>2806</v>
      </c>
      <c r="D224" s="152" t="s">
        <v>2807</v>
      </c>
      <c r="E224" s="152" t="s">
        <v>204</v>
      </c>
      <c r="F224" s="152" t="s">
        <v>2530</v>
      </c>
      <c r="G224" s="152" t="s">
        <v>2808</v>
      </c>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row>
    <row r="225" spans="1:37">
      <c r="A225" s="152" t="s">
        <v>2730</v>
      </c>
      <c r="B225" s="216"/>
      <c r="C225" s="152" t="s">
        <v>2809</v>
      </c>
      <c r="D225" s="152" t="s">
        <v>2810</v>
      </c>
      <c r="E225" s="152" t="s">
        <v>204</v>
      </c>
      <c r="F225" s="152" t="s">
        <v>2530</v>
      </c>
      <c r="G225" s="152" t="s">
        <v>2811</v>
      </c>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row>
    <row r="226" spans="1:37">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row>
    <row r="227" spans="1:37">
      <c r="A227" s="152" t="s">
        <v>2730</v>
      </c>
      <c r="B227" s="235" t="s">
        <v>349</v>
      </c>
      <c r="C227" s="152" t="s">
        <v>2812</v>
      </c>
      <c r="D227" s="152" t="s">
        <v>2813</v>
      </c>
      <c r="E227" s="152" t="s">
        <v>204</v>
      </c>
      <c r="F227" s="152" t="s">
        <v>2530</v>
      </c>
      <c r="G227" s="152" t="s">
        <v>2814</v>
      </c>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row>
    <row r="228" spans="1:37">
      <c r="A228" s="174" t="s">
        <v>2730</v>
      </c>
      <c r="B228" s="216"/>
      <c r="C228" s="174" t="s">
        <v>2815</v>
      </c>
      <c r="D228" s="174" t="s">
        <v>364</v>
      </c>
      <c r="E228" s="174" t="s">
        <v>204</v>
      </c>
      <c r="F228" s="174" t="s">
        <v>2530</v>
      </c>
      <c r="G228" s="174" t="s">
        <v>2816</v>
      </c>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row>
    <row r="229" spans="1:37">
      <c r="A229" s="152" t="s">
        <v>2730</v>
      </c>
      <c r="B229" s="216"/>
      <c r="C229" s="152" t="s">
        <v>2817</v>
      </c>
      <c r="D229" s="152" t="s">
        <v>629</v>
      </c>
      <c r="E229" s="152" t="s">
        <v>204</v>
      </c>
      <c r="F229" s="152" t="s">
        <v>2530</v>
      </c>
      <c r="G229" s="152" t="s">
        <v>2818</v>
      </c>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row>
    <row r="230" spans="1:37">
      <c r="A230" s="152" t="s">
        <v>2730</v>
      </c>
      <c r="B230" s="216"/>
      <c r="C230" s="152" t="s">
        <v>2819</v>
      </c>
      <c r="D230" s="152" t="s">
        <v>2820</v>
      </c>
      <c r="E230" s="152" t="s">
        <v>204</v>
      </c>
      <c r="F230" s="152" t="s">
        <v>2530</v>
      </c>
      <c r="G230" s="152" t="s">
        <v>2821</v>
      </c>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row>
    <row r="231" spans="1:37">
      <c r="A231" s="152" t="s">
        <v>2730</v>
      </c>
      <c r="B231" s="216"/>
      <c r="C231" s="152" t="s">
        <v>2822</v>
      </c>
      <c r="D231" s="152" t="s">
        <v>350</v>
      </c>
      <c r="E231" s="152" t="s">
        <v>204</v>
      </c>
      <c r="F231" s="152" t="s">
        <v>2823</v>
      </c>
      <c r="G231" s="152" t="s">
        <v>2824</v>
      </c>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row>
    <row r="232" spans="1:37">
      <c r="A232" s="152" t="s">
        <v>2730</v>
      </c>
      <c r="B232" s="216"/>
      <c r="C232" s="152" t="s">
        <v>2825</v>
      </c>
      <c r="D232" s="152" t="s">
        <v>2826</v>
      </c>
      <c r="E232" s="152" t="s">
        <v>204</v>
      </c>
      <c r="F232" s="152" t="s">
        <v>2530</v>
      </c>
      <c r="G232" s="152" t="s">
        <v>2827</v>
      </c>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row>
    <row r="233" spans="1:37">
      <c r="A233" s="152" t="s">
        <v>2730</v>
      </c>
      <c r="B233" s="216"/>
      <c r="C233" s="152" t="s">
        <v>2828</v>
      </c>
      <c r="D233" s="152" t="s">
        <v>2829</v>
      </c>
      <c r="E233" s="152" t="s">
        <v>204</v>
      </c>
      <c r="F233" s="152" t="s">
        <v>2530</v>
      </c>
      <c r="G233" s="152" t="s">
        <v>2830</v>
      </c>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row>
    <row r="234" spans="1:37">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row>
    <row r="235" spans="1:37">
      <c r="A235" s="195" t="s">
        <v>2730</v>
      </c>
      <c r="B235" s="232" t="s">
        <v>374</v>
      </c>
      <c r="C235" s="195" t="s">
        <v>2831</v>
      </c>
      <c r="D235" s="195" t="s">
        <v>2832</v>
      </c>
      <c r="E235" s="195" t="s">
        <v>2607</v>
      </c>
      <c r="F235" s="195" t="s">
        <v>2530</v>
      </c>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s="68"/>
    </row>
    <row r="236" spans="1:37">
      <c r="A236" s="195" t="s">
        <v>2730</v>
      </c>
      <c r="B236" s="216"/>
      <c r="C236" s="192" t="s">
        <v>2833</v>
      </c>
      <c r="D236" s="192" t="s">
        <v>2834</v>
      </c>
      <c r="E236" s="195" t="s">
        <v>2607</v>
      </c>
      <c r="F236" s="195"/>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s="68"/>
    </row>
    <row r="237" spans="1:37">
      <c r="A237" s="195" t="s">
        <v>2730</v>
      </c>
      <c r="B237" s="216"/>
      <c r="C237" s="195" t="s">
        <v>2835</v>
      </c>
      <c r="D237" s="195" t="s">
        <v>426</v>
      </c>
      <c r="E237" s="195" t="s">
        <v>2607</v>
      </c>
      <c r="F237" s="195" t="s">
        <v>2530</v>
      </c>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s="68"/>
    </row>
    <row r="238" spans="1:37">
      <c r="A238" s="195" t="s">
        <v>2730</v>
      </c>
      <c r="B238" s="216"/>
      <c r="C238" s="195" t="s">
        <v>2836</v>
      </c>
      <c r="D238" s="195" t="s">
        <v>2837</v>
      </c>
      <c r="E238" s="195" t="s">
        <v>2607</v>
      </c>
      <c r="F238" s="195" t="s">
        <v>2530</v>
      </c>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s="68"/>
    </row>
    <row r="239" spans="1:37">
      <c r="A239" s="195" t="s">
        <v>2730</v>
      </c>
      <c r="B239" s="216"/>
      <c r="C239" s="195" t="s">
        <v>2838</v>
      </c>
      <c r="D239" s="195" t="s">
        <v>2839</v>
      </c>
      <c r="E239" s="195" t="s">
        <v>2607</v>
      </c>
      <c r="F239" s="195" t="s">
        <v>2530</v>
      </c>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s="68"/>
    </row>
    <row r="240" spans="1:37">
      <c r="A240" s="195" t="s">
        <v>2730</v>
      </c>
      <c r="B240" s="216"/>
      <c r="C240" s="195" t="s">
        <v>2840</v>
      </c>
      <c r="D240" s="195" t="s">
        <v>2841</v>
      </c>
      <c r="E240" s="195" t="s">
        <v>2607</v>
      </c>
      <c r="F240" s="195" t="s">
        <v>2530</v>
      </c>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s="68"/>
    </row>
    <row r="241" spans="1:37">
      <c r="A241" s="195" t="s">
        <v>2730</v>
      </c>
      <c r="B241" s="216"/>
      <c r="C241" s="195" t="s">
        <v>2842</v>
      </c>
      <c r="D241" s="195" t="s">
        <v>1507</v>
      </c>
      <c r="E241" s="195" t="s">
        <v>2607</v>
      </c>
      <c r="F241" s="195" t="s">
        <v>2530</v>
      </c>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row>
    <row r="242" spans="1:37">
      <c r="A242" s="195" t="s">
        <v>2730</v>
      </c>
      <c r="B242" s="216"/>
      <c r="C242" s="195" t="s">
        <v>2843</v>
      </c>
      <c r="D242" s="195" t="s">
        <v>2844</v>
      </c>
      <c r="E242" s="195" t="s">
        <v>2607</v>
      </c>
      <c r="F242" s="195" t="s">
        <v>2530</v>
      </c>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s="68"/>
    </row>
    <row r="243" spans="1:37">
      <c r="A243" s="195" t="s">
        <v>2730</v>
      </c>
      <c r="B243" s="216"/>
      <c r="C243" s="195" t="s">
        <v>2845</v>
      </c>
      <c r="D243" s="195" t="s">
        <v>1189</v>
      </c>
      <c r="E243" s="195" t="s">
        <v>2607</v>
      </c>
      <c r="F243" s="195" t="s">
        <v>2530</v>
      </c>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s="68"/>
    </row>
    <row r="244" spans="1:37">
      <c r="A244" s="195" t="s">
        <v>2730</v>
      </c>
      <c r="B244" s="216"/>
      <c r="C244" s="195" t="s">
        <v>2846</v>
      </c>
      <c r="D244" s="195" t="s">
        <v>2847</v>
      </c>
      <c r="E244" s="195" t="s">
        <v>2607</v>
      </c>
      <c r="F244" s="195" t="s">
        <v>2530</v>
      </c>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s="68"/>
    </row>
    <row r="245" spans="1:37">
      <c r="A245" s="195" t="s">
        <v>2730</v>
      </c>
      <c r="B245" s="216"/>
      <c r="C245" s="195" t="s">
        <v>2848</v>
      </c>
      <c r="D245" s="195" t="s">
        <v>2849</v>
      </c>
      <c r="E245" s="195" t="s">
        <v>2607</v>
      </c>
      <c r="F245" s="195" t="s">
        <v>2530</v>
      </c>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row>
    <row r="246" spans="1:37">
      <c r="A246" s="195" t="s">
        <v>2730</v>
      </c>
      <c r="B246" s="216"/>
      <c r="C246" s="195" t="s">
        <v>2850</v>
      </c>
      <c r="D246" s="195" t="s">
        <v>375</v>
      </c>
      <c r="E246" s="195" t="s">
        <v>2607</v>
      </c>
      <c r="F246" s="195" t="s">
        <v>2530</v>
      </c>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row>
    <row r="247" spans="1:37">
      <c r="A247" s="195" t="s">
        <v>2730</v>
      </c>
      <c r="B247" s="216"/>
      <c r="C247" s="195" t="s">
        <v>2851</v>
      </c>
      <c r="D247" s="195" t="s">
        <v>2852</v>
      </c>
      <c r="E247" s="195" t="s">
        <v>2607</v>
      </c>
      <c r="F247" s="195" t="s">
        <v>2530</v>
      </c>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row>
    <row r="248" spans="1:37">
      <c r="A248" s="195" t="s">
        <v>2730</v>
      </c>
      <c r="B248" s="216"/>
      <c r="C248" s="195" t="s">
        <v>2853</v>
      </c>
      <c r="D248" s="195" t="s">
        <v>2854</v>
      </c>
      <c r="E248" s="195" t="s">
        <v>2607</v>
      </c>
      <c r="F248" s="195" t="s">
        <v>2530</v>
      </c>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s="68"/>
    </row>
    <row r="249" spans="1:37">
      <c r="A249" s="195" t="s">
        <v>2730</v>
      </c>
      <c r="B249" s="216"/>
      <c r="C249" s="195" t="s">
        <v>2855</v>
      </c>
      <c r="D249" s="195" t="s">
        <v>2856</v>
      </c>
      <c r="E249" s="195" t="s">
        <v>2607</v>
      </c>
      <c r="F249" s="195" t="s">
        <v>2530</v>
      </c>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row>
    <row r="250" spans="1:37">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row>
    <row r="251" spans="1:37">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row>
    <row r="252" spans="1:37">
      <c r="A252" s="194" t="s">
        <v>2730</v>
      </c>
      <c r="B252" s="238" t="s">
        <v>374</v>
      </c>
      <c r="C252" s="194" t="s">
        <v>2857</v>
      </c>
      <c r="D252" s="194" t="s">
        <v>2858</v>
      </c>
      <c r="E252" s="194" t="s">
        <v>2859</v>
      </c>
      <c r="F252" s="194" t="s">
        <v>2530</v>
      </c>
      <c r="G252" s="194" t="s">
        <v>2860</v>
      </c>
      <c r="H252" s="180"/>
      <c r="I252" s="180"/>
      <c r="J252" s="180"/>
      <c r="K252" s="180"/>
      <c r="L252" s="180"/>
      <c r="M252" s="180"/>
      <c r="N252" s="180"/>
      <c r="O252" s="180"/>
      <c r="P252" s="180"/>
      <c r="Q252" s="180"/>
      <c r="R252" s="180"/>
      <c r="S252" s="180"/>
      <c r="T252" s="180"/>
      <c r="U252" s="180"/>
      <c r="V252" s="180"/>
      <c r="W252" s="180"/>
      <c r="X252" s="180"/>
      <c r="Y252" s="180"/>
      <c r="Z252" s="180"/>
      <c r="AA252" s="180"/>
      <c r="AB252" s="180"/>
      <c r="AC252" s="180"/>
      <c r="AD252" s="180"/>
      <c r="AE252" s="180"/>
      <c r="AF252" s="180"/>
      <c r="AG252" s="180"/>
      <c r="AH252" s="180"/>
      <c r="AI252" s="180"/>
      <c r="AJ252" s="180"/>
      <c r="AK252" s="180"/>
    </row>
    <row r="253" spans="1:37">
      <c r="A253" s="194" t="s">
        <v>2730</v>
      </c>
      <c r="B253" s="216"/>
      <c r="C253" s="194" t="s">
        <v>2861</v>
      </c>
      <c r="D253" s="194" t="s">
        <v>2862</v>
      </c>
      <c r="E253" s="194" t="s">
        <v>2863</v>
      </c>
      <c r="F253" s="194" t="s">
        <v>2530</v>
      </c>
      <c r="G253" s="194" t="s">
        <v>2864</v>
      </c>
      <c r="H253" s="180"/>
      <c r="I253" s="180"/>
      <c r="J253" s="180"/>
      <c r="K253" s="180"/>
      <c r="L253" s="180"/>
      <c r="M253" s="180"/>
      <c r="N253" s="180"/>
      <c r="O253" s="180"/>
      <c r="P253" s="180"/>
      <c r="Q253" s="180"/>
      <c r="R253" s="180"/>
      <c r="S253" s="180"/>
      <c r="T253" s="180"/>
      <c r="U253" s="180"/>
      <c r="V253" s="180"/>
      <c r="W253" s="180"/>
      <c r="X253" s="180"/>
      <c r="Y253" s="180"/>
      <c r="Z253" s="180"/>
      <c r="AA253" s="180"/>
      <c r="AB253" s="180"/>
      <c r="AC253" s="180"/>
      <c r="AD253" s="180"/>
      <c r="AE253" s="180"/>
      <c r="AF253" s="180"/>
      <c r="AG253" s="180"/>
      <c r="AH253" s="180"/>
      <c r="AI253" s="180"/>
      <c r="AJ253" s="180"/>
      <c r="AK253" s="180"/>
    </row>
    <row r="254" spans="1:37">
      <c r="A254" s="194" t="s">
        <v>2730</v>
      </c>
      <c r="B254" s="216"/>
      <c r="C254" s="194" t="s">
        <v>2865</v>
      </c>
      <c r="D254" s="194" t="s">
        <v>2866</v>
      </c>
      <c r="E254" s="194" t="s">
        <v>2006</v>
      </c>
      <c r="F254" s="194" t="s">
        <v>2530</v>
      </c>
      <c r="G254" s="194" t="s">
        <v>2867</v>
      </c>
      <c r="H254" s="180"/>
      <c r="I254" s="180"/>
      <c r="J254" s="180"/>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c r="AG254" s="180"/>
      <c r="AH254" s="180"/>
      <c r="AI254" s="180"/>
      <c r="AJ254" s="180"/>
      <c r="AK254" s="180"/>
    </row>
    <row r="255" spans="1:37">
      <c r="A255" s="194" t="s">
        <v>2730</v>
      </c>
      <c r="B255" s="216"/>
      <c r="C255" s="194" t="s">
        <v>2868</v>
      </c>
      <c r="D255" s="194" t="s">
        <v>2869</v>
      </c>
      <c r="E255" s="194" t="s">
        <v>2859</v>
      </c>
      <c r="F255" s="194" t="s">
        <v>2530</v>
      </c>
      <c r="G255" s="194" t="s">
        <v>2870</v>
      </c>
      <c r="H255" s="180"/>
      <c r="I255" s="180"/>
      <c r="J255" s="180"/>
      <c r="K255" s="180"/>
      <c r="L255" s="180"/>
      <c r="M255" s="180"/>
      <c r="N255" s="180"/>
      <c r="O255" s="180"/>
      <c r="P255" s="180"/>
      <c r="Q255" s="180"/>
      <c r="R255" s="180"/>
      <c r="S255" s="180"/>
      <c r="T255" s="180"/>
      <c r="U255" s="180"/>
      <c r="V255" s="180"/>
      <c r="W255" s="180"/>
      <c r="X255" s="180"/>
      <c r="Y255" s="180"/>
      <c r="Z255" s="180"/>
      <c r="AA255" s="180"/>
      <c r="AB255" s="180"/>
      <c r="AC255" s="180"/>
      <c r="AD255" s="180"/>
      <c r="AE255" s="180"/>
      <c r="AF255" s="180"/>
      <c r="AG255" s="180"/>
      <c r="AH255" s="180"/>
      <c r="AI255" s="180"/>
      <c r="AJ255" s="180"/>
      <c r="AK255" s="180"/>
    </row>
    <row r="256" spans="1:37">
      <c r="A256" s="180"/>
      <c r="B256" s="216"/>
      <c r="C256" s="194" t="s">
        <v>2871</v>
      </c>
      <c r="D256" s="194" t="s">
        <v>2872</v>
      </c>
      <c r="E256" s="194" t="s">
        <v>204</v>
      </c>
      <c r="F256" s="194" t="s">
        <v>2530</v>
      </c>
      <c r="G256" s="194" t="s">
        <v>2873</v>
      </c>
      <c r="H256" s="180"/>
      <c r="I256" s="180"/>
      <c r="J256" s="180"/>
      <c r="K256" s="180"/>
      <c r="L256" s="180"/>
      <c r="M256" s="180"/>
      <c r="N256" s="180"/>
      <c r="O256" s="180"/>
      <c r="P256" s="180"/>
      <c r="Q256" s="180"/>
      <c r="R256" s="180"/>
      <c r="S256" s="180"/>
      <c r="T256" s="180"/>
      <c r="U256" s="180"/>
      <c r="V256" s="180"/>
      <c r="W256" s="180"/>
      <c r="X256" s="180"/>
      <c r="Y256" s="180"/>
      <c r="Z256" s="180"/>
      <c r="AA256" s="180"/>
      <c r="AB256" s="180"/>
      <c r="AC256" s="180"/>
      <c r="AD256" s="180"/>
      <c r="AE256" s="180"/>
      <c r="AF256" s="180"/>
      <c r="AG256" s="180"/>
      <c r="AH256" s="180"/>
      <c r="AI256" s="180"/>
      <c r="AJ256" s="180"/>
      <c r="AK256" s="180"/>
    </row>
    <row r="257" spans="1:37">
      <c r="A257" s="194" t="s">
        <v>2730</v>
      </c>
      <c r="B257" s="216"/>
      <c r="C257" s="194" t="s">
        <v>2874</v>
      </c>
      <c r="D257" s="194" t="s">
        <v>2875</v>
      </c>
      <c r="E257" s="194" t="s">
        <v>204</v>
      </c>
      <c r="F257" s="194" t="s">
        <v>2530</v>
      </c>
      <c r="G257" s="194" t="s">
        <v>2876</v>
      </c>
      <c r="H257" s="180"/>
      <c r="I257" s="180"/>
      <c r="J257" s="180"/>
      <c r="K257" s="180"/>
      <c r="L257" s="180"/>
      <c r="M257" s="180"/>
      <c r="N257" s="180"/>
      <c r="O257" s="180"/>
      <c r="P257" s="180"/>
      <c r="Q257" s="180"/>
      <c r="R257" s="180"/>
      <c r="S257" s="180"/>
      <c r="T257" s="180"/>
      <c r="U257" s="180"/>
      <c r="V257" s="180"/>
      <c r="W257" s="180"/>
      <c r="X257" s="180"/>
      <c r="Y257" s="180"/>
      <c r="Z257" s="180"/>
      <c r="AA257" s="180"/>
      <c r="AB257" s="180"/>
      <c r="AC257" s="180"/>
      <c r="AD257" s="180"/>
      <c r="AE257" s="180"/>
      <c r="AF257" s="180"/>
      <c r="AG257" s="180"/>
      <c r="AH257" s="180"/>
      <c r="AI257" s="180"/>
      <c r="AJ257" s="180"/>
      <c r="AK257" s="180"/>
    </row>
    <row r="258" spans="1:37">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row>
    <row r="259" spans="1:37">
      <c r="A259" s="183" t="s">
        <v>2730</v>
      </c>
      <c r="B259" s="239" t="s">
        <v>1828</v>
      </c>
      <c r="C259" s="183" t="s">
        <v>2877</v>
      </c>
      <c r="D259" s="183" t="s">
        <v>2878</v>
      </c>
      <c r="E259" s="183" t="s">
        <v>2607</v>
      </c>
      <c r="F259" s="184"/>
      <c r="G259" s="184"/>
      <c r="H259" s="155"/>
      <c r="I259" s="155"/>
      <c r="J259" s="155"/>
      <c r="K259" s="155"/>
      <c r="L259" s="155"/>
      <c r="M259" s="155"/>
      <c r="N259" s="155"/>
      <c r="O259" s="155"/>
      <c r="P259" s="155"/>
      <c r="Q259" s="155"/>
      <c r="R259" s="155"/>
      <c r="S259" s="155"/>
      <c r="T259" s="155"/>
      <c r="U259" s="155"/>
      <c r="V259" s="155"/>
      <c r="W259" s="155"/>
      <c r="X259" s="155"/>
      <c r="Y259" s="155"/>
      <c r="Z259" s="155"/>
      <c r="AA259" s="155"/>
      <c r="AB259" s="155"/>
      <c r="AC259" s="155"/>
      <c r="AD259" s="155"/>
      <c r="AE259" s="155"/>
      <c r="AF259" s="155"/>
      <c r="AG259" s="155"/>
      <c r="AH259" s="155"/>
      <c r="AI259" s="155"/>
      <c r="AJ259" s="155"/>
      <c r="AK259" s="155"/>
    </row>
    <row r="260" spans="1:37">
      <c r="A260" s="183" t="s">
        <v>2730</v>
      </c>
      <c r="B260" s="216"/>
      <c r="C260" s="183" t="s">
        <v>2879</v>
      </c>
      <c r="D260" s="183" t="s">
        <v>2880</v>
      </c>
      <c r="E260" s="183" t="s">
        <v>2607</v>
      </c>
      <c r="F260" s="184"/>
      <c r="G260" s="184"/>
      <c r="H260" s="155"/>
      <c r="I260" s="155"/>
      <c r="J260" s="155"/>
      <c r="K260" s="155"/>
      <c r="L260" s="155"/>
      <c r="M260" s="155"/>
      <c r="N260" s="155"/>
      <c r="O260" s="155"/>
      <c r="P260" s="155"/>
      <c r="Q260" s="155"/>
      <c r="R260" s="155"/>
      <c r="S260" s="155"/>
      <c r="T260" s="155"/>
      <c r="U260" s="155"/>
      <c r="V260" s="155"/>
      <c r="W260" s="155"/>
      <c r="X260" s="155"/>
      <c r="Y260" s="155"/>
      <c r="Z260" s="155"/>
      <c r="AA260" s="155"/>
      <c r="AB260" s="155"/>
      <c r="AC260" s="155"/>
      <c r="AD260" s="155"/>
      <c r="AE260" s="155"/>
      <c r="AF260" s="155"/>
      <c r="AG260" s="155"/>
      <c r="AH260" s="155"/>
      <c r="AI260" s="155"/>
      <c r="AJ260" s="155"/>
      <c r="AK260" s="155"/>
    </row>
    <row r="261" spans="1:37">
      <c r="A261" s="183" t="s">
        <v>2730</v>
      </c>
      <c r="B261" s="216"/>
      <c r="C261" s="183" t="s">
        <v>2881</v>
      </c>
      <c r="D261" s="183" t="s">
        <v>2882</v>
      </c>
      <c r="E261" s="183" t="s">
        <v>2607</v>
      </c>
      <c r="F261" s="184"/>
      <c r="G261" s="184"/>
      <c r="H261" s="155"/>
      <c r="I261" s="155"/>
      <c r="J261" s="155"/>
      <c r="K261" s="155"/>
      <c r="L261" s="155"/>
      <c r="M261" s="155"/>
      <c r="N261" s="155"/>
      <c r="O261" s="155"/>
      <c r="P261" s="155"/>
      <c r="Q261" s="155"/>
      <c r="R261" s="155"/>
      <c r="S261" s="155"/>
      <c r="T261" s="155"/>
      <c r="U261" s="155"/>
      <c r="V261" s="155"/>
      <c r="W261" s="155"/>
      <c r="X261" s="155"/>
      <c r="Y261" s="155"/>
      <c r="Z261" s="155"/>
      <c r="AA261" s="155"/>
      <c r="AB261" s="155"/>
      <c r="AC261" s="155"/>
      <c r="AD261" s="155"/>
      <c r="AE261" s="155"/>
      <c r="AF261" s="155"/>
      <c r="AG261" s="155"/>
      <c r="AH261" s="155"/>
      <c r="AI261" s="155"/>
      <c r="AJ261" s="155"/>
      <c r="AK261" s="155"/>
    </row>
    <row r="262" spans="1:37">
      <c r="A262" s="183" t="s">
        <v>2730</v>
      </c>
      <c r="B262" s="216"/>
      <c r="C262" s="183" t="s">
        <v>2883</v>
      </c>
      <c r="D262" s="183" t="s">
        <v>2884</v>
      </c>
      <c r="E262" s="183" t="s">
        <v>2607</v>
      </c>
      <c r="F262" s="184"/>
      <c r="G262" s="184"/>
      <c r="H262" s="155"/>
      <c r="I262" s="155"/>
      <c r="J262" s="155"/>
      <c r="K262" s="155"/>
      <c r="L262" s="155"/>
      <c r="M262" s="155"/>
      <c r="N262" s="155"/>
      <c r="O262" s="155"/>
      <c r="P262" s="155"/>
      <c r="Q262" s="155"/>
      <c r="R262" s="155"/>
      <c r="S262" s="155"/>
      <c r="T262" s="155"/>
      <c r="U262" s="155"/>
      <c r="V262" s="155"/>
      <c r="W262" s="155"/>
      <c r="X262" s="155"/>
      <c r="Y262" s="155"/>
      <c r="Z262" s="155"/>
      <c r="AA262" s="155"/>
      <c r="AB262" s="155"/>
      <c r="AC262" s="155"/>
      <c r="AD262" s="155"/>
      <c r="AE262" s="155"/>
      <c r="AF262" s="155"/>
      <c r="AG262" s="155"/>
      <c r="AH262" s="155"/>
      <c r="AI262" s="155"/>
      <c r="AJ262" s="155"/>
      <c r="AK262" s="155"/>
    </row>
    <row r="263" spans="1:37">
      <c r="A263" s="183" t="s">
        <v>2730</v>
      </c>
      <c r="B263" s="216"/>
      <c r="C263" s="183" t="s">
        <v>2885</v>
      </c>
      <c r="D263" s="183" t="s">
        <v>2886</v>
      </c>
      <c r="E263" s="183" t="s">
        <v>2607</v>
      </c>
      <c r="F263" s="184"/>
      <c r="G263" s="184"/>
      <c r="H263" s="155"/>
      <c r="I263" s="155"/>
      <c r="J263" s="155"/>
      <c r="K263" s="155"/>
      <c r="L263" s="155"/>
      <c r="M263" s="155"/>
      <c r="N263" s="155"/>
      <c r="O263" s="155"/>
      <c r="P263" s="155"/>
      <c r="Q263" s="155"/>
      <c r="R263" s="155"/>
      <c r="S263" s="155"/>
      <c r="T263" s="155"/>
      <c r="U263" s="155"/>
      <c r="V263" s="155"/>
      <c r="W263" s="155"/>
      <c r="X263" s="155"/>
      <c r="Y263" s="155"/>
      <c r="Z263" s="155"/>
      <c r="AA263" s="155"/>
      <c r="AB263" s="155"/>
      <c r="AC263" s="155"/>
      <c r="AD263" s="155"/>
      <c r="AE263" s="155"/>
      <c r="AF263" s="155"/>
      <c r="AG263" s="155"/>
      <c r="AH263" s="155"/>
      <c r="AI263" s="155"/>
      <c r="AJ263" s="155"/>
      <c r="AK263" s="155"/>
    </row>
    <row r="264" spans="1:37">
      <c r="A264" s="183" t="s">
        <v>2730</v>
      </c>
      <c r="B264" s="216"/>
      <c r="C264" s="183" t="s">
        <v>2887</v>
      </c>
      <c r="D264" s="183" t="s">
        <v>2888</v>
      </c>
      <c r="E264" s="183" t="s">
        <v>2607</v>
      </c>
      <c r="F264" s="184"/>
      <c r="G264" s="184"/>
      <c r="H264" s="155"/>
      <c r="I264" s="155"/>
      <c r="J264" s="155"/>
      <c r="K264" s="155"/>
      <c r="L264" s="155"/>
      <c r="M264" s="155"/>
      <c r="N264" s="155"/>
      <c r="O264" s="155"/>
      <c r="P264" s="155"/>
      <c r="Q264" s="155"/>
      <c r="R264" s="155"/>
      <c r="S264" s="155"/>
      <c r="T264" s="155"/>
      <c r="U264" s="155"/>
      <c r="V264" s="155"/>
      <c r="W264" s="155"/>
      <c r="X264" s="155"/>
      <c r="Y264" s="155"/>
      <c r="Z264" s="155"/>
      <c r="AA264" s="155"/>
      <c r="AB264" s="155"/>
      <c r="AC264" s="155"/>
      <c r="AD264" s="155"/>
      <c r="AE264" s="155"/>
      <c r="AF264" s="155"/>
      <c r="AG264" s="155"/>
      <c r="AH264" s="155"/>
      <c r="AI264" s="155"/>
      <c r="AJ264" s="155"/>
      <c r="AK264" s="155"/>
    </row>
    <row r="265" spans="1:37">
      <c r="A265" s="183" t="s">
        <v>2730</v>
      </c>
      <c r="B265" s="216"/>
      <c r="C265" s="183" t="s">
        <v>2889</v>
      </c>
      <c r="D265" s="183" t="s">
        <v>2890</v>
      </c>
      <c r="E265" s="183" t="s">
        <v>2607</v>
      </c>
      <c r="F265" s="184"/>
      <c r="G265" s="184"/>
      <c r="H265" s="155"/>
      <c r="I265" s="155"/>
      <c r="J265" s="155"/>
      <c r="K265" s="155"/>
      <c r="L265" s="155"/>
      <c r="M265" s="155"/>
      <c r="N265" s="155"/>
      <c r="O265" s="155"/>
      <c r="P265" s="155"/>
      <c r="Q265" s="155"/>
      <c r="R265" s="155"/>
      <c r="S265" s="155"/>
      <c r="T265" s="155"/>
      <c r="U265" s="155"/>
      <c r="V265" s="155"/>
      <c r="W265" s="155"/>
      <c r="X265" s="155"/>
      <c r="Y265" s="155"/>
      <c r="Z265" s="155"/>
      <c r="AA265" s="155"/>
      <c r="AB265" s="155"/>
      <c r="AC265" s="155"/>
      <c r="AD265" s="155"/>
      <c r="AE265" s="155"/>
      <c r="AF265" s="155"/>
      <c r="AG265" s="155"/>
      <c r="AH265" s="155"/>
      <c r="AI265" s="155"/>
      <c r="AJ265" s="155"/>
      <c r="AK265" s="155"/>
    </row>
    <row r="266" spans="1:37">
      <c r="A266" s="183" t="s">
        <v>2730</v>
      </c>
      <c r="B266" s="216"/>
      <c r="C266" s="183" t="s">
        <v>2891</v>
      </c>
      <c r="D266" s="183" t="s">
        <v>1829</v>
      </c>
      <c r="E266" s="183" t="s">
        <v>2607</v>
      </c>
      <c r="F266" s="184"/>
      <c r="G266" s="184"/>
      <c r="H266" s="155"/>
      <c r="I266" s="155"/>
      <c r="J266" s="155"/>
      <c r="K266" s="155"/>
      <c r="L266" s="155"/>
      <c r="M266" s="155"/>
      <c r="N266" s="155"/>
      <c r="O266" s="155"/>
      <c r="P266" s="155"/>
      <c r="Q266" s="155"/>
      <c r="R266" s="155"/>
      <c r="S266" s="155"/>
      <c r="T266" s="155"/>
      <c r="U266" s="155"/>
      <c r="V266" s="155"/>
      <c r="W266" s="155"/>
      <c r="X266" s="155"/>
      <c r="Y266" s="155"/>
      <c r="Z266" s="155"/>
      <c r="AA266" s="155"/>
      <c r="AB266" s="155"/>
      <c r="AC266" s="155"/>
      <c r="AD266" s="155"/>
      <c r="AE266" s="155"/>
      <c r="AF266" s="155"/>
      <c r="AG266" s="155"/>
      <c r="AH266" s="155"/>
      <c r="AI266" s="155"/>
      <c r="AJ266" s="155"/>
      <c r="AK266" s="155"/>
    </row>
    <row r="267" spans="1:37">
      <c r="A267" s="183" t="s">
        <v>2730</v>
      </c>
      <c r="B267" s="216"/>
      <c r="C267" s="183" t="s">
        <v>2892</v>
      </c>
      <c r="D267" s="183" t="s">
        <v>2893</v>
      </c>
      <c r="E267" s="183" t="s">
        <v>2607</v>
      </c>
      <c r="F267" s="184"/>
      <c r="G267" s="184"/>
      <c r="H267" s="155"/>
      <c r="I267" s="155"/>
      <c r="J267" s="155"/>
      <c r="K267" s="155"/>
      <c r="L267" s="155"/>
      <c r="M267" s="155"/>
      <c r="N267" s="155"/>
      <c r="O267" s="155"/>
      <c r="P267" s="155"/>
      <c r="Q267" s="155"/>
      <c r="R267" s="155"/>
      <c r="S267" s="155"/>
      <c r="T267" s="155"/>
      <c r="U267" s="155"/>
      <c r="V267" s="155"/>
      <c r="W267" s="155"/>
      <c r="X267" s="155"/>
      <c r="Y267" s="155"/>
      <c r="Z267" s="155"/>
      <c r="AA267" s="155"/>
      <c r="AB267" s="155"/>
      <c r="AC267" s="155"/>
      <c r="AD267" s="155"/>
      <c r="AE267" s="155"/>
      <c r="AF267" s="155"/>
      <c r="AG267" s="155"/>
      <c r="AH267" s="155"/>
      <c r="AI267" s="155"/>
      <c r="AJ267" s="155"/>
      <c r="AK267" s="155"/>
    </row>
    <row r="268" spans="1:37">
      <c r="A268" s="183" t="s">
        <v>2730</v>
      </c>
      <c r="B268" s="216"/>
      <c r="C268" s="183" t="s">
        <v>2894</v>
      </c>
      <c r="D268" s="183" t="s">
        <v>2895</v>
      </c>
      <c r="E268" s="183" t="s">
        <v>2607</v>
      </c>
      <c r="F268" s="184"/>
      <c r="G268" s="184"/>
      <c r="H268" s="155"/>
      <c r="I268" s="155"/>
      <c r="J268" s="155"/>
      <c r="K268" s="155"/>
      <c r="L268" s="155"/>
      <c r="M268" s="155"/>
      <c r="N268" s="155"/>
      <c r="O268" s="155"/>
      <c r="P268" s="155"/>
      <c r="Q268" s="155"/>
      <c r="R268" s="155"/>
      <c r="S268" s="155"/>
      <c r="T268" s="155"/>
      <c r="U268" s="155"/>
      <c r="V268" s="155"/>
      <c r="W268" s="155"/>
      <c r="X268" s="155"/>
      <c r="Y268" s="155"/>
      <c r="Z268" s="155"/>
      <c r="AA268" s="155"/>
      <c r="AB268" s="155"/>
      <c r="AC268" s="155"/>
      <c r="AD268" s="155"/>
      <c r="AE268" s="155"/>
      <c r="AF268" s="155"/>
      <c r="AG268" s="155"/>
      <c r="AH268" s="155"/>
      <c r="AI268" s="155"/>
      <c r="AJ268" s="155"/>
      <c r="AK268" s="155"/>
    </row>
    <row r="269" spans="1:37">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row>
    <row r="270" spans="1:37" ht="17.25" customHeight="1">
      <c r="A270" s="152" t="s">
        <v>2896</v>
      </c>
      <c r="B270" s="235" t="s">
        <v>513</v>
      </c>
      <c r="C270" s="152" t="s">
        <v>2897</v>
      </c>
      <c r="D270" s="152" t="s">
        <v>2162</v>
      </c>
      <c r="E270" s="152" t="s">
        <v>2070</v>
      </c>
      <c r="F270" s="152" t="s">
        <v>2530</v>
      </c>
      <c r="G270" s="152" t="s">
        <v>2898</v>
      </c>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row>
    <row r="271" spans="1:37" ht="17.25" customHeight="1">
      <c r="A271" s="152" t="s">
        <v>2896</v>
      </c>
      <c r="B271" s="216"/>
      <c r="C271" s="152" t="s">
        <v>2899</v>
      </c>
      <c r="D271" s="152" t="s">
        <v>2149</v>
      </c>
      <c r="E271" s="152" t="s">
        <v>2070</v>
      </c>
      <c r="F271" s="152" t="s">
        <v>2530</v>
      </c>
      <c r="G271" s="152" t="s">
        <v>2900</v>
      </c>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row>
    <row r="272" spans="1:37" ht="17.25" customHeight="1">
      <c r="A272" s="152" t="s">
        <v>2896</v>
      </c>
      <c r="B272" s="216"/>
      <c r="C272" s="152" t="s">
        <v>2901</v>
      </c>
      <c r="D272" s="152" t="s">
        <v>2902</v>
      </c>
      <c r="E272" s="152" t="s">
        <v>2713</v>
      </c>
      <c r="F272" s="152" t="s">
        <v>2530</v>
      </c>
      <c r="G272" s="152" t="s">
        <v>2903</v>
      </c>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row>
    <row r="273" spans="1:37" ht="17.25" customHeight="1">
      <c r="A273" s="152" t="s">
        <v>2896</v>
      </c>
      <c r="B273" s="216"/>
      <c r="C273" s="152" t="s">
        <v>2904</v>
      </c>
      <c r="D273" s="152" t="s">
        <v>514</v>
      </c>
      <c r="E273" s="152" t="s">
        <v>2713</v>
      </c>
      <c r="F273" s="152" t="s">
        <v>2530</v>
      </c>
      <c r="G273" s="152" t="s">
        <v>2905</v>
      </c>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row>
    <row r="274" spans="1:37">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row>
    <row r="275" spans="1:37" ht="20.25" customHeight="1">
      <c r="A275" s="152" t="s">
        <v>2730</v>
      </c>
      <c r="B275" s="235" t="s">
        <v>1055</v>
      </c>
      <c r="C275" s="152" t="s">
        <v>2906</v>
      </c>
      <c r="D275" s="152" t="s">
        <v>2907</v>
      </c>
      <c r="E275" s="152" t="s">
        <v>2908</v>
      </c>
      <c r="F275" s="152" t="s">
        <v>2530</v>
      </c>
      <c r="G275" s="152" t="s">
        <v>2909</v>
      </c>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row>
    <row r="276" spans="1:37" ht="20.25" customHeight="1">
      <c r="A276" s="152" t="s">
        <v>2730</v>
      </c>
      <c r="B276" s="216"/>
      <c r="C276" s="152" t="s">
        <v>2910</v>
      </c>
      <c r="D276" s="152" t="s">
        <v>1370</v>
      </c>
      <c r="E276" s="152" t="s">
        <v>2908</v>
      </c>
      <c r="F276" s="152" t="s">
        <v>2530</v>
      </c>
      <c r="G276" s="152" t="s">
        <v>2911</v>
      </c>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row>
    <row r="277" spans="1:37" ht="20.25" customHeight="1">
      <c r="A277" s="78"/>
      <c r="B277" s="216"/>
      <c r="C277" s="78"/>
      <c r="D277" s="152" t="s">
        <v>1056</v>
      </c>
      <c r="E277" s="78"/>
      <c r="F277" s="78"/>
      <c r="G277" s="152" t="s">
        <v>2912</v>
      </c>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row>
    <row r="278" spans="1:37" ht="20.25" customHeight="1">
      <c r="A278" s="152" t="s">
        <v>2730</v>
      </c>
      <c r="B278" s="216"/>
      <c r="C278" s="152" t="s">
        <v>2913</v>
      </c>
      <c r="D278" s="152" t="s">
        <v>2914</v>
      </c>
      <c r="E278" s="152" t="s">
        <v>2514</v>
      </c>
      <c r="F278" s="152" t="s">
        <v>2530</v>
      </c>
      <c r="G278" s="152" t="s">
        <v>2915</v>
      </c>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row>
    <row r="279" spans="1:37" ht="20.25" customHeight="1">
      <c r="A279" s="78"/>
      <c r="B279" s="216"/>
      <c r="C279" s="152" t="s">
        <v>2916</v>
      </c>
      <c r="D279" s="152" t="s">
        <v>2917</v>
      </c>
      <c r="E279" s="152" t="s">
        <v>2918</v>
      </c>
      <c r="F279" s="152" t="s">
        <v>2530</v>
      </c>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row>
    <row r="280" spans="1:37" ht="20.25" customHeight="1">
      <c r="A280" s="152" t="s">
        <v>2730</v>
      </c>
      <c r="B280" s="216"/>
      <c r="C280" s="152" t="s">
        <v>2919</v>
      </c>
      <c r="D280" s="152" t="s">
        <v>2920</v>
      </c>
      <c r="E280" s="152" t="s">
        <v>2908</v>
      </c>
      <c r="F280" s="152" t="s">
        <v>2530</v>
      </c>
      <c r="G280" s="152" t="s">
        <v>2921</v>
      </c>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row>
    <row r="281" spans="1:37">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row>
    <row r="282" spans="1:37" ht="18" customHeight="1">
      <c r="A282" s="152" t="s">
        <v>2730</v>
      </c>
      <c r="B282" s="235" t="s">
        <v>712</v>
      </c>
      <c r="C282" s="152" t="s">
        <v>2922</v>
      </c>
      <c r="D282" s="152" t="s">
        <v>713</v>
      </c>
      <c r="E282" s="152" t="s">
        <v>2923</v>
      </c>
      <c r="F282" s="152" t="s">
        <v>2530</v>
      </c>
      <c r="G282" s="152" t="s">
        <v>2924</v>
      </c>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row>
    <row r="283" spans="1:37" ht="18" customHeight="1">
      <c r="A283" s="152" t="s">
        <v>2730</v>
      </c>
      <c r="B283" s="216"/>
      <c r="C283" s="152" t="s">
        <v>2925</v>
      </c>
      <c r="D283" s="152" t="s">
        <v>2926</v>
      </c>
      <c r="E283" s="152" t="s">
        <v>2923</v>
      </c>
      <c r="F283" s="152" t="s">
        <v>2530</v>
      </c>
      <c r="G283" s="152" t="s">
        <v>2927</v>
      </c>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row>
    <row r="284" spans="1:37" ht="18" customHeight="1">
      <c r="A284" s="152" t="s">
        <v>2730</v>
      </c>
      <c r="B284" s="216"/>
      <c r="C284" s="152" t="s">
        <v>2928</v>
      </c>
      <c r="D284" s="152" t="s">
        <v>2929</v>
      </c>
      <c r="E284" s="152" t="s">
        <v>2923</v>
      </c>
      <c r="F284" s="152" t="s">
        <v>2530</v>
      </c>
      <c r="G284" s="152" t="s">
        <v>2930</v>
      </c>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row>
    <row r="285" spans="1:37" ht="18" customHeight="1">
      <c r="A285" s="152" t="s">
        <v>2730</v>
      </c>
      <c r="B285" s="216"/>
      <c r="C285" s="152" t="s">
        <v>2931</v>
      </c>
      <c r="D285" s="152" t="s">
        <v>2932</v>
      </c>
      <c r="E285" s="152" t="s">
        <v>2923</v>
      </c>
      <c r="F285" s="152" t="s">
        <v>2530</v>
      </c>
      <c r="G285" s="152" t="s">
        <v>2933</v>
      </c>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row>
    <row r="286" spans="1:37" ht="18" customHeight="1">
      <c r="A286" s="152" t="s">
        <v>2730</v>
      </c>
      <c r="B286" s="216"/>
      <c r="C286" s="152" t="s">
        <v>2934</v>
      </c>
      <c r="D286" s="152" t="s">
        <v>2935</v>
      </c>
      <c r="E286" s="152" t="s">
        <v>2923</v>
      </c>
      <c r="F286" s="152" t="s">
        <v>2530</v>
      </c>
      <c r="G286" s="152" t="s">
        <v>2936</v>
      </c>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row>
    <row r="287" spans="1:3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row>
    <row r="288" spans="1:37" ht="24" customHeight="1">
      <c r="A288" s="152" t="s">
        <v>2730</v>
      </c>
      <c r="B288" s="232" t="s">
        <v>1118</v>
      </c>
      <c r="C288" s="152" t="s">
        <v>2937</v>
      </c>
      <c r="D288" s="152" t="s">
        <v>2938</v>
      </c>
      <c r="E288" s="152" t="s">
        <v>2923</v>
      </c>
      <c r="F288" s="152" t="s">
        <v>2530</v>
      </c>
      <c r="G288" s="152" t="s">
        <v>2939</v>
      </c>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row>
    <row r="289" spans="1:37" ht="24" customHeight="1">
      <c r="A289" s="152" t="s">
        <v>2730</v>
      </c>
      <c r="B289" s="216"/>
      <c r="C289" s="152" t="s">
        <v>2940</v>
      </c>
      <c r="D289" s="152" t="s">
        <v>1119</v>
      </c>
      <c r="E289" s="152" t="s">
        <v>2941</v>
      </c>
      <c r="F289" s="152" t="s">
        <v>2530</v>
      </c>
      <c r="G289" s="152" t="s">
        <v>2942</v>
      </c>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row>
    <row r="290" spans="1:37" ht="24" customHeight="1">
      <c r="A290" s="152" t="s">
        <v>2730</v>
      </c>
      <c r="B290" s="216"/>
      <c r="C290" s="152" t="s">
        <v>2943</v>
      </c>
      <c r="D290" s="152" t="s">
        <v>2944</v>
      </c>
      <c r="E290" s="152" t="s">
        <v>2945</v>
      </c>
      <c r="F290" s="152" t="s">
        <v>2530</v>
      </c>
      <c r="G290" s="152" t="s">
        <v>2946</v>
      </c>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row>
    <row r="291" spans="1:37" ht="24" customHeight="1">
      <c r="A291" s="152" t="s">
        <v>2730</v>
      </c>
      <c r="B291" s="216"/>
      <c r="C291" s="152" t="s">
        <v>2947</v>
      </c>
      <c r="D291" s="152" t="s">
        <v>2948</v>
      </c>
      <c r="E291" s="152" t="s">
        <v>2941</v>
      </c>
      <c r="F291" s="152" t="s">
        <v>2530</v>
      </c>
      <c r="G291" s="152" t="s">
        <v>2949</v>
      </c>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row>
    <row r="292" spans="1:37">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row>
    <row r="293" spans="1:37" ht="20.25" customHeight="1">
      <c r="A293" s="152" t="s">
        <v>2730</v>
      </c>
      <c r="B293" s="232" t="s">
        <v>2592</v>
      </c>
      <c r="C293" s="152" t="s">
        <v>2950</v>
      </c>
      <c r="D293" s="152" t="s">
        <v>2951</v>
      </c>
      <c r="E293" s="152" t="s">
        <v>2514</v>
      </c>
      <c r="F293" s="152" t="s">
        <v>2530</v>
      </c>
      <c r="G293" s="152" t="s">
        <v>2952</v>
      </c>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row>
    <row r="294" spans="1:37" ht="20.25" customHeight="1">
      <c r="A294" s="152" t="s">
        <v>2730</v>
      </c>
      <c r="B294" s="216"/>
      <c r="C294" s="152" t="s">
        <v>2953</v>
      </c>
      <c r="D294" s="152" t="s">
        <v>2954</v>
      </c>
      <c r="E294" s="152" t="s">
        <v>2514</v>
      </c>
      <c r="F294" s="152" t="s">
        <v>2530</v>
      </c>
      <c r="G294" s="152" t="s">
        <v>2955</v>
      </c>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row>
    <row r="295" spans="1:37" ht="20.25" customHeight="1">
      <c r="A295" s="152" t="s">
        <v>2730</v>
      </c>
      <c r="B295" s="216"/>
      <c r="C295" s="152" t="s">
        <v>2956</v>
      </c>
      <c r="D295" s="152" t="s">
        <v>2957</v>
      </c>
      <c r="E295" s="152" t="s">
        <v>2941</v>
      </c>
      <c r="F295" s="152" t="s">
        <v>2530</v>
      </c>
      <c r="G295" s="152" t="s">
        <v>2958</v>
      </c>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row>
    <row r="296" spans="1:37" ht="20.25" customHeight="1">
      <c r="A296" s="152" t="s">
        <v>2730</v>
      </c>
      <c r="B296" s="216"/>
      <c r="C296" s="152" t="s">
        <v>2959</v>
      </c>
      <c r="D296" s="152" t="s">
        <v>2960</v>
      </c>
      <c r="E296" s="152" t="s">
        <v>2941</v>
      </c>
      <c r="F296" s="152" t="s">
        <v>2530</v>
      </c>
      <c r="G296" s="152" t="s">
        <v>2961</v>
      </c>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row>
    <row r="297" spans="1:3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row>
    <row r="298" spans="1:37" ht="18" customHeight="1">
      <c r="A298" s="152" t="s">
        <v>2730</v>
      </c>
      <c r="B298" s="232" t="s">
        <v>2595</v>
      </c>
      <c r="C298" s="152" t="s">
        <v>2962</v>
      </c>
      <c r="D298" s="152" t="s">
        <v>2963</v>
      </c>
      <c r="E298" s="152" t="s">
        <v>2604</v>
      </c>
      <c r="F298" s="152" t="s">
        <v>2530</v>
      </c>
      <c r="G298" s="152" t="s">
        <v>2964</v>
      </c>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row>
    <row r="299" spans="1:37" ht="18" customHeight="1">
      <c r="A299" s="152" t="s">
        <v>2730</v>
      </c>
      <c r="B299" s="216"/>
      <c r="C299" s="152" t="s">
        <v>2965</v>
      </c>
      <c r="D299" s="152" t="s">
        <v>2966</v>
      </c>
      <c r="E299" s="152" t="s">
        <v>2604</v>
      </c>
      <c r="F299" s="152" t="s">
        <v>2530</v>
      </c>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row>
    <row r="300" spans="1:37" ht="18" customHeight="1">
      <c r="A300" s="152" t="s">
        <v>2730</v>
      </c>
      <c r="B300" s="216"/>
      <c r="C300" s="152" t="s">
        <v>2967</v>
      </c>
      <c r="D300" s="152" t="s">
        <v>2968</v>
      </c>
      <c r="E300" s="152" t="s">
        <v>2604</v>
      </c>
      <c r="F300" s="152" t="s">
        <v>2530</v>
      </c>
      <c r="G300" s="152" t="s">
        <v>2969</v>
      </c>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row>
    <row r="301" spans="1:37" ht="18" customHeight="1">
      <c r="A301" s="152" t="s">
        <v>2730</v>
      </c>
      <c r="B301" s="216"/>
      <c r="C301" s="152" t="s">
        <v>2970</v>
      </c>
      <c r="D301" s="152" t="s">
        <v>2971</v>
      </c>
      <c r="E301" s="152" t="s">
        <v>2604</v>
      </c>
      <c r="F301" s="152" t="s">
        <v>2530</v>
      </c>
      <c r="G301" s="152" t="s">
        <v>2972</v>
      </c>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row>
    <row r="302" spans="1:37" ht="18" customHeight="1">
      <c r="A302" s="152" t="s">
        <v>2730</v>
      </c>
      <c r="B302" s="216"/>
      <c r="C302" s="152" t="s">
        <v>2973</v>
      </c>
      <c r="D302" s="152" t="s">
        <v>2974</v>
      </c>
      <c r="E302" s="152" t="s">
        <v>2604</v>
      </c>
      <c r="F302" s="152" t="s">
        <v>2530</v>
      </c>
      <c r="G302" s="152" t="s">
        <v>2975</v>
      </c>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row>
    <row r="303" spans="1:37" ht="18" customHeight="1">
      <c r="A303" s="152" t="s">
        <v>2730</v>
      </c>
      <c r="B303" s="216"/>
      <c r="C303" s="152" t="s">
        <v>2976</v>
      </c>
      <c r="D303" s="152" t="s">
        <v>2977</v>
      </c>
      <c r="E303" s="152" t="s">
        <v>2604</v>
      </c>
      <c r="F303" s="152" t="s">
        <v>2530</v>
      </c>
      <c r="G303" s="152" t="s">
        <v>2978</v>
      </c>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row>
    <row r="304" spans="1:37">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row>
    <row r="305" spans="1:37" ht="22.5" customHeight="1">
      <c r="A305" s="152" t="s">
        <v>2730</v>
      </c>
      <c r="B305" s="235" t="s">
        <v>1014</v>
      </c>
      <c r="C305" s="152" t="s">
        <v>2979</v>
      </c>
      <c r="D305" s="152" t="s">
        <v>2980</v>
      </c>
      <c r="E305" s="152" t="s">
        <v>204</v>
      </c>
      <c r="F305" s="152" t="s">
        <v>2530</v>
      </c>
      <c r="G305" s="152" t="s">
        <v>2981</v>
      </c>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row>
    <row r="306" spans="1:37" ht="22.5" customHeight="1">
      <c r="A306" s="152" t="s">
        <v>2730</v>
      </c>
      <c r="B306" s="216"/>
      <c r="C306" s="152" t="s">
        <v>2982</v>
      </c>
      <c r="D306" s="152" t="s">
        <v>2983</v>
      </c>
      <c r="E306" s="152" t="s">
        <v>204</v>
      </c>
      <c r="F306" s="152" t="s">
        <v>2530</v>
      </c>
      <c r="G306" s="152" t="s">
        <v>2984</v>
      </c>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row>
    <row r="307" spans="1:37" ht="22.5" customHeight="1">
      <c r="A307" s="152" t="s">
        <v>2730</v>
      </c>
      <c r="B307" s="216"/>
      <c r="C307" s="152" t="s">
        <v>2985</v>
      </c>
      <c r="D307" s="152" t="s">
        <v>1015</v>
      </c>
      <c r="E307" s="152" t="s">
        <v>204</v>
      </c>
      <c r="F307" s="152" t="s">
        <v>2530</v>
      </c>
      <c r="G307" s="152" t="s">
        <v>2986</v>
      </c>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row>
    <row r="308" spans="1:37" ht="22.5" customHeight="1">
      <c r="A308" s="152" t="s">
        <v>2730</v>
      </c>
      <c r="B308" s="216"/>
      <c r="C308" s="152" t="s">
        <v>2987</v>
      </c>
      <c r="D308" s="152" t="s">
        <v>2988</v>
      </c>
      <c r="E308" s="152" t="s">
        <v>204</v>
      </c>
      <c r="F308" s="152" t="s">
        <v>2530</v>
      </c>
      <c r="G308" s="152" t="s">
        <v>2989</v>
      </c>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row>
    <row r="309" spans="1:37" ht="22.5" customHeight="1">
      <c r="A309" s="152" t="s">
        <v>2730</v>
      </c>
      <c r="B309" s="216"/>
      <c r="C309" s="152" t="s">
        <v>2990</v>
      </c>
      <c r="D309" s="152" t="s">
        <v>2991</v>
      </c>
      <c r="E309" s="152" t="s">
        <v>204</v>
      </c>
      <c r="F309" s="152" t="s">
        <v>2530</v>
      </c>
      <c r="G309" s="152" t="s">
        <v>2992</v>
      </c>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row>
    <row r="310" spans="1:37">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row>
    <row r="311" spans="1:37" ht="18" customHeight="1">
      <c r="A311" s="152" t="s">
        <v>2730</v>
      </c>
      <c r="B311" s="232" t="s">
        <v>383</v>
      </c>
      <c r="C311" s="152" t="s">
        <v>2993</v>
      </c>
      <c r="D311" s="152" t="s">
        <v>548</v>
      </c>
      <c r="E311" s="152" t="s">
        <v>2604</v>
      </c>
      <c r="F311" s="152" t="s">
        <v>2530</v>
      </c>
      <c r="G311" s="152" t="s">
        <v>2994</v>
      </c>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row>
    <row r="312" spans="1:37" ht="18" customHeight="1">
      <c r="A312" s="78"/>
      <c r="B312" s="216"/>
      <c r="C312" s="152" t="s">
        <v>2995</v>
      </c>
      <c r="D312" s="152" t="s">
        <v>2996</v>
      </c>
      <c r="E312" s="152" t="s">
        <v>204</v>
      </c>
      <c r="F312" s="152" t="s">
        <v>2530</v>
      </c>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row>
    <row r="313" spans="1:37" ht="18" customHeight="1">
      <c r="A313" s="152" t="s">
        <v>2730</v>
      </c>
      <c r="B313" s="216"/>
      <c r="C313" s="152" t="s">
        <v>2997</v>
      </c>
      <c r="D313" s="152" t="s">
        <v>403</v>
      </c>
      <c r="E313" s="152" t="s">
        <v>204</v>
      </c>
      <c r="F313" s="152" t="s">
        <v>2530</v>
      </c>
      <c r="G313" s="152" t="s">
        <v>2998</v>
      </c>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row>
    <row r="314" spans="1:37" ht="18" customHeight="1">
      <c r="A314" s="78"/>
      <c r="B314" s="216"/>
      <c r="C314" s="152" t="s">
        <v>2999</v>
      </c>
      <c r="D314" s="152" t="s">
        <v>384</v>
      </c>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row>
    <row r="315" spans="1:37" ht="18" customHeight="1">
      <c r="A315" s="152"/>
      <c r="B315" s="216"/>
      <c r="C315" s="152" t="s">
        <v>3000</v>
      </c>
      <c r="D315" s="152" t="s">
        <v>3001</v>
      </c>
      <c r="E315" s="121" t="s">
        <v>2570</v>
      </c>
      <c r="F315" s="152"/>
      <c r="G315" s="152"/>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row>
    <row r="316" spans="1:37" ht="18" customHeight="1">
      <c r="A316" s="152" t="s">
        <v>2730</v>
      </c>
      <c r="B316" s="216"/>
      <c r="C316" s="152" t="s">
        <v>3002</v>
      </c>
      <c r="D316" s="152" t="s">
        <v>1148</v>
      </c>
      <c r="E316" s="152" t="s">
        <v>204</v>
      </c>
      <c r="F316" s="152" t="s">
        <v>2530</v>
      </c>
      <c r="G316" s="152" t="s">
        <v>3003</v>
      </c>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row>
    <row r="317" spans="1:37" ht="18" customHeight="1">
      <c r="A317" s="152" t="s">
        <v>2730</v>
      </c>
      <c r="B317" s="216"/>
      <c r="C317" s="152" t="s">
        <v>3004</v>
      </c>
      <c r="D317" s="152" t="s">
        <v>3005</v>
      </c>
      <c r="E317" s="152" t="s">
        <v>204</v>
      </c>
      <c r="F317" s="152" t="s">
        <v>2530</v>
      </c>
      <c r="G317" s="152" t="s">
        <v>3006</v>
      </c>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row>
    <row r="318" spans="1:37" ht="18" customHeight="1">
      <c r="A318" s="152"/>
      <c r="B318" s="216"/>
      <c r="C318" s="152" t="s">
        <v>3007</v>
      </c>
      <c r="D318" s="152" t="s">
        <v>3008</v>
      </c>
      <c r="E318" s="152" t="s">
        <v>2604</v>
      </c>
      <c r="F318" s="152"/>
      <c r="G318" s="152"/>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row>
    <row r="319" spans="1:37" ht="18" customHeight="1">
      <c r="A319" s="152" t="s">
        <v>2730</v>
      </c>
      <c r="B319" s="216"/>
      <c r="C319" s="152" t="s">
        <v>3009</v>
      </c>
      <c r="D319" s="152" t="s">
        <v>3010</v>
      </c>
      <c r="E319" s="152" t="s">
        <v>3011</v>
      </c>
      <c r="F319" s="152" t="s">
        <v>2530</v>
      </c>
      <c r="G319" s="152" t="s">
        <v>3012</v>
      </c>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row>
    <row r="320" spans="1:37">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row>
    <row r="321" spans="1:37" ht="19.5" customHeight="1">
      <c r="A321" s="152" t="s">
        <v>2730</v>
      </c>
      <c r="B321" s="235" t="s">
        <v>1163</v>
      </c>
      <c r="C321" s="152" t="s">
        <v>3013</v>
      </c>
      <c r="D321" s="152" t="s">
        <v>3014</v>
      </c>
      <c r="E321" s="152" t="s">
        <v>3015</v>
      </c>
      <c r="F321" s="152" t="s">
        <v>2530</v>
      </c>
      <c r="G321" s="152" t="s">
        <v>3016</v>
      </c>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row>
    <row r="322" spans="1:37" ht="19.5" customHeight="1">
      <c r="A322" s="152" t="s">
        <v>2730</v>
      </c>
      <c r="B322" s="216"/>
      <c r="C322" s="152" t="s">
        <v>3017</v>
      </c>
      <c r="D322" s="152" t="s">
        <v>1634</v>
      </c>
      <c r="E322" s="152" t="s">
        <v>204</v>
      </c>
      <c r="F322" s="152" t="s">
        <v>2530</v>
      </c>
      <c r="G322" s="152" t="s">
        <v>3018</v>
      </c>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row>
    <row r="323" spans="1:37" ht="19.5" customHeight="1">
      <c r="A323" s="152" t="s">
        <v>2730</v>
      </c>
      <c r="B323" s="216"/>
      <c r="C323" s="152" t="s">
        <v>3019</v>
      </c>
      <c r="D323" s="152" t="s">
        <v>3020</v>
      </c>
      <c r="E323" s="152" t="s">
        <v>204</v>
      </c>
      <c r="F323" s="152" t="s">
        <v>2530</v>
      </c>
      <c r="G323" s="152" t="s">
        <v>3021</v>
      </c>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row>
    <row r="324" spans="1:37" ht="19.5" customHeight="1">
      <c r="A324" s="152" t="s">
        <v>2730</v>
      </c>
      <c r="B324" s="216"/>
      <c r="C324" s="152" t="s">
        <v>3022</v>
      </c>
      <c r="D324" s="152" t="s">
        <v>3023</v>
      </c>
      <c r="E324" s="152" t="s">
        <v>204</v>
      </c>
      <c r="F324" s="152" t="s">
        <v>2530</v>
      </c>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row>
    <row r="325" spans="1:37" ht="19.5" customHeight="1">
      <c r="A325" s="152" t="s">
        <v>2730</v>
      </c>
      <c r="B325" s="216"/>
      <c r="C325" s="152" t="s">
        <v>3024</v>
      </c>
      <c r="D325" s="152" t="s">
        <v>3025</v>
      </c>
      <c r="E325" s="152" t="s">
        <v>204</v>
      </c>
      <c r="F325" s="152" t="s">
        <v>2530</v>
      </c>
      <c r="G325" s="152" t="s">
        <v>3026</v>
      </c>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row>
    <row r="326" spans="1:37" ht="19.5" customHeight="1">
      <c r="A326" s="152" t="s">
        <v>2730</v>
      </c>
      <c r="B326" s="216"/>
      <c r="C326" s="152" t="s">
        <v>3027</v>
      </c>
      <c r="D326" s="152" t="s">
        <v>3028</v>
      </c>
      <c r="E326" s="152" t="s">
        <v>204</v>
      </c>
      <c r="F326" s="152" t="s">
        <v>2530</v>
      </c>
      <c r="G326" s="152" t="s">
        <v>3029</v>
      </c>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row>
    <row r="327" spans="1:37" ht="19.5" customHeight="1">
      <c r="A327" s="152" t="s">
        <v>2730</v>
      </c>
      <c r="B327" s="216"/>
      <c r="C327" s="152" t="s">
        <v>3030</v>
      </c>
      <c r="D327" s="152" t="s">
        <v>3031</v>
      </c>
      <c r="E327" s="152" t="s">
        <v>204</v>
      </c>
      <c r="F327" s="152" t="s">
        <v>2530</v>
      </c>
      <c r="G327" s="152" t="s">
        <v>3032</v>
      </c>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row>
    <row r="328" spans="1:37" ht="19.5" customHeight="1">
      <c r="A328" s="152" t="s">
        <v>2730</v>
      </c>
      <c r="B328" s="216"/>
      <c r="C328" s="152" t="s">
        <v>3033</v>
      </c>
      <c r="D328" s="152" t="s">
        <v>3034</v>
      </c>
      <c r="E328" s="152" t="s">
        <v>204</v>
      </c>
      <c r="F328" s="152" t="s">
        <v>2530</v>
      </c>
      <c r="G328" s="152" t="s">
        <v>3035</v>
      </c>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row>
    <row r="329" spans="1:37">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row>
    <row r="330" spans="1:37" ht="19.5" customHeight="1">
      <c r="A330" s="152" t="s">
        <v>2730</v>
      </c>
      <c r="B330" s="235" t="s">
        <v>758</v>
      </c>
      <c r="C330" s="152" t="s">
        <v>3036</v>
      </c>
      <c r="D330" s="152" t="s">
        <v>759</v>
      </c>
      <c r="E330" s="152" t="s">
        <v>204</v>
      </c>
      <c r="F330" s="152" t="s">
        <v>2530</v>
      </c>
      <c r="G330" s="152" t="s">
        <v>3037</v>
      </c>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row>
    <row r="331" spans="1:37" ht="19.5" customHeight="1">
      <c r="A331" s="152" t="s">
        <v>2730</v>
      </c>
      <c r="B331" s="216"/>
      <c r="C331" s="152" t="s">
        <v>3038</v>
      </c>
      <c r="D331" s="152" t="s">
        <v>3039</v>
      </c>
      <c r="E331" s="152" t="s">
        <v>204</v>
      </c>
      <c r="F331" s="152" t="s">
        <v>2530</v>
      </c>
      <c r="G331" s="152" t="s">
        <v>3040</v>
      </c>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row>
    <row r="332" spans="1:37" ht="19.5" customHeight="1">
      <c r="A332" s="152" t="s">
        <v>2730</v>
      </c>
      <c r="B332" s="216"/>
      <c r="C332" s="152" t="s">
        <v>3041</v>
      </c>
      <c r="D332" s="152" t="s">
        <v>3042</v>
      </c>
      <c r="E332" s="152" t="s">
        <v>204</v>
      </c>
      <c r="F332" s="152" t="s">
        <v>2530</v>
      </c>
      <c r="G332" s="152" t="s">
        <v>3043</v>
      </c>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row>
    <row r="333" spans="1:37" ht="19.5" customHeight="1">
      <c r="A333" s="152" t="s">
        <v>2730</v>
      </c>
      <c r="B333" s="216"/>
      <c r="C333" s="152" t="s">
        <v>3044</v>
      </c>
      <c r="D333" s="152" t="s">
        <v>3045</v>
      </c>
      <c r="E333" s="152" t="s">
        <v>204</v>
      </c>
      <c r="F333" s="152" t="s">
        <v>2530</v>
      </c>
      <c r="G333" s="152" t="s">
        <v>3046</v>
      </c>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row>
    <row r="334" spans="1:37" ht="19.5" customHeight="1">
      <c r="A334" s="152" t="s">
        <v>2730</v>
      </c>
      <c r="B334" s="216"/>
      <c r="C334" s="152" t="s">
        <v>3047</v>
      </c>
      <c r="D334" s="152" t="s">
        <v>1293</v>
      </c>
      <c r="E334" s="152" t="s">
        <v>204</v>
      </c>
      <c r="F334" s="152" t="s">
        <v>2530</v>
      </c>
      <c r="G334" s="152" t="s">
        <v>3048</v>
      </c>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row>
    <row r="335" spans="1:37" ht="19.5" customHeight="1">
      <c r="A335" s="152" t="s">
        <v>2730</v>
      </c>
      <c r="B335" s="216"/>
      <c r="C335" s="152" t="s">
        <v>3049</v>
      </c>
      <c r="D335" s="152" t="s">
        <v>3050</v>
      </c>
      <c r="E335" s="152" t="s">
        <v>204</v>
      </c>
      <c r="F335" s="152" t="s">
        <v>2530</v>
      </c>
      <c r="G335" s="152" t="s">
        <v>3051</v>
      </c>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row>
    <row r="336" spans="1:37">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row>
    <row r="337" spans="1:37">
      <c r="A337" s="152" t="s">
        <v>2730</v>
      </c>
      <c r="B337" s="232" t="s">
        <v>811</v>
      </c>
      <c r="C337" s="152" t="s">
        <v>3052</v>
      </c>
      <c r="D337" s="152" t="s">
        <v>3053</v>
      </c>
      <c r="E337" s="152" t="s">
        <v>3054</v>
      </c>
      <c r="F337" s="152" t="s">
        <v>2530</v>
      </c>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row>
    <row r="338" spans="1:37">
      <c r="A338" s="152" t="s">
        <v>2730</v>
      </c>
      <c r="B338" s="216"/>
      <c r="C338" s="152" t="s">
        <v>3055</v>
      </c>
      <c r="D338" s="152" t="s">
        <v>3056</v>
      </c>
      <c r="E338" s="152" t="s">
        <v>3054</v>
      </c>
      <c r="F338" s="152" t="s">
        <v>2530</v>
      </c>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row>
    <row r="339" spans="1:37">
      <c r="A339" s="152" t="s">
        <v>2730</v>
      </c>
      <c r="B339" s="216"/>
      <c r="C339" s="152" t="s">
        <v>3057</v>
      </c>
      <c r="D339" s="152" t="s">
        <v>3058</v>
      </c>
      <c r="E339" s="152" t="s">
        <v>3054</v>
      </c>
      <c r="F339" s="152" t="s">
        <v>2530</v>
      </c>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row>
    <row r="340" spans="1:37">
      <c r="A340" s="152" t="s">
        <v>2730</v>
      </c>
      <c r="B340" s="216"/>
      <c r="C340" s="152" t="s">
        <v>3059</v>
      </c>
      <c r="D340" s="152" t="s">
        <v>3060</v>
      </c>
      <c r="E340" s="152" t="s">
        <v>2570</v>
      </c>
      <c r="F340" s="152" t="s">
        <v>2530</v>
      </c>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row>
    <row r="341" spans="1:37">
      <c r="A341" s="172" t="s">
        <v>2730</v>
      </c>
      <c r="B341" s="216"/>
      <c r="C341" s="192" t="s">
        <v>3061</v>
      </c>
      <c r="D341" s="192" t="s">
        <v>1200</v>
      </c>
      <c r="E341" s="192" t="s">
        <v>2607</v>
      </c>
      <c r="F341" s="172" t="s">
        <v>2530</v>
      </c>
      <c r="G341" s="173"/>
      <c r="H341" s="173"/>
      <c r="I341" s="173"/>
      <c r="J341" s="173"/>
      <c r="K341" s="173"/>
      <c r="L341" s="173"/>
      <c r="M341" s="173"/>
      <c r="N341" s="173"/>
      <c r="O341" s="173"/>
      <c r="P341" s="173"/>
      <c r="Q341" s="173"/>
      <c r="R341" s="173"/>
      <c r="S341" s="173"/>
      <c r="T341" s="173"/>
      <c r="U341" s="173"/>
      <c r="V341" s="173"/>
      <c r="W341" s="173"/>
      <c r="X341" s="173"/>
      <c r="Y341" s="173"/>
      <c r="Z341" s="173"/>
      <c r="AA341" s="173"/>
      <c r="AB341" s="173"/>
      <c r="AC341" s="173"/>
      <c r="AD341" s="173"/>
      <c r="AE341" s="173"/>
      <c r="AF341" s="173"/>
      <c r="AG341" s="173"/>
      <c r="AH341" s="173"/>
      <c r="AI341" s="173"/>
      <c r="AJ341" s="173"/>
      <c r="AK341" s="173"/>
    </row>
    <row r="342" spans="1:37">
      <c r="A342" s="152" t="s">
        <v>2730</v>
      </c>
      <c r="B342" s="216"/>
      <c r="C342" s="199" t="s">
        <v>3062</v>
      </c>
      <c r="D342" s="195" t="s">
        <v>3063</v>
      </c>
      <c r="E342" s="152" t="s">
        <v>3054</v>
      </c>
      <c r="F342" s="152" t="s">
        <v>2530</v>
      </c>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row>
    <row r="343" spans="1:37">
      <c r="A343" s="152" t="s">
        <v>2730</v>
      </c>
      <c r="B343" s="216"/>
      <c r="C343" s="195" t="s">
        <v>3064</v>
      </c>
      <c r="D343" s="192" t="s">
        <v>3065</v>
      </c>
      <c r="E343" s="152"/>
      <c r="F343" s="152"/>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row>
    <row r="344" spans="1:37">
      <c r="A344" s="152" t="s">
        <v>2730</v>
      </c>
      <c r="B344" s="216"/>
      <c r="C344" s="195" t="s">
        <v>3066</v>
      </c>
      <c r="D344" s="192" t="s">
        <v>3067</v>
      </c>
      <c r="E344" s="152"/>
      <c r="F344" s="152"/>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row>
    <row r="345" spans="1:37">
      <c r="A345" s="152" t="s">
        <v>2730</v>
      </c>
      <c r="B345" s="216"/>
      <c r="C345" s="195" t="s">
        <v>3068</v>
      </c>
      <c r="D345" s="192" t="s">
        <v>3069</v>
      </c>
      <c r="E345" s="152"/>
      <c r="F345" s="152"/>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row>
    <row r="346" spans="1:37">
      <c r="A346" s="152" t="s">
        <v>2730</v>
      </c>
      <c r="B346" s="216"/>
      <c r="C346" s="195" t="s">
        <v>3070</v>
      </c>
      <c r="D346" s="192" t="s">
        <v>3071</v>
      </c>
      <c r="E346" s="152"/>
      <c r="F346" s="152"/>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row>
    <row r="347" spans="1:37">
      <c r="A347" s="152" t="s">
        <v>2730</v>
      </c>
      <c r="B347" s="216"/>
      <c r="C347" s="152" t="s">
        <v>3072</v>
      </c>
      <c r="D347" s="152" t="s">
        <v>812</v>
      </c>
      <c r="E347" s="152" t="s">
        <v>2570</v>
      </c>
      <c r="F347" s="152" t="s">
        <v>2530</v>
      </c>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row>
    <row r="348" spans="1:37">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row>
    <row r="349" spans="1:37" ht="21" customHeight="1">
      <c r="A349" s="152" t="s">
        <v>2730</v>
      </c>
      <c r="B349" s="232" t="s">
        <v>2610</v>
      </c>
      <c r="C349" s="152" t="s">
        <v>3073</v>
      </c>
      <c r="D349" s="152" t="s">
        <v>3074</v>
      </c>
      <c r="E349" s="152" t="s">
        <v>3015</v>
      </c>
      <c r="F349" s="152" t="s">
        <v>2530</v>
      </c>
      <c r="G349" s="152" t="s">
        <v>3075</v>
      </c>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row>
    <row r="350" spans="1:37" ht="21" customHeight="1">
      <c r="A350" s="152" t="s">
        <v>2730</v>
      </c>
      <c r="B350" s="216"/>
      <c r="C350" s="152" t="s">
        <v>3076</v>
      </c>
      <c r="D350" s="152" t="s">
        <v>3077</v>
      </c>
      <c r="E350" s="152" t="s">
        <v>3078</v>
      </c>
      <c r="F350" s="152" t="s">
        <v>2530</v>
      </c>
      <c r="G350" s="152" t="s">
        <v>3079</v>
      </c>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row>
    <row r="351" spans="1:37" ht="21" customHeight="1">
      <c r="A351" s="152" t="s">
        <v>2730</v>
      </c>
      <c r="B351" s="216"/>
      <c r="C351" s="152" t="s">
        <v>3080</v>
      </c>
      <c r="D351" s="152" t="s">
        <v>3081</v>
      </c>
      <c r="E351" s="152" t="s">
        <v>204</v>
      </c>
      <c r="F351" s="152" t="s">
        <v>2530</v>
      </c>
      <c r="G351" s="152" t="s">
        <v>3082</v>
      </c>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row>
    <row r="352" spans="1:37" ht="21" customHeight="1">
      <c r="A352" s="152" t="s">
        <v>2730</v>
      </c>
      <c r="B352" s="216"/>
      <c r="C352" s="152" t="s">
        <v>3083</v>
      </c>
      <c r="D352" s="152" t="s">
        <v>3084</v>
      </c>
      <c r="E352" s="152" t="s">
        <v>204</v>
      </c>
      <c r="F352" s="152" t="s">
        <v>2530</v>
      </c>
      <c r="G352" s="152" t="s">
        <v>3085</v>
      </c>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row>
    <row r="353" spans="1:37" ht="21" customHeight="1">
      <c r="A353" s="152" t="s">
        <v>2730</v>
      </c>
      <c r="B353" s="216"/>
      <c r="C353" s="152" t="s">
        <v>3086</v>
      </c>
      <c r="D353" s="152" t="s">
        <v>3087</v>
      </c>
      <c r="E353" s="152" t="s">
        <v>204</v>
      </c>
      <c r="F353" s="152" t="s">
        <v>2530</v>
      </c>
      <c r="G353" s="152" t="s">
        <v>3088</v>
      </c>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row>
    <row r="354" spans="1:37" ht="21" customHeight="1">
      <c r="A354" s="152" t="s">
        <v>2730</v>
      </c>
      <c r="B354" s="216"/>
      <c r="C354" s="152" t="s">
        <v>3089</v>
      </c>
      <c r="D354" s="152" t="s">
        <v>3090</v>
      </c>
      <c r="E354" s="152" t="s">
        <v>204</v>
      </c>
      <c r="F354" s="152" t="s">
        <v>2530</v>
      </c>
      <c r="G354" s="152" t="s">
        <v>3091</v>
      </c>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row>
    <row r="355" spans="1:37">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row>
    <row r="356" spans="1:37">
      <c r="A356" s="152" t="s">
        <v>2730</v>
      </c>
      <c r="B356" s="232" t="s">
        <v>847</v>
      </c>
      <c r="C356" s="152" t="s">
        <v>3092</v>
      </c>
      <c r="D356" s="152" t="s">
        <v>3093</v>
      </c>
      <c r="E356" s="152" t="s">
        <v>204</v>
      </c>
      <c r="F356" s="152" t="s">
        <v>2530</v>
      </c>
      <c r="G356" s="152" t="s">
        <v>3094</v>
      </c>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row>
    <row r="357" spans="1:37">
      <c r="A357" s="78"/>
      <c r="B357" s="216"/>
      <c r="C357" s="152" t="s">
        <v>3095</v>
      </c>
      <c r="D357" s="152" t="s">
        <v>1039</v>
      </c>
      <c r="E357" s="152" t="s">
        <v>204</v>
      </c>
      <c r="F357" s="152" t="s">
        <v>2530</v>
      </c>
      <c r="G357" s="152" t="s">
        <v>3096</v>
      </c>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row>
    <row r="358" spans="1:37">
      <c r="A358" s="152" t="s">
        <v>2730</v>
      </c>
      <c r="B358" s="216"/>
      <c r="C358" s="152" t="s">
        <v>3097</v>
      </c>
      <c r="D358" s="152" t="s">
        <v>3098</v>
      </c>
      <c r="E358" s="152" t="s">
        <v>204</v>
      </c>
      <c r="F358" s="152" t="s">
        <v>2530</v>
      </c>
      <c r="G358" s="152" t="s">
        <v>3099</v>
      </c>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row>
    <row r="359" spans="1:37">
      <c r="A359" s="152" t="s">
        <v>2730</v>
      </c>
      <c r="B359" s="216"/>
      <c r="C359" s="152" t="s">
        <v>3100</v>
      </c>
      <c r="D359" s="152" t="s">
        <v>848</v>
      </c>
      <c r="E359" s="152" t="s">
        <v>204</v>
      </c>
      <c r="F359" s="152" t="s">
        <v>2530</v>
      </c>
      <c r="G359" s="152" t="s">
        <v>3101</v>
      </c>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row>
    <row r="360" spans="1:37">
      <c r="A360" s="152" t="s">
        <v>2730</v>
      </c>
      <c r="B360" s="216"/>
      <c r="C360" s="152" t="s">
        <v>3102</v>
      </c>
      <c r="D360" s="152" t="s">
        <v>3103</v>
      </c>
      <c r="E360" s="152" t="s">
        <v>204</v>
      </c>
      <c r="F360" s="152" t="s">
        <v>2530</v>
      </c>
      <c r="G360" s="152" t="s">
        <v>3104</v>
      </c>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row>
    <row r="361" spans="1:37">
      <c r="A361" s="152" t="s">
        <v>2730</v>
      </c>
      <c r="B361" s="216"/>
      <c r="C361" s="152" t="s">
        <v>3105</v>
      </c>
      <c r="D361" s="152" t="s">
        <v>3106</v>
      </c>
      <c r="E361" s="152" t="s">
        <v>2604</v>
      </c>
      <c r="F361" s="152" t="s">
        <v>2530</v>
      </c>
      <c r="G361" s="152" t="s">
        <v>3107</v>
      </c>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row>
    <row r="362" spans="1:37">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row>
    <row r="363" spans="1:37">
      <c r="A363" s="152" t="s">
        <v>2730</v>
      </c>
      <c r="B363" s="235" t="s">
        <v>441</v>
      </c>
      <c r="C363" s="152" t="s">
        <v>3108</v>
      </c>
      <c r="D363" s="152" t="s">
        <v>482</v>
      </c>
      <c r="E363" s="152" t="s">
        <v>204</v>
      </c>
      <c r="F363" s="152" t="s">
        <v>2530</v>
      </c>
      <c r="G363" s="152" t="s">
        <v>3109</v>
      </c>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row>
    <row r="364" spans="1:37">
      <c r="A364" s="152" t="s">
        <v>2730</v>
      </c>
      <c r="B364" s="216"/>
      <c r="C364" s="152" t="s">
        <v>3110</v>
      </c>
      <c r="D364" s="152" t="s">
        <v>3111</v>
      </c>
      <c r="E364" s="152" t="s">
        <v>204</v>
      </c>
      <c r="F364" s="152" t="s">
        <v>2530</v>
      </c>
      <c r="G364" s="152" t="s">
        <v>3112</v>
      </c>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row>
    <row r="365" spans="1:37">
      <c r="A365" s="152" t="s">
        <v>2730</v>
      </c>
      <c r="B365" s="216"/>
      <c r="C365" s="152" t="s">
        <v>3113</v>
      </c>
      <c r="D365" s="152" t="s">
        <v>3114</v>
      </c>
      <c r="E365" s="152" t="s">
        <v>204</v>
      </c>
      <c r="F365" s="152" t="s">
        <v>2530</v>
      </c>
      <c r="G365" s="152" t="s">
        <v>3115</v>
      </c>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row>
    <row r="366" spans="1:37" ht="19.5" customHeight="1">
      <c r="A366" s="152" t="s">
        <v>2730</v>
      </c>
      <c r="B366" s="216"/>
      <c r="C366" s="152" t="s">
        <v>3116</v>
      </c>
      <c r="D366" s="152" t="s">
        <v>1325</v>
      </c>
      <c r="E366" s="152" t="s">
        <v>204</v>
      </c>
      <c r="F366" s="152" t="s">
        <v>2530</v>
      </c>
      <c r="G366" s="152" t="s">
        <v>3117</v>
      </c>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row>
    <row r="367" spans="1:37" ht="19.5" customHeight="1">
      <c r="A367" s="152" t="s">
        <v>2730</v>
      </c>
      <c r="B367" s="216"/>
      <c r="C367" s="152" t="s">
        <v>3118</v>
      </c>
      <c r="D367" s="152" t="s">
        <v>1271</v>
      </c>
      <c r="E367" s="152" t="s">
        <v>204</v>
      </c>
      <c r="F367" s="152" t="s">
        <v>2530</v>
      </c>
      <c r="G367" s="152" t="s">
        <v>3119</v>
      </c>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row>
    <row r="368" spans="1:37">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row>
    <row r="369" spans="1:37">
      <c r="A369" s="78" t="s">
        <v>2730</v>
      </c>
      <c r="B369" s="244" t="s">
        <v>1280</v>
      </c>
      <c r="C369" s="78" t="s">
        <v>3120</v>
      </c>
      <c r="D369" s="78" t="s">
        <v>3121</v>
      </c>
      <c r="E369" s="78" t="s">
        <v>204</v>
      </c>
      <c r="F369" s="152" t="s">
        <v>2530</v>
      </c>
      <c r="G369" s="78" t="s">
        <v>3122</v>
      </c>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row>
    <row r="370" spans="1:37">
      <c r="A370" s="78" t="s">
        <v>2730</v>
      </c>
      <c r="B370" s="216"/>
      <c r="C370" s="78" t="s">
        <v>3123</v>
      </c>
      <c r="D370" s="78" t="s">
        <v>3124</v>
      </c>
      <c r="E370" s="78" t="s">
        <v>204</v>
      </c>
      <c r="F370" s="152" t="s">
        <v>2530</v>
      </c>
      <c r="G370" s="78" t="s">
        <v>3125</v>
      </c>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row>
    <row r="371" spans="1:37">
      <c r="A371" s="78" t="s">
        <v>2730</v>
      </c>
      <c r="B371" s="216"/>
      <c r="C371" s="78" t="s">
        <v>3126</v>
      </c>
      <c r="D371" s="78" t="s">
        <v>3127</v>
      </c>
      <c r="E371" s="78" t="s">
        <v>204</v>
      </c>
      <c r="F371" s="152" t="s">
        <v>2530</v>
      </c>
      <c r="G371" s="78" t="s">
        <v>3128</v>
      </c>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row>
    <row r="372" spans="1:37">
      <c r="A372" s="175" t="s">
        <v>2730</v>
      </c>
      <c r="B372" s="216"/>
      <c r="C372" s="175" t="s">
        <v>3129</v>
      </c>
      <c r="D372" s="175" t="s">
        <v>3130</v>
      </c>
      <c r="E372" s="175" t="s">
        <v>204</v>
      </c>
      <c r="F372" s="174" t="s">
        <v>2530</v>
      </c>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5"/>
      <c r="AK372" s="175"/>
    </row>
    <row r="373" spans="1:37">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row>
    <row r="374" spans="1:37">
      <c r="A374" s="233" t="s">
        <v>1678</v>
      </c>
      <c r="B374" s="216"/>
      <c r="C374" s="216"/>
      <c r="D374" s="216"/>
      <c r="E374" s="216"/>
      <c r="F374" s="216"/>
      <c r="G374" s="216"/>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row>
    <row r="375" spans="1:37">
      <c r="A375" s="152" t="s">
        <v>3131</v>
      </c>
      <c r="B375" s="232" t="s">
        <v>3132</v>
      </c>
      <c r="C375" s="152" t="s">
        <v>3133</v>
      </c>
      <c r="D375" s="152" t="s">
        <v>3134</v>
      </c>
      <c r="E375" s="152" t="s">
        <v>2515</v>
      </c>
      <c r="F375" s="152" t="s">
        <v>2516</v>
      </c>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row>
    <row r="376" spans="1:37">
      <c r="A376" s="152" t="s">
        <v>3131</v>
      </c>
      <c r="B376" s="216"/>
      <c r="C376" s="152" t="s">
        <v>3135</v>
      </c>
      <c r="D376" s="152" t="s">
        <v>3136</v>
      </c>
      <c r="E376" s="152" t="s">
        <v>2515</v>
      </c>
      <c r="F376" s="152" t="s">
        <v>2516</v>
      </c>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row>
    <row r="377" spans="1:37">
      <c r="A377" s="152" t="s">
        <v>3131</v>
      </c>
      <c r="B377" s="216"/>
      <c r="C377" s="152" t="s">
        <v>3137</v>
      </c>
      <c r="D377" s="152" t="s">
        <v>3138</v>
      </c>
      <c r="E377" s="152" t="s">
        <v>2515</v>
      </c>
      <c r="F377" s="152" t="s">
        <v>2516</v>
      </c>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row>
    <row r="378" spans="1:37">
      <c r="A378" s="152" t="s">
        <v>3131</v>
      </c>
      <c r="B378" s="216"/>
      <c r="C378" s="152" t="s">
        <v>3139</v>
      </c>
      <c r="D378" s="152" t="s">
        <v>3140</v>
      </c>
      <c r="E378" s="152" t="s">
        <v>2515</v>
      </c>
      <c r="F378" s="152" t="s">
        <v>2516</v>
      </c>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row>
    <row r="379" spans="1:37">
      <c r="A379" s="152" t="s">
        <v>3131</v>
      </c>
      <c r="B379" s="216"/>
      <c r="C379" s="152" t="s">
        <v>3141</v>
      </c>
      <c r="D379" s="152" t="s">
        <v>3142</v>
      </c>
      <c r="E379" s="152" t="s">
        <v>2515</v>
      </c>
      <c r="F379" s="152" t="s">
        <v>2516</v>
      </c>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row>
    <row r="380" spans="1:37">
      <c r="A380" s="152" t="s">
        <v>3131</v>
      </c>
      <c r="B380" s="216"/>
      <c r="C380" s="152" t="s">
        <v>3143</v>
      </c>
      <c r="D380" s="152" t="s">
        <v>3144</v>
      </c>
      <c r="E380" s="152" t="s">
        <v>2515</v>
      </c>
      <c r="F380" s="152" t="s">
        <v>2516</v>
      </c>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row>
    <row r="381" spans="1:37">
      <c r="A381" s="152" t="s">
        <v>3131</v>
      </c>
      <c r="B381" s="216"/>
      <c r="C381" s="152" t="s">
        <v>3145</v>
      </c>
      <c r="D381" s="152" t="s">
        <v>3146</v>
      </c>
      <c r="E381" s="152" t="s">
        <v>2515</v>
      </c>
      <c r="F381" s="152" t="s">
        <v>2516</v>
      </c>
      <c r="G381" s="152" t="s">
        <v>3147</v>
      </c>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row>
    <row r="382" spans="1:37">
      <c r="A382" s="152" t="s">
        <v>3131</v>
      </c>
      <c r="B382" s="216"/>
      <c r="C382" s="152" t="s">
        <v>3148</v>
      </c>
      <c r="D382" s="152" t="s">
        <v>3149</v>
      </c>
      <c r="E382" s="152" t="s">
        <v>2515</v>
      </c>
      <c r="F382" s="152" t="s">
        <v>2516</v>
      </c>
      <c r="G382" s="152" t="s">
        <v>3150</v>
      </c>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row>
    <row r="383" spans="1:37">
      <c r="A383" s="152" t="s">
        <v>3131</v>
      </c>
      <c r="B383" s="216"/>
      <c r="C383" s="152" t="s">
        <v>3151</v>
      </c>
      <c r="D383" s="152" t="s">
        <v>3152</v>
      </c>
      <c r="E383" s="152" t="s">
        <v>2515</v>
      </c>
      <c r="F383" s="152" t="s">
        <v>2516</v>
      </c>
      <c r="G383" s="152" t="s">
        <v>3147</v>
      </c>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row>
    <row r="384" spans="1:37">
      <c r="A384" s="152" t="s">
        <v>3131</v>
      </c>
      <c r="B384" s="216"/>
      <c r="C384" s="152" t="s">
        <v>3153</v>
      </c>
      <c r="D384" s="152" t="s">
        <v>3154</v>
      </c>
      <c r="E384" s="152" t="s">
        <v>2515</v>
      </c>
      <c r="F384" s="152" t="s">
        <v>2516</v>
      </c>
      <c r="G384" s="152" t="s">
        <v>3155</v>
      </c>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row>
    <row r="385" spans="1:37">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row>
    <row r="386" spans="1:37">
      <c r="A386" s="243" t="s">
        <v>3156</v>
      </c>
      <c r="B386" s="216"/>
      <c r="C386" s="216"/>
      <c r="D386" s="216"/>
      <c r="E386" s="216"/>
      <c r="F386" s="216"/>
      <c r="G386" s="216"/>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68"/>
      <c r="AK386" s="68"/>
    </row>
    <row r="387" spans="1:37">
      <c r="A387" s="195" t="s">
        <v>3157</v>
      </c>
      <c r="B387" s="232" t="s">
        <v>3156</v>
      </c>
      <c r="C387" s="195" t="s">
        <v>3158</v>
      </c>
      <c r="D387" s="195" t="s">
        <v>244</v>
      </c>
      <c r="E387" s="195" t="s">
        <v>2515</v>
      </c>
      <c r="F387" s="195" t="s">
        <v>2516</v>
      </c>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68"/>
      <c r="AK387" s="68"/>
    </row>
    <row r="388" spans="1:37">
      <c r="A388" s="195" t="s">
        <v>3157</v>
      </c>
      <c r="B388" s="216"/>
      <c r="C388" s="195" t="s">
        <v>3159</v>
      </c>
      <c r="D388" s="195" t="s">
        <v>223</v>
      </c>
      <c r="E388" s="195" t="s">
        <v>2515</v>
      </c>
      <c r="F388" s="195" t="s">
        <v>2516</v>
      </c>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68"/>
      <c r="AK388" s="68"/>
    </row>
    <row r="389" spans="1:37">
      <c r="A389" s="195" t="s">
        <v>3157</v>
      </c>
      <c r="B389" s="216"/>
      <c r="C389" s="195" t="s">
        <v>3160</v>
      </c>
      <c r="D389" s="195" t="s">
        <v>419</v>
      </c>
      <c r="E389" s="195" t="s">
        <v>2515</v>
      </c>
      <c r="F389" s="195" t="s">
        <v>2516</v>
      </c>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68"/>
      <c r="AK389" s="68"/>
    </row>
    <row r="390" spans="1:37">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row>
    <row r="391" spans="1:37">
      <c r="A391" s="233" t="s">
        <v>6</v>
      </c>
      <c r="B391" s="216"/>
      <c r="C391" s="216"/>
      <c r="D391" s="216"/>
      <c r="E391" s="216"/>
      <c r="F391" s="216"/>
      <c r="G391" s="216"/>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row>
    <row r="392" spans="1:37">
      <c r="A392" s="152" t="s">
        <v>3161</v>
      </c>
      <c r="B392" s="232" t="s">
        <v>6</v>
      </c>
      <c r="C392" s="152" t="s">
        <v>3162</v>
      </c>
      <c r="D392" s="152" t="s">
        <v>3163</v>
      </c>
      <c r="E392" s="152" t="s">
        <v>2515</v>
      </c>
      <c r="F392" s="152" t="s">
        <v>2516</v>
      </c>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row>
    <row r="393" spans="1:37">
      <c r="A393" s="152" t="s">
        <v>3161</v>
      </c>
      <c r="B393" s="216"/>
      <c r="C393" s="152" t="s">
        <v>3164</v>
      </c>
      <c r="D393" s="152">
        <v>1</v>
      </c>
      <c r="E393" s="152" t="s">
        <v>2515</v>
      </c>
      <c r="F393" s="152" t="s">
        <v>2516</v>
      </c>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row>
    <row r="394" spans="1:37">
      <c r="A394" s="152" t="s">
        <v>3161</v>
      </c>
      <c r="B394" s="216"/>
      <c r="C394" s="152" t="s">
        <v>3165</v>
      </c>
      <c r="D394" s="152">
        <v>2</v>
      </c>
      <c r="E394" s="152" t="s">
        <v>2515</v>
      </c>
      <c r="F394" s="152" t="s">
        <v>2516</v>
      </c>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row>
    <row r="395" spans="1:37">
      <c r="A395" s="152" t="s">
        <v>3161</v>
      </c>
      <c r="B395" s="216"/>
      <c r="C395" s="152" t="s">
        <v>3166</v>
      </c>
      <c r="D395" s="152">
        <v>3</v>
      </c>
      <c r="E395" s="152" t="s">
        <v>2515</v>
      </c>
      <c r="F395" s="152" t="s">
        <v>2516</v>
      </c>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row>
    <row r="396" spans="1:37">
      <c r="A396" s="152" t="s">
        <v>3161</v>
      </c>
      <c r="B396" s="216"/>
      <c r="C396" s="152" t="s">
        <v>3167</v>
      </c>
      <c r="D396" s="152">
        <v>4</v>
      </c>
      <c r="E396" s="152" t="s">
        <v>2515</v>
      </c>
      <c r="F396" s="152" t="s">
        <v>2516</v>
      </c>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row>
    <row r="397" spans="1:37">
      <c r="A397" s="152" t="s">
        <v>3161</v>
      </c>
      <c r="B397" s="216"/>
      <c r="C397" s="152" t="s">
        <v>3168</v>
      </c>
      <c r="D397" s="152">
        <v>5</v>
      </c>
      <c r="E397" s="152" t="s">
        <v>2515</v>
      </c>
      <c r="F397" s="152" t="s">
        <v>2516</v>
      </c>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row>
    <row r="398" spans="1:37">
      <c r="A398" s="152" t="s">
        <v>3161</v>
      </c>
      <c r="B398" s="216"/>
      <c r="C398" s="152" t="s">
        <v>3169</v>
      </c>
      <c r="D398" s="152">
        <v>6</v>
      </c>
      <c r="E398" s="152" t="s">
        <v>2515</v>
      </c>
      <c r="F398" s="152" t="s">
        <v>2516</v>
      </c>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row>
    <row r="399" spans="1:37">
      <c r="A399" s="152" t="s">
        <v>3161</v>
      </c>
      <c r="B399" s="216"/>
      <c r="C399" s="152" t="s">
        <v>3170</v>
      </c>
      <c r="D399" s="152">
        <v>7</v>
      </c>
      <c r="E399" s="152" t="s">
        <v>2515</v>
      </c>
      <c r="F399" s="152" t="s">
        <v>2516</v>
      </c>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row>
    <row r="400" spans="1:37">
      <c r="A400" s="152" t="s">
        <v>3161</v>
      </c>
      <c r="B400" s="216"/>
      <c r="C400" s="152" t="s">
        <v>3171</v>
      </c>
      <c r="D400" s="152">
        <v>8</v>
      </c>
      <c r="E400" s="152" t="s">
        <v>2515</v>
      </c>
      <c r="F400" s="152" t="s">
        <v>2516</v>
      </c>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row>
    <row r="401" spans="1:37">
      <c r="A401" s="152" t="s">
        <v>3161</v>
      </c>
      <c r="B401" s="216"/>
      <c r="C401" s="152" t="s">
        <v>3172</v>
      </c>
      <c r="D401" s="152">
        <v>9</v>
      </c>
      <c r="E401" s="152" t="s">
        <v>2515</v>
      </c>
      <c r="F401" s="152" t="s">
        <v>2516</v>
      </c>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row>
    <row r="402" spans="1:37">
      <c r="A402" s="152" t="s">
        <v>3161</v>
      </c>
      <c r="B402" s="216"/>
      <c r="C402" s="152" t="s">
        <v>3173</v>
      </c>
      <c r="D402" s="152">
        <v>10</v>
      </c>
      <c r="E402" s="152" t="s">
        <v>2515</v>
      </c>
      <c r="F402" s="152" t="s">
        <v>2516</v>
      </c>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row>
    <row r="403" spans="1:37">
      <c r="A403" s="152" t="s">
        <v>3161</v>
      </c>
      <c r="B403" s="216"/>
      <c r="C403" s="152" t="s">
        <v>3174</v>
      </c>
      <c r="D403" s="152">
        <v>11</v>
      </c>
      <c r="E403" s="152" t="s">
        <v>2515</v>
      </c>
      <c r="F403" s="152" t="s">
        <v>2516</v>
      </c>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row>
    <row r="404" spans="1:37">
      <c r="A404" s="152" t="s">
        <v>3161</v>
      </c>
      <c r="B404" s="216"/>
      <c r="C404" s="152" t="s">
        <v>3175</v>
      </c>
      <c r="D404" s="152">
        <v>12</v>
      </c>
      <c r="E404" s="152" t="s">
        <v>2515</v>
      </c>
      <c r="F404" s="152" t="s">
        <v>2516</v>
      </c>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row>
    <row r="405" spans="1:37">
      <c r="A405" s="152" t="s">
        <v>3161</v>
      </c>
      <c r="B405" s="216"/>
      <c r="C405" s="152" t="s">
        <v>3176</v>
      </c>
      <c r="D405" s="152" t="s">
        <v>3177</v>
      </c>
      <c r="E405" s="152" t="s">
        <v>2515</v>
      </c>
      <c r="F405" s="152" t="s">
        <v>2516</v>
      </c>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row>
    <row r="406" spans="1:37">
      <c r="A406" s="152" t="s">
        <v>3161</v>
      </c>
      <c r="B406" s="216"/>
      <c r="C406" s="78" t="s">
        <v>3178</v>
      </c>
      <c r="D406" s="78" t="s">
        <v>316</v>
      </c>
      <c r="E406" s="152" t="s">
        <v>2515</v>
      </c>
      <c r="F406" s="152" t="s">
        <v>2516</v>
      </c>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row>
    <row r="407" spans="1:3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row>
    <row r="408" spans="1:37">
      <c r="A408" s="233" t="s">
        <v>3179</v>
      </c>
      <c r="B408" s="216"/>
      <c r="C408" s="216"/>
      <c r="D408" s="216"/>
      <c r="E408" s="216"/>
      <c r="F408" s="216"/>
      <c r="G408" s="216"/>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row>
    <row r="409" spans="1:37">
      <c r="A409" s="152" t="s">
        <v>3180</v>
      </c>
      <c r="B409" s="232" t="s">
        <v>3181</v>
      </c>
      <c r="C409" s="152" t="s">
        <v>3182</v>
      </c>
      <c r="D409" s="152" t="s">
        <v>246</v>
      </c>
      <c r="E409" s="152" t="s">
        <v>2607</v>
      </c>
      <c r="F409" s="152" t="s">
        <v>2516</v>
      </c>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row>
    <row r="410" spans="1:37">
      <c r="A410" s="152" t="s">
        <v>3180</v>
      </c>
      <c r="B410" s="216"/>
      <c r="C410" s="152" t="s">
        <v>3183</v>
      </c>
      <c r="D410" s="152" t="s">
        <v>754</v>
      </c>
      <c r="E410" s="152" t="s">
        <v>2607</v>
      </c>
      <c r="F410" s="152" t="s">
        <v>2516</v>
      </c>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row>
    <row r="411" spans="1:37">
      <c r="A411" s="152" t="s">
        <v>3180</v>
      </c>
      <c r="B411" s="216"/>
      <c r="C411" s="152" t="s">
        <v>3184</v>
      </c>
      <c r="D411" s="152" t="s">
        <v>451</v>
      </c>
      <c r="E411" s="152" t="s">
        <v>2607</v>
      </c>
      <c r="F411" s="152" t="s">
        <v>2516</v>
      </c>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row>
    <row r="412" spans="1:37">
      <c r="A412" s="152" t="s">
        <v>3180</v>
      </c>
      <c r="B412" s="216"/>
      <c r="C412" s="152" t="s">
        <v>3185</v>
      </c>
      <c r="D412" s="152" t="s">
        <v>420</v>
      </c>
      <c r="E412" s="152" t="s">
        <v>2607</v>
      </c>
      <c r="F412" s="152" t="s">
        <v>2516</v>
      </c>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row>
    <row r="413" spans="1:37">
      <c r="A413" s="152" t="s">
        <v>3180</v>
      </c>
      <c r="B413" s="216"/>
      <c r="C413" s="152" t="s">
        <v>3186</v>
      </c>
      <c r="D413" s="152" t="s">
        <v>3187</v>
      </c>
      <c r="E413" s="152" t="s">
        <v>2607</v>
      </c>
      <c r="F413" s="152" t="s">
        <v>2516</v>
      </c>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row>
    <row r="414" spans="1:37">
      <c r="A414" s="152" t="s">
        <v>3180</v>
      </c>
      <c r="B414" s="216"/>
      <c r="C414" s="152" t="s">
        <v>3188</v>
      </c>
      <c r="D414" s="152" t="s">
        <v>3189</v>
      </c>
      <c r="E414" s="152" t="s">
        <v>2607</v>
      </c>
      <c r="F414" s="152" t="s">
        <v>2516</v>
      </c>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row>
    <row r="415" spans="1:37">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row>
    <row r="416" spans="1:37">
      <c r="A416" s="233" t="s">
        <v>5</v>
      </c>
      <c r="B416" s="216"/>
      <c r="C416" s="216"/>
      <c r="D416" s="216"/>
      <c r="E416" s="216"/>
      <c r="F416" s="216"/>
      <c r="G416" s="216"/>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row>
    <row r="417" spans="1:37">
      <c r="A417" s="152" t="s">
        <v>3190</v>
      </c>
      <c r="B417" s="232" t="s">
        <v>80</v>
      </c>
      <c r="C417" s="152" t="s">
        <v>3191</v>
      </c>
      <c r="D417" s="152" t="s">
        <v>959</v>
      </c>
      <c r="E417" s="152" t="s">
        <v>2515</v>
      </c>
      <c r="F417" s="152" t="s">
        <v>2516</v>
      </c>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row>
    <row r="418" spans="1:37">
      <c r="A418" s="152" t="s">
        <v>3190</v>
      </c>
      <c r="B418" s="216"/>
      <c r="C418" s="152" t="s">
        <v>3192</v>
      </c>
      <c r="D418" s="152" t="s">
        <v>3193</v>
      </c>
      <c r="E418" s="152" t="s">
        <v>2515</v>
      </c>
      <c r="F418" s="152" t="s">
        <v>2516</v>
      </c>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row>
    <row r="419" spans="1:37">
      <c r="A419" s="152" t="s">
        <v>3190</v>
      </c>
      <c r="B419" s="216"/>
      <c r="C419" s="152" t="s">
        <v>3194</v>
      </c>
      <c r="D419" s="152" t="s">
        <v>3195</v>
      </c>
      <c r="E419" s="152" t="s">
        <v>2515</v>
      </c>
      <c r="F419" s="152" t="s">
        <v>2516</v>
      </c>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row>
    <row r="420" spans="1:37">
      <c r="A420" s="152" t="s">
        <v>3190</v>
      </c>
      <c r="B420" s="216"/>
      <c r="C420" s="152" t="s">
        <v>3196</v>
      </c>
      <c r="D420" s="152" t="s">
        <v>3197</v>
      </c>
      <c r="E420" s="152" t="s">
        <v>2515</v>
      </c>
      <c r="F420" s="152" t="s">
        <v>2516</v>
      </c>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row>
    <row r="421" spans="1:37">
      <c r="A421" s="152" t="s">
        <v>3190</v>
      </c>
      <c r="B421" s="216"/>
      <c r="C421" s="152" t="s">
        <v>3198</v>
      </c>
      <c r="D421" s="152" t="s">
        <v>243</v>
      </c>
      <c r="E421" s="152" t="s">
        <v>2515</v>
      </c>
      <c r="F421" s="152" t="s">
        <v>2516</v>
      </c>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row>
    <row r="422" spans="1:37">
      <c r="A422" s="152" t="s">
        <v>3190</v>
      </c>
      <c r="B422" s="216"/>
      <c r="C422" s="152" t="s">
        <v>3199</v>
      </c>
      <c r="D422" s="152" t="s">
        <v>3200</v>
      </c>
      <c r="E422" s="152" t="s">
        <v>2515</v>
      </c>
      <c r="F422" s="152" t="s">
        <v>2516</v>
      </c>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row>
    <row r="423" spans="1:37">
      <c r="A423" s="152" t="s">
        <v>3190</v>
      </c>
      <c r="B423" s="216"/>
      <c r="C423" s="195" t="s">
        <v>3201</v>
      </c>
      <c r="D423" s="195" t="s">
        <v>3202</v>
      </c>
      <c r="E423" s="152"/>
      <c r="F423" s="152"/>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row>
    <row r="424" spans="1:37">
      <c r="A424" s="152" t="s">
        <v>3190</v>
      </c>
      <c r="B424" s="216"/>
      <c r="C424" s="152" t="s">
        <v>3203</v>
      </c>
      <c r="D424" s="152" t="s">
        <v>3204</v>
      </c>
      <c r="E424" s="152" t="s">
        <v>2515</v>
      </c>
      <c r="F424" s="152" t="s">
        <v>2516</v>
      </c>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row>
    <row r="425" spans="1:37">
      <c r="A425" s="152" t="s">
        <v>3190</v>
      </c>
      <c r="B425" s="216"/>
      <c r="C425" s="152" t="s">
        <v>3205</v>
      </c>
      <c r="D425" s="152" t="s">
        <v>672</v>
      </c>
      <c r="E425" s="152"/>
      <c r="F425" s="152"/>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row>
    <row r="426" spans="1:37">
      <c r="A426" s="152" t="s">
        <v>3190</v>
      </c>
      <c r="B426" s="216"/>
      <c r="C426" s="195" t="s">
        <v>3206</v>
      </c>
      <c r="D426" s="195" t="s">
        <v>1172</v>
      </c>
      <c r="E426" s="195" t="s">
        <v>2515</v>
      </c>
      <c r="F426" s="195" t="s">
        <v>2516</v>
      </c>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row>
    <row r="427" spans="1:37">
      <c r="A427" s="152" t="s">
        <v>3190</v>
      </c>
      <c r="B427" s="216"/>
      <c r="C427" s="152" t="s">
        <v>3207</v>
      </c>
      <c r="D427" s="152" t="s">
        <v>3208</v>
      </c>
      <c r="E427" s="152"/>
      <c r="F427" s="152"/>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row>
    <row r="428" spans="1:37">
      <c r="A428" s="152" t="s">
        <v>3190</v>
      </c>
      <c r="B428" s="216"/>
      <c r="C428" s="192" t="s">
        <v>3209</v>
      </c>
      <c r="D428" s="192" t="s">
        <v>3210</v>
      </c>
      <c r="E428" s="152"/>
      <c r="F428" s="152"/>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row>
    <row r="429" spans="1:37">
      <c r="A429" s="152" t="s">
        <v>3190</v>
      </c>
      <c r="B429" s="216"/>
      <c r="C429" s="192" t="s">
        <v>3211</v>
      </c>
      <c r="D429" s="192" t="s">
        <v>3212</v>
      </c>
      <c r="E429" s="152"/>
      <c r="F429" s="152"/>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row>
    <row r="430" spans="1:37">
      <c r="A430" s="152" t="s">
        <v>3190</v>
      </c>
      <c r="B430" s="216"/>
      <c r="C430" s="152" t="s">
        <v>3213</v>
      </c>
      <c r="D430" s="152" t="s">
        <v>3214</v>
      </c>
      <c r="E430" s="152" t="s">
        <v>2515</v>
      </c>
      <c r="F430" s="152" t="s">
        <v>2516</v>
      </c>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row>
    <row r="431" spans="1:37">
      <c r="A431" s="152" t="s">
        <v>3215</v>
      </c>
      <c r="B431" s="232" t="s">
        <v>82</v>
      </c>
      <c r="C431" s="152" t="s">
        <v>3216</v>
      </c>
      <c r="D431" s="152" t="s">
        <v>3217</v>
      </c>
      <c r="E431" s="152" t="s">
        <v>2515</v>
      </c>
      <c r="F431" s="152" t="s">
        <v>2516</v>
      </c>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row>
    <row r="432" spans="1:37">
      <c r="A432" s="152" t="s">
        <v>3215</v>
      </c>
      <c r="B432" s="216"/>
      <c r="C432" s="152" t="s">
        <v>3218</v>
      </c>
      <c r="D432" s="152" t="s">
        <v>3219</v>
      </c>
      <c r="E432" s="152" t="s">
        <v>2515</v>
      </c>
      <c r="F432" s="152" t="s">
        <v>2516</v>
      </c>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row>
    <row r="433" spans="1:37">
      <c r="A433" s="152" t="s">
        <v>3215</v>
      </c>
      <c r="B433" s="216"/>
      <c r="C433" s="152" t="s">
        <v>3220</v>
      </c>
      <c r="D433" s="152" t="s">
        <v>3221</v>
      </c>
      <c r="E433" s="152" t="s">
        <v>2515</v>
      </c>
      <c r="F433" s="152" t="s">
        <v>2516</v>
      </c>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row>
    <row r="434" spans="1:37">
      <c r="A434" s="152" t="s">
        <v>3215</v>
      </c>
      <c r="B434" s="216"/>
      <c r="C434" s="152" t="s">
        <v>3222</v>
      </c>
      <c r="D434" s="152" t="s">
        <v>3223</v>
      </c>
      <c r="E434" s="152" t="s">
        <v>2515</v>
      </c>
      <c r="F434" s="152" t="s">
        <v>2516</v>
      </c>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row>
    <row r="435" spans="1:37">
      <c r="A435" s="152" t="s">
        <v>3215</v>
      </c>
      <c r="B435" s="216"/>
      <c r="C435" s="152" t="s">
        <v>3224</v>
      </c>
      <c r="D435" s="152" t="s">
        <v>3225</v>
      </c>
      <c r="E435" s="152" t="s">
        <v>2515</v>
      </c>
      <c r="F435" s="152" t="s">
        <v>2516</v>
      </c>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row>
    <row r="436" spans="1:37">
      <c r="A436" s="152" t="s">
        <v>3215</v>
      </c>
      <c r="B436" s="216"/>
      <c r="C436" s="152" t="s">
        <v>3226</v>
      </c>
      <c r="D436" s="152" t="s">
        <v>359</v>
      </c>
      <c r="E436" s="152" t="s">
        <v>2515</v>
      </c>
      <c r="F436" s="152" t="s">
        <v>2516</v>
      </c>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row>
    <row r="437" spans="1:37">
      <c r="A437" s="152" t="s">
        <v>3215</v>
      </c>
      <c r="B437" s="216"/>
      <c r="C437" s="152" t="s">
        <v>3227</v>
      </c>
      <c r="D437" s="152" t="s">
        <v>299</v>
      </c>
      <c r="E437" s="152" t="s">
        <v>2515</v>
      </c>
      <c r="F437" s="152" t="s">
        <v>2516</v>
      </c>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row>
    <row r="438" spans="1:37">
      <c r="A438" s="152" t="s">
        <v>3215</v>
      </c>
      <c r="B438" s="216"/>
      <c r="C438" s="152" t="s">
        <v>3228</v>
      </c>
      <c r="D438" s="152" t="s">
        <v>283</v>
      </c>
      <c r="E438" s="152" t="s">
        <v>2515</v>
      </c>
      <c r="F438" s="152" t="s">
        <v>2516</v>
      </c>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row>
    <row r="439" spans="1:37">
      <c r="A439" s="152" t="s">
        <v>3215</v>
      </c>
      <c r="B439" s="216"/>
      <c r="C439" s="152" t="s">
        <v>3229</v>
      </c>
      <c r="D439" s="152" t="s">
        <v>1276</v>
      </c>
      <c r="E439" s="152" t="s">
        <v>2515</v>
      </c>
      <c r="F439" s="152" t="s">
        <v>2516</v>
      </c>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row>
    <row r="440" spans="1:37">
      <c r="A440" s="152" t="s">
        <v>3215</v>
      </c>
      <c r="B440" s="216"/>
      <c r="C440" s="152" t="s">
        <v>3230</v>
      </c>
      <c r="D440" s="152" t="s">
        <v>3231</v>
      </c>
      <c r="E440" s="152" t="s">
        <v>2515</v>
      </c>
      <c r="F440" s="152" t="s">
        <v>2516</v>
      </c>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row>
    <row r="441" spans="1:37">
      <c r="A441" s="152" t="s">
        <v>3215</v>
      </c>
      <c r="B441" s="216"/>
      <c r="C441" s="152" t="s">
        <v>3232</v>
      </c>
      <c r="D441" s="152" t="s">
        <v>3233</v>
      </c>
      <c r="E441" s="152" t="s">
        <v>2515</v>
      </c>
      <c r="F441" s="152" t="s">
        <v>2516</v>
      </c>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row>
    <row r="442" spans="1:37">
      <c r="A442" s="152" t="s">
        <v>3215</v>
      </c>
      <c r="B442" s="216"/>
      <c r="C442" s="152" t="s">
        <v>3234</v>
      </c>
      <c r="D442" s="152" t="s">
        <v>3235</v>
      </c>
      <c r="E442" s="152" t="s">
        <v>2515</v>
      </c>
      <c r="F442" s="152" t="s">
        <v>2516</v>
      </c>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row>
    <row r="443" spans="1:37">
      <c r="A443" s="152" t="s">
        <v>3215</v>
      </c>
      <c r="B443" s="216"/>
      <c r="C443" s="152" t="s">
        <v>3236</v>
      </c>
      <c r="D443" s="152" t="s">
        <v>3237</v>
      </c>
      <c r="E443" s="152" t="s">
        <v>2515</v>
      </c>
      <c r="F443" s="152" t="s">
        <v>2516</v>
      </c>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row>
    <row r="444" spans="1:37">
      <c r="A444" s="152" t="s">
        <v>3238</v>
      </c>
      <c r="B444" s="232" t="s">
        <v>3239</v>
      </c>
      <c r="C444" s="152" t="s">
        <v>3240</v>
      </c>
      <c r="D444" s="152" t="s">
        <v>3241</v>
      </c>
      <c r="E444" s="152" t="s">
        <v>2515</v>
      </c>
      <c r="F444" s="152" t="s">
        <v>2516</v>
      </c>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row>
    <row r="445" spans="1:37">
      <c r="A445" s="152" t="s">
        <v>3238</v>
      </c>
      <c r="B445" s="216"/>
      <c r="C445" s="152" t="s">
        <v>3242</v>
      </c>
      <c r="D445" s="152" t="s">
        <v>265</v>
      </c>
      <c r="E445" s="152" t="s">
        <v>2515</v>
      </c>
      <c r="F445" s="152" t="s">
        <v>2516</v>
      </c>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row>
    <row r="446" spans="1:37">
      <c r="A446" s="152" t="s">
        <v>3238</v>
      </c>
      <c r="B446" s="216"/>
      <c r="C446" s="152" t="s">
        <v>3243</v>
      </c>
      <c r="D446" s="152" t="s">
        <v>542</v>
      </c>
      <c r="E446" s="152" t="s">
        <v>2515</v>
      </c>
      <c r="F446" s="152" t="s">
        <v>2516</v>
      </c>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row>
    <row r="447" spans="1:37">
      <c r="A447" s="152" t="s">
        <v>3238</v>
      </c>
      <c r="B447" s="216"/>
      <c r="C447" s="152" t="s">
        <v>3244</v>
      </c>
      <c r="D447" s="152" t="s">
        <v>3245</v>
      </c>
      <c r="E447" s="152" t="s">
        <v>2515</v>
      </c>
      <c r="F447" s="152" t="s">
        <v>2516</v>
      </c>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row>
    <row r="448" spans="1:37">
      <c r="A448" s="152" t="s">
        <v>3238</v>
      </c>
      <c r="B448" s="216"/>
      <c r="C448" s="152" t="s">
        <v>3246</v>
      </c>
      <c r="D448" s="152" t="s">
        <v>3247</v>
      </c>
      <c r="E448" s="152" t="s">
        <v>2515</v>
      </c>
      <c r="F448" s="152" t="s">
        <v>2516</v>
      </c>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row>
    <row r="449" spans="1:37">
      <c r="A449" s="152" t="s">
        <v>3238</v>
      </c>
      <c r="B449" s="216"/>
      <c r="C449" s="152" t="s">
        <v>3248</v>
      </c>
      <c r="D449" s="152" t="s">
        <v>342</v>
      </c>
      <c r="E449" s="152" t="s">
        <v>2515</v>
      </c>
      <c r="F449" s="152" t="s">
        <v>2516</v>
      </c>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row>
    <row r="450" spans="1:37">
      <c r="A450" s="152" t="s">
        <v>3238</v>
      </c>
      <c r="B450" s="216"/>
      <c r="C450" s="152" t="s">
        <v>3249</v>
      </c>
      <c r="D450" s="152" t="s">
        <v>3250</v>
      </c>
      <c r="E450" s="152" t="s">
        <v>2515</v>
      </c>
      <c r="F450" s="152" t="s">
        <v>2516</v>
      </c>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row>
    <row r="451" spans="1:37">
      <c r="A451" s="152" t="s">
        <v>3238</v>
      </c>
      <c r="B451" s="216"/>
      <c r="C451" s="152" t="s">
        <v>3251</v>
      </c>
      <c r="D451" s="152" t="s">
        <v>3252</v>
      </c>
      <c r="E451" s="152" t="s">
        <v>2515</v>
      </c>
      <c r="F451" s="152" t="s">
        <v>2516</v>
      </c>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row>
    <row r="452" spans="1:37">
      <c r="A452" s="152" t="s">
        <v>3238</v>
      </c>
      <c r="B452" s="216"/>
      <c r="C452" s="193" t="s">
        <v>3253</v>
      </c>
      <c r="D452" s="193" t="s">
        <v>3254</v>
      </c>
      <c r="E452" s="152"/>
      <c r="F452" s="152"/>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row>
    <row r="453" spans="1:37">
      <c r="A453" s="152" t="s">
        <v>3238</v>
      </c>
      <c r="B453" s="216"/>
      <c r="C453" s="193" t="s">
        <v>3255</v>
      </c>
      <c r="D453" s="193" t="s">
        <v>3256</v>
      </c>
      <c r="E453" s="152"/>
      <c r="F453" s="152"/>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row>
    <row r="454" spans="1:37">
      <c r="A454" s="152" t="s">
        <v>3238</v>
      </c>
      <c r="B454" s="216"/>
      <c r="C454" s="193" t="s">
        <v>3257</v>
      </c>
      <c r="D454" s="193" t="s">
        <v>3258</v>
      </c>
      <c r="E454" s="152"/>
      <c r="F454" s="152"/>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row>
    <row r="455" spans="1:37">
      <c r="A455" s="152" t="s">
        <v>3238</v>
      </c>
      <c r="B455" s="216"/>
      <c r="C455" s="193" t="s">
        <v>3259</v>
      </c>
      <c r="D455" s="193" t="s">
        <v>3260</v>
      </c>
      <c r="E455" s="152"/>
      <c r="F455" s="152"/>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row>
    <row r="456" spans="1:37">
      <c r="A456" s="152" t="s">
        <v>3238</v>
      </c>
      <c r="B456" s="216"/>
      <c r="C456" s="193" t="s">
        <v>3261</v>
      </c>
      <c r="D456" s="193" t="s">
        <v>3262</v>
      </c>
      <c r="E456" s="152"/>
      <c r="F456" s="152"/>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row>
    <row r="457" spans="1:37">
      <c r="A457" s="152" t="s">
        <v>3238</v>
      </c>
      <c r="B457" s="216"/>
      <c r="C457" s="172" t="s">
        <v>3263</v>
      </c>
      <c r="D457" s="172" t="s">
        <v>822</v>
      </c>
      <c r="E457" s="152"/>
      <c r="F457" s="152"/>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row>
    <row r="458" spans="1:37">
      <c r="A458" s="152" t="s">
        <v>3238</v>
      </c>
      <c r="B458" s="216"/>
      <c r="C458" s="193" t="s">
        <v>3264</v>
      </c>
      <c r="D458" s="193" t="s">
        <v>3265</v>
      </c>
      <c r="E458" s="152"/>
      <c r="F458" s="152"/>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row>
    <row r="459" spans="1:37">
      <c r="A459" s="152" t="s">
        <v>3238</v>
      </c>
      <c r="B459" s="216"/>
      <c r="C459" s="193" t="s">
        <v>3266</v>
      </c>
      <c r="D459" s="193" t="s">
        <v>1158</v>
      </c>
      <c r="E459" s="152"/>
      <c r="F459" s="152"/>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row>
    <row r="460" spans="1:37">
      <c r="A460" s="152" t="s">
        <v>3238</v>
      </c>
      <c r="B460" s="216"/>
      <c r="C460" s="152" t="s">
        <v>3267</v>
      </c>
      <c r="D460" s="194" t="s">
        <v>534</v>
      </c>
      <c r="E460" s="152" t="s">
        <v>2515</v>
      </c>
      <c r="F460" s="152" t="s">
        <v>2516</v>
      </c>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row>
    <row r="461" spans="1:37">
      <c r="A461" s="152" t="s">
        <v>3268</v>
      </c>
      <c r="B461" s="232" t="s">
        <v>83</v>
      </c>
      <c r="C461" s="152" t="s">
        <v>3269</v>
      </c>
      <c r="D461" s="152" t="s">
        <v>731</v>
      </c>
      <c r="E461" s="152" t="s">
        <v>2713</v>
      </c>
      <c r="F461" s="152" t="s">
        <v>2516</v>
      </c>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row>
    <row r="462" spans="1:37">
      <c r="A462" s="152" t="s">
        <v>3268</v>
      </c>
      <c r="B462" s="216"/>
      <c r="C462" s="152" t="s">
        <v>3270</v>
      </c>
      <c r="D462" s="152" t="s">
        <v>803</v>
      </c>
      <c r="E462" s="152" t="s">
        <v>2713</v>
      </c>
      <c r="F462" s="152" t="s">
        <v>2516</v>
      </c>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row>
    <row r="463" spans="1:37">
      <c r="A463" s="152"/>
      <c r="B463" s="216"/>
      <c r="C463" s="194" t="s">
        <v>3271</v>
      </c>
      <c r="D463" s="194" t="s">
        <v>838</v>
      </c>
      <c r="E463" s="194"/>
      <c r="F463" s="194"/>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row>
    <row r="464" spans="1:37">
      <c r="A464" s="152" t="s">
        <v>3268</v>
      </c>
      <c r="B464" s="216"/>
      <c r="C464" s="152" t="s">
        <v>3272</v>
      </c>
      <c r="D464" s="152" t="s">
        <v>284</v>
      </c>
      <c r="E464" s="152" t="s">
        <v>2713</v>
      </c>
      <c r="F464" s="152" t="s">
        <v>2516</v>
      </c>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row>
    <row r="465" spans="1:37">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row>
    <row r="466" spans="1:37">
      <c r="A466" s="233" t="s">
        <v>79</v>
      </c>
      <c r="B466" s="216"/>
      <c r="C466" s="216"/>
      <c r="D466" s="216"/>
      <c r="E466" s="216"/>
      <c r="F466" s="216"/>
      <c r="G466" s="216"/>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row>
    <row r="467" spans="1:37">
      <c r="A467" s="152" t="s">
        <v>3273</v>
      </c>
      <c r="B467" s="232" t="s">
        <v>79</v>
      </c>
      <c r="C467" s="152" t="s">
        <v>3274</v>
      </c>
      <c r="D467" s="152" t="s">
        <v>218</v>
      </c>
      <c r="E467" s="152" t="s">
        <v>2515</v>
      </c>
      <c r="F467" s="152" t="s">
        <v>2516</v>
      </c>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row>
    <row r="468" spans="1:37">
      <c r="A468" s="152" t="s">
        <v>3273</v>
      </c>
      <c r="B468" s="216"/>
      <c r="C468" s="152" t="s">
        <v>3275</v>
      </c>
      <c r="D468" s="152" t="s">
        <v>416</v>
      </c>
      <c r="E468" s="152" t="s">
        <v>2515</v>
      </c>
      <c r="F468" s="152" t="s">
        <v>2516</v>
      </c>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row>
    <row r="469" spans="1:37">
      <c r="A469" s="152" t="s">
        <v>3273</v>
      </c>
      <c r="B469" s="216"/>
      <c r="C469" s="152" t="s">
        <v>3276</v>
      </c>
      <c r="D469" s="152" t="s">
        <v>3277</v>
      </c>
      <c r="E469" s="152" t="s">
        <v>2515</v>
      </c>
      <c r="F469" s="152" t="s">
        <v>2516</v>
      </c>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row>
    <row r="470" spans="1:37">
      <c r="A470" s="152" t="s">
        <v>3273</v>
      </c>
      <c r="B470" s="216"/>
      <c r="C470" s="152" t="s">
        <v>3278</v>
      </c>
      <c r="D470" s="152" t="s">
        <v>358</v>
      </c>
      <c r="E470" s="152" t="s">
        <v>2515</v>
      </c>
      <c r="F470" s="152" t="s">
        <v>2516</v>
      </c>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row>
    <row r="471" spans="1:37">
      <c r="A471" s="152" t="s">
        <v>3273</v>
      </c>
      <c r="B471" s="216"/>
      <c r="C471" s="152" t="s">
        <v>3279</v>
      </c>
      <c r="D471" s="152" t="s">
        <v>3280</v>
      </c>
      <c r="E471" s="152" t="s">
        <v>2515</v>
      </c>
      <c r="F471" s="152" t="s">
        <v>2516</v>
      </c>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row>
    <row r="472" spans="1:37">
      <c r="A472" s="152" t="s">
        <v>3273</v>
      </c>
      <c r="B472" s="216"/>
      <c r="C472" s="152" t="s">
        <v>3281</v>
      </c>
      <c r="D472" s="152" t="s">
        <v>3282</v>
      </c>
      <c r="E472" s="152" t="s">
        <v>2070</v>
      </c>
      <c r="F472" s="152" t="s">
        <v>2516</v>
      </c>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row>
    <row r="473" spans="1:37">
      <c r="A473" s="152" t="s">
        <v>3273</v>
      </c>
      <c r="B473" s="216"/>
      <c r="C473" s="152" t="s">
        <v>3283</v>
      </c>
      <c r="D473" s="152" t="s">
        <v>242</v>
      </c>
      <c r="E473" s="152" t="s">
        <v>2515</v>
      </c>
      <c r="F473" s="152" t="s">
        <v>2516</v>
      </c>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row>
    <row r="474" spans="1:37">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row>
    <row r="475" spans="1:37">
      <c r="A475" s="233" t="s">
        <v>98</v>
      </c>
      <c r="B475" s="216"/>
      <c r="C475" s="216"/>
      <c r="D475" s="216"/>
      <c r="E475" s="216"/>
      <c r="F475" s="216"/>
      <c r="G475" s="216"/>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row>
    <row r="476" spans="1:37">
      <c r="A476" s="195" t="s">
        <v>3284</v>
      </c>
      <c r="B476" s="245" t="s">
        <v>3285</v>
      </c>
      <c r="C476" s="195" t="s">
        <v>3286</v>
      </c>
      <c r="D476" s="195" t="s">
        <v>3287</v>
      </c>
      <c r="E476" s="195" t="s">
        <v>2515</v>
      </c>
      <c r="F476" s="195" t="s">
        <v>2516</v>
      </c>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68"/>
      <c r="AK476" s="68"/>
    </row>
    <row r="477" spans="1:37">
      <c r="A477" s="195" t="s">
        <v>3284</v>
      </c>
      <c r="B477" s="216"/>
      <c r="C477" s="195" t="s">
        <v>3288</v>
      </c>
      <c r="D477" s="195" t="s">
        <v>455</v>
      </c>
      <c r="E477" s="195" t="s">
        <v>2515</v>
      </c>
      <c r="F477" s="195" t="s">
        <v>2516</v>
      </c>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68"/>
      <c r="AK477" s="68"/>
    </row>
    <row r="478" spans="1:37">
      <c r="A478" s="195" t="s">
        <v>3284</v>
      </c>
      <c r="B478" s="216"/>
      <c r="C478" s="195" t="s">
        <v>3289</v>
      </c>
      <c r="D478" s="195" t="s">
        <v>3290</v>
      </c>
      <c r="E478" s="195" t="s">
        <v>2515</v>
      </c>
      <c r="F478" s="195" t="s">
        <v>2516</v>
      </c>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68"/>
      <c r="AK478" s="68"/>
    </row>
    <row r="479" spans="1:37">
      <c r="A479" s="195" t="s">
        <v>3284</v>
      </c>
      <c r="B479" s="216"/>
      <c r="C479" s="195" t="s">
        <v>3291</v>
      </c>
      <c r="D479" s="195" t="s">
        <v>3292</v>
      </c>
      <c r="E479" s="195" t="s">
        <v>2515</v>
      </c>
      <c r="F479" s="195" t="s">
        <v>2516</v>
      </c>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68"/>
      <c r="AK479" s="68"/>
    </row>
    <row r="480" spans="1:37">
      <c r="A480" s="195" t="s">
        <v>3284</v>
      </c>
      <c r="B480" s="245" t="s">
        <v>3293</v>
      </c>
      <c r="C480" s="195" t="s">
        <v>3294</v>
      </c>
      <c r="D480" s="195" t="s">
        <v>3295</v>
      </c>
      <c r="E480" s="195" t="s">
        <v>2515</v>
      </c>
      <c r="F480" s="195" t="s">
        <v>2516</v>
      </c>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68"/>
      <c r="AK480" s="68"/>
    </row>
    <row r="481" spans="1:37">
      <c r="A481" s="195" t="s">
        <v>3284</v>
      </c>
      <c r="B481" s="216"/>
      <c r="C481" s="195" t="s">
        <v>3296</v>
      </c>
      <c r="D481" s="195" t="s">
        <v>3297</v>
      </c>
      <c r="E481" s="195" t="s">
        <v>2515</v>
      </c>
      <c r="F481" s="195" t="s">
        <v>2516</v>
      </c>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68"/>
      <c r="AK481" s="68"/>
    </row>
    <row r="482" spans="1:37">
      <c r="A482" s="195" t="s">
        <v>3284</v>
      </c>
      <c r="B482" s="216"/>
      <c r="C482" s="195" t="s">
        <v>3298</v>
      </c>
      <c r="D482" s="195" t="s">
        <v>3299</v>
      </c>
      <c r="E482" s="195" t="s">
        <v>2515</v>
      </c>
      <c r="F482" s="195" t="s">
        <v>2516</v>
      </c>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68"/>
      <c r="AK482" s="68"/>
    </row>
    <row r="483" spans="1:37">
      <c r="A483" s="195" t="s">
        <v>3284</v>
      </c>
      <c r="B483" s="216"/>
      <c r="C483" s="195" t="s">
        <v>3300</v>
      </c>
      <c r="D483" s="195" t="s">
        <v>3301</v>
      </c>
      <c r="E483" s="195" t="s">
        <v>2515</v>
      </c>
      <c r="F483" s="195" t="s">
        <v>2516</v>
      </c>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68"/>
      <c r="AK483" s="68"/>
    </row>
    <row r="484" spans="1:37">
      <c r="A484" s="195" t="s">
        <v>3284</v>
      </c>
      <c r="B484" s="216"/>
      <c r="C484" s="195" t="s">
        <v>3302</v>
      </c>
      <c r="D484" s="195" t="s">
        <v>1397</v>
      </c>
      <c r="E484" s="195" t="s">
        <v>2515</v>
      </c>
      <c r="F484" s="195" t="s">
        <v>2516</v>
      </c>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68"/>
      <c r="AK484" s="68"/>
    </row>
    <row r="485" spans="1:37">
      <c r="A485" s="195" t="s">
        <v>3284</v>
      </c>
      <c r="B485" s="216"/>
      <c r="C485" s="192" t="s">
        <v>3303</v>
      </c>
      <c r="D485" s="192" t="s">
        <v>3304</v>
      </c>
      <c r="E485" s="195"/>
      <c r="F485" s="195"/>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68"/>
      <c r="AK485" s="68"/>
    </row>
    <row r="486" spans="1:37">
      <c r="A486" s="195" t="s">
        <v>3284</v>
      </c>
      <c r="B486" s="216"/>
      <c r="C486" s="192" t="s">
        <v>3305</v>
      </c>
      <c r="D486" s="192" t="s">
        <v>3306</v>
      </c>
      <c r="E486" s="195"/>
      <c r="F486" s="195"/>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68"/>
      <c r="AK486" s="68"/>
    </row>
    <row r="487" spans="1:37">
      <c r="A487" s="195" t="s">
        <v>3284</v>
      </c>
      <c r="B487" s="216"/>
      <c r="C487" s="195" t="s">
        <v>3307</v>
      </c>
      <c r="D487" s="192" t="s">
        <v>3308</v>
      </c>
      <c r="E487" s="195" t="s">
        <v>2515</v>
      </c>
      <c r="F487" s="195" t="s">
        <v>2516</v>
      </c>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68"/>
      <c r="AK487" s="68"/>
    </row>
    <row r="488" spans="1:37">
      <c r="A488" s="195" t="s">
        <v>3284</v>
      </c>
      <c r="B488" s="216"/>
      <c r="C488" s="195" t="s">
        <v>3309</v>
      </c>
      <c r="D488" s="195" t="s">
        <v>3310</v>
      </c>
      <c r="E488" s="195" t="s">
        <v>2515</v>
      </c>
      <c r="F488" s="195" t="s">
        <v>2516</v>
      </c>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68"/>
      <c r="AK488" s="68"/>
    </row>
    <row r="489" spans="1:37">
      <c r="A489" s="196" t="s">
        <v>3284</v>
      </c>
      <c r="B489" s="216"/>
      <c r="C489" s="196" t="s">
        <v>3311</v>
      </c>
      <c r="D489" s="196" t="s">
        <v>3312</v>
      </c>
      <c r="E489" s="196" t="s">
        <v>2515</v>
      </c>
      <c r="F489" s="197"/>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c r="AE489" s="197"/>
      <c r="AF489" s="197"/>
      <c r="AG489" s="197"/>
      <c r="AH489" s="197"/>
      <c r="AI489" s="197"/>
      <c r="AJ489" s="197"/>
      <c r="AK489" s="197"/>
    </row>
    <row r="490" spans="1:37">
      <c r="A490" s="196" t="s">
        <v>3284</v>
      </c>
      <c r="B490" s="216"/>
      <c r="C490" s="196" t="s">
        <v>3313</v>
      </c>
      <c r="D490" s="196" t="s">
        <v>3314</v>
      </c>
      <c r="E490" s="196" t="s">
        <v>2515</v>
      </c>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c r="AE490" s="197"/>
      <c r="AF490" s="197"/>
      <c r="AG490" s="197"/>
      <c r="AH490" s="197"/>
      <c r="AI490" s="197"/>
      <c r="AJ490" s="197"/>
      <c r="AK490" s="197"/>
    </row>
    <row r="491" spans="1:37">
      <c r="A491" s="196" t="s">
        <v>3284</v>
      </c>
      <c r="B491" s="216"/>
      <c r="C491" s="196" t="s">
        <v>3315</v>
      </c>
      <c r="D491" s="196" t="s">
        <v>3316</v>
      </c>
      <c r="E491" s="196" t="s">
        <v>2515</v>
      </c>
      <c r="F491" s="197"/>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c r="AE491" s="197"/>
      <c r="AF491" s="197"/>
      <c r="AG491" s="197"/>
      <c r="AH491" s="197"/>
      <c r="AI491" s="197"/>
      <c r="AJ491" s="197"/>
      <c r="AK491" s="197"/>
    </row>
    <row r="492" spans="1:37">
      <c r="A492" s="195" t="s">
        <v>3284</v>
      </c>
      <c r="B492" s="245" t="s">
        <v>3317</v>
      </c>
      <c r="C492" s="195" t="s">
        <v>3318</v>
      </c>
      <c r="D492" s="195" t="s">
        <v>3319</v>
      </c>
      <c r="E492" s="195" t="s">
        <v>2515</v>
      </c>
      <c r="F492" s="195" t="s">
        <v>2516</v>
      </c>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68"/>
      <c r="AK492" s="68"/>
    </row>
    <row r="493" spans="1:37">
      <c r="A493" s="195" t="s">
        <v>3284</v>
      </c>
      <c r="B493" s="216"/>
      <c r="C493" s="195" t="s">
        <v>3320</v>
      </c>
      <c r="D493" s="195" t="s">
        <v>3321</v>
      </c>
      <c r="E493" s="195" t="s">
        <v>2515</v>
      </c>
      <c r="F493" s="195" t="s">
        <v>2516</v>
      </c>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68"/>
      <c r="AK493" s="68"/>
    </row>
    <row r="494" spans="1:37">
      <c r="A494" s="195" t="s">
        <v>3284</v>
      </c>
      <c r="B494" s="216"/>
      <c r="C494" s="195" t="s">
        <v>3322</v>
      </c>
      <c r="D494" s="195" t="s">
        <v>3323</v>
      </c>
      <c r="E494" s="195" t="s">
        <v>2515</v>
      </c>
      <c r="F494" s="195" t="s">
        <v>2516</v>
      </c>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68"/>
      <c r="AK494" s="68"/>
    </row>
    <row r="495" spans="1:37">
      <c r="A495" s="196" t="s">
        <v>3284</v>
      </c>
      <c r="B495" s="216"/>
      <c r="C495" s="196" t="s">
        <v>3324</v>
      </c>
      <c r="D495" s="172" t="s">
        <v>3325</v>
      </c>
      <c r="E495" s="196" t="s">
        <v>2515</v>
      </c>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c r="AE495" s="197"/>
      <c r="AF495" s="197"/>
      <c r="AG495" s="197"/>
      <c r="AH495" s="197"/>
      <c r="AI495" s="197"/>
      <c r="AJ495" s="197"/>
      <c r="AK495" s="197"/>
    </row>
    <row r="496" spans="1:37">
      <c r="A496" s="195" t="s">
        <v>3284</v>
      </c>
      <c r="B496" s="216"/>
      <c r="C496" s="195" t="s">
        <v>3326</v>
      </c>
      <c r="D496" s="195" t="s">
        <v>3327</v>
      </c>
      <c r="E496" s="195" t="s">
        <v>2515</v>
      </c>
      <c r="F496" s="195" t="s">
        <v>2516</v>
      </c>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68"/>
      <c r="AK496" s="68"/>
    </row>
    <row r="497" spans="1:37">
      <c r="A497" s="195" t="s">
        <v>3284</v>
      </c>
      <c r="B497" s="245" t="s">
        <v>3328</v>
      </c>
      <c r="C497" s="195" t="s">
        <v>3329</v>
      </c>
      <c r="D497" s="195" t="s">
        <v>3330</v>
      </c>
      <c r="E497" s="195" t="s">
        <v>2515</v>
      </c>
      <c r="F497" s="195" t="s">
        <v>2516</v>
      </c>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68"/>
      <c r="AK497" s="68"/>
    </row>
    <row r="498" spans="1:37">
      <c r="A498" s="195" t="s">
        <v>3284</v>
      </c>
      <c r="B498" s="216"/>
      <c r="C498" s="195" t="s">
        <v>3331</v>
      </c>
      <c r="D498" s="195" t="s">
        <v>3332</v>
      </c>
      <c r="E498" s="195" t="s">
        <v>2515</v>
      </c>
      <c r="F498" s="195" t="s">
        <v>2516</v>
      </c>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68"/>
      <c r="AK498" s="68"/>
    </row>
    <row r="499" spans="1:37">
      <c r="A499" s="195" t="s">
        <v>3284</v>
      </c>
      <c r="B499" s="216"/>
      <c r="C499" s="195" t="s">
        <v>3333</v>
      </c>
      <c r="D499" s="195" t="s">
        <v>250</v>
      </c>
      <c r="E499" s="195" t="s">
        <v>2515</v>
      </c>
      <c r="F499" s="195" t="s">
        <v>2516</v>
      </c>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68"/>
      <c r="AK499" s="68"/>
    </row>
    <row r="500" spans="1:37">
      <c r="A500" s="195" t="s">
        <v>3284</v>
      </c>
      <c r="B500" s="245" t="s">
        <v>3334</v>
      </c>
      <c r="C500" s="195" t="s">
        <v>3335</v>
      </c>
      <c r="D500" s="195" t="s">
        <v>3336</v>
      </c>
      <c r="E500" s="195" t="s">
        <v>2515</v>
      </c>
      <c r="F500" s="195" t="s">
        <v>2516</v>
      </c>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68"/>
      <c r="AK500" s="68"/>
    </row>
    <row r="501" spans="1:37">
      <c r="A501" s="195" t="s">
        <v>3284</v>
      </c>
      <c r="B501" s="216"/>
      <c r="C501" s="195" t="s">
        <v>3337</v>
      </c>
      <c r="D501" s="192" t="s">
        <v>3338</v>
      </c>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68"/>
      <c r="AK501" s="68"/>
    </row>
    <row r="502" spans="1:37">
      <c r="A502" s="195" t="s">
        <v>3284</v>
      </c>
      <c r="B502" s="216"/>
      <c r="C502" s="195" t="s">
        <v>3339</v>
      </c>
      <c r="D502" s="192" t="s">
        <v>3340</v>
      </c>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68"/>
      <c r="AK502" s="68"/>
    </row>
    <row r="503" spans="1:37">
      <c r="A503" s="195" t="s">
        <v>3284</v>
      </c>
      <c r="B503" s="216"/>
      <c r="C503" s="195" t="s">
        <v>3341</v>
      </c>
      <c r="D503" s="195" t="s">
        <v>3342</v>
      </c>
      <c r="E503" s="195" t="s">
        <v>2515</v>
      </c>
      <c r="F503" s="195" t="s">
        <v>2516</v>
      </c>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68"/>
      <c r="AK503" s="68"/>
    </row>
    <row r="504" spans="1:37">
      <c r="A504" s="195" t="s">
        <v>3284</v>
      </c>
      <c r="B504" s="216"/>
      <c r="C504" s="192" t="s">
        <v>3343</v>
      </c>
      <c r="D504" s="192" t="s">
        <v>3344</v>
      </c>
      <c r="E504" s="195" t="s">
        <v>2515</v>
      </c>
      <c r="F504" s="195" t="s">
        <v>2516</v>
      </c>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row>
    <row r="505" spans="1:37">
      <c r="A505" s="152" t="s">
        <v>3284</v>
      </c>
      <c r="B505" s="216"/>
      <c r="C505" s="172" t="s">
        <v>3345</v>
      </c>
      <c r="D505" s="172" t="s">
        <v>3346</v>
      </c>
      <c r="E505" s="152" t="s">
        <v>2515</v>
      </c>
      <c r="F505" s="152"/>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row>
    <row r="506" spans="1:37">
      <c r="A506" s="195" t="s">
        <v>3284</v>
      </c>
      <c r="B506" s="216"/>
      <c r="C506" s="195" t="s">
        <v>3347</v>
      </c>
      <c r="D506" s="195" t="s">
        <v>3348</v>
      </c>
      <c r="E506" s="195" t="s">
        <v>2515</v>
      </c>
      <c r="F506" s="195" t="s">
        <v>2516</v>
      </c>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row>
    <row r="507" spans="1:3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row>
    <row r="508" spans="1:37">
      <c r="A508" s="233" t="s">
        <v>3349</v>
      </c>
      <c r="B508" s="216"/>
      <c r="C508" s="216"/>
      <c r="D508" s="216"/>
      <c r="E508" s="216"/>
      <c r="F508" s="216"/>
      <c r="G508" s="216"/>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row>
    <row r="509" spans="1:37">
      <c r="A509" s="152" t="s">
        <v>3349</v>
      </c>
      <c r="B509" s="232" t="s">
        <v>95</v>
      </c>
      <c r="C509" s="152" t="s">
        <v>3350</v>
      </c>
      <c r="D509" s="152" t="s">
        <v>3351</v>
      </c>
      <c r="E509" s="152" t="s">
        <v>2515</v>
      </c>
      <c r="F509" s="152" t="s">
        <v>2516</v>
      </c>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row>
    <row r="510" spans="1:37">
      <c r="A510" s="152" t="s">
        <v>3349</v>
      </c>
      <c r="B510" s="216"/>
      <c r="C510" s="152" t="s">
        <v>3352</v>
      </c>
      <c r="D510" s="152" t="s">
        <v>3353</v>
      </c>
      <c r="E510" s="152" t="s">
        <v>2515</v>
      </c>
      <c r="F510" s="152" t="s">
        <v>2516</v>
      </c>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row>
    <row r="511" spans="1:37">
      <c r="A511" s="152" t="s">
        <v>3349</v>
      </c>
      <c r="B511" s="216"/>
      <c r="C511" s="152" t="s">
        <v>3354</v>
      </c>
      <c r="D511" s="152" t="s">
        <v>544</v>
      </c>
      <c r="E511" s="152" t="s">
        <v>2515</v>
      </c>
      <c r="F511" s="152" t="s">
        <v>2516</v>
      </c>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row>
    <row r="512" spans="1:37">
      <c r="A512" s="152" t="s">
        <v>3349</v>
      </c>
      <c r="B512" s="216"/>
      <c r="C512" s="152" t="s">
        <v>3355</v>
      </c>
      <c r="D512" s="152" t="s">
        <v>3356</v>
      </c>
      <c r="E512" s="152" t="s">
        <v>2515</v>
      </c>
      <c r="F512" s="152" t="s">
        <v>2516</v>
      </c>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row>
    <row r="513" spans="1:37">
      <c r="A513" s="152" t="s">
        <v>3349</v>
      </c>
      <c r="B513" s="216"/>
      <c r="C513" s="152" t="s">
        <v>3357</v>
      </c>
      <c r="D513" s="152" t="s">
        <v>3358</v>
      </c>
      <c r="E513" s="152" t="s">
        <v>2515</v>
      </c>
      <c r="F513" s="152" t="s">
        <v>2516</v>
      </c>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row>
    <row r="514" spans="1:37">
      <c r="A514" s="152" t="s">
        <v>3349</v>
      </c>
      <c r="B514" s="216"/>
      <c r="C514" s="152" t="s">
        <v>3359</v>
      </c>
      <c r="D514" s="152" t="s">
        <v>2122</v>
      </c>
      <c r="E514" s="152" t="s">
        <v>2515</v>
      </c>
      <c r="F514" s="152" t="s">
        <v>2516</v>
      </c>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row>
    <row r="515" spans="1:37">
      <c r="A515" s="152" t="s">
        <v>3349</v>
      </c>
      <c r="B515" s="216"/>
      <c r="C515" s="152" t="s">
        <v>3360</v>
      </c>
      <c r="D515" s="152" t="s">
        <v>399</v>
      </c>
      <c r="E515" s="152" t="s">
        <v>2515</v>
      </c>
      <c r="F515" s="152" t="s">
        <v>2516</v>
      </c>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row>
    <row r="516" spans="1:37">
      <c r="A516" s="152" t="s">
        <v>3349</v>
      </c>
      <c r="B516" s="216"/>
      <c r="C516" s="152" t="s">
        <v>3361</v>
      </c>
      <c r="D516" s="152" t="s">
        <v>3362</v>
      </c>
      <c r="E516" s="152" t="s">
        <v>2515</v>
      </c>
      <c r="F516" s="152" t="s">
        <v>2516</v>
      </c>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row>
    <row r="517" spans="1:37">
      <c r="A517" s="152" t="s">
        <v>3349</v>
      </c>
      <c r="B517" s="216"/>
      <c r="C517" s="152" t="s">
        <v>3363</v>
      </c>
      <c r="D517" s="152" t="s">
        <v>2175</v>
      </c>
      <c r="E517" s="152" t="s">
        <v>2515</v>
      </c>
      <c r="F517" s="152" t="s">
        <v>2516</v>
      </c>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row>
    <row r="518" spans="1:37">
      <c r="A518" s="152" t="s">
        <v>3349</v>
      </c>
      <c r="B518" s="216"/>
      <c r="C518" s="152" t="s">
        <v>3364</v>
      </c>
      <c r="D518" s="152" t="s">
        <v>270</v>
      </c>
      <c r="E518" s="152" t="s">
        <v>2515</v>
      </c>
      <c r="F518" s="152" t="s">
        <v>2516</v>
      </c>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row>
    <row r="519" spans="1:37">
      <c r="A519" s="152" t="s">
        <v>3349</v>
      </c>
      <c r="B519" s="216"/>
      <c r="C519" s="152" t="s">
        <v>3365</v>
      </c>
      <c r="D519" s="152" t="s">
        <v>3366</v>
      </c>
      <c r="E519" s="152" t="s">
        <v>2515</v>
      </c>
      <c r="F519" s="152" t="s">
        <v>2516</v>
      </c>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row>
    <row r="520" spans="1:37">
      <c r="A520" s="152" t="s">
        <v>3349</v>
      </c>
      <c r="B520" s="216"/>
      <c r="C520" s="152" t="s">
        <v>3367</v>
      </c>
      <c r="D520" s="152" t="s">
        <v>422</v>
      </c>
      <c r="E520" s="152" t="s">
        <v>2515</v>
      </c>
      <c r="F520" s="152" t="s">
        <v>2516</v>
      </c>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row>
    <row r="521" spans="1:37">
      <c r="A521" s="152" t="s">
        <v>3349</v>
      </c>
      <c r="B521" s="216"/>
      <c r="C521" s="152" t="s">
        <v>3368</v>
      </c>
      <c r="D521" s="152" t="s">
        <v>560</v>
      </c>
      <c r="E521" s="152" t="s">
        <v>2515</v>
      </c>
      <c r="F521" s="152" t="s">
        <v>2516</v>
      </c>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row>
    <row r="522" spans="1:37">
      <c r="A522" s="152" t="s">
        <v>3349</v>
      </c>
      <c r="B522" s="216"/>
      <c r="C522" s="152" t="s">
        <v>3369</v>
      </c>
      <c r="D522" s="152" t="s">
        <v>3370</v>
      </c>
      <c r="E522" s="152" t="s">
        <v>2515</v>
      </c>
      <c r="F522" s="152" t="s">
        <v>2516</v>
      </c>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row>
    <row r="523" spans="1:37">
      <c r="A523" s="152" t="s">
        <v>3349</v>
      </c>
      <c r="B523" s="216"/>
      <c r="C523" s="152" t="s">
        <v>3371</v>
      </c>
      <c r="D523" s="152" t="s">
        <v>3372</v>
      </c>
      <c r="E523" s="152" t="s">
        <v>2006</v>
      </c>
      <c r="F523" s="152" t="s">
        <v>2516</v>
      </c>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row>
    <row r="524" spans="1:37">
      <c r="A524" s="152" t="s">
        <v>3349</v>
      </c>
      <c r="B524" s="216"/>
      <c r="C524" s="152" t="s">
        <v>3373</v>
      </c>
      <c r="D524" s="152" t="s">
        <v>3374</v>
      </c>
      <c r="E524" s="152" t="s">
        <v>2006</v>
      </c>
      <c r="F524" s="152" t="s">
        <v>2516</v>
      </c>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row>
    <row r="525" spans="1:37">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row>
    <row r="526" spans="1:37">
      <c r="A526" s="152" t="s">
        <v>3375</v>
      </c>
      <c r="B526" s="232" t="s">
        <v>96</v>
      </c>
      <c r="C526" s="244" t="s">
        <v>3376</v>
      </c>
      <c r="D526" s="152" t="s">
        <v>227</v>
      </c>
      <c r="E526" s="152" t="s">
        <v>2515</v>
      </c>
      <c r="F526" s="152" t="s">
        <v>2516</v>
      </c>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row>
    <row r="527" spans="1:37">
      <c r="A527" s="152" t="s">
        <v>3375</v>
      </c>
      <c r="B527" s="216"/>
      <c r="C527" s="216"/>
      <c r="D527" s="152" t="s">
        <v>3377</v>
      </c>
      <c r="E527" s="152" t="s">
        <v>2515</v>
      </c>
      <c r="F527" s="152" t="s">
        <v>2516</v>
      </c>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row>
    <row r="528" spans="1:37">
      <c r="A528" s="152" t="s">
        <v>3375</v>
      </c>
      <c r="B528" s="216"/>
      <c r="C528" s="216"/>
      <c r="D528" s="152" t="s">
        <v>3378</v>
      </c>
      <c r="E528" s="152" t="s">
        <v>2515</v>
      </c>
      <c r="F528" s="152" t="s">
        <v>2516</v>
      </c>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row>
    <row r="529" spans="1:37">
      <c r="A529" s="152" t="s">
        <v>3375</v>
      </c>
      <c r="B529" s="216"/>
      <c r="C529" s="216"/>
      <c r="D529" s="172" t="s">
        <v>3379</v>
      </c>
      <c r="E529" s="152"/>
      <c r="F529" s="152"/>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row>
    <row r="530" spans="1:37">
      <c r="A530" s="152" t="s">
        <v>3375</v>
      </c>
      <c r="B530" s="216"/>
      <c r="C530" s="216"/>
      <c r="D530" s="152" t="s">
        <v>453</v>
      </c>
      <c r="E530" s="152" t="s">
        <v>2515</v>
      </c>
      <c r="F530" s="152" t="s">
        <v>2516</v>
      </c>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row>
    <row r="531" spans="1:37">
      <c r="A531" s="152" t="s">
        <v>3375</v>
      </c>
      <c r="B531" s="216"/>
      <c r="C531" s="216"/>
      <c r="D531" s="198" t="s">
        <v>2503</v>
      </c>
      <c r="E531" s="152"/>
      <c r="F531" s="152"/>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row>
    <row r="532" spans="1:37">
      <c r="A532" s="152" t="s">
        <v>3375</v>
      </c>
      <c r="B532" s="216"/>
      <c r="C532" s="216"/>
      <c r="D532" s="78" t="s">
        <v>3380</v>
      </c>
      <c r="E532" s="152" t="s">
        <v>2515</v>
      </c>
      <c r="F532" s="152" t="s">
        <v>2516</v>
      </c>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row>
    <row r="533" spans="1:37">
      <c r="A533" s="152" t="s">
        <v>3375</v>
      </c>
      <c r="B533" s="216"/>
      <c r="C533" s="216"/>
      <c r="D533" s="78" t="s">
        <v>3381</v>
      </c>
      <c r="E533" s="152" t="s">
        <v>2515</v>
      </c>
      <c r="F533" s="152" t="s">
        <v>2516</v>
      </c>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row>
    <row r="534" spans="1:37">
      <c r="A534" s="152" t="s">
        <v>3375</v>
      </c>
      <c r="B534" s="216"/>
      <c r="C534" s="232" t="s">
        <v>3382</v>
      </c>
      <c r="D534" s="152" t="s">
        <v>1547</v>
      </c>
      <c r="E534" s="152" t="s">
        <v>2515</v>
      </c>
      <c r="F534" s="152" t="s">
        <v>2516</v>
      </c>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row>
    <row r="535" spans="1:37">
      <c r="A535" s="152" t="s">
        <v>3375</v>
      </c>
      <c r="B535" s="216"/>
      <c r="C535" s="216"/>
      <c r="D535" s="78" t="s">
        <v>3383</v>
      </c>
      <c r="E535" s="152" t="s">
        <v>2515</v>
      </c>
      <c r="F535" s="152" t="s">
        <v>2516</v>
      </c>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row>
    <row r="536" spans="1:37">
      <c r="A536" s="152" t="s">
        <v>3375</v>
      </c>
      <c r="B536" s="216"/>
      <c r="C536" s="216"/>
      <c r="D536" s="78" t="s">
        <v>3384</v>
      </c>
      <c r="E536" s="152" t="s">
        <v>2515</v>
      </c>
      <c r="F536" s="152" t="s">
        <v>2516</v>
      </c>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row>
    <row r="537" spans="1:37">
      <c r="A537" s="152" t="s">
        <v>3375</v>
      </c>
      <c r="B537" s="216"/>
      <c r="C537" s="216"/>
      <c r="D537" s="199" t="s">
        <v>3385</v>
      </c>
      <c r="E537" s="152"/>
      <c r="F537" s="152"/>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row>
    <row r="538" spans="1:37">
      <c r="A538" s="152" t="s">
        <v>3375</v>
      </c>
      <c r="B538" s="216"/>
      <c r="C538" s="216"/>
      <c r="D538" s="199" t="s">
        <v>3386</v>
      </c>
      <c r="E538" s="152"/>
      <c r="F538" s="152"/>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row>
    <row r="539" spans="1:37">
      <c r="A539" s="152" t="s">
        <v>3375</v>
      </c>
      <c r="B539" s="216"/>
      <c r="C539" s="216"/>
      <c r="D539" s="199" t="s">
        <v>3387</v>
      </c>
      <c r="E539" s="152"/>
      <c r="F539" s="152"/>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row>
    <row r="540" spans="1:37">
      <c r="A540" s="152" t="s">
        <v>3375</v>
      </c>
      <c r="B540" s="216"/>
      <c r="C540" s="216"/>
      <c r="D540" s="199" t="s">
        <v>3388</v>
      </c>
      <c r="E540" s="152"/>
      <c r="F540" s="152"/>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row>
    <row r="541" spans="1:37">
      <c r="A541" s="152" t="s">
        <v>3375</v>
      </c>
      <c r="B541" s="216"/>
      <c r="C541" s="216"/>
      <c r="D541" s="152" t="s">
        <v>3389</v>
      </c>
      <c r="E541" s="152" t="s">
        <v>2515</v>
      </c>
      <c r="F541" s="152" t="s">
        <v>2516</v>
      </c>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row>
    <row r="542" spans="1:37">
      <c r="A542" s="152" t="s">
        <v>3375</v>
      </c>
      <c r="B542" s="216"/>
      <c r="C542" s="216"/>
      <c r="D542" s="152" t="s">
        <v>3390</v>
      </c>
      <c r="E542" s="152"/>
      <c r="F542" s="152"/>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row>
    <row r="543" spans="1:37">
      <c r="A543" s="152" t="s">
        <v>3375</v>
      </c>
      <c r="B543" s="216"/>
      <c r="C543" s="216"/>
      <c r="D543" s="172" t="s">
        <v>3391</v>
      </c>
      <c r="E543" s="152"/>
      <c r="F543" s="152"/>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row>
    <row r="544" spans="1:37">
      <c r="A544" s="152" t="s">
        <v>3375</v>
      </c>
      <c r="B544" s="216"/>
      <c r="C544" s="216"/>
      <c r="D544" s="198" t="s">
        <v>3392</v>
      </c>
      <c r="E544" s="152"/>
      <c r="F544" s="152"/>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row>
    <row r="545" spans="1:37">
      <c r="A545" s="152" t="s">
        <v>3375</v>
      </c>
      <c r="B545" s="216"/>
      <c r="C545" s="216"/>
      <c r="D545" s="198" t="s">
        <v>3393</v>
      </c>
      <c r="E545" s="152"/>
      <c r="F545" s="152"/>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row>
    <row r="546" spans="1:37">
      <c r="A546" s="152" t="s">
        <v>3375</v>
      </c>
      <c r="B546" s="216"/>
      <c r="C546" s="216"/>
      <c r="D546" s="198" t="s">
        <v>2503</v>
      </c>
      <c r="E546" s="152"/>
      <c r="F546" s="152"/>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row>
    <row r="547" spans="1:37">
      <c r="A547" s="152" t="s">
        <v>3375</v>
      </c>
      <c r="B547" s="216"/>
      <c r="C547" s="216"/>
      <c r="D547" s="172" t="s">
        <v>1571</v>
      </c>
      <c r="E547" s="152"/>
      <c r="F547" s="152"/>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row>
    <row r="548" spans="1:37">
      <c r="A548" s="152" t="s">
        <v>3375</v>
      </c>
      <c r="B548" s="216"/>
      <c r="C548" s="216"/>
      <c r="D548" s="172" t="s">
        <v>3394</v>
      </c>
      <c r="E548" s="152"/>
      <c r="F548" s="152"/>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row>
    <row r="549" spans="1:37">
      <c r="A549" s="152" t="s">
        <v>3375</v>
      </c>
      <c r="B549" s="216"/>
      <c r="C549" s="216"/>
      <c r="D549" s="192" t="s">
        <v>3395</v>
      </c>
      <c r="E549" s="152"/>
      <c r="F549" s="152"/>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row>
    <row r="550" spans="1:37">
      <c r="A550" s="152" t="s">
        <v>3375</v>
      </c>
      <c r="B550" s="216"/>
      <c r="C550" s="216"/>
      <c r="D550" s="192" t="s">
        <v>3396</v>
      </c>
      <c r="E550" s="152"/>
      <c r="F550" s="152"/>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row>
    <row r="551" spans="1:37">
      <c r="A551" s="154" t="s">
        <v>3375</v>
      </c>
      <c r="B551" s="216"/>
      <c r="C551" s="216"/>
      <c r="D551" s="154" t="s">
        <v>3397</v>
      </c>
      <c r="E551" s="154" t="s">
        <v>2515</v>
      </c>
      <c r="F551" s="154"/>
      <c r="G551" s="155"/>
      <c r="H551" s="155"/>
      <c r="I551" s="155"/>
      <c r="J551" s="155"/>
      <c r="K551" s="155"/>
      <c r="L551" s="155"/>
      <c r="M551" s="155"/>
      <c r="N551" s="155"/>
      <c r="O551" s="155"/>
      <c r="P551" s="155"/>
      <c r="Q551" s="155"/>
      <c r="R551" s="155"/>
      <c r="S551" s="155"/>
      <c r="T551" s="155"/>
      <c r="U551" s="155"/>
      <c r="V551" s="155"/>
      <c r="W551" s="155"/>
      <c r="X551" s="155"/>
      <c r="Y551" s="155"/>
      <c r="Z551" s="155"/>
      <c r="AA551" s="155"/>
      <c r="AB551" s="155"/>
      <c r="AC551" s="155"/>
      <c r="AD551" s="155"/>
      <c r="AE551" s="155"/>
      <c r="AF551" s="155"/>
      <c r="AG551" s="155"/>
      <c r="AH551" s="155"/>
      <c r="AI551" s="155"/>
      <c r="AJ551" s="155"/>
      <c r="AK551" s="155"/>
    </row>
    <row r="552" spans="1:37">
      <c r="A552" s="152" t="s">
        <v>3375</v>
      </c>
      <c r="B552" s="216"/>
      <c r="C552" s="216"/>
      <c r="D552" s="152" t="s">
        <v>3398</v>
      </c>
      <c r="E552" s="152" t="s">
        <v>2515</v>
      </c>
      <c r="F552" s="152" t="s">
        <v>2516</v>
      </c>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row>
    <row r="553" spans="1:37">
      <c r="A553" s="152" t="s">
        <v>3375</v>
      </c>
      <c r="B553" s="216"/>
      <c r="C553" s="216"/>
      <c r="D553" s="152" t="s">
        <v>3399</v>
      </c>
      <c r="E553" s="152" t="s">
        <v>2515</v>
      </c>
      <c r="F553" s="152" t="s">
        <v>2516</v>
      </c>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row>
    <row r="554" spans="1:37">
      <c r="A554" s="152" t="s">
        <v>3375</v>
      </c>
      <c r="B554" s="216"/>
      <c r="C554" s="232" t="s">
        <v>3400</v>
      </c>
      <c r="D554" s="152" t="s">
        <v>3401</v>
      </c>
      <c r="E554" s="152" t="s">
        <v>2515</v>
      </c>
      <c r="F554" s="152" t="s">
        <v>2516</v>
      </c>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row>
    <row r="555" spans="1:37">
      <c r="A555" s="152" t="s">
        <v>3375</v>
      </c>
      <c r="B555" s="216"/>
      <c r="C555" s="216"/>
      <c r="D555" s="152" t="s">
        <v>3402</v>
      </c>
      <c r="E555" s="152" t="s">
        <v>2515</v>
      </c>
      <c r="F555" s="152" t="s">
        <v>2516</v>
      </c>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row>
    <row r="556" spans="1:37">
      <c r="A556" s="152" t="s">
        <v>3375</v>
      </c>
      <c r="B556" s="216"/>
      <c r="C556" s="216"/>
      <c r="D556" s="152" t="s">
        <v>2260</v>
      </c>
      <c r="E556" s="152" t="s">
        <v>2515</v>
      </c>
      <c r="F556" s="152" t="s">
        <v>2516</v>
      </c>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row>
    <row r="557" spans="1:37">
      <c r="A557" s="152" t="s">
        <v>3375</v>
      </c>
      <c r="B557" s="216"/>
      <c r="C557" s="216"/>
      <c r="D557" s="152" t="s">
        <v>3403</v>
      </c>
      <c r="E557" s="152" t="s">
        <v>2515</v>
      </c>
      <c r="F557" s="152" t="s">
        <v>2516</v>
      </c>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row>
    <row r="558" spans="1:37">
      <c r="A558" s="152" t="s">
        <v>3375</v>
      </c>
      <c r="B558" s="216"/>
      <c r="C558" s="216"/>
      <c r="D558" s="78" t="s">
        <v>561</v>
      </c>
      <c r="E558" s="152"/>
      <c r="F558" s="152"/>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row>
    <row r="559" spans="1:37">
      <c r="A559" s="152"/>
      <c r="B559" s="216"/>
      <c r="C559" s="216"/>
      <c r="D559" s="214" t="s">
        <v>2372</v>
      </c>
      <c r="E559" s="152"/>
      <c r="F559" s="152"/>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row>
    <row r="560" spans="1:37">
      <c r="A560" s="152"/>
      <c r="B560" s="216"/>
      <c r="C560" s="216"/>
      <c r="D560" s="214" t="s">
        <v>3404</v>
      </c>
      <c r="E560" s="152"/>
      <c r="F560" s="152"/>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row>
    <row r="561" spans="1:37">
      <c r="A561" s="152"/>
      <c r="B561" s="216"/>
      <c r="C561" s="216"/>
      <c r="D561" s="214" t="s">
        <v>3405</v>
      </c>
      <c r="E561" s="152"/>
      <c r="F561" s="152"/>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row>
    <row r="562" spans="1:37">
      <c r="A562" s="152" t="s">
        <v>3375</v>
      </c>
      <c r="B562" s="216"/>
      <c r="C562" s="216"/>
      <c r="D562" s="78" t="s">
        <v>3406</v>
      </c>
      <c r="E562" s="152" t="s">
        <v>2515</v>
      </c>
      <c r="F562" s="152" t="s">
        <v>2516</v>
      </c>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row>
    <row r="563" spans="1:37">
      <c r="A563" s="152" t="s">
        <v>3375</v>
      </c>
      <c r="B563" s="216"/>
      <c r="C563" s="216"/>
      <c r="D563" s="78" t="s">
        <v>1646</v>
      </c>
      <c r="E563" s="152" t="s">
        <v>2515</v>
      </c>
      <c r="F563" s="152" t="s">
        <v>2516</v>
      </c>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row>
    <row r="564" spans="1:37">
      <c r="A564" s="152" t="s">
        <v>3375</v>
      </c>
      <c r="B564" s="216"/>
      <c r="C564" s="216"/>
      <c r="D564" s="78" t="s">
        <v>3407</v>
      </c>
      <c r="E564" s="152" t="s">
        <v>2515</v>
      </c>
      <c r="F564" s="152" t="s">
        <v>2516</v>
      </c>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row>
    <row r="565" spans="1:37">
      <c r="A565" s="152" t="s">
        <v>3375</v>
      </c>
      <c r="B565" s="216"/>
      <c r="C565" s="232" t="s">
        <v>3408</v>
      </c>
      <c r="D565" s="152" t="s">
        <v>3409</v>
      </c>
      <c r="E565" s="152" t="s">
        <v>2515</v>
      </c>
      <c r="F565" s="152" t="s">
        <v>2516</v>
      </c>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row>
    <row r="566" spans="1:37">
      <c r="A566" s="152" t="s">
        <v>3375</v>
      </c>
      <c r="B566" s="216"/>
      <c r="C566" s="216"/>
      <c r="D566" s="152" t="s">
        <v>3410</v>
      </c>
      <c r="E566" s="152" t="s">
        <v>2515</v>
      </c>
      <c r="F566" s="152" t="s">
        <v>2516</v>
      </c>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row>
    <row r="567" spans="1:37">
      <c r="A567" s="152" t="s">
        <v>3375</v>
      </c>
      <c r="B567" s="216"/>
      <c r="C567" s="216"/>
      <c r="D567" s="78" t="s">
        <v>3406</v>
      </c>
      <c r="E567" s="152" t="s">
        <v>2515</v>
      </c>
      <c r="F567" s="152" t="s">
        <v>2516</v>
      </c>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row>
    <row r="568" spans="1:37">
      <c r="A568" s="152" t="s">
        <v>3375</v>
      </c>
      <c r="B568" s="216"/>
      <c r="C568" s="216"/>
      <c r="D568" s="152" t="s">
        <v>3411</v>
      </c>
      <c r="E568" s="152" t="s">
        <v>2515</v>
      </c>
      <c r="F568" s="152" t="s">
        <v>2516</v>
      </c>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row>
    <row r="569" spans="1:37">
      <c r="A569" s="152"/>
      <c r="B569" s="216"/>
      <c r="C569" s="216"/>
      <c r="D569" s="198" t="s">
        <v>2503</v>
      </c>
      <c r="E569" s="152"/>
      <c r="F569" s="152"/>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row>
    <row r="570" spans="1:37">
      <c r="A570" s="152"/>
      <c r="B570" s="216"/>
      <c r="C570" s="216"/>
      <c r="D570" s="121" t="s">
        <v>3412</v>
      </c>
      <c r="E570" s="152"/>
      <c r="F570" s="152"/>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row>
    <row r="571" spans="1:37">
      <c r="A571" s="152" t="s">
        <v>3375</v>
      </c>
      <c r="B571" s="216"/>
      <c r="C571" s="216"/>
      <c r="D571" s="152" t="s">
        <v>3413</v>
      </c>
      <c r="E571" s="152" t="s">
        <v>2515</v>
      </c>
      <c r="F571" s="152" t="s">
        <v>2516</v>
      </c>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row>
    <row r="572" spans="1:37">
      <c r="A572" s="152" t="s">
        <v>3375</v>
      </c>
      <c r="B572" s="216"/>
      <c r="C572" s="216"/>
      <c r="D572" s="152" t="s">
        <v>3414</v>
      </c>
      <c r="E572" s="152" t="s">
        <v>2515</v>
      </c>
      <c r="F572" s="152" t="s">
        <v>2516</v>
      </c>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row>
    <row r="573" spans="1:37">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row>
    <row r="574" spans="1:37">
      <c r="A574" s="233" t="s">
        <v>3415</v>
      </c>
      <c r="B574" s="216"/>
      <c r="C574" s="216"/>
      <c r="D574" s="216"/>
      <c r="E574" s="216"/>
      <c r="F574" s="216"/>
      <c r="G574" s="216"/>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row>
    <row r="575" spans="1:37">
      <c r="A575" s="174" t="s">
        <v>2041</v>
      </c>
      <c r="B575" s="240" t="s">
        <v>2029</v>
      </c>
      <c r="C575" s="174" t="s">
        <v>3416</v>
      </c>
      <c r="D575" s="174" t="s">
        <v>2075</v>
      </c>
      <c r="E575" s="174" t="s">
        <v>2070</v>
      </c>
      <c r="F575" s="174" t="s">
        <v>2516</v>
      </c>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row>
    <row r="576" spans="1:37">
      <c r="A576" s="174" t="s">
        <v>2041</v>
      </c>
      <c r="B576" s="216"/>
      <c r="C576" s="174" t="s">
        <v>3417</v>
      </c>
      <c r="D576" s="174" t="s">
        <v>2091</v>
      </c>
      <c r="E576" s="174" t="s">
        <v>2070</v>
      </c>
      <c r="F576" s="174" t="s">
        <v>2516</v>
      </c>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row>
    <row r="577" spans="1:37">
      <c r="A577" s="174" t="s">
        <v>2041</v>
      </c>
      <c r="B577" s="216"/>
      <c r="C577" s="174" t="s">
        <v>3418</v>
      </c>
      <c r="D577" s="174" t="s">
        <v>2194</v>
      </c>
      <c r="E577" s="174" t="s">
        <v>2070</v>
      </c>
      <c r="F577" s="174" t="s">
        <v>2516</v>
      </c>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row>
    <row r="578" spans="1:37">
      <c r="A578" s="174" t="s">
        <v>2041</v>
      </c>
      <c r="B578" s="216"/>
      <c r="C578" s="174" t="s">
        <v>3419</v>
      </c>
      <c r="D578" s="174" t="s">
        <v>2215</v>
      </c>
      <c r="E578" s="174" t="s">
        <v>2070</v>
      </c>
      <c r="F578" s="174" t="s">
        <v>2516</v>
      </c>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row>
    <row r="579" spans="1:37">
      <c r="A579" s="174" t="s">
        <v>2041</v>
      </c>
      <c r="B579" s="216"/>
      <c r="C579" s="174" t="s">
        <v>3420</v>
      </c>
      <c r="D579" s="174" t="s">
        <v>2255</v>
      </c>
      <c r="E579" s="174" t="s">
        <v>2070</v>
      </c>
      <c r="F579" s="174" t="s">
        <v>2516</v>
      </c>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row>
    <row r="580" spans="1:37">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row>
    <row r="581" spans="1:37">
      <c r="A581" s="174" t="s">
        <v>2042</v>
      </c>
      <c r="B581" s="240" t="s">
        <v>2030</v>
      </c>
      <c r="C581" s="174" t="s">
        <v>3421</v>
      </c>
      <c r="D581" s="174" t="s">
        <v>3422</v>
      </c>
      <c r="E581" s="174" t="s">
        <v>2070</v>
      </c>
      <c r="F581" s="174" t="s">
        <v>2516</v>
      </c>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row>
    <row r="582" spans="1:37">
      <c r="A582" s="174" t="s">
        <v>2042</v>
      </c>
      <c r="B582" s="216"/>
      <c r="C582" s="174" t="s">
        <v>3423</v>
      </c>
      <c r="D582" s="174" t="s">
        <v>3424</v>
      </c>
      <c r="E582" s="174" t="s">
        <v>2070</v>
      </c>
      <c r="F582" s="174" t="s">
        <v>2516</v>
      </c>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row>
    <row r="583" spans="1:37">
      <c r="A583" s="174" t="s">
        <v>2042</v>
      </c>
      <c r="B583" s="216"/>
      <c r="C583" s="174" t="s">
        <v>3425</v>
      </c>
      <c r="D583" s="174" t="s">
        <v>3426</v>
      </c>
      <c r="E583" s="174" t="s">
        <v>2070</v>
      </c>
      <c r="F583" s="174" t="s">
        <v>2516</v>
      </c>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row>
    <row r="584" spans="1:37">
      <c r="A584" s="200" t="s">
        <v>2042</v>
      </c>
      <c r="B584" s="216"/>
      <c r="C584" s="175" t="s">
        <v>3427</v>
      </c>
      <c r="D584" s="200" t="s">
        <v>3428</v>
      </c>
      <c r="E584" s="200" t="s">
        <v>2070</v>
      </c>
      <c r="F584" s="200" t="s">
        <v>2516</v>
      </c>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row>
    <row r="585" spans="1:37">
      <c r="A585" s="200" t="s">
        <v>2042</v>
      </c>
      <c r="B585" s="216"/>
      <c r="C585" s="200" t="s">
        <v>3429</v>
      </c>
      <c r="D585" s="200" t="s">
        <v>2350</v>
      </c>
      <c r="E585" s="200" t="s">
        <v>2070</v>
      </c>
      <c r="F585" s="200" t="s">
        <v>2516</v>
      </c>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row>
    <row r="586" spans="1:37">
      <c r="A586" s="174" t="s">
        <v>2042</v>
      </c>
      <c r="B586" s="216"/>
      <c r="C586" s="174" t="s">
        <v>3430</v>
      </c>
      <c r="D586" s="174" t="s">
        <v>3431</v>
      </c>
      <c r="E586" s="174" t="s">
        <v>2070</v>
      </c>
      <c r="F586" s="174" t="s">
        <v>2516</v>
      </c>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row>
    <row r="587" spans="1:37">
      <c r="A587" s="174" t="s">
        <v>2042</v>
      </c>
      <c r="B587" s="216"/>
      <c r="C587" s="174" t="s">
        <v>3432</v>
      </c>
      <c r="D587" s="174" t="s">
        <v>2242</v>
      </c>
      <c r="E587" s="174" t="s">
        <v>2070</v>
      </c>
      <c r="F587" s="174" t="s">
        <v>2516</v>
      </c>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row>
    <row r="588" spans="1:37">
      <c r="A588" s="174" t="s">
        <v>2042</v>
      </c>
      <c r="B588" s="216"/>
      <c r="C588" s="174" t="s">
        <v>3433</v>
      </c>
      <c r="D588" s="174" t="s">
        <v>3434</v>
      </c>
      <c r="E588" s="174" t="s">
        <v>2070</v>
      </c>
      <c r="F588" s="174" t="s">
        <v>2516</v>
      </c>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row>
    <row r="589" spans="1:37">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row>
    <row r="590" spans="1:37">
      <c r="A590" s="174" t="s">
        <v>3435</v>
      </c>
      <c r="B590" s="240" t="s">
        <v>2032</v>
      </c>
      <c r="C590" s="174" t="s">
        <v>3436</v>
      </c>
      <c r="D590" s="174" t="s">
        <v>3437</v>
      </c>
      <c r="E590" s="174" t="s">
        <v>2070</v>
      </c>
      <c r="F590" s="174" t="s">
        <v>2516</v>
      </c>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row>
    <row r="591" spans="1:37">
      <c r="A591" s="174" t="s">
        <v>3435</v>
      </c>
      <c r="B591" s="216"/>
      <c r="C591" s="174" t="s">
        <v>3438</v>
      </c>
      <c r="D591" s="174" t="s">
        <v>3439</v>
      </c>
      <c r="E591" s="174" t="s">
        <v>2070</v>
      </c>
      <c r="F591" s="174" t="s">
        <v>2516</v>
      </c>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row>
    <row r="592" spans="1:37">
      <c r="A592" s="174" t="s">
        <v>3435</v>
      </c>
      <c r="B592" s="216"/>
      <c r="C592" s="174" t="s">
        <v>3440</v>
      </c>
      <c r="D592" s="174" t="s">
        <v>3441</v>
      </c>
      <c r="E592" s="174" t="s">
        <v>2070</v>
      </c>
      <c r="F592" s="174" t="s">
        <v>2516</v>
      </c>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row>
    <row r="593" spans="1:37">
      <c r="A593" s="174" t="s">
        <v>3435</v>
      </c>
      <c r="B593" s="216"/>
      <c r="C593" s="174" t="s">
        <v>3442</v>
      </c>
      <c r="D593" s="174" t="s">
        <v>3443</v>
      </c>
      <c r="E593" s="174" t="s">
        <v>2070</v>
      </c>
      <c r="F593" s="174" t="s">
        <v>2516</v>
      </c>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row>
    <row r="594" spans="1:37">
      <c r="A594" s="174" t="s">
        <v>3435</v>
      </c>
      <c r="B594" s="216"/>
      <c r="C594" s="174" t="s">
        <v>3444</v>
      </c>
      <c r="D594" s="174" t="s">
        <v>3445</v>
      </c>
      <c r="E594" s="174" t="s">
        <v>2070</v>
      </c>
      <c r="F594" s="174" t="s">
        <v>2516</v>
      </c>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row>
    <row r="595" spans="1:37">
      <c r="A595" s="174" t="s">
        <v>3435</v>
      </c>
      <c r="B595" s="216"/>
      <c r="C595" s="174" t="s">
        <v>3446</v>
      </c>
      <c r="D595" s="174" t="s">
        <v>3447</v>
      </c>
      <c r="E595" s="174" t="s">
        <v>2070</v>
      </c>
      <c r="F595" s="174" t="s">
        <v>2516</v>
      </c>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row>
    <row r="596" spans="1:37">
      <c r="A596" s="174" t="s">
        <v>3435</v>
      </c>
      <c r="B596" s="216"/>
      <c r="C596" s="174" t="s">
        <v>3448</v>
      </c>
      <c r="D596" s="174" t="s">
        <v>3449</v>
      </c>
      <c r="E596" s="174" t="s">
        <v>2070</v>
      </c>
      <c r="F596" s="174" t="s">
        <v>2516</v>
      </c>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row>
    <row r="597" spans="1:37">
      <c r="A597" s="174" t="s">
        <v>3435</v>
      </c>
      <c r="B597" s="216"/>
      <c r="C597" s="174" t="s">
        <v>3450</v>
      </c>
      <c r="D597" s="174" t="s">
        <v>3451</v>
      </c>
      <c r="E597" s="174" t="s">
        <v>2070</v>
      </c>
      <c r="F597" s="174" t="s">
        <v>2516</v>
      </c>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row>
    <row r="598" spans="1:37">
      <c r="A598" s="174" t="s">
        <v>3435</v>
      </c>
      <c r="B598" s="216"/>
      <c r="C598" s="174" t="s">
        <v>3452</v>
      </c>
      <c r="D598" s="174" t="s">
        <v>2166</v>
      </c>
      <c r="E598" s="174" t="s">
        <v>2070</v>
      </c>
      <c r="F598" s="174" t="s">
        <v>2516</v>
      </c>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row>
    <row r="599" spans="1:37">
      <c r="A599" s="174" t="s">
        <v>3435</v>
      </c>
      <c r="B599" s="216"/>
      <c r="C599" s="174" t="s">
        <v>3453</v>
      </c>
      <c r="D599" s="174" t="s">
        <v>3454</v>
      </c>
      <c r="E599" s="174" t="s">
        <v>2070</v>
      </c>
      <c r="F599" s="174" t="s">
        <v>2516</v>
      </c>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row>
    <row r="600" spans="1:37">
      <c r="A600" s="174" t="s">
        <v>3435</v>
      </c>
      <c r="B600" s="216"/>
      <c r="C600" s="174" t="s">
        <v>3455</v>
      </c>
      <c r="D600" s="174" t="s">
        <v>2266</v>
      </c>
      <c r="E600" s="174" t="s">
        <v>2070</v>
      </c>
      <c r="F600" s="174" t="s">
        <v>2516</v>
      </c>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row>
    <row r="601" spans="1:37">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row>
    <row r="602" spans="1:37">
      <c r="A602" s="174" t="s">
        <v>2045</v>
      </c>
      <c r="B602" s="240" t="s">
        <v>3456</v>
      </c>
      <c r="C602" s="174" t="s">
        <v>3457</v>
      </c>
      <c r="D602" s="174" t="s">
        <v>2095</v>
      </c>
      <c r="E602" s="174" t="s">
        <v>2070</v>
      </c>
      <c r="F602" s="174" t="s">
        <v>2516</v>
      </c>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row>
    <row r="603" spans="1:37">
      <c r="A603" s="174" t="s">
        <v>2045</v>
      </c>
      <c r="B603" s="216"/>
      <c r="C603" s="174" t="s">
        <v>3458</v>
      </c>
      <c r="D603" s="174" t="s">
        <v>2079</v>
      </c>
      <c r="E603" s="174" t="s">
        <v>2070</v>
      </c>
      <c r="F603" s="174" t="s">
        <v>2516</v>
      </c>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row>
    <row r="604" spans="1:37">
      <c r="A604" s="174" t="s">
        <v>2045</v>
      </c>
      <c r="B604" s="216"/>
      <c r="C604" s="174" t="s">
        <v>3459</v>
      </c>
      <c r="D604" s="174" t="s">
        <v>3460</v>
      </c>
      <c r="E604" s="174" t="s">
        <v>2070</v>
      </c>
      <c r="F604" s="174" t="s">
        <v>2516</v>
      </c>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row>
    <row r="605" spans="1:37">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row>
    <row r="606" spans="1:37">
      <c r="A606" s="233" t="s">
        <v>3461</v>
      </c>
      <c r="B606" s="216"/>
      <c r="C606" s="216"/>
      <c r="D606" s="216"/>
      <c r="E606" s="216"/>
      <c r="F606" s="216"/>
      <c r="G606" s="216"/>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row>
    <row r="607" spans="1:37">
      <c r="A607" s="163" t="s">
        <v>1934</v>
      </c>
      <c r="B607" s="237" t="s">
        <v>1883</v>
      </c>
      <c r="C607" s="163" t="s">
        <v>3462</v>
      </c>
      <c r="D607" s="163" t="s">
        <v>3463</v>
      </c>
      <c r="E607" s="163" t="s">
        <v>2006</v>
      </c>
      <c r="F607" s="163" t="s">
        <v>2516</v>
      </c>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row>
    <row r="608" spans="1:37">
      <c r="A608" s="163" t="s">
        <v>1934</v>
      </c>
      <c r="B608" s="216"/>
      <c r="C608" s="163" t="s">
        <v>3464</v>
      </c>
      <c r="D608" s="163" t="s">
        <v>2009</v>
      </c>
      <c r="E608" s="163" t="s">
        <v>2006</v>
      </c>
      <c r="F608" s="163" t="s">
        <v>2516</v>
      </c>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row>
    <row r="609" spans="1:37">
      <c r="A609" s="163" t="s">
        <v>1934</v>
      </c>
      <c r="B609" s="216"/>
      <c r="C609" s="163" t="s">
        <v>3465</v>
      </c>
      <c r="D609" s="163" t="s">
        <v>3466</v>
      </c>
      <c r="E609" s="163" t="s">
        <v>2006</v>
      </c>
      <c r="F609" s="163" t="s">
        <v>2516</v>
      </c>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row>
    <row r="610" spans="1:37">
      <c r="A610" s="163" t="s">
        <v>1934</v>
      </c>
      <c r="B610" s="216"/>
      <c r="C610" s="163" t="s">
        <v>3467</v>
      </c>
      <c r="D610" s="163" t="s">
        <v>3468</v>
      </c>
      <c r="E610" s="163" t="s">
        <v>2006</v>
      </c>
      <c r="F610" s="163" t="s">
        <v>2516</v>
      </c>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row>
    <row r="611" spans="1:37">
      <c r="A611" s="163" t="s">
        <v>1934</v>
      </c>
      <c r="B611" s="216"/>
      <c r="C611" s="163" t="s">
        <v>3469</v>
      </c>
      <c r="D611" s="163" t="s">
        <v>3470</v>
      </c>
      <c r="E611" s="163" t="s">
        <v>2006</v>
      </c>
      <c r="F611" s="163" t="s">
        <v>2516</v>
      </c>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row>
    <row r="612" spans="1:37">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row>
    <row r="613" spans="1:37">
      <c r="A613" s="163" t="s">
        <v>1936</v>
      </c>
      <c r="B613" s="237" t="s">
        <v>3471</v>
      </c>
      <c r="C613" s="163" t="s">
        <v>3472</v>
      </c>
      <c r="D613" s="152" t="s">
        <v>3473</v>
      </c>
      <c r="E613" s="163" t="s">
        <v>2006</v>
      </c>
      <c r="F613" s="163" t="s">
        <v>2516</v>
      </c>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row>
    <row r="614" spans="1:37">
      <c r="A614" s="163" t="s">
        <v>1936</v>
      </c>
      <c r="B614" s="216"/>
      <c r="C614" s="163" t="s">
        <v>3474</v>
      </c>
      <c r="D614" s="163" t="s">
        <v>2011</v>
      </c>
      <c r="E614" s="163" t="s">
        <v>2006</v>
      </c>
      <c r="F614" s="163" t="s">
        <v>2516</v>
      </c>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row>
    <row r="615" spans="1:37">
      <c r="A615" s="163" t="s">
        <v>1936</v>
      </c>
      <c r="B615" s="216"/>
      <c r="C615" s="163" t="s">
        <v>3475</v>
      </c>
      <c r="D615" s="163" t="s">
        <v>2015</v>
      </c>
      <c r="E615" s="163" t="s">
        <v>2006</v>
      </c>
      <c r="F615" s="163" t="s">
        <v>2516</v>
      </c>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row>
    <row r="616" spans="1:37">
      <c r="A616" s="163" t="s">
        <v>1936</v>
      </c>
      <c r="B616" s="216"/>
      <c r="C616" s="163" t="s">
        <v>3476</v>
      </c>
      <c r="D616" s="163" t="s">
        <v>3477</v>
      </c>
      <c r="E616" s="163" t="s">
        <v>2006</v>
      </c>
      <c r="F616" s="163" t="s">
        <v>2516</v>
      </c>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row>
    <row r="617" spans="1:37">
      <c r="A617" s="163" t="s">
        <v>1936</v>
      </c>
      <c r="B617" s="216"/>
      <c r="C617" s="163" t="s">
        <v>3478</v>
      </c>
      <c r="D617" s="163" t="s">
        <v>3479</v>
      </c>
      <c r="E617" s="163" t="s">
        <v>2006</v>
      </c>
      <c r="F617" s="163" t="s">
        <v>2516</v>
      </c>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row>
    <row r="618" spans="1:37">
      <c r="A618" s="163" t="s">
        <v>1936</v>
      </c>
      <c r="B618" s="216"/>
      <c r="C618" s="163" t="s">
        <v>3480</v>
      </c>
      <c r="D618" s="163" t="s">
        <v>3481</v>
      </c>
      <c r="E618" s="163" t="s">
        <v>2006</v>
      </c>
      <c r="F618" s="163" t="s">
        <v>2516</v>
      </c>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row>
    <row r="619" spans="1:37">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row>
    <row r="620" spans="1:37">
      <c r="A620" s="163" t="s">
        <v>3482</v>
      </c>
      <c r="B620" s="237" t="s">
        <v>3483</v>
      </c>
      <c r="C620" s="163" t="s">
        <v>3484</v>
      </c>
      <c r="D620" s="163" t="s">
        <v>2010</v>
      </c>
      <c r="E620" s="163" t="s">
        <v>2006</v>
      </c>
      <c r="F620" s="163" t="s">
        <v>2516</v>
      </c>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row>
    <row r="621" spans="1:37">
      <c r="A621" s="163" t="s">
        <v>3482</v>
      </c>
      <c r="B621" s="216"/>
      <c r="C621" s="163" t="s">
        <v>3476</v>
      </c>
      <c r="D621" s="163" t="s">
        <v>3477</v>
      </c>
      <c r="E621" s="163" t="s">
        <v>2006</v>
      </c>
      <c r="F621" s="163" t="s">
        <v>2516</v>
      </c>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row>
    <row r="622" spans="1:37">
      <c r="A622" s="163" t="s">
        <v>3482</v>
      </c>
      <c r="B622" s="216"/>
      <c r="C622" s="163" t="s">
        <v>3485</v>
      </c>
      <c r="D622" s="163" t="s">
        <v>3486</v>
      </c>
      <c r="E622" s="163" t="s">
        <v>2006</v>
      </c>
      <c r="F622" s="163" t="s">
        <v>2516</v>
      </c>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row>
    <row r="623" spans="1:37">
      <c r="A623" s="163" t="s">
        <v>3482</v>
      </c>
      <c r="B623" s="216"/>
      <c r="C623" s="163" t="s">
        <v>3487</v>
      </c>
      <c r="D623" s="163" t="s">
        <v>3488</v>
      </c>
      <c r="E623" s="163" t="s">
        <v>2006</v>
      </c>
      <c r="F623" s="163" t="s">
        <v>2516</v>
      </c>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row>
    <row r="624" spans="1:37">
      <c r="A624" s="163" t="s">
        <v>3482</v>
      </c>
      <c r="B624" s="216"/>
      <c r="C624" s="163" t="s">
        <v>3489</v>
      </c>
      <c r="D624" s="163" t="s">
        <v>3490</v>
      </c>
      <c r="E624" s="163" t="s">
        <v>2006</v>
      </c>
      <c r="F624" s="163" t="s">
        <v>2516</v>
      </c>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row>
    <row r="625" spans="1:37">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row>
    <row r="626" spans="1:37">
      <c r="A626" s="163" t="s">
        <v>3491</v>
      </c>
      <c r="B626" s="237" t="s">
        <v>1714</v>
      </c>
      <c r="C626" s="163" t="s">
        <v>3492</v>
      </c>
      <c r="D626" s="163" t="s">
        <v>3493</v>
      </c>
      <c r="E626" s="163" t="s">
        <v>2006</v>
      </c>
      <c r="F626" s="163" t="s">
        <v>2516</v>
      </c>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row>
    <row r="627" spans="1:37">
      <c r="A627" s="163" t="s">
        <v>3491</v>
      </c>
      <c r="B627" s="216"/>
      <c r="C627" s="163" t="s">
        <v>3494</v>
      </c>
      <c r="D627" s="163" t="s">
        <v>3495</v>
      </c>
      <c r="E627" s="163" t="s">
        <v>2006</v>
      </c>
      <c r="F627" s="163" t="s">
        <v>2516</v>
      </c>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row>
    <row r="628" spans="1:37">
      <c r="A628" s="163" t="s">
        <v>3491</v>
      </c>
      <c r="B628" s="216"/>
      <c r="C628" s="163" t="s">
        <v>3496</v>
      </c>
      <c r="D628" s="163" t="s">
        <v>3497</v>
      </c>
      <c r="E628" s="163" t="s">
        <v>2006</v>
      </c>
      <c r="F628" s="163" t="s">
        <v>2516</v>
      </c>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row>
    <row r="629" spans="1:37">
      <c r="A629" s="163" t="s">
        <v>3491</v>
      </c>
      <c r="B629" s="216"/>
      <c r="C629" s="163" t="s">
        <v>3498</v>
      </c>
      <c r="D629" s="163" t="s">
        <v>3499</v>
      </c>
      <c r="E629" s="163" t="s">
        <v>2006</v>
      </c>
      <c r="F629" s="163" t="s">
        <v>2516</v>
      </c>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row>
    <row r="630" spans="1:37">
      <c r="A630" s="163" t="s">
        <v>3491</v>
      </c>
      <c r="B630" s="216"/>
      <c r="C630" s="163" t="s">
        <v>3500</v>
      </c>
      <c r="D630" s="163" t="s">
        <v>3501</v>
      </c>
      <c r="E630" s="163" t="s">
        <v>2006</v>
      </c>
      <c r="F630" s="163" t="s">
        <v>2516</v>
      </c>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row>
    <row r="631" spans="1:37">
      <c r="A631" s="163" t="s">
        <v>3491</v>
      </c>
      <c r="B631" s="216"/>
      <c r="C631" s="163" t="s">
        <v>3502</v>
      </c>
      <c r="D631" s="163" t="s">
        <v>3503</v>
      </c>
      <c r="E631" s="163" t="s">
        <v>2006</v>
      </c>
      <c r="F631" s="163" t="s">
        <v>2516</v>
      </c>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row>
    <row r="632" spans="1:37">
      <c r="A632" s="163" t="s">
        <v>3491</v>
      </c>
      <c r="B632" s="216"/>
      <c r="C632" s="163" t="s">
        <v>3504</v>
      </c>
      <c r="D632" s="163" t="s">
        <v>1867</v>
      </c>
      <c r="E632" s="163" t="s">
        <v>2006</v>
      </c>
      <c r="F632" s="163" t="s">
        <v>2516</v>
      </c>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row>
    <row r="633" spans="1:37">
      <c r="A633" s="163" t="s">
        <v>3491</v>
      </c>
      <c r="B633" s="216"/>
      <c r="C633" s="163" t="s">
        <v>3505</v>
      </c>
      <c r="D633" s="163" t="s">
        <v>3506</v>
      </c>
      <c r="E633" s="163" t="s">
        <v>2006</v>
      </c>
      <c r="F633" s="163" t="s">
        <v>2516</v>
      </c>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row>
    <row r="634" spans="1:37">
      <c r="A634" s="163" t="s">
        <v>3491</v>
      </c>
      <c r="B634" s="216"/>
      <c r="C634" s="163" t="s">
        <v>3507</v>
      </c>
      <c r="D634" s="163" t="s">
        <v>3508</v>
      </c>
      <c r="E634" s="163" t="s">
        <v>2006</v>
      </c>
      <c r="F634" s="163" t="s">
        <v>2516</v>
      </c>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row>
    <row r="635" spans="1:37">
      <c r="A635" s="163" t="s">
        <v>3491</v>
      </c>
      <c r="B635" s="216"/>
      <c r="C635" s="163" t="s">
        <v>3509</v>
      </c>
      <c r="D635" s="163" t="s">
        <v>3510</v>
      </c>
      <c r="E635" s="163" t="s">
        <v>2006</v>
      </c>
      <c r="F635" s="163" t="s">
        <v>2516</v>
      </c>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row>
    <row r="636" spans="1:37">
      <c r="A636" s="163" t="s">
        <v>3491</v>
      </c>
      <c r="B636" s="216"/>
      <c r="C636" s="163" t="s">
        <v>3511</v>
      </c>
      <c r="D636" s="163" t="s">
        <v>3512</v>
      </c>
      <c r="E636" s="163" t="s">
        <v>2006</v>
      </c>
      <c r="F636" s="163" t="s">
        <v>2516</v>
      </c>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row>
    <row r="637" spans="1: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row>
    <row r="638" spans="1:37">
      <c r="A638" s="152" t="s">
        <v>3513</v>
      </c>
      <c r="B638" s="152" t="s">
        <v>3493</v>
      </c>
      <c r="C638" s="152" t="s">
        <v>3514</v>
      </c>
      <c r="D638" s="152" t="s">
        <v>3515</v>
      </c>
      <c r="E638" s="152" t="s">
        <v>3516</v>
      </c>
      <c r="F638" s="152" t="s">
        <v>2530</v>
      </c>
      <c r="G638" s="152" t="s">
        <v>3517</v>
      </c>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row>
    <row r="639" spans="1:37">
      <c r="A639" s="152" t="s">
        <v>3513</v>
      </c>
      <c r="B639" s="152" t="s">
        <v>3493</v>
      </c>
      <c r="C639" s="152" t="s">
        <v>3518</v>
      </c>
      <c r="D639" s="152" t="s">
        <v>3519</v>
      </c>
      <c r="E639" s="152" t="s">
        <v>3516</v>
      </c>
      <c r="F639" s="152" t="s">
        <v>2530</v>
      </c>
      <c r="G639" s="152" t="s">
        <v>3520</v>
      </c>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row>
    <row r="640" spans="1:37">
      <c r="A640" s="152" t="s">
        <v>3513</v>
      </c>
      <c r="B640" s="152" t="s">
        <v>3493</v>
      </c>
      <c r="C640" s="152" t="s">
        <v>3521</v>
      </c>
      <c r="D640" s="152" t="s">
        <v>3522</v>
      </c>
      <c r="E640" s="152" t="s">
        <v>3516</v>
      </c>
      <c r="F640" s="152" t="s">
        <v>2530</v>
      </c>
      <c r="G640" s="152" t="s">
        <v>3523</v>
      </c>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row>
    <row r="641" spans="1:37">
      <c r="A641" s="152" t="s">
        <v>3513</v>
      </c>
      <c r="B641" s="152" t="s">
        <v>3493</v>
      </c>
      <c r="C641" s="152" t="s">
        <v>3524</v>
      </c>
      <c r="D641" s="152" t="s">
        <v>3525</v>
      </c>
      <c r="E641" s="152" t="s">
        <v>3516</v>
      </c>
      <c r="F641" s="152" t="s">
        <v>2530</v>
      </c>
      <c r="G641" s="152" t="s">
        <v>3526</v>
      </c>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row>
    <row r="642" spans="1:37">
      <c r="A642" s="152" t="s">
        <v>3513</v>
      </c>
      <c r="B642" s="152" t="s">
        <v>3493</v>
      </c>
      <c r="C642" s="152" t="s">
        <v>3527</v>
      </c>
      <c r="D642" s="152" t="s">
        <v>3528</v>
      </c>
      <c r="E642" s="152" t="s">
        <v>3516</v>
      </c>
      <c r="F642" s="152" t="s">
        <v>2530</v>
      </c>
      <c r="G642" s="152" t="s">
        <v>3529</v>
      </c>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row>
    <row r="643" spans="1:37">
      <c r="A643" s="152" t="s">
        <v>3513</v>
      </c>
      <c r="B643" s="152" t="s">
        <v>3493</v>
      </c>
      <c r="C643" s="152" t="s">
        <v>3530</v>
      </c>
      <c r="D643" s="152" t="s">
        <v>3531</v>
      </c>
      <c r="E643" s="152" t="s">
        <v>3516</v>
      </c>
      <c r="F643" s="152" t="s">
        <v>2530</v>
      </c>
      <c r="G643" s="152" t="s">
        <v>3532</v>
      </c>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row>
    <row r="644" spans="1:37">
      <c r="A644" s="152" t="s">
        <v>3513</v>
      </c>
      <c r="B644" s="152" t="s">
        <v>3493</v>
      </c>
      <c r="C644" s="152" t="s">
        <v>3533</v>
      </c>
      <c r="D644" s="152" t="s">
        <v>2635</v>
      </c>
      <c r="E644" s="152" t="s">
        <v>3516</v>
      </c>
      <c r="F644" s="152" t="s">
        <v>2530</v>
      </c>
      <c r="G644" s="152" t="s">
        <v>3534</v>
      </c>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row>
    <row r="645" spans="1:37">
      <c r="A645" s="152" t="s">
        <v>3513</v>
      </c>
      <c r="B645" s="152" t="s">
        <v>3493</v>
      </c>
      <c r="C645" s="152" t="s">
        <v>3535</v>
      </c>
      <c r="D645" s="152" t="s">
        <v>3536</v>
      </c>
      <c r="E645" s="152" t="s">
        <v>3516</v>
      </c>
      <c r="F645" s="152" t="s">
        <v>2530</v>
      </c>
      <c r="G645" s="152" t="s">
        <v>3537</v>
      </c>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row>
    <row r="646" spans="1:37">
      <c r="A646" s="152" t="s">
        <v>3513</v>
      </c>
      <c r="B646" s="163" t="s">
        <v>3495</v>
      </c>
      <c r="C646" s="164"/>
      <c r="D646" s="164"/>
      <c r="E646" s="164"/>
      <c r="F646" s="164"/>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row>
    <row r="647" spans="1:37">
      <c r="A647" s="152" t="s">
        <v>3513</v>
      </c>
      <c r="B647" s="163" t="s">
        <v>3495</v>
      </c>
      <c r="C647" s="164"/>
      <c r="D647" s="164"/>
      <c r="E647" s="164"/>
      <c r="F647" s="164"/>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row>
    <row r="648" spans="1:37">
      <c r="A648" s="152" t="s">
        <v>3513</v>
      </c>
      <c r="B648" s="163" t="s">
        <v>3495</v>
      </c>
      <c r="C648" s="164"/>
      <c r="D648" s="164"/>
      <c r="E648" s="164"/>
      <c r="F648" s="164"/>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row>
    <row r="649" spans="1:37">
      <c r="A649" s="152" t="s">
        <v>3513</v>
      </c>
      <c r="B649" s="163" t="s">
        <v>3495</v>
      </c>
      <c r="C649" s="164"/>
      <c r="D649" s="164"/>
      <c r="E649" s="164"/>
      <c r="F649" s="164"/>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row>
    <row r="650" spans="1:37">
      <c r="A650" s="152" t="s">
        <v>3513</v>
      </c>
      <c r="B650" s="163" t="s">
        <v>3495</v>
      </c>
      <c r="C650" s="164"/>
      <c r="D650" s="164"/>
      <c r="E650" s="164"/>
      <c r="F650" s="164"/>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row>
    <row r="651" spans="1:37">
      <c r="A651" s="152" t="s">
        <v>3513</v>
      </c>
      <c r="B651" s="163" t="s">
        <v>3495</v>
      </c>
      <c r="C651" s="164"/>
      <c r="D651" s="164"/>
      <c r="E651" s="164"/>
      <c r="F651" s="164"/>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row>
    <row r="652" spans="1:37">
      <c r="A652" s="152" t="s">
        <v>3513</v>
      </c>
      <c r="B652" s="163" t="s">
        <v>3495</v>
      </c>
      <c r="C652" s="164"/>
      <c r="D652" s="164"/>
      <c r="E652" s="164"/>
      <c r="F652" s="164"/>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row>
    <row r="653" spans="1:37">
      <c r="A653" s="152" t="s">
        <v>3513</v>
      </c>
      <c r="B653" s="163" t="s">
        <v>3495</v>
      </c>
      <c r="C653" s="164"/>
      <c r="D653" s="164"/>
      <c r="E653" s="164"/>
      <c r="F653" s="164"/>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row>
    <row r="654" spans="1:37">
      <c r="A654" s="152" t="s">
        <v>3513</v>
      </c>
      <c r="B654" s="163" t="s">
        <v>3497</v>
      </c>
      <c r="C654" s="164"/>
      <c r="D654" s="164"/>
      <c r="E654" s="164"/>
      <c r="F654" s="164"/>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row>
    <row r="655" spans="1:37">
      <c r="A655" s="152" t="s">
        <v>3513</v>
      </c>
      <c r="B655" s="163" t="s">
        <v>3497</v>
      </c>
      <c r="C655" s="164"/>
      <c r="D655" s="164"/>
      <c r="E655" s="164"/>
      <c r="F655" s="164"/>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row>
    <row r="656" spans="1:37">
      <c r="A656" s="152" t="s">
        <v>3513</v>
      </c>
      <c r="B656" s="163" t="s">
        <v>3497</v>
      </c>
      <c r="C656" s="164"/>
      <c r="D656" s="164"/>
      <c r="E656" s="164"/>
      <c r="F656" s="164"/>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row>
    <row r="657" spans="1:37">
      <c r="A657" s="152" t="s">
        <v>3513</v>
      </c>
      <c r="B657" s="163" t="s">
        <v>3497</v>
      </c>
      <c r="C657" s="164"/>
      <c r="D657" s="164"/>
      <c r="E657" s="164"/>
      <c r="F657" s="164"/>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row>
    <row r="658" spans="1:37">
      <c r="A658" s="152" t="s">
        <v>3513</v>
      </c>
      <c r="B658" s="163" t="s">
        <v>3497</v>
      </c>
      <c r="C658" s="164"/>
      <c r="D658" s="164"/>
      <c r="E658" s="164"/>
      <c r="F658" s="164"/>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row>
    <row r="659" spans="1:37">
      <c r="A659" s="152" t="s">
        <v>3513</v>
      </c>
      <c r="B659" s="163" t="s">
        <v>3497</v>
      </c>
      <c r="C659" s="164"/>
      <c r="D659" s="164"/>
      <c r="E659" s="164"/>
      <c r="F659" s="164"/>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row>
    <row r="660" spans="1:37">
      <c r="A660" s="152" t="s">
        <v>3513</v>
      </c>
      <c r="B660" s="163" t="s">
        <v>3497</v>
      </c>
      <c r="C660" s="164"/>
      <c r="D660" s="164"/>
      <c r="E660" s="164"/>
      <c r="F660" s="164"/>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row>
    <row r="661" spans="1:37">
      <c r="A661" s="152" t="s">
        <v>3513</v>
      </c>
      <c r="B661" s="163" t="s">
        <v>3499</v>
      </c>
      <c r="C661" s="164"/>
      <c r="D661" s="164"/>
      <c r="E661" s="164"/>
      <c r="F661" s="164"/>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row>
    <row r="662" spans="1:37">
      <c r="A662" s="152" t="s">
        <v>3513</v>
      </c>
      <c r="B662" s="163" t="s">
        <v>3499</v>
      </c>
      <c r="C662" s="164"/>
      <c r="D662" s="164"/>
      <c r="E662" s="164"/>
      <c r="F662" s="164"/>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row>
    <row r="663" spans="1:37">
      <c r="A663" s="152" t="s">
        <v>3513</v>
      </c>
      <c r="B663" s="163" t="s">
        <v>3499</v>
      </c>
      <c r="C663" s="164"/>
      <c r="D663" s="164"/>
      <c r="E663" s="164"/>
      <c r="F663" s="164"/>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row>
    <row r="664" spans="1:37">
      <c r="A664" s="152" t="s">
        <v>3513</v>
      </c>
      <c r="B664" s="163" t="s">
        <v>3499</v>
      </c>
      <c r="C664" s="164"/>
      <c r="D664" s="164"/>
      <c r="E664" s="164"/>
      <c r="F664" s="164"/>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row>
    <row r="665" spans="1:37">
      <c r="A665" s="152" t="s">
        <v>3513</v>
      </c>
      <c r="B665" s="163" t="s">
        <v>3499</v>
      </c>
      <c r="C665" s="164"/>
      <c r="D665" s="164"/>
      <c r="E665" s="164"/>
      <c r="F665" s="164"/>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row>
    <row r="666" spans="1:37">
      <c r="A666" s="152" t="s">
        <v>3513</v>
      </c>
      <c r="B666" s="163" t="s">
        <v>3499</v>
      </c>
      <c r="C666" s="164"/>
      <c r="D666" s="164"/>
      <c r="E666" s="164"/>
      <c r="F666" s="164"/>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row>
    <row r="667" spans="1:37">
      <c r="A667" s="152" t="s">
        <v>3513</v>
      </c>
      <c r="B667" s="163" t="s">
        <v>3501</v>
      </c>
      <c r="C667" s="164"/>
      <c r="D667" s="164"/>
      <c r="E667" s="164"/>
      <c r="F667" s="164"/>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row>
    <row r="668" spans="1:37">
      <c r="A668" s="152" t="s">
        <v>3513</v>
      </c>
      <c r="B668" s="163" t="s">
        <v>3501</v>
      </c>
      <c r="C668" s="164"/>
      <c r="D668" s="164"/>
      <c r="E668" s="164"/>
      <c r="F668" s="164"/>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row>
    <row r="669" spans="1:37">
      <c r="A669" s="152" t="s">
        <v>3513</v>
      </c>
      <c r="B669" s="163" t="s">
        <v>3501</v>
      </c>
      <c r="C669" s="164"/>
      <c r="D669" s="164"/>
      <c r="E669" s="164"/>
      <c r="F669" s="164"/>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row>
    <row r="670" spans="1:37">
      <c r="A670" s="152" t="s">
        <v>3513</v>
      </c>
      <c r="B670" s="163" t="s">
        <v>3501</v>
      </c>
      <c r="C670" s="164"/>
      <c r="D670" s="164"/>
      <c r="E670" s="164"/>
      <c r="F670" s="164"/>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row>
    <row r="671" spans="1:37">
      <c r="A671" s="152" t="s">
        <v>3513</v>
      </c>
      <c r="B671" s="163" t="s">
        <v>3501</v>
      </c>
      <c r="C671" s="164"/>
      <c r="D671" s="164"/>
      <c r="E671" s="164"/>
      <c r="F671" s="164"/>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row>
    <row r="672" spans="1:37">
      <c r="A672" s="152" t="s">
        <v>3513</v>
      </c>
      <c r="B672" s="163" t="s">
        <v>3501</v>
      </c>
      <c r="C672" s="164"/>
      <c r="D672" s="164"/>
      <c r="E672" s="164"/>
      <c r="F672" s="164"/>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row>
    <row r="673" spans="1:37">
      <c r="A673" s="152" t="s">
        <v>3513</v>
      </c>
      <c r="B673" s="163" t="s">
        <v>3501</v>
      </c>
      <c r="C673" s="164"/>
      <c r="D673" s="164"/>
      <c r="E673" s="164"/>
      <c r="F673" s="164"/>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row>
    <row r="674" spans="1:37">
      <c r="A674" s="152" t="s">
        <v>3513</v>
      </c>
      <c r="B674" s="163" t="s">
        <v>3501</v>
      </c>
      <c r="C674" s="164"/>
      <c r="D674" s="164"/>
      <c r="E674" s="164"/>
      <c r="F674" s="164"/>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row>
    <row r="675" spans="1:37">
      <c r="A675" s="152" t="s">
        <v>3513</v>
      </c>
      <c r="B675" s="163" t="s">
        <v>3503</v>
      </c>
      <c r="C675" s="164"/>
      <c r="D675" s="164"/>
      <c r="E675" s="164"/>
      <c r="F675" s="164"/>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row>
    <row r="676" spans="1:37">
      <c r="A676" s="152" t="s">
        <v>3513</v>
      </c>
      <c r="B676" s="163" t="s">
        <v>3503</v>
      </c>
      <c r="C676" s="164"/>
      <c r="D676" s="164"/>
      <c r="E676" s="164"/>
      <c r="F676" s="164"/>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row>
    <row r="677" spans="1:37">
      <c r="A677" s="152" t="s">
        <v>3513</v>
      </c>
      <c r="B677" s="163" t="s">
        <v>3503</v>
      </c>
      <c r="C677" s="164"/>
      <c r="D677" s="164"/>
      <c r="E677" s="164"/>
      <c r="F677" s="164"/>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row>
    <row r="678" spans="1:37">
      <c r="A678" s="152" t="s">
        <v>3513</v>
      </c>
      <c r="B678" s="163" t="s">
        <v>3503</v>
      </c>
      <c r="C678" s="164"/>
      <c r="D678" s="164"/>
      <c r="E678" s="164"/>
      <c r="F678" s="164"/>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row>
    <row r="679" spans="1:37">
      <c r="A679" s="152" t="s">
        <v>3513</v>
      </c>
      <c r="B679" s="163" t="s">
        <v>3503</v>
      </c>
      <c r="C679" s="164"/>
      <c r="D679" s="164"/>
      <c r="E679" s="164"/>
      <c r="F679" s="164"/>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row>
    <row r="680" spans="1:37">
      <c r="A680" s="152" t="s">
        <v>3513</v>
      </c>
      <c r="B680" s="163" t="s">
        <v>3503</v>
      </c>
      <c r="C680" s="164"/>
      <c r="D680" s="164"/>
      <c r="E680" s="164"/>
      <c r="F680" s="164"/>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row>
    <row r="681" spans="1:37">
      <c r="A681" s="152" t="s">
        <v>3513</v>
      </c>
      <c r="B681" s="163" t="s">
        <v>1867</v>
      </c>
      <c r="C681" s="164"/>
      <c r="D681" s="164"/>
      <c r="E681" s="164"/>
      <c r="F681" s="164"/>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row>
    <row r="682" spans="1:37">
      <c r="A682" s="152" t="s">
        <v>3513</v>
      </c>
      <c r="B682" s="163" t="s">
        <v>1867</v>
      </c>
      <c r="C682" s="164"/>
      <c r="D682" s="164"/>
      <c r="E682" s="164"/>
      <c r="F682" s="164"/>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row>
    <row r="683" spans="1:37">
      <c r="A683" s="152" t="s">
        <v>3513</v>
      </c>
      <c r="B683" s="163" t="s">
        <v>1867</v>
      </c>
      <c r="C683" s="164"/>
      <c r="D683" s="164"/>
      <c r="E683" s="164"/>
      <c r="F683" s="164"/>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row>
    <row r="684" spans="1:37">
      <c r="A684" s="152" t="s">
        <v>3513</v>
      </c>
      <c r="B684" s="163" t="s">
        <v>1867</v>
      </c>
      <c r="C684" s="164"/>
      <c r="D684" s="164"/>
      <c r="E684" s="164"/>
      <c r="F684" s="164"/>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row>
    <row r="685" spans="1:37">
      <c r="A685" s="152" t="s">
        <v>3513</v>
      </c>
      <c r="B685" s="163" t="s">
        <v>1867</v>
      </c>
      <c r="C685" s="164"/>
      <c r="D685" s="164"/>
      <c r="E685" s="164"/>
      <c r="F685" s="164"/>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row>
    <row r="686" spans="1:37">
      <c r="A686" s="152" t="s">
        <v>3513</v>
      </c>
      <c r="B686" s="163" t="s">
        <v>3506</v>
      </c>
      <c r="C686" s="164"/>
      <c r="D686" s="164"/>
      <c r="E686" s="164"/>
      <c r="F686" s="164"/>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row>
    <row r="687" spans="1:37">
      <c r="A687" s="152" t="s">
        <v>3513</v>
      </c>
      <c r="B687" s="163" t="s">
        <v>3506</v>
      </c>
      <c r="C687" s="164"/>
      <c r="D687" s="164"/>
      <c r="E687" s="164"/>
      <c r="F687" s="164"/>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row>
    <row r="688" spans="1:37">
      <c r="A688" s="152" t="s">
        <v>3513</v>
      </c>
      <c r="B688" s="163" t="s">
        <v>3506</v>
      </c>
      <c r="C688" s="164"/>
      <c r="D688" s="164"/>
      <c r="E688" s="164"/>
      <c r="F688" s="164"/>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row>
    <row r="689" spans="1:37">
      <c r="A689" s="152" t="s">
        <v>3513</v>
      </c>
      <c r="B689" s="163" t="s">
        <v>3506</v>
      </c>
      <c r="C689" s="164"/>
      <c r="D689" s="164"/>
      <c r="E689" s="164"/>
      <c r="F689" s="164"/>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row>
    <row r="690" spans="1:37">
      <c r="A690" s="152" t="s">
        <v>3513</v>
      </c>
      <c r="B690" s="163" t="s">
        <v>3506</v>
      </c>
      <c r="C690" s="164"/>
      <c r="D690" s="164"/>
      <c r="E690" s="164"/>
      <c r="F690" s="164"/>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row>
    <row r="691" spans="1:37">
      <c r="A691" s="152" t="s">
        <v>3513</v>
      </c>
      <c r="B691" s="163" t="s">
        <v>3506</v>
      </c>
      <c r="C691" s="164"/>
      <c r="D691" s="164"/>
      <c r="E691" s="164"/>
      <c r="F691" s="164"/>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row>
    <row r="692" spans="1:37">
      <c r="A692" s="152" t="s">
        <v>3513</v>
      </c>
      <c r="B692" s="163" t="s">
        <v>3508</v>
      </c>
      <c r="C692" s="164"/>
      <c r="D692" s="164"/>
      <c r="E692" s="164"/>
      <c r="F692" s="164"/>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row>
    <row r="693" spans="1:37">
      <c r="A693" s="152" t="s">
        <v>3513</v>
      </c>
      <c r="B693" s="163" t="s">
        <v>3508</v>
      </c>
      <c r="C693" s="164"/>
      <c r="D693" s="164"/>
      <c r="E693" s="164"/>
      <c r="F693" s="164"/>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row>
    <row r="694" spans="1:37">
      <c r="A694" s="152" t="s">
        <v>3513</v>
      </c>
      <c r="B694" s="163" t="s">
        <v>3508</v>
      </c>
      <c r="C694" s="164"/>
      <c r="D694" s="164"/>
      <c r="E694" s="164"/>
      <c r="F694" s="164"/>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row>
    <row r="695" spans="1:37">
      <c r="A695" s="152" t="s">
        <v>3513</v>
      </c>
      <c r="B695" s="163" t="s">
        <v>3508</v>
      </c>
      <c r="C695" s="164"/>
      <c r="D695" s="164"/>
      <c r="E695" s="164"/>
      <c r="F695" s="164"/>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row>
    <row r="696" spans="1:37">
      <c r="A696" s="152" t="s">
        <v>3513</v>
      </c>
      <c r="B696" s="163" t="s">
        <v>3508</v>
      </c>
      <c r="C696" s="164"/>
      <c r="D696" s="164"/>
      <c r="E696" s="164"/>
      <c r="F696" s="164"/>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row>
    <row r="697" spans="1:37">
      <c r="A697" s="152" t="s">
        <v>3513</v>
      </c>
      <c r="B697" s="163" t="s">
        <v>3508</v>
      </c>
      <c r="C697" s="164"/>
      <c r="D697" s="164"/>
      <c r="E697" s="164"/>
      <c r="F697" s="164"/>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row>
    <row r="698" spans="1:37">
      <c r="A698" s="152" t="s">
        <v>3513</v>
      </c>
      <c r="B698" s="163" t="s">
        <v>3510</v>
      </c>
      <c r="C698" s="164"/>
      <c r="D698" s="164"/>
      <c r="E698" s="164"/>
      <c r="F698" s="164"/>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row>
    <row r="699" spans="1:37">
      <c r="A699" s="152" t="s">
        <v>3513</v>
      </c>
      <c r="B699" s="163" t="s">
        <v>3510</v>
      </c>
      <c r="C699" s="164"/>
      <c r="D699" s="164"/>
      <c r="E699" s="164"/>
      <c r="F699" s="164"/>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row>
    <row r="700" spans="1:37">
      <c r="A700" s="152" t="s">
        <v>3513</v>
      </c>
      <c r="B700" s="163" t="s">
        <v>3510</v>
      </c>
      <c r="C700" s="164"/>
      <c r="D700" s="164"/>
      <c r="E700" s="164"/>
      <c r="F700" s="164"/>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row>
    <row r="701" spans="1:37">
      <c r="A701" s="152" t="s">
        <v>3513</v>
      </c>
      <c r="B701" s="163" t="s">
        <v>3510</v>
      </c>
      <c r="C701" s="164"/>
      <c r="D701" s="164"/>
      <c r="E701" s="164"/>
      <c r="F701" s="164"/>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row>
    <row r="702" spans="1:37">
      <c r="A702" s="152" t="s">
        <v>3513</v>
      </c>
      <c r="B702" s="163" t="s">
        <v>3510</v>
      </c>
      <c r="C702" s="164"/>
      <c r="D702" s="164"/>
      <c r="E702" s="164"/>
      <c r="F702" s="164"/>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row>
    <row r="703" spans="1:37">
      <c r="A703" s="152" t="s">
        <v>3513</v>
      </c>
      <c r="B703" s="163" t="s">
        <v>3510</v>
      </c>
      <c r="C703" s="164"/>
      <c r="D703" s="164"/>
      <c r="E703" s="164"/>
      <c r="F703" s="164"/>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row>
    <row r="704" spans="1:37">
      <c r="A704" s="152" t="s">
        <v>3513</v>
      </c>
      <c r="B704" s="163" t="s">
        <v>3538</v>
      </c>
      <c r="C704" s="164"/>
      <c r="D704" s="164"/>
      <c r="E704" s="164"/>
      <c r="F704" s="164"/>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row>
    <row r="705" spans="1:37">
      <c r="A705" s="152" t="s">
        <v>3513</v>
      </c>
      <c r="B705" s="163" t="s">
        <v>3538</v>
      </c>
      <c r="C705" s="164"/>
      <c r="D705" s="164"/>
      <c r="E705" s="164"/>
      <c r="F705" s="164"/>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row>
    <row r="706" spans="1:37">
      <c r="A706" s="152" t="s">
        <v>3513</v>
      </c>
      <c r="B706" s="163" t="s">
        <v>3538</v>
      </c>
      <c r="C706" s="164"/>
      <c r="D706" s="164"/>
      <c r="E706" s="164"/>
      <c r="F706" s="164"/>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row>
    <row r="707" spans="1:37">
      <c r="A707" s="152" t="s">
        <v>3513</v>
      </c>
      <c r="B707" s="163" t="s">
        <v>3538</v>
      </c>
      <c r="C707" s="164"/>
      <c r="D707" s="164"/>
      <c r="E707" s="164"/>
      <c r="F707" s="164"/>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row>
    <row r="708" spans="1:37">
      <c r="A708" s="152" t="s">
        <v>3513</v>
      </c>
      <c r="B708" s="163" t="s">
        <v>3538</v>
      </c>
      <c r="C708" s="164"/>
      <c r="D708" s="164"/>
      <c r="E708" s="164"/>
      <c r="F708" s="164"/>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row>
    <row r="709" spans="1:37">
      <c r="A709" s="152" t="s">
        <v>3513</v>
      </c>
      <c r="B709" s="163" t="s">
        <v>3538</v>
      </c>
      <c r="C709" s="164"/>
      <c r="D709" s="164"/>
      <c r="E709" s="164"/>
      <c r="F709" s="164"/>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row>
    <row r="710" spans="1:37">
      <c r="A710" s="78"/>
      <c r="B710" s="78"/>
      <c r="C710" s="164"/>
      <c r="D710" s="164"/>
      <c r="E710" s="164"/>
      <c r="F710" s="164"/>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row>
    <row r="711" spans="1:37">
      <c r="A711" s="163" t="s">
        <v>3539</v>
      </c>
      <c r="B711" s="237" t="s">
        <v>1716</v>
      </c>
      <c r="C711" s="163" t="s">
        <v>3540</v>
      </c>
      <c r="D711" s="201" t="s">
        <v>1868</v>
      </c>
      <c r="E711" s="163" t="s">
        <v>2006</v>
      </c>
      <c r="F711" s="163" t="s">
        <v>2516</v>
      </c>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row>
    <row r="712" spans="1:37">
      <c r="A712" s="163" t="s">
        <v>3539</v>
      </c>
      <c r="B712" s="216"/>
      <c r="C712" s="163" t="s">
        <v>3541</v>
      </c>
      <c r="D712" s="163" t="s">
        <v>3542</v>
      </c>
      <c r="E712" s="163" t="s">
        <v>2006</v>
      </c>
      <c r="F712" s="163" t="s">
        <v>2516</v>
      </c>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row>
    <row r="713" spans="1:37">
      <c r="A713" s="163" t="s">
        <v>3539</v>
      </c>
      <c r="B713" s="216"/>
      <c r="C713" s="163" t="s">
        <v>3543</v>
      </c>
      <c r="D713" s="163" t="s">
        <v>3544</v>
      </c>
      <c r="E713" s="163" t="s">
        <v>2006</v>
      </c>
      <c r="F713" s="163" t="s">
        <v>2516</v>
      </c>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row>
    <row r="714" spans="1:37">
      <c r="A714" s="163" t="s">
        <v>3539</v>
      </c>
      <c r="B714" s="216"/>
      <c r="C714" s="163" t="s">
        <v>3545</v>
      </c>
      <c r="D714" s="163" t="s">
        <v>3546</v>
      </c>
      <c r="E714" s="163" t="s">
        <v>2006</v>
      </c>
      <c r="F714" s="163" t="s">
        <v>2516</v>
      </c>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row>
    <row r="715" spans="1:37">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row>
    <row r="716" spans="1:37">
      <c r="A716" s="233" t="s">
        <v>3547</v>
      </c>
      <c r="B716" s="216"/>
      <c r="C716" s="216"/>
      <c r="D716" s="216"/>
      <c r="E716" s="216"/>
      <c r="F716" s="216"/>
      <c r="G716" s="216"/>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row>
    <row r="717" spans="1:37">
      <c r="A717" s="202" t="s">
        <v>1723</v>
      </c>
      <c r="B717" s="241" t="s">
        <v>1677</v>
      </c>
      <c r="C717" s="202" t="s">
        <v>3548</v>
      </c>
      <c r="D717" s="201" t="s">
        <v>3549</v>
      </c>
      <c r="E717" s="202" t="s">
        <v>1789</v>
      </c>
      <c r="F717" s="202" t="s">
        <v>2516</v>
      </c>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row>
    <row r="718" spans="1:37">
      <c r="A718" s="202" t="s">
        <v>1723</v>
      </c>
      <c r="B718" s="216"/>
      <c r="C718" s="202" t="s">
        <v>3550</v>
      </c>
      <c r="D718" s="201" t="s">
        <v>3551</v>
      </c>
      <c r="E718" s="202" t="s">
        <v>1789</v>
      </c>
      <c r="F718" s="202" t="s">
        <v>2516</v>
      </c>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row>
    <row r="719" spans="1:37">
      <c r="A719" s="202" t="s">
        <v>1723</v>
      </c>
      <c r="B719" s="216"/>
      <c r="C719" s="202" t="s">
        <v>3552</v>
      </c>
      <c r="D719" s="201" t="s">
        <v>3553</v>
      </c>
      <c r="E719" s="202" t="s">
        <v>1789</v>
      </c>
      <c r="F719" s="202" t="s">
        <v>2516</v>
      </c>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row>
    <row r="720" spans="1:37">
      <c r="A720" s="202" t="s">
        <v>1723</v>
      </c>
      <c r="B720" s="216"/>
      <c r="C720" s="202" t="s">
        <v>3554</v>
      </c>
      <c r="D720" s="202" t="s">
        <v>3555</v>
      </c>
      <c r="E720" s="202" t="s">
        <v>1789</v>
      </c>
      <c r="F720" s="202" t="s">
        <v>2516</v>
      </c>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row>
    <row r="721" spans="1:37">
      <c r="A721" s="202" t="s">
        <v>1723</v>
      </c>
      <c r="B721" s="216"/>
      <c r="C721" s="202" t="s">
        <v>3556</v>
      </c>
      <c r="D721" s="202" t="s">
        <v>3557</v>
      </c>
      <c r="E721" s="202" t="s">
        <v>1789</v>
      </c>
      <c r="F721" s="202" t="s">
        <v>2516</v>
      </c>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row>
    <row r="722" spans="1:37">
      <c r="A722" s="202" t="s">
        <v>1723</v>
      </c>
      <c r="B722" s="216"/>
      <c r="C722" s="202" t="s">
        <v>3558</v>
      </c>
      <c r="D722" s="201" t="s">
        <v>1791</v>
      </c>
      <c r="E722" s="202" t="s">
        <v>1789</v>
      </c>
      <c r="F722" s="202" t="s">
        <v>2516</v>
      </c>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row>
    <row r="723" spans="1:37">
      <c r="A723" s="202" t="s">
        <v>1723</v>
      </c>
      <c r="B723" s="216"/>
      <c r="C723" s="202" t="s">
        <v>3559</v>
      </c>
      <c r="D723" s="201" t="s">
        <v>3560</v>
      </c>
      <c r="E723" s="202" t="s">
        <v>1789</v>
      </c>
      <c r="F723" s="202" t="s">
        <v>2516</v>
      </c>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row>
    <row r="724" spans="1:37">
      <c r="A724" s="202" t="s">
        <v>1723</v>
      </c>
      <c r="B724" s="216"/>
      <c r="C724" s="202" t="s">
        <v>3561</v>
      </c>
      <c r="D724" s="202" t="s">
        <v>3562</v>
      </c>
      <c r="E724" s="202" t="s">
        <v>1789</v>
      </c>
      <c r="F724" s="202" t="s">
        <v>2516</v>
      </c>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row>
    <row r="725" spans="1:37">
      <c r="A725" s="202" t="s">
        <v>1723</v>
      </c>
      <c r="B725" s="216"/>
      <c r="C725" s="202" t="s">
        <v>3563</v>
      </c>
      <c r="D725" s="202" t="s">
        <v>3564</v>
      </c>
      <c r="E725" s="202" t="s">
        <v>1789</v>
      </c>
      <c r="F725" s="202" t="s">
        <v>2516</v>
      </c>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row>
    <row r="726" spans="1:37">
      <c r="A726" s="202" t="s">
        <v>1723</v>
      </c>
      <c r="B726" s="216"/>
      <c r="C726" s="202" t="s">
        <v>3565</v>
      </c>
      <c r="D726" s="202" t="s">
        <v>2649</v>
      </c>
      <c r="E726" s="202" t="s">
        <v>1789</v>
      </c>
      <c r="F726" s="202" t="s">
        <v>2516</v>
      </c>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row>
    <row r="727" spans="1:37">
      <c r="A727" s="202" t="s">
        <v>1723</v>
      </c>
      <c r="B727" s="216"/>
      <c r="C727" s="202" t="s">
        <v>3566</v>
      </c>
      <c r="D727" s="202" t="s">
        <v>3567</v>
      </c>
      <c r="E727" s="202" t="s">
        <v>1789</v>
      </c>
      <c r="F727" s="202" t="s">
        <v>2516</v>
      </c>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row>
    <row r="728" spans="1:37">
      <c r="A728" s="202" t="s">
        <v>1723</v>
      </c>
      <c r="B728" s="216"/>
      <c r="C728" s="202" t="s">
        <v>3568</v>
      </c>
      <c r="D728" s="202" t="s">
        <v>3569</v>
      </c>
      <c r="E728" s="202" t="s">
        <v>1789</v>
      </c>
      <c r="F728" s="202" t="s">
        <v>2516</v>
      </c>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row>
    <row r="729" spans="1:37">
      <c r="A729" s="202" t="s">
        <v>1723</v>
      </c>
      <c r="B729" s="216"/>
      <c r="C729" s="202" t="s">
        <v>3570</v>
      </c>
      <c r="D729" s="201" t="s">
        <v>3571</v>
      </c>
      <c r="E729" s="202" t="s">
        <v>1789</v>
      </c>
      <c r="F729" s="202" t="s">
        <v>2516</v>
      </c>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row>
    <row r="730" spans="1:37">
      <c r="A730" s="154" t="s">
        <v>1723</v>
      </c>
      <c r="B730" s="216"/>
      <c r="C730" s="154" t="s">
        <v>3572</v>
      </c>
      <c r="D730" s="154" t="s">
        <v>3573</v>
      </c>
      <c r="E730" s="154" t="s">
        <v>1789</v>
      </c>
      <c r="F730" s="154"/>
      <c r="G730" s="155"/>
      <c r="H730" s="155"/>
      <c r="I730" s="155"/>
      <c r="J730" s="155"/>
      <c r="K730" s="155"/>
      <c r="L730" s="155"/>
      <c r="M730" s="155"/>
      <c r="N730" s="155"/>
      <c r="O730" s="155"/>
      <c r="P730" s="155"/>
      <c r="Q730" s="155"/>
      <c r="R730" s="155"/>
      <c r="S730" s="155"/>
      <c r="T730" s="155"/>
      <c r="U730" s="155"/>
      <c r="V730" s="155"/>
      <c r="W730" s="155"/>
      <c r="X730" s="155"/>
      <c r="Y730" s="155"/>
      <c r="Z730" s="155"/>
      <c r="AA730" s="155"/>
      <c r="AB730" s="155"/>
      <c r="AC730" s="155"/>
      <c r="AD730" s="155"/>
      <c r="AE730" s="155"/>
      <c r="AF730" s="155"/>
      <c r="AG730" s="155"/>
      <c r="AH730" s="155"/>
      <c r="AI730" s="155"/>
      <c r="AJ730" s="155"/>
      <c r="AK730" s="155"/>
    </row>
    <row r="731" spans="1:37">
      <c r="A731" s="154" t="s">
        <v>1723</v>
      </c>
      <c r="B731" s="216"/>
      <c r="C731" s="154" t="s">
        <v>3574</v>
      </c>
      <c r="D731" s="154" t="s">
        <v>3575</v>
      </c>
      <c r="E731" s="154" t="s">
        <v>1789</v>
      </c>
      <c r="F731" s="154"/>
      <c r="G731" s="155"/>
      <c r="H731" s="155"/>
      <c r="I731" s="155"/>
      <c r="J731" s="155"/>
      <c r="K731" s="155"/>
      <c r="L731" s="155"/>
      <c r="M731" s="155"/>
      <c r="N731" s="155"/>
      <c r="O731" s="155"/>
      <c r="P731" s="155"/>
      <c r="Q731" s="155"/>
      <c r="R731" s="155"/>
      <c r="S731" s="155"/>
      <c r="T731" s="155"/>
      <c r="U731" s="155"/>
      <c r="V731" s="155"/>
      <c r="W731" s="155"/>
      <c r="X731" s="155"/>
      <c r="Y731" s="155"/>
      <c r="Z731" s="155"/>
      <c r="AA731" s="155"/>
      <c r="AB731" s="155"/>
      <c r="AC731" s="155"/>
      <c r="AD731" s="155"/>
      <c r="AE731" s="155"/>
      <c r="AF731" s="155"/>
      <c r="AG731" s="155"/>
      <c r="AH731" s="155"/>
      <c r="AI731" s="155"/>
      <c r="AJ731" s="155"/>
      <c r="AK731" s="155"/>
    </row>
    <row r="732" spans="1:37">
      <c r="A732" s="154" t="s">
        <v>1723</v>
      </c>
      <c r="B732" s="216"/>
      <c r="C732" s="154" t="s">
        <v>3576</v>
      </c>
      <c r="D732" s="154" t="s">
        <v>3577</v>
      </c>
      <c r="E732" s="154" t="s">
        <v>1789</v>
      </c>
      <c r="F732" s="154"/>
      <c r="G732" s="155"/>
      <c r="H732" s="155"/>
      <c r="I732" s="155"/>
      <c r="J732" s="155"/>
      <c r="K732" s="155"/>
      <c r="L732" s="155"/>
      <c r="M732" s="155"/>
      <c r="N732" s="155"/>
      <c r="O732" s="155"/>
      <c r="P732" s="155"/>
      <c r="Q732" s="155"/>
      <c r="R732" s="155"/>
      <c r="S732" s="155"/>
      <c r="T732" s="155"/>
      <c r="U732" s="155"/>
      <c r="V732" s="155"/>
      <c r="W732" s="155"/>
      <c r="X732" s="155"/>
      <c r="Y732" s="155"/>
      <c r="Z732" s="155"/>
      <c r="AA732" s="155"/>
      <c r="AB732" s="155"/>
      <c r="AC732" s="155"/>
      <c r="AD732" s="155"/>
      <c r="AE732" s="155"/>
      <c r="AF732" s="155"/>
      <c r="AG732" s="155"/>
      <c r="AH732" s="155"/>
      <c r="AI732" s="155"/>
      <c r="AJ732" s="155"/>
      <c r="AK732" s="155"/>
    </row>
    <row r="733" spans="1:37">
      <c r="A733" s="154" t="s">
        <v>1723</v>
      </c>
      <c r="B733" s="216"/>
      <c r="C733" s="154" t="s">
        <v>2891</v>
      </c>
      <c r="D733" s="154" t="s">
        <v>1831</v>
      </c>
      <c r="E733" s="154" t="s">
        <v>1789</v>
      </c>
      <c r="F733" s="154"/>
      <c r="G733" s="155"/>
      <c r="H733" s="155"/>
      <c r="I733" s="155"/>
      <c r="J733" s="155"/>
      <c r="K733" s="155"/>
      <c r="L733" s="155"/>
      <c r="M733" s="155"/>
      <c r="N733" s="155"/>
      <c r="O733" s="155"/>
      <c r="P733" s="155"/>
      <c r="Q733" s="155"/>
      <c r="R733" s="155"/>
      <c r="S733" s="155"/>
      <c r="T733" s="155"/>
      <c r="U733" s="155"/>
      <c r="V733" s="155"/>
      <c r="W733" s="155"/>
      <c r="X733" s="155"/>
      <c r="Y733" s="155"/>
      <c r="Z733" s="155"/>
      <c r="AA733" s="155"/>
      <c r="AB733" s="155"/>
      <c r="AC733" s="155"/>
      <c r="AD733" s="155"/>
      <c r="AE733" s="155"/>
      <c r="AF733" s="155"/>
      <c r="AG733" s="155"/>
      <c r="AH733" s="155"/>
      <c r="AI733" s="155"/>
      <c r="AJ733" s="155"/>
      <c r="AK733" s="155"/>
    </row>
    <row r="734" spans="1:37">
      <c r="A734" s="202" t="s">
        <v>1723</v>
      </c>
      <c r="B734" s="216"/>
      <c r="C734" s="202" t="s">
        <v>3578</v>
      </c>
      <c r="D734" s="201" t="s">
        <v>3579</v>
      </c>
      <c r="E734" s="202" t="s">
        <v>1789</v>
      </c>
      <c r="F734" s="202" t="s">
        <v>2516</v>
      </c>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row>
    <row r="735" spans="1:37">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row>
    <row r="736" spans="1:37">
      <c r="A736" s="202" t="s">
        <v>3580</v>
      </c>
      <c r="B736" s="241" t="s">
        <v>1928</v>
      </c>
      <c r="C736" s="202" t="s">
        <v>3581</v>
      </c>
      <c r="D736" s="204" t="s">
        <v>763</v>
      </c>
      <c r="E736" s="202" t="s">
        <v>3054</v>
      </c>
      <c r="F736" s="202" t="s">
        <v>2516</v>
      </c>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row>
    <row r="737" spans="1:37">
      <c r="A737" s="202" t="s">
        <v>3580</v>
      </c>
      <c r="B737" s="216"/>
      <c r="C737" s="202" t="s">
        <v>3582</v>
      </c>
      <c r="D737" s="202" t="s">
        <v>313</v>
      </c>
      <c r="E737" s="202" t="s">
        <v>3054</v>
      </c>
      <c r="F737" s="202" t="s">
        <v>2516</v>
      </c>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row>
    <row r="738" spans="1:37">
      <c r="A738" s="202" t="s">
        <v>3580</v>
      </c>
      <c r="B738" s="216"/>
      <c r="C738" s="202" t="s">
        <v>3583</v>
      </c>
      <c r="D738" s="201" t="s">
        <v>217</v>
      </c>
      <c r="E738" s="202" t="s">
        <v>3054</v>
      </c>
      <c r="F738" s="201" t="s">
        <v>2516</v>
      </c>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row>
    <row r="739" spans="1:37">
      <c r="A739" s="204" t="s">
        <v>3580</v>
      </c>
      <c r="B739" s="216"/>
      <c r="C739" s="204" t="s">
        <v>3584</v>
      </c>
      <c r="D739" s="203" t="s">
        <v>3585</v>
      </c>
      <c r="E739" s="202" t="s">
        <v>3054</v>
      </c>
      <c r="F739" s="202" t="s">
        <v>2516</v>
      </c>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row>
    <row r="740" spans="1:37">
      <c r="A740" s="204" t="s">
        <v>3580</v>
      </c>
      <c r="B740" s="216"/>
      <c r="C740" s="204" t="s">
        <v>3586</v>
      </c>
      <c r="D740" s="204" t="s">
        <v>3587</v>
      </c>
      <c r="E740" s="202" t="s">
        <v>3054</v>
      </c>
      <c r="F740" s="202" t="s">
        <v>2516</v>
      </c>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row>
    <row r="741" spans="1:37">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row>
    <row r="742" spans="1:37">
      <c r="A742" s="205" t="s">
        <v>3588</v>
      </c>
      <c r="B742" s="246" t="s">
        <v>18</v>
      </c>
      <c r="C742" s="205" t="s">
        <v>3589</v>
      </c>
      <c r="D742" s="205" t="s">
        <v>3590</v>
      </c>
      <c r="E742" s="206"/>
      <c r="F742" s="206"/>
      <c r="G742" s="206"/>
      <c r="H742" s="206"/>
      <c r="I742" s="206"/>
      <c r="J742" s="206"/>
      <c r="K742" s="206"/>
      <c r="L742" s="206"/>
      <c r="M742" s="206"/>
      <c r="N742" s="206"/>
      <c r="O742" s="206"/>
      <c r="P742" s="206"/>
      <c r="Q742" s="206"/>
      <c r="R742" s="206"/>
      <c r="S742" s="206"/>
      <c r="T742" s="206"/>
      <c r="U742" s="206"/>
      <c r="V742" s="206"/>
      <c r="W742" s="206"/>
      <c r="X742" s="206"/>
      <c r="Y742" s="206"/>
      <c r="Z742" s="206"/>
      <c r="AA742" s="206"/>
      <c r="AB742" s="206"/>
      <c r="AC742" s="206"/>
      <c r="AD742" s="206"/>
      <c r="AE742" s="206"/>
      <c r="AF742" s="206"/>
      <c r="AG742" s="206"/>
      <c r="AH742" s="206"/>
      <c r="AI742" s="206"/>
      <c r="AJ742" s="206"/>
      <c r="AK742" s="206"/>
    </row>
    <row r="743" spans="1:37">
      <c r="A743" s="205" t="s">
        <v>3588</v>
      </c>
      <c r="B743" s="216"/>
      <c r="C743" s="205" t="s">
        <v>3591</v>
      </c>
      <c r="D743" s="205" t="s">
        <v>433</v>
      </c>
      <c r="E743" s="206"/>
      <c r="F743" s="206"/>
      <c r="G743" s="206"/>
      <c r="H743" s="206"/>
      <c r="I743" s="206"/>
      <c r="J743" s="206"/>
      <c r="K743" s="206"/>
      <c r="L743" s="206"/>
      <c r="M743" s="206"/>
      <c r="N743" s="206"/>
      <c r="O743" s="206"/>
      <c r="P743" s="206"/>
      <c r="Q743" s="206"/>
      <c r="R743" s="206"/>
      <c r="S743" s="206"/>
      <c r="T743" s="206"/>
      <c r="U743" s="206"/>
      <c r="V743" s="206"/>
      <c r="W743" s="206"/>
      <c r="X743" s="206"/>
      <c r="Y743" s="206"/>
      <c r="Z743" s="206"/>
      <c r="AA743" s="206"/>
      <c r="AB743" s="206"/>
      <c r="AC743" s="206"/>
      <c r="AD743" s="206"/>
      <c r="AE743" s="206"/>
      <c r="AF743" s="206"/>
      <c r="AG743" s="206"/>
      <c r="AH743" s="206"/>
      <c r="AI743" s="206"/>
      <c r="AJ743" s="206"/>
      <c r="AK743" s="206"/>
    </row>
    <row r="744" spans="1:37">
      <c r="A744" s="205" t="s">
        <v>3588</v>
      </c>
      <c r="B744" s="216"/>
      <c r="C744" s="205" t="s">
        <v>3592</v>
      </c>
      <c r="D744" s="205" t="s">
        <v>3593</v>
      </c>
      <c r="E744" s="206"/>
      <c r="F744" s="206"/>
      <c r="G744" s="206"/>
      <c r="H744" s="206"/>
      <c r="I744" s="206"/>
      <c r="J744" s="206"/>
      <c r="K744" s="206"/>
      <c r="L744" s="206"/>
      <c r="M744" s="206"/>
      <c r="N744" s="206"/>
      <c r="O744" s="206"/>
      <c r="P744" s="206"/>
      <c r="Q744" s="206"/>
      <c r="R744" s="206"/>
      <c r="S744" s="206"/>
      <c r="T744" s="206"/>
      <c r="U744" s="206"/>
      <c r="V744" s="206"/>
      <c r="W744" s="206"/>
      <c r="X744" s="206"/>
      <c r="Y744" s="206"/>
      <c r="Z744" s="206"/>
      <c r="AA744" s="206"/>
      <c r="AB744" s="206"/>
      <c r="AC744" s="206"/>
      <c r="AD744" s="206"/>
      <c r="AE744" s="206"/>
      <c r="AF744" s="206"/>
      <c r="AG744" s="206"/>
      <c r="AH744" s="206"/>
      <c r="AI744" s="206"/>
      <c r="AJ744" s="206"/>
      <c r="AK744" s="206"/>
    </row>
    <row r="745" spans="1:37">
      <c r="A745" s="205" t="s">
        <v>3588</v>
      </c>
      <c r="B745" s="216"/>
      <c r="C745" s="205" t="s">
        <v>3594</v>
      </c>
      <c r="D745" s="205" t="s">
        <v>3595</v>
      </c>
      <c r="E745" s="206"/>
      <c r="F745" s="206"/>
      <c r="G745" s="206"/>
      <c r="H745" s="206"/>
      <c r="I745" s="206"/>
      <c r="J745" s="206"/>
      <c r="K745" s="206"/>
      <c r="L745" s="206"/>
      <c r="M745" s="206"/>
      <c r="N745" s="206"/>
      <c r="O745" s="206"/>
      <c r="P745" s="206"/>
      <c r="Q745" s="206"/>
      <c r="R745" s="206"/>
      <c r="S745" s="206"/>
      <c r="T745" s="206"/>
      <c r="U745" s="206"/>
      <c r="V745" s="206"/>
      <c r="W745" s="206"/>
      <c r="X745" s="206"/>
      <c r="Y745" s="206"/>
      <c r="Z745" s="206"/>
      <c r="AA745" s="206"/>
      <c r="AB745" s="206"/>
      <c r="AC745" s="206"/>
      <c r="AD745" s="206"/>
      <c r="AE745" s="206"/>
      <c r="AF745" s="206"/>
      <c r="AG745" s="206"/>
      <c r="AH745" s="206"/>
      <c r="AI745" s="206"/>
      <c r="AJ745" s="206"/>
      <c r="AK745" s="206"/>
    </row>
    <row r="746" spans="1:37">
      <c r="A746" s="205" t="s">
        <v>3588</v>
      </c>
      <c r="B746" s="216"/>
      <c r="C746" s="205" t="s">
        <v>3596</v>
      </c>
      <c r="D746" s="205" t="s">
        <v>1809</v>
      </c>
      <c r="E746" s="206"/>
      <c r="F746" s="206"/>
      <c r="G746" s="206"/>
      <c r="H746" s="206"/>
      <c r="I746" s="206"/>
      <c r="J746" s="206"/>
      <c r="K746" s="206"/>
      <c r="L746" s="206"/>
      <c r="M746" s="206"/>
      <c r="N746" s="206"/>
      <c r="O746" s="206"/>
      <c r="P746" s="206"/>
      <c r="Q746" s="206"/>
      <c r="R746" s="206"/>
      <c r="S746" s="206"/>
      <c r="T746" s="206"/>
      <c r="U746" s="206"/>
      <c r="V746" s="206"/>
      <c r="W746" s="206"/>
      <c r="X746" s="206"/>
      <c r="Y746" s="206"/>
      <c r="Z746" s="206"/>
      <c r="AA746" s="206"/>
      <c r="AB746" s="206"/>
      <c r="AC746" s="206"/>
      <c r="AD746" s="206"/>
      <c r="AE746" s="206"/>
      <c r="AF746" s="206"/>
      <c r="AG746" s="206"/>
      <c r="AH746" s="206"/>
      <c r="AI746" s="206"/>
      <c r="AJ746" s="206"/>
      <c r="AK746" s="206"/>
    </row>
    <row r="747" spans="1:37">
      <c r="A747" s="205" t="s">
        <v>3588</v>
      </c>
      <c r="B747" s="216"/>
      <c r="C747" s="205" t="s">
        <v>3597</v>
      </c>
      <c r="D747" s="205" t="s">
        <v>3598</v>
      </c>
      <c r="E747" s="206"/>
      <c r="F747" s="206"/>
      <c r="G747" s="206"/>
      <c r="H747" s="206"/>
      <c r="I747" s="206"/>
      <c r="J747" s="206"/>
      <c r="K747" s="206"/>
      <c r="L747" s="206"/>
      <c r="M747" s="206"/>
      <c r="N747" s="206"/>
      <c r="O747" s="206"/>
      <c r="P747" s="206"/>
      <c r="Q747" s="206"/>
      <c r="R747" s="206"/>
      <c r="S747" s="206"/>
      <c r="T747" s="206"/>
      <c r="U747" s="206"/>
      <c r="V747" s="206"/>
      <c r="W747" s="206"/>
      <c r="X747" s="206"/>
      <c r="Y747" s="206"/>
      <c r="Z747" s="206"/>
      <c r="AA747" s="206"/>
      <c r="AB747" s="206"/>
      <c r="AC747" s="206"/>
      <c r="AD747" s="206"/>
      <c r="AE747" s="206"/>
      <c r="AF747" s="206"/>
      <c r="AG747" s="206"/>
      <c r="AH747" s="206"/>
      <c r="AI747" s="206"/>
      <c r="AJ747" s="206"/>
      <c r="AK747" s="206"/>
    </row>
    <row r="748" spans="1:37">
      <c r="A748" s="205" t="s">
        <v>3588</v>
      </c>
      <c r="B748" s="216"/>
      <c r="C748" s="205" t="s">
        <v>3599</v>
      </c>
      <c r="D748" s="205" t="s">
        <v>3600</v>
      </c>
      <c r="E748" s="206"/>
      <c r="F748" s="206"/>
      <c r="G748" s="206"/>
      <c r="H748" s="206"/>
      <c r="I748" s="206"/>
      <c r="J748" s="206"/>
      <c r="K748" s="206"/>
      <c r="L748" s="206"/>
      <c r="M748" s="206"/>
      <c r="N748" s="206"/>
      <c r="O748" s="206"/>
      <c r="P748" s="206"/>
      <c r="Q748" s="206"/>
      <c r="R748" s="206"/>
      <c r="S748" s="206"/>
      <c r="T748" s="206"/>
      <c r="U748" s="206"/>
      <c r="V748" s="206"/>
      <c r="W748" s="206"/>
      <c r="X748" s="206"/>
      <c r="Y748" s="206"/>
      <c r="Z748" s="206"/>
      <c r="AA748" s="206"/>
      <c r="AB748" s="206"/>
      <c r="AC748" s="206"/>
      <c r="AD748" s="206"/>
      <c r="AE748" s="206"/>
      <c r="AF748" s="206"/>
      <c r="AG748" s="206"/>
      <c r="AH748" s="206"/>
      <c r="AI748" s="206"/>
      <c r="AJ748" s="206"/>
      <c r="AK748" s="206"/>
    </row>
    <row r="749" spans="1:37">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row>
    <row r="750" spans="1:37">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row>
    <row r="751" spans="1:37">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row>
    <row r="752" spans="1:37">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row>
    <row r="753" spans="1:37">
      <c r="A753" s="233" t="s">
        <v>3601</v>
      </c>
      <c r="B753" s="216"/>
      <c r="C753" s="216"/>
      <c r="D753" s="216"/>
      <c r="E753" s="216"/>
      <c r="F753" s="216"/>
      <c r="G753" s="216"/>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row>
    <row r="754" spans="1:37">
      <c r="A754" s="232" t="s">
        <v>3602</v>
      </c>
      <c r="B754" s="232" t="s">
        <v>3603</v>
      </c>
      <c r="C754" s="152" t="s">
        <v>3604</v>
      </c>
      <c r="D754" s="207" t="s">
        <v>3605</v>
      </c>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row>
    <row r="755" spans="1:37">
      <c r="A755" s="216"/>
      <c r="B755" s="216"/>
      <c r="C755" s="152" t="s">
        <v>3606</v>
      </c>
      <c r="D755" s="207" t="s">
        <v>3607</v>
      </c>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row>
    <row r="756" spans="1:37">
      <c r="A756" s="216"/>
      <c r="B756" s="216"/>
      <c r="C756" s="152" t="s">
        <v>3608</v>
      </c>
      <c r="D756" s="207" t="s">
        <v>3609</v>
      </c>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row>
    <row r="757" spans="1:37">
      <c r="A757" s="216"/>
      <c r="B757" s="216"/>
      <c r="C757" s="152" t="s">
        <v>3610</v>
      </c>
      <c r="D757" s="207" t="s">
        <v>3611</v>
      </c>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row>
    <row r="758" spans="1:37">
      <c r="A758" s="216"/>
      <c r="B758" s="216"/>
      <c r="C758" s="152" t="s">
        <v>3612</v>
      </c>
      <c r="D758" s="207" t="s">
        <v>3613</v>
      </c>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row>
    <row r="759" spans="1:37">
      <c r="A759" s="216"/>
      <c r="B759" s="216"/>
      <c r="C759" s="152" t="s">
        <v>3614</v>
      </c>
      <c r="D759" s="207" t="s">
        <v>3615</v>
      </c>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row>
    <row r="760" spans="1:37">
      <c r="A760" s="216"/>
      <c r="B760" s="216"/>
      <c r="C760" s="152" t="s">
        <v>3616</v>
      </c>
      <c r="D760" s="207" t="s">
        <v>3617</v>
      </c>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row>
    <row r="761" spans="1:37">
      <c r="A761" s="216"/>
      <c r="B761" s="216"/>
      <c r="C761" s="152" t="s">
        <v>3618</v>
      </c>
      <c r="D761" s="207" t="s">
        <v>3619</v>
      </c>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row>
    <row r="762" spans="1:37">
      <c r="A762" s="216"/>
      <c r="B762" s="216"/>
      <c r="C762" s="152" t="s">
        <v>3620</v>
      </c>
      <c r="D762" s="207" t="s">
        <v>3621</v>
      </c>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row>
    <row r="763" spans="1:37">
      <c r="A763" s="216"/>
      <c r="B763" s="216"/>
      <c r="C763" s="152" t="s">
        <v>3622</v>
      </c>
      <c r="D763" s="207" t="s">
        <v>3623</v>
      </c>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row>
    <row r="764" spans="1:37">
      <c r="A764" s="216"/>
      <c r="B764" s="216"/>
      <c r="C764" s="152" t="s">
        <v>3624</v>
      </c>
      <c r="D764" s="207" t="s">
        <v>3625</v>
      </c>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row>
    <row r="765" spans="1:37">
      <c r="A765" s="216"/>
      <c r="B765" s="216"/>
      <c r="C765" s="152" t="s">
        <v>3626</v>
      </c>
      <c r="D765" s="207" t="s">
        <v>3627</v>
      </c>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row>
    <row r="766" spans="1:37">
      <c r="A766" s="216"/>
      <c r="B766" s="216"/>
      <c r="C766" s="152" t="s">
        <v>3628</v>
      </c>
      <c r="D766" s="207" t="s">
        <v>3629</v>
      </c>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row>
    <row r="767" spans="1:37">
      <c r="A767" s="216"/>
      <c r="B767" s="216"/>
      <c r="C767" s="152" t="s">
        <v>3630</v>
      </c>
      <c r="D767" s="207" t="s">
        <v>3631</v>
      </c>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row>
    <row r="768" spans="1:37">
      <c r="A768" s="216"/>
      <c r="B768" s="216"/>
      <c r="C768" s="152" t="s">
        <v>3632</v>
      </c>
      <c r="D768" s="207" t="s">
        <v>3633</v>
      </c>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row>
    <row r="769" spans="1:37">
      <c r="A769" s="216"/>
      <c r="B769" s="216"/>
      <c r="C769" s="152" t="s">
        <v>3634</v>
      </c>
      <c r="D769" s="207" t="s">
        <v>3635</v>
      </c>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row>
    <row r="770" spans="1:37">
      <c r="A770" s="216"/>
      <c r="B770" s="216"/>
      <c r="C770" s="152" t="s">
        <v>2750</v>
      </c>
      <c r="D770" s="207" t="s">
        <v>3636</v>
      </c>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row>
    <row r="771" spans="1:37">
      <c r="A771" s="216"/>
      <c r="B771" s="216"/>
      <c r="C771" s="152" t="s">
        <v>3637</v>
      </c>
      <c r="D771" s="207" t="s">
        <v>3638</v>
      </c>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row>
    <row r="772" spans="1:37">
      <c r="A772" s="216"/>
      <c r="B772" s="216"/>
      <c r="C772" s="152" t="s">
        <v>3639</v>
      </c>
      <c r="D772" s="207" t="s">
        <v>2329</v>
      </c>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row>
    <row r="773" spans="1:37">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row>
    <row r="774" spans="1:37">
      <c r="A774" s="232" t="s">
        <v>3640</v>
      </c>
      <c r="B774" s="235" t="s">
        <v>205</v>
      </c>
      <c r="C774" s="78"/>
      <c r="D774" s="207" t="s">
        <v>1824</v>
      </c>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row>
    <row r="775" spans="1:37">
      <c r="A775" s="216"/>
      <c r="B775" s="216"/>
      <c r="C775" s="78"/>
      <c r="D775" s="207" t="s">
        <v>3641</v>
      </c>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row>
    <row r="776" spans="1:37">
      <c r="A776" s="216"/>
      <c r="B776" s="216"/>
      <c r="C776" s="78"/>
      <c r="D776" s="207" t="s">
        <v>3642</v>
      </c>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row>
    <row r="777" spans="1:37">
      <c r="A777" s="216"/>
      <c r="B777" s="216"/>
      <c r="C777" s="78"/>
      <c r="D777" s="207" t="s">
        <v>3643</v>
      </c>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row>
    <row r="778" spans="1:37">
      <c r="A778" s="216"/>
      <c r="B778" s="216"/>
      <c r="C778" s="78"/>
      <c r="D778" s="207" t="s">
        <v>3644</v>
      </c>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row>
    <row r="779" spans="1:37">
      <c r="A779" s="216"/>
      <c r="B779" s="216"/>
      <c r="C779" s="78"/>
      <c r="D779" s="207" t="s">
        <v>3609</v>
      </c>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row>
    <row r="780" spans="1:37">
      <c r="A780" s="216"/>
      <c r="B780" s="216"/>
      <c r="C780" s="78"/>
      <c r="D780" s="207" t="s">
        <v>1323</v>
      </c>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row>
    <row r="781" spans="1:37">
      <c r="A781" s="216"/>
      <c r="B781" s="216"/>
      <c r="C781" s="78"/>
      <c r="D781" s="207" t="s">
        <v>3645</v>
      </c>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row>
    <row r="782" spans="1:37">
      <c r="A782" s="216"/>
      <c r="B782" s="216"/>
      <c r="C782" s="78"/>
      <c r="D782" s="207" t="s">
        <v>3631</v>
      </c>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row>
    <row r="783" spans="1:37">
      <c r="A783" s="216"/>
      <c r="B783" s="216"/>
      <c r="C783" s="78"/>
      <c r="D783" s="207" t="s">
        <v>3646</v>
      </c>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row>
    <row r="784" spans="1:37">
      <c r="A784" s="216"/>
      <c r="B784" s="216"/>
      <c r="C784" s="78"/>
      <c r="D784" s="207" t="s">
        <v>3647</v>
      </c>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row>
    <row r="785" spans="1:37">
      <c r="A785" s="216"/>
      <c r="B785" s="216"/>
      <c r="C785" s="78"/>
      <c r="D785" s="207" t="s">
        <v>3621</v>
      </c>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row>
    <row r="786" spans="1:37">
      <c r="A786" s="216"/>
      <c r="B786" s="216"/>
      <c r="C786" s="78"/>
      <c r="D786" s="207" t="s">
        <v>3648</v>
      </c>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row>
    <row r="787" spans="1:37">
      <c r="A787" s="216"/>
      <c r="B787" s="216"/>
      <c r="C787" s="78"/>
      <c r="D787" s="207" t="s">
        <v>3649</v>
      </c>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row>
    <row r="788" spans="1:37">
      <c r="A788" s="216"/>
      <c r="B788" s="216"/>
      <c r="C788" s="78"/>
      <c r="D788" s="207" t="s">
        <v>3650</v>
      </c>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row>
    <row r="789" spans="1:37">
      <c r="A789" s="216"/>
      <c r="B789" s="216"/>
      <c r="C789" s="78"/>
      <c r="D789" s="207" t="s">
        <v>3651</v>
      </c>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row>
    <row r="790" spans="1:37">
      <c r="A790" s="216"/>
      <c r="B790" s="216"/>
      <c r="C790" s="78"/>
      <c r="D790" s="207" t="s">
        <v>3652</v>
      </c>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row>
    <row r="791" spans="1:37">
      <c r="A791" s="216"/>
      <c r="B791" s="216"/>
      <c r="C791" s="78"/>
      <c r="D791" s="207" t="s">
        <v>3653</v>
      </c>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row>
    <row r="792" spans="1:37">
      <c r="A792" s="216"/>
      <c r="B792" s="216"/>
      <c r="C792" s="78"/>
      <c r="D792" s="207" t="s">
        <v>3654</v>
      </c>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row>
    <row r="793" spans="1:37">
      <c r="A793" s="216"/>
      <c r="B793" s="216"/>
      <c r="C793" s="78"/>
      <c r="D793" s="207" t="s">
        <v>3655</v>
      </c>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row>
    <row r="794" spans="1:37">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row>
    <row r="795" spans="1:37">
      <c r="A795" s="78"/>
      <c r="B795" s="232" t="s">
        <v>3656</v>
      </c>
      <c r="C795" s="78"/>
      <c r="D795" s="207" t="s">
        <v>3657</v>
      </c>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row>
    <row r="796" spans="1:37">
      <c r="A796" s="78"/>
      <c r="B796" s="216"/>
      <c r="C796" s="78"/>
      <c r="D796" s="207" t="s">
        <v>3658</v>
      </c>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row>
    <row r="797" spans="1:37">
      <c r="A797" s="78"/>
      <c r="B797" s="216"/>
      <c r="C797" s="78"/>
      <c r="D797" s="207" t="s">
        <v>3659</v>
      </c>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row>
    <row r="798" spans="1:37">
      <c r="A798" s="78"/>
      <c r="B798" s="216"/>
      <c r="C798" s="78"/>
      <c r="D798" s="207" t="s">
        <v>3660</v>
      </c>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row>
    <row r="799" spans="1:37">
      <c r="A799" s="78"/>
      <c r="B799" s="216"/>
      <c r="C799" s="78"/>
      <c r="D799" s="207" t="s">
        <v>3661</v>
      </c>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row>
    <row r="800" spans="1:37">
      <c r="A800" s="78"/>
      <c r="B800" s="216"/>
      <c r="C800" s="78"/>
      <c r="D800" s="207" t="s">
        <v>3662</v>
      </c>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row>
    <row r="801" spans="1:37">
      <c r="A801" s="78"/>
      <c r="B801" s="216"/>
      <c r="C801" s="78"/>
      <c r="D801" s="207" t="s">
        <v>3663</v>
      </c>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row>
    <row r="802" spans="1:37">
      <c r="A802" s="78"/>
      <c r="B802" s="216"/>
      <c r="C802" s="78"/>
      <c r="D802" s="207" t="s">
        <v>3664</v>
      </c>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row>
    <row r="803" spans="1:37">
      <c r="A803" s="78"/>
      <c r="B803" s="216"/>
      <c r="C803" s="78"/>
      <c r="D803" s="207" t="s">
        <v>3665</v>
      </c>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row>
    <row r="804" spans="1:37">
      <c r="A804" s="78"/>
      <c r="B804" s="216"/>
      <c r="C804" s="78"/>
      <c r="D804" s="207" t="s">
        <v>3654</v>
      </c>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row>
    <row r="805" spans="1:37">
      <c r="A805" s="78"/>
      <c r="B805" s="216"/>
      <c r="C805" s="78"/>
      <c r="D805" s="207" t="s">
        <v>3655</v>
      </c>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row>
    <row r="806" spans="1:37">
      <c r="A806" s="78"/>
      <c r="B806" s="216"/>
      <c r="C806" s="78"/>
      <c r="D806" s="207" t="s">
        <v>3666</v>
      </c>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row>
    <row r="807" spans="1:37">
      <c r="A807" s="78"/>
      <c r="B807" s="216"/>
      <c r="C807" s="78"/>
      <c r="D807" s="207" t="s">
        <v>3667</v>
      </c>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row>
    <row r="808" spans="1:37">
      <c r="A808" s="78"/>
      <c r="B808" s="216"/>
      <c r="C808" s="78"/>
      <c r="D808" s="207" t="s">
        <v>3668</v>
      </c>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row>
    <row r="809" spans="1:37">
      <c r="A809" s="78"/>
      <c r="B809" s="216"/>
      <c r="C809" s="78"/>
      <c r="D809" s="207" t="s">
        <v>3669</v>
      </c>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row>
    <row r="810" spans="1:37">
      <c r="A810" s="78"/>
      <c r="B810" s="216"/>
      <c r="C810" s="78"/>
      <c r="D810" s="207" t="s">
        <v>3670</v>
      </c>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row>
    <row r="811" spans="1:37">
      <c r="A811" s="78"/>
      <c r="B811" s="216"/>
      <c r="C811" s="78"/>
      <c r="D811" s="207" t="s">
        <v>3671</v>
      </c>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row>
    <row r="812" spans="1:37">
      <c r="A812" s="78"/>
      <c r="B812" s="216"/>
      <c r="C812" s="78"/>
      <c r="D812" s="207" t="s">
        <v>3672</v>
      </c>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row>
    <row r="813" spans="1:37">
      <c r="A813" s="78"/>
      <c r="B813" s="216"/>
      <c r="C813" s="78"/>
      <c r="D813" s="207" t="s">
        <v>3673</v>
      </c>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row>
    <row r="814" spans="1:37">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row>
    <row r="815" spans="1:37">
      <c r="A815" s="78"/>
      <c r="B815" s="232" t="s">
        <v>3674</v>
      </c>
      <c r="C815" s="78"/>
      <c r="D815" s="207" t="s">
        <v>3615</v>
      </c>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row>
    <row r="816" spans="1:37">
      <c r="A816" s="78"/>
      <c r="B816" s="216"/>
      <c r="C816" s="78"/>
      <c r="D816" s="207" t="s">
        <v>3675</v>
      </c>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row>
    <row r="817" spans="1:37">
      <c r="A817" s="78"/>
      <c r="B817" s="216"/>
      <c r="C817" s="78"/>
      <c r="D817" s="207" t="s">
        <v>3676</v>
      </c>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row>
    <row r="818" spans="1:37">
      <c r="A818" s="78"/>
      <c r="B818" s="216"/>
      <c r="C818" s="78"/>
      <c r="D818" s="208" t="s">
        <v>3667</v>
      </c>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row>
    <row r="819" spans="1:37">
      <c r="A819" s="78"/>
      <c r="B819" s="216"/>
      <c r="D819" s="208" t="s">
        <v>3677</v>
      </c>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row>
    <row r="820" spans="1:37">
      <c r="A820" s="78"/>
      <c r="B820" s="216"/>
      <c r="D820" s="208" t="s">
        <v>3678</v>
      </c>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row>
    <row r="821" spans="1:37">
      <c r="A821" s="78"/>
      <c r="B821" s="216"/>
      <c r="D821" s="207" t="s">
        <v>3679</v>
      </c>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row>
    <row r="822" spans="1:37">
      <c r="A822" s="78"/>
      <c r="B822" s="216"/>
      <c r="D822" s="208" t="s">
        <v>3680</v>
      </c>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row>
    <row r="823" spans="1:37">
      <c r="A823" s="78"/>
      <c r="B823" s="216"/>
      <c r="C823" s="78"/>
      <c r="D823" s="208" t="s">
        <v>3681</v>
      </c>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row>
    <row r="824" spans="1:37">
      <c r="A824" s="78"/>
      <c r="B824" s="216"/>
      <c r="C824" s="78"/>
      <c r="D824" s="207" t="s">
        <v>3682</v>
      </c>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row>
    <row r="825" spans="1:37">
      <c r="A825" s="78"/>
      <c r="B825" s="216"/>
      <c r="C825" s="78"/>
      <c r="D825" s="208" t="s">
        <v>3683</v>
      </c>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row>
    <row r="826" spans="1:37">
      <c r="A826" s="78"/>
      <c r="B826" s="216"/>
      <c r="D826" s="208" t="s">
        <v>3684</v>
      </c>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row>
    <row r="827" spans="1:37">
      <c r="A827" s="78"/>
      <c r="B827" s="216"/>
      <c r="C827" s="78"/>
      <c r="D827" s="208" t="s">
        <v>3685</v>
      </c>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row>
    <row r="828" spans="1:37">
      <c r="A828" s="78"/>
      <c r="B828" s="216"/>
      <c r="C828" s="78"/>
      <c r="D828" s="207" t="s">
        <v>3686</v>
      </c>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row>
    <row r="829" spans="1:37">
      <c r="A829" s="78"/>
      <c r="B829" s="216"/>
      <c r="C829" s="78"/>
      <c r="D829" s="208" t="s">
        <v>3687</v>
      </c>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row>
    <row r="830" spans="1:37">
      <c r="A830" s="78"/>
      <c r="B830" s="216"/>
      <c r="C830" s="78"/>
      <c r="D830" s="207" t="s">
        <v>3688</v>
      </c>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row>
    <row r="831" spans="1:37">
      <c r="A831" s="78"/>
      <c r="B831" s="216"/>
      <c r="C831" s="78"/>
      <c r="D831" s="208" t="s">
        <v>3689</v>
      </c>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row>
    <row r="832" spans="1:37">
      <c r="A832" s="78"/>
      <c r="B832" s="216"/>
      <c r="C832" s="78"/>
      <c r="D832" s="208" t="s">
        <v>3690</v>
      </c>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row>
    <row r="833" spans="1:37">
      <c r="A833" s="78"/>
      <c r="B833" s="216"/>
      <c r="C833" s="78"/>
      <c r="D833" s="208" t="s">
        <v>2632</v>
      </c>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row>
    <row r="834" spans="1:37">
      <c r="A834" s="78"/>
      <c r="B834" s="216"/>
      <c r="C834" s="78"/>
      <c r="D834" s="208" t="s">
        <v>3691</v>
      </c>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row>
    <row r="835" spans="1:37">
      <c r="A835" s="78"/>
      <c r="B835" s="216"/>
      <c r="C835" s="78"/>
      <c r="D835" s="208" t="s">
        <v>2674</v>
      </c>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row>
    <row r="836" spans="1:37">
      <c r="A836" s="78"/>
      <c r="B836" s="216"/>
      <c r="C836" s="78"/>
      <c r="D836" s="208" t="s">
        <v>3692</v>
      </c>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row>
    <row r="837" spans="1:37">
      <c r="A837" s="78"/>
      <c r="B837" s="216"/>
      <c r="C837" s="78"/>
      <c r="D837" s="208" t="s">
        <v>3693</v>
      </c>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row>
    <row r="838" spans="1:37">
      <c r="A838" s="78"/>
      <c r="B838" s="216"/>
      <c r="C838" s="78"/>
      <c r="D838" s="208" t="s">
        <v>3694</v>
      </c>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row>
    <row r="839" spans="1:37">
      <c r="A839" s="78"/>
      <c r="B839" s="216"/>
      <c r="C839" s="78"/>
      <c r="D839" s="208" t="s">
        <v>3695</v>
      </c>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row>
    <row r="840" spans="1:37">
      <c r="A840" s="78"/>
      <c r="B840" s="216"/>
      <c r="C840" s="78"/>
      <c r="D840" s="208" t="s">
        <v>3696</v>
      </c>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row>
    <row r="841" spans="1:37">
      <c r="A841" s="78"/>
      <c r="B841" s="216"/>
      <c r="C841" s="78"/>
      <c r="D841" s="208" t="s">
        <v>3697</v>
      </c>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row>
    <row r="842" spans="1:37">
      <c r="A842" s="78"/>
      <c r="B842" s="216"/>
      <c r="C842" s="78"/>
      <c r="D842" s="208" t="s">
        <v>3698</v>
      </c>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row>
    <row r="843" spans="1:37">
      <c r="A843" s="78"/>
      <c r="B843" s="216"/>
      <c r="C843" s="78"/>
      <c r="D843" s="208" t="s">
        <v>3699</v>
      </c>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row>
    <row r="844" spans="1:37">
      <c r="A844" s="78"/>
      <c r="B844" s="216"/>
      <c r="C844" s="78"/>
      <c r="D844" s="208" t="s">
        <v>3700</v>
      </c>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row>
    <row r="845" spans="1:37">
      <c r="A845" s="78"/>
      <c r="B845" s="216"/>
      <c r="C845" s="78"/>
      <c r="D845" s="208" t="s">
        <v>3701</v>
      </c>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row>
    <row r="846" spans="1:37">
      <c r="A846" s="78"/>
      <c r="B846" s="216"/>
      <c r="C846" s="78"/>
      <c r="D846" s="209" t="s">
        <v>3702</v>
      </c>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row>
    <row r="847" spans="1:37">
      <c r="A847" s="78"/>
      <c r="B847" s="216"/>
      <c r="C847" s="78"/>
      <c r="D847" s="209" t="s">
        <v>3703</v>
      </c>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row>
    <row r="848" spans="1:37">
      <c r="A848" s="78"/>
      <c r="B848" s="216"/>
      <c r="C848" s="78"/>
      <c r="D848" s="209" t="s">
        <v>3704</v>
      </c>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row>
    <row r="849" spans="1:37">
      <c r="A849" s="78"/>
      <c r="B849" s="216"/>
      <c r="C849" s="78"/>
      <c r="D849" s="209" t="s">
        <v>3683</v>
      </c>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row>
    <row r="850" spans="1:37">
      <c r="A850" s="78"/>
      <c r="B850" s="216"/>
      <c r="C850" s="78"/>
      <c r="D850" s="209" t="s">
        <v>3705</v>
      </c>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row>
    <row r="851" spans="1:37">
      <c r="A851" s="78"/>
      <c r="B851" s="216"/>
      <c r="C851" s="78"/>
      <c r="D851" s="209" t="s">
        <v>3706</v>
      </c>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row>
    <row r="852" spans="1:37">
      <c r="A852" s="78"/>
      <c r="B852" s="216"/>
      <c r="C852" s="78"/>
      <c r="D852" s="209" t="s">
        <v>3707</v>
      </c>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row>
    <row r="853" spans="1:37">
      <c r="A853" s="78"/>
      <c r="B853" s="78"/>
      <c r="C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row>
    <row r="854" spans="1:37">
      <c r="A854" s="78"/>
      <c r="B854" s="232" t="s">
        <v>304</v>
      </c>
      <c r="C854" s="78"/>
      <c r="D854" s="207" t="s">
        <v>3708</v>
      </c>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row>
    <row r="855" spans="1:37">
      <c r="A855" s="78"/>
      <c r="B855" s="216"/>
      <c r="C855" s="78"/>
      <c r="D855" s="207" t="s">
        <v>3709</v>
      </c>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row>
    <row r="856" spans="1:37">
      <c r="A856" s="78"/>
      <c r="B856" s="216"/>
      <c r="C856" s="78"/>
      <c r="D856" s="207" t="s">
        <v>3710</v>
      </c>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row>
    <row r="857" spans="1:37">
      <c r="A857" s="78"/>
      <c r="B857" s="216"/>
      <c r="C857" s="78"/>
      <c r="D857" s="207" t="s">
        <v>3643</v>
      </c>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row>
    <row r="858" spans="1:37">
      <c r="A858" s="78"/>
      <c r="B858" s="216"/>
      <c r="C858" s="78"/>
      <c r="D858" s="207" t="s">
        <v>3711</v>
      </c>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row>
    <row r="859" spans="1:37">
      <c r="A859" s="78"/>
      <c r="B859" s="216"/>
      <c r="C859" s="78"/>
      <c r="D859" s="207" t="s">
        <v>3712</v>
      </c>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row>
    <row r="860" spans="1:37">
      <c r="A860" s="78"/>
      <c r="B860" s="216"/>
      <c r="C860" s="78"/>
      <c r="D860" s="207" t="s">
        <v>1323</v>
      </c>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row>
    <row r="861" spans="1:37">
      <c r="A861" s="78"/>
      <c r="B861" s="216"/>
      <c r="C861" s="78"/>
      <c r="D861" s="207" t="s">
        <v>3645</v>
      </c>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row>
    <row r="862" spans="1:37">
      <c r="A862" s="78"/>
      <c r="B862" s="216"/>
      <c r="C862" s="78"/>
      <c r="D862" s="207" t="s">
        <v>3713</v>
      </c>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row>
    <row r="863" spans="1:37">
      <c r="A863" s="78"/>
      <c r="B863" s="216"/>
      <c r="C863" s="78"/>
      <c r="D863" s="207" t="s">
        <v>3714</v>
      </c>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row>
    <row r="864" spans="1:37">
      <c r="A864" s="78"/>
      <c r="B864" s="216"/>
      <c r="C864" s="78"/>
      <c r="D864" s="207" t="s">
        <v>3715</v>
      </c>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row>
    <row r="865" spans="1:37">
      <c r="A865" s="78"/>
      <c r="B865" s="216"/>
      <c r="C865" s="78"/>
      <c r="D865" s="207" t="s">
        <v>3716</v>
      </c>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row>
    <row r="866" spans="1:37">
      <c r="A866" s="78"/>
      <c r="B866" s="216"/>
      <c r="C866" s="78"/>
      <c r="D866" s="207" t="s">
        <v>3717</v>
      </c>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row>
    <row r="867" spans="1:37">
      <c r="A867" s="78"/>
      <c r="B867" s="216"/>
      <c r="C867" s="78"/>
      <c r="D867" s="207" t="s">
        <v>3718</v>
      </c>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row>
    <row r="868" spans="1:37">
      <c r="A868" s="78"/>
      <c r="B868" s="216"/>
      <c r="C868" s="78"/>
      <c r="D868" s="207" t="s">
        <v>3654</v>
      </c>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row>
    <row r="869" spans="1:37">
      <c r="A869" s="78"/>
      <c r="B869" s="216"/>
      <c r="C869" s="78"/>
      <c r="D869" s="207" t="s">
        <v>3655</v>
      </c>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row>
    <row r="870" spans="1:37">
      <c r="A870" s="78"/>
      <c r="B870" s="216"/>
      <c r="C870" s="78"/>
      <c r="D870" s="207" t="s">
        <v>3719</v>
      </c>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row>
    <row r="871" spans="1:37">
      <c r="A871" s="78"/>
      <c r="B871" s="216"/>
      <c r="C871" s="78"/>
      <c r="D871" s="207" t="s">
        <v>3720</v>
      </c>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row>
    <row r="872" spans="1:37">
      <c r="A872" s="78"/>
      <c r="B872" s="216"/>
      <c r="C872" s="78"/>
      <c r="D872" s="207" t="s">
        <v>3721</v>
      </c>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row>
    <row r="873" spans="1:37">
      <c r="A873" s="78"/>
      <c r="B873" s="216"/>
      <c r="C873" s="78"/>
      <c r="D873" s="207" t="s">
        <v>3722</v>
      </c>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row>
    <row r="874" spans="1:37">
      <c r="A874" s="78"/>
      <c r="B874" s="216"/>
      <c r="C874" s="78"/>
      <c r="D874" s="207" t="s">
        <v>3723</v>
      </c>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row>
    <row r="875" spans="1:37">
      <c r="A875" s="78"/>
      <c r="B875" s="216"/>
      <c r="C875" s="78"/>
      <c r="D875" s="207" t="s">
        <v>3724</v>
      </c>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row>
    <row r="876" spans="1:37">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row>
    <row r="877" spans="1:37">
      <c r="A877" s="78"/>
      <c r="B877" s="235" t="s">
        <v>349</v>
      </c>
      <c r="C877" s="78"/>
      <c r="D877" s="210" t="s">
        <v>3725</v>
      </c>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row>
    <row r="878" spans="1:37">
      <c r="A878" s="78"/>
      <c r="B878" s="216"/>
      <c r="C878" s="78"/>
      <c r="D878" s="210" t="s">
        <v>3726</v>
      </c>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row>
    <row r="879" spans="1:37">
      <c r="A879" s="78"/>
      <c r="B879" s="216"/>
      <c r="C879" s="78"/>
      <c r="D879" s="210" t="s">
        <v>3727</v>
      </c>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row>
    <row r="880" spans="1:37">
      <c r="A880" s="78"/>
      <c r="B880" s="216"/>
      <c r="C880" s="78"/>
      <c r="D880" s="210" t="s">
        <v>3728</v>
      </c>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row>
    <row r="881" spans="1:37">
      <c r="A881" s="78"/>
      <c r="B881" s="216"/>
      <c r="C881" s="78"/>
      <c r="D881" s="210" t="s">
        <v>3729</v>
      </c>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row>
    <row r="882" spans="1:37">
      <c r="A882" s="78"/>
      <c r="B882" s="216"/>
      <c r="C882" s="78"/>
      <c r="D882" s="210" t="s">
        <v>3730</v>
      </c>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row>
    <row r="883" spans="1:37">
      <c r="A883" s="78"/>
      <c r="B883" s="216"/>
      <c r="C883" s="78"/>
      <c r="D883" s="210" t="s">
        <v>3731</v>
      </c>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row>
    <row r="884" spans="1:37">
      <c r="A884" s="78"/>
      <c r="B884" s="216"/>
      <c r="C884" s="78"/>
      <c r="D884" s="210" t="s">
        <v>3732</v>
      </c>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row>
    <row r="885" spans="1:37">
      <c r="A885" s="78"/>
      <c r="B885" s="216"/>
      <c r="C885" s="78"/>
      <c r="D885" s="210" t="s">
        <v>3733</v>
      </c>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row>
    <row r="886" spans="1:37">
      <c r="A886" s="78"/>
      <c r="B886" s="216"/>
      <c r="C886" s="78"/>
      <c r="D886" s="210" t="s">
        <v>3734</v>
      </c>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row>
    <row r="887" spans="1:37">
      <c r="A887" s="78"/>
      <c r="B887" s="216"/>
      <c r="C887" s="78"/>
      <c r="D887" s="210" t="s">
        <v>3735</v>
      </c>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row>
    <row r="888" spans="1:37">
      <c r="A888" s="78"/>
      <c r="B888" s="216"/>
      <c r="C888" s="78"/>
      <c r="D888" s="210" t="s">
        <v>3736</v>
      </c>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row>
    <row r="889" spans="1:37">
      <c r="A889" s="78"/>
      <c r="B889" s="216"/>
      <c r="C889" s="78"/>
      <c r="D889" s="210" t="s">
        <v>3737</v>
      </c>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row>
    <row r="890" spans="1:37">
      <c r="A890" s="78"/>
      <c r="B890" s="216"/>
      <c r="C890" s="78"/>
      <c r="D890" s="210" t="s">
        <v>3738</v>
      </c>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row>
    <row r="891" spans="1:37">
      <c r="A891" s="78"/>
      <c r="B891" s="216"/>
      <c r="C891" s="78"/>
      <c r="D891" s="210" t="s">
        <v>3739</v>
      </c>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row>
    <row r="892" spans="1:37">
      <c r="A892" s="78"/>
      <c r="B892" s="216"/>
      <c r="C892" s="78"/>
      <c r="D892" s="210" t="s">
        <v>3740</v>
      </c>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row>
    <row r="893" spans="1:37">
      <c r="A893" s="78"/>
      <c r="B893" s="216"/>
      <c r="C893" s="78"/>
      <c r="D893" s="210" t="s">
        <v>3741</v>
      </c>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row>
    <row r="894" spans="1:37">
      <c r="A894" s="78"/>
      <c r="B894" s="216"/>
      <c r="C894" s="78"/>
      <c r="D894" s="210" t="s">
        <v>3742</v>
      </c>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row>
    <row r="895" spans="1:37">
      <c r="A895" s="78"/>
      <c r="B895" s="216"/>
      <c r="C895" s="78"/>
      <c r="D895" s="210" t="s">
        <v>3743</v>
      </c>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row>
    <row r="896" spans="1:37">
      <c r="A896" s="78"/>
      <c r="B896" s="216"/>
      <c r="C896" s="78"/>
      <c r="D896" s="210" t="s">
        <v>3744</v>
      </c>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row>
    <row r="897" spans="1:37">
      <c r="A897" s="78"/>
      <c r="B897" s="216"/>
      <c r="C897" s="78"/>
      <c r="D897" s="210" t="s">
        <v>3745</v>
      </c>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row>
    <row r="898" spans="1:37">
      <c r="A898" s="78"/>
      <c r="B898" s="216"/>
      <c r="C898" s="78"/>
      <c r="D898" s="210" t="s">
        <v>3746</v>
      </c>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row>
    <row r="899" spans="1:37">
      <c r="A899" s="78"/>
      <c r="B899" s="216"/>
      <c r="C899" s="78"/>
      <c r="D899" s="210" t="s">
        <v>3747</v>
      </c>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row>
    <row r="900" spans="1:37">
      <c r="A900" s="78"/>
      <c r="B900" s="216"/>
      <c r="C900" s="78"/>
      <c r="D900" s="210" t="s">
        <v>3748</v>
      </c>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row>
    <row r="901" spans="1:37">
      <c r="A901" s="78"/>
      <c r="B901" s="216"/>
      <c r="C901" s="78"/>
      <c r="D901" s="210" t="s">
        <v>3749</v>
      </c>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row>
    <row r="902" spans="1:37">
      <c r="A902" s="78"/>
      <c r="B902" s="216"/>
      <c r="C902" s="78"/>
      <c r="D902" s="210" t="s">
        <v>3750</v>
      </c>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row>
    <row r="903" spans="1:37">
      <c r="A903" s="78"/>
      <c r="B903" s="216"/>
      <c r="C903" s="78"/>
      <c r="D903" s="210" t="s">
        <v>3751</v>
      </c>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row>
    <row r="904" spans="1:37">
      <c r="A904" s="78"/>
      <c r="B904" s="216"/>
      <c r="C904" s="78"/>
      <c r="D904" s="210" t="s">
        <v>3752</v>
      </c>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row>
    <row r="905" spans="1:37">
      <c r="A905" s="78"/>
      <c r="B905" s="216"/>
      <c r="C905" s="78"/>
      <c r="D905" s="210" t="s">
        <v>3753</v>
      </c>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row>
    <row r="906" spans="1:37">
      <c r="A906" s="78"/>
      <c r="B906" s="216"/>
      <c r="C906" s="78"/>
      <c r="D906" s="210" t="s">
        <v>3754</v>
      </c>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row>
    <row r="907" spans="1:37">
      <c r="A907" s="78"/>
      <c r="B907" s="216"/>
      <c r="C907" s="78"/>
      <c r="D907" s="210" t="s">
        <v>3755</v>
      </c>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row>
    <row r="908" spans="1:37">
      <c r="A908" s="78"/>
      <c r="B908" s="216"/>
      <c r="C908" s="78"/>
      <c r="D908" s="210" t="s">
        <v>3756</v>
      </c>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row>
    <row r="909" spans="1:37">
      <c r="A909" s="78"/>
      <c r="B909" s="216"/>
      <c r="C909" s="78"/>
      <c r="D909" s="210" t="s">
        <v>3757</v>
      </c>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row>
    <row r="910" spans="1:37">
      <c r="A910" s="78"/>
      <c r="B910" s="216"/>
      <c r="C910" s="78"/>
      <c r="D910" s="210" t="s">
        <v>3758</v>
      </c>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row>
    <row r="911" spans="1:37">
      <c r="A911" s="78"/>
      <c r="B911" s="216"/>
      <c r="C911" s="78"/>
      <c r="D911" s="210" t="s">
        <v>3759</v>
      </c>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row>
    <row r="912" spans="1:37">
      <c r="A912" s="78"/>
      <c r="B912" s="216"/>
      <c r="C912" s="78"/>
      <c r="D912" s="210" t="s">
        <v>3760</v>
      </c>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row>
    <row r="913" spans="1:37">
      <c r="A913" s="78"/>
      <c r="B913" s="216"/>
      <c r="C913" s="78"/>
      <c r="D913" s="210" t="s">
        <v>3761</v>
      </c>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row>
    <row r="914" spans="1:37">
      <c r="A914" s="78"/>
      <c r="B914" s="216"/>
      <c r="C914" s="78"/>
      <c r="D914" s="210" t="s">
        <v>3762</v>
      </c>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row>
    <row r="915" spans="1:37">
      <c r="A915" s="78"/>
      <c r="B915" s="216"/>
      <c r="C915" s="78"/>
      <c r="D915" s="210" t="s">
        <v>3763</v>
      </c>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row>
    <row r="916" spans="1:37">
      <c r="A916" s="78"/>
      <c r="B916" s="216"/>
      <c r="C916" s="78"/>
      <c r="D916" s="210" t="s">
        <v>3764</v>
      </c>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row>
    <row r="917" spans="1:37">
      <c r="A917" s="78"/>
      <c r="B917" s="216"/>
      <c r="C917" s="78"/>
      <c r="D917" s="210" t="s">
        <v>3765</v>
      </c>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row>
    <row r="918" spans="1:37">
      <c r="A918" s="78"/>
      <c r="B918" s="216"/>
      <c r="C918" s="78"/>
      <c r="D918" s="210" t="s">
        <v>3766</v>
      </c>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row>
    <row r="919" spans="1:37">
      <c r="A919" s="78"/>
      <c r="B919" s="216"/>
      <c r="C919" s="78"/>
      <c r="D919" s="210" t="s">
        <v>3767</v>
      </c>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row>
    <row r="920" spans="1:37">
      <c r="A920" s="78"/>
      <c r="B920" s="216"/>
      <c r="C920" s="78"/>
      <c r="D920" s="210" t="s">
        <v>3768</v>
      </c>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row>
    <row r="921" spans="1:37">
      <c r="A921" s="78"/>
      <c r="B921" s="216"/>
      <c r="C921" s="78"/>
      <c r="D921" s="210" t="s">
        <v>3769</v>
      </c>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row>
    <row r="922" spans="1:37">
      <c r="A922" s="78"/>
      <c r="B922" s="216"/>
      <c r="C922" s="78"/>
      <c r="D922" s="210" t="s">
        <v>3770</v>
      </c>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row>
    <row r="923" spans="1:37">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row>
    <row r="924" spans="1:37">
      <c r="A924" s="78"/>
      <c r="B924" s="232" t="s">
        <v>374</v>
      </c>
      <c r="C924" s="78"/>
      <c r="D924" s="207" t="s">
        <v>3771</v>
      </c>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row>
    <row r="925" spans="1:37">
      <c r="A925" s="78"/>
      <c r="B925" s="216"/>
      <c r="C925" s="78"/>
      <c r="D925" s="207" t="s">
        <v>3772</v>
      </c>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row>
    <row r="926" spans="1:37">
      <c r="A926" s="78"/>
      <c r="B926" s="216"/>
      <c r="C926" s="78"/>
      <c r="D926" s="207" t="s">
        <v>3773</v>
      </c>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row>
    <row r="927" spans="1:37">
      <c r="A927" s="78"/>
      <c r="B927" s="216"/>
      <c r="C927" s="78"/>
      <c r="D927" s="207" t="s">
        <v>3774</v>
      </c>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row>
    <row r="928" spans="1:37">
      <c r="A928" s="78"/>
      <c r="B928" s="216"/>
      <c r="C928" s="78"/>
      <c r="D928" s="207" t="s">
        <v>3775</v>
      </c>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row>
    <row r="929" spans="1:37">
      <c r="A929" s="78"/>
      <c r="B929" s="216"/>
      <c r="C929" s="78"/>
      <c r="D929" s="207" t="s">
        <v>3776</v>
      </c>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row>
    <row r="930" spans="1:37">
      <c r="A930" s="78"/>
      <c r="B930" s="216"/>
      <c r="C930" s="78"/>
      <c r="D930" s="207" t="s">
        <v>3777</v>
      </c>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row>
    <row r="931" spans="1:37">
      <c r="A931" s="78"/>
      <c r="B931" s="216"/>
      <c r="C931" s="78"/>
      <c r="D931" s="207" t="s">
        <v>3778</v>
      </c>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row>
    <row r="932" spans="1:37">
      <c r="A932" s="78"/>
      <c r="B932" s="216"/>
      <c r="C932" s="78"/>
      <c r="D932" s="207" t="s">
        <v>3779</v>
      </c>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row>
    <row r="933" spans="1:37">
      <c r="A933" s="78"/>
      <c r="B933" s="216"/>
      <c r="C933" s="78"/>
      <c r="D933" s="207" t="s">
        <v>3780</v>
      </c>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row>
    <row r="934" spans="1:37">
      <c r="A934" s="78"/>
      <c r="B934" s="216"/>
      <c r="C934" s="78"/>
      <c r="D934" s="207" t="s">
        <v>3781</v>
      </c>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row>
    <row r="935" spans="1:37">
      <c r="A935" s="78"/>
      <c r="B935" s="216"/>
      <c r="C935" s="78"/>
      <c r="D935" s="207" t="s">
        <v>982</v>
      </c>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row>
    <row r="936" spans="1:37">
      <c r="A936" s="78"/>
      <c r="B936" s="216"/>
      <c r="C936" s="78"/>
      <c r="D936" s="207" t="s">
        <v>3782</v>
      </c>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row>
    <row r="937" spans="1:37">
      <c r="A937" s="78"/>
      <c r="B937" s="216"/>
      <c r="C937" s="78"/>
      <c r="D937" s="207" t="s">
        <v>3783</v>
      </c>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row>
    <row r="938" spans="1:37">
      <c r="A938" s="78"/>
      <c r="B938" s="216"/>
      <c r="C938" s="78"/>
      <c r="D938" s="207" t="s">
        <v>3784</v>
      </c>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row>
    <row r="939" spans="1:37">
      <c r="A939" s="78"/>
      <c r="B939" s="216"/>
      <c r="C939" s="78"/>
      <c r="D939" s="207" t="s">
        <v>2674</v>
      </c>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row>
    <row r="940" spans="1:37">
      <c r="A940" s="78"/>
      <c r="B940" s="216"/>
      <c r="C940" s="78"/>
      <c r="D940" s="207" t="s">
        <v>3785</v>
      </c>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row>
    <row r="941" spans="1:37">
      <c r="A941" s="78"/>
      <c r="B941" s="216"/>
      <c r="C941" s="78"/>
      <c r="D941" s="207" t="s">
        <v>2635</v>
      </c>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row>
    <row r="942" spans="1:37">
      <c r="A942" s="78"/>
      <c r="B942" s="216"/>
      <c r="C942" s="78"/>
      <c r="D942" s="207" t="s">
        <v>3528</v>
      </c>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row>
    <row r="943" spans="1:37">
      <c r="A943" s="78"/>
      <c r="B943" s="216"/>
      <c r="C943" s="78"/>
      <c r="D943" s="207" t="s">
        <v>2641</v>
      </c>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row>
    <row r="944" spans="1:37">
      <c r="A944" s="78"/>
      <c r="B944" s="216"/>
      <c r="C944" s="78"/>
      <c r="D944" s="207" t="s">
        <v>3786</v>
      </c>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row>
    <row r="945" spans="1:37">
      <c r="A945" s="78"/>
      <c r="B945" s="216"/>
      <c r="C945" s="78"/>
      <c r="D945" s="207" t="s">
        <v>3787</v>
      </c>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row>
    <row r="946" spans="1:37">
      <c r="A946" s="78"/>
      <c r="B946" s="216"/>
      <c r="C946" s="78"/>
      <c r="D946" s="211" t="s">
        <v>3788</v>
      </c>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row>
    <row r="947" spans="1:37">
      <c r="A947" s="78"/>
      <c r="B947" s="216"/>
      <c r="C947" s="78"/>
      <c r="D947" s="211" t="s">
        <v>3789</v>
      </c>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row>
    <row r="948" spans="1:37">
      <c r="A948" s="78"/>
      <c r="B948" s="216"/>
      <c r="C948" s="78"/>
      <c r="D948" s="211" t="s">
        <v>3742</v>
      </c>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row>
    <row r="949" spans="1:37">
      <c r="A949" s="78"/>
      <c r="B949" s="216"/>
      <c r="C949" s="78"/>
      <c r="D949" s="211" t="s">
        <v>3790</v>
      </c>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row>
    <row r="950" spans="1:37">
      <c r="A950" s="78"/>
      <c r="B950" s="216"/>
      <c r="C950" s="78"/>
      <c r="D950" s="207" t="s">
        <v>3791</v>
      </c>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row>
    <row r="951" spans="1:37">
      <c r="A951" s="78"/>
      <c r="B951" s="216"/>
      <c r="C951" s="78"/>
      <c r="D951" s="207" t="s">
        <v>3792</v>
      </c>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row>
    <row r="952" spans="1:37">
      <c r="A952" s="78"/>
      <c r="B952" s="216"/>
      <c r="C952" s="78"/>
      <c r="D952" s="207" t="s">
        <v>2642</v>
      </c>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row>
    <row r="953" spans="1:37">
      <c r="A953" s="78"/>
      <c r="B953" s="216"/>
      <c r="C953" s="78"/>
      <c r="D953" s="207" t="s">
        <v>3793</v>
      </c>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row>
    <row r="954" spans="1:37">
      <c r="A954" s="78"/>
      <c r="B954" s="216"/>
      <c r="C954" s="78"/>
      <c r="D954" s="207" t="s">
        <v>2643</v>
      </c>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row>
    <row r="955" spans="1:37">
      <c r="A955" s="78"/>
      <c r="B955" s="216"/>
      <c r="C955" s="78"/>
      <c r="D955" s="207" t="s">
        <v>3794</v>
      </c>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row>
    <row r="956" spans="1:37">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row>
    <row r="957" spans="1:37">
      <c r="A957" s="78"/>
      <c r="B957" s="235" t="s">
        <v>513</v>
      </c>
      <c r="C957" s="78"/>
      <c r="D957" s="207" t="s">
        <v>3795</v>
      </c>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row>
    <row r="958" spans="1:37">
      <c r="A958" s="78"/>
      <c r="B958" s="216"/>
      <c r="C958" s="78"/>
      <c r="D958" s="207" t="s">
        <v>3796</v>
      </c>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row>
    <row r="959" spans="1:37">
      <c r="A959" s="78"/>
      <c r="B959" s="216"/>
      <c r="C959" s="78"/>
      <c r="D959" s="207" t="s">
        <v>3797</v>
      </c>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row>
    <row r="960" spans="1:37">
      <c r="A960" s="78"/>
      <c r="B960" s="216"/>
      <c r="C960" s="78"/>
      <c r="D960" s="207" t="s">
        <v>3798</v>
      </c>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row>
    <row r="961" spans="1:37">
      <c r="A961" s="78"/>
      <c r="B961" s="216"/>
      <c r="C961" s="78"/>
      <c r="D961" s="207" t="s">
        <v>3799</v>
      </c>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row>
    <row r="962" spans="1:37">
      <c r="A962" s="78"/>
      <c r="B962" s="216"/>
      <c r="C962" s="78"/>
      <c r="D962" s="207" t="s">
        <v>3800</v>
      </c>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row>
    <row r="963" spans="1:37">
      <c r="A963" s="78"/>
      <c r="B963" s="216"/>
      <c r="C963" s="78"/>
      <c r="D963" s="207" t="s">
        <v>3801</v>
      </c>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row>
    <row r="964" spans="1:37">
      <c r="A964" s="78"/>
      <c r="B964" s="216"/>
      <c r="C964" s="78"/>
      <c r="D964" s="207" t="s">
        <v>3802</v>
      </c>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row>
    <row r="965" spans="1:37">
      <c r="A965" s="78"/>
      <c r="B965" s="216"/>
      <c r="C965" s="78"/>
      <c r="D965" s="207" t="s">
        <v>3803</v>
      </c>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row>
    <row r="966" spans="1:37">
      <c r="A966" s="78"/>
      <c r="B966" s="216"/>
      <c r="C966" s="78"/>
      <c r="D966" s="207" t="s">
        <v>3804</v>
      </c>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row>
    <row r="967" spans="1:37">
      <c r="A967" s="78"/>
      <c r="B967" s="216"/>
      <c r="C967" s="78"/>
      <c r="D967" s="207" t="s">
        <v>3805</v>
      </c>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row>
    <row r="968" spans="1:37">
      <c r="A968" s="78"/>
      <c r="B968" s="216"/>
      <c r="C968" s="78"/>
      <c r="D968" s="212" t="s">
        <v>3806</v>
      </c>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row>
    <row r="969" spans="1:37">
      <c r="A969" s="78"/>
      <c r="B969" s="216"/>
      <c r="C969" s="78"/>
      <c r="D969" s="212" t="s">
        <v>3807</v>
      </c>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row>
    <row r="970" spans="1:37">
      <c r="A970" s="78"/>
      <c r="B970" s="216"/>
      <c r="C970" s="78"/>
      <c r="D970" s="212" t="s">
        <v>3808</v>
      </c>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row>
    <row r="971" spans="1:37">
      <c r="A971" s="78"/>
      <c r="B971" s="216"/>
      <c r="C971" s="78"/>
      <c r="D971" s="212" t="s">
        <v>3809</v>
      </c>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row>
    <row r="972" spans="1:37">
      <c r="A972" s="78"/>
      <c r="B972" s="216"/>
      <c r="C972" s="78"/>
      <c r="D972" s="212" t="s">
        <v>3810</v>
      </c>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row>
    <row r="973" spans="1:37">
      <c r="A973" s="78"/>
      <c r="B973" s="216"/>
      <c r="C973" s="78"/>
      <c r="D973" s="212" t="s">
        <v>3811</v>
      </c>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row>
    <row r="974" spans="1:37">
      <c r="A974" s="78"/>
      <c r="B974" s="216"/>
      <c r="C974" s="78"/>
      <c r="D974" s="212" t="s">
        <v>3812</v>
      </c>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row>
    <row r="975" spans="1:37">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row>
    <row r="976" spans="1:37">
      <c r="A976" s="78"/>
      <c r="B976" s="235" t="s">
        <v>1055</v>
      </c>
      <c r="C976" s="78"/>
      <c r="D976" s="207" t="s">
        <v>3813</v>
      </c>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row>
    <row r="977" spans="1:37">
      <c r="A977" s="78"/>
      <c r="B977" s="216"/>
      <c r="C977" s="78"/>
      <c r="D977" s="207" t="s">
        <v>3814</v>
      </c>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row>
    <row r="978" spans="1:37">
      <c r="A978" s="78"/>
      <c r="B978" s="216"/>
      <c r="C978" s="78"/>
      <c r="D978" s="207" t="s">
        <v>3815</v>
      </c>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row>
    <row r="979" spans="1:37">
      <c r="A979" s="78"/>
      <c r="B979" s="216"/>
      <c r="C979" s="78"/>
      <c r="D979" s="207" t="s">
        <v>3816</v>
      </c>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row>
    <row r="980" spans="1:37">
      <c r="A980" s="78"/>
      <c r="B980" s="216"/>
      <c r="C980" s="78"/>
      <c r="D980" s="207" t="s">
        <v>3817</v>
      </c>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row>
    <row r="981" spans="1:37">
      <c r="A981" s="78"/>
      <c r="B981" s="216"/>
      <c r="C981" s="78"/>
      <c r="D981" s="207" t="s">
        <v>3818</v>
      </c>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row>
    <row r="982" spans="1:37">
      <c r="A982" s="78"/>
      <c r="B982" s="216"/>
      <c r="C982" s="78"/>
      <c r="D982" s="207" t="s">
        <v>3819</v>
      </c>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row>
    <row r="983" spans="1:37">
      <c r="A983" s="78"/>
      <c r="B983" s="216"/>
      <c r="C983" s="78"/>
      <c r="D983" s="207" t="s">
        <v>3820</v>
      </c>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row>
    <row r="984" spans="1:37">
      <c r="A984" s="78"/>
      <c r="B984" s="216"/>
      <c r="C984" s="78"/>
      <c r="D984" s="207" t="s">
        <v>3821</v>
      </c>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row>
    <row r="985" spans="1:37">
      <c r="A985" s="78"/>
      <c r="B985" s="216"/>
      <c r="C985" s="78"/>
      <c r="D985" s="207" t="s">
        <v>3822</v>
      </c>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row>
    <row r="986" spans="1:37">
      <c r="A986" s="78"/>
      <c r="B986" s="216"/>
      <c r="C986" s="78"/>
      <c r="D986" s="207" t="s">
        <v>3636</v>
      </c>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row>
    <row r="987" spans="1:37">
      <c r="A987" s="78"/>
      <c r="B987" s="216"/>
      <c r="C987" s="78"/>
      <c r="D987" s="207" t="s">
        <v>3823</v>
      </c>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row>
    <row r="988" spans="1:37">
      <c r="A988" s="78"/>
      <c r="B988" s="216"/>
      <c r="C988" s="78"/>
      <c r="D988" s="207" t="s">
        <v>3824</v>
      </c>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row>
    <row r="989" spans="1:37">
      <c r="A989" s="78"/>
      <c r="B989" s="216"/>
      <c r="C989" s="78"/>
      <c r="D989" s="207" t="s">
        <v>3825</v>
      </c>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c r="AF989" s="78"/>
      <c r="AG989" s="78"/>
      <c r="AH989" s="78"/>
      <c r="AI989" s="78"/>
      <c r="AJ989" s="78"/>
      <c r="AK989" s="78"/>
    </row>
    <row r="990" spans="1:37">
      <c r="A990" s="78"/>
      <c r="B990" s="216"/>
      <c r="C990" s="78"/>
      <c r="D990" s="207" t="s">
        <v>3826</v>
      </c>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row>
    <row r="991" spans="1:37">
      <c r="A991" s="78"/>
      <c r="B991" s="216"/>
      <c r="C991" s="78"/>
      <c r="D991" s="207" t="s">
        <v>2631</v>
      </c>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c r="AF991" s="78"/>
      <c r="AG991" s="78"/>
      <c r="AH991" s="78"/>
      <c r="AI991" s="78"/>
      <c r="AJ991" s="78"/>
      <c r="AK991" s="78"/>
    </row>
    <row r="992" spans="1:37">
      <c r="A992" s="78"/>
      <c r="B992" s="216"/>
      <c r="C992" s="78"/>
      <c r="D992" s="207" t="s">
        <v>3827</v>
      </c>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c r="AF992" s="78"/>
      <c r="AG992" s="78"/>
      <c r="AH992" s="78"/>
      <c r="AI992" s="78"/>
      <c r="AJ992" s="78"/>
      <c r="AK992" s="78"/>
    </row>
    <row r="993" spans="1:37">
      <c r="A993" s="78"/>
      <c r="B993" s="216"/>
      <c r="C993" s="78"/>
      <c r="D993" s="207" t="s">
        <v>2630</v>
      </c>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c r="AF993" s="78"/>
      <c r="AG993" s="78"/>
      <c r="AH993" s="78"/>
      <c r="AI993" s="78"/>
      <c r="AJ993" s="78"/>
      <c r="AK993" s="78"/>
    </row>
    <row r="994" spans="1:37">
      <c r="A994" s="78"/>
      <c r="B994" s="216"/>
      <c r="C994" s="78"/>
      <c r="D994" s="207" t="s">
        <v>3828</v>
      </c>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row>
    <row r="995" spans="1:37">
      <c r="A995" s="78"/>
      <c r="B995" s="216"/>
      <c r="C995" s="78"/>
      <c r="D995" s="207" t="s">
        <v>3829</v>
      </c>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c r="AF995" s="78"/>
      <c r="AG995" s="78"/>
      <c r="AH995" s="78"/>
      <c r="AI995" s="78"/>
      <c r="AJ995" s="78"/>
      <c r="AK995" s="78"/>
    </row>
    <row r="996" spans="1:37">
      <c r="A996" s="78"/>
      <c r="B996" s="216"/>
      <c r="C996" s="78"/>
      <c r="D996" s="207" t="s">
        <v>1056</v>
      </c>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c r="AF996" s="78"/>
      <c r="AG996" s="78"/>
      <c r="AH996" s="78"/>
      <c r="AI996" s="78"/>
      <c r="AJ996" s="78"/>
      <c r="AK996" s="78"/>
    </row>
    <row r="997" spans="1:37">
      <c r="A997" s="78"/>
      <c r="B997" s="216"/>
      <c r="C997" s="78"/>
      <c r="D997" s="207" t="s">
        <v>3613</v>
      </c>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78"/>
      <c r="AJ997" s="78"/>
      <c r="AK997" s="78"/>
    </row>
    <row r="998" spans="1:37">
      <c r="A998" s="78"/>
      <c r="B998" s="216"/>
      <c r="C998" s="78"/>
      <c r="D998" s="207" t="s">
        <v>2712</v>
      </c>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c r="AF998" s="78"/>
      <c r="AG998" s="78"/>
      <c r="AH998" s="78"/>
      <c r="AI998" s="78"/>
      <c r="AJ998" s="78"/>
      <c r="AK998" s="78"/>
    </row>
    <row r="999" spans="1:37">
      <c r="A999" s="78"/>
      <c r="B999" s="216"/>
      <c r="C999" s="78"/>
      <c r="D999" s="207" t="s">
        <v>3830</v>
      </c>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c r="AF999" s="78"/>
      <c r="AG999" s="78"/>
      <c r="AH999" s="78"/>
      <c r="AI999" s="78"/>
      <c r="AJ999" s="78"/>
      <c r="AK999" s="78"/>
    </row>
    <row r="1000" spans="1:37">
      <c r="A1000" s="78"/>
      <c r="B1000" s="216"/>
      <c r="C1000" s="78"/>
      <c r="D1000" s="207" t="s">
        <v>2628</v>
      </c>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row>
    <row r="1001" spans="1:37">
      <c r="A1001" s="78"/>
      <c r="B1001" s="216"/>
      <c r="C1001" s="78"/>
      <c r="D1001" s="207" t="s">
        <v>3831</v>
      </c>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c r="AA1001" s="78"/>
      <c r="AB1001" s="78"/>
      <c r="AC1001" s="78"/>
      <c r="AD1001" s="78"/>
      <c r="AE1001" s="78"/>
      <c r="AF1001" s="78"/>
      <c r="AG1001" s="78"/>
      <c r="AH1001" s="78"/>
      <c r="AI1001" s="78"/>
      <c r="AJ1001" s="78"/>
      <c r="AK1001" s="78"/>
    </row>
    <row r="1002" spans="1:37">
      <c r="A1002" s="78"/>
      <c r="B1002" s="216"/>
      <c r="C1002" s="78"/>
      <c r="D1002" s="213" t="s">
        <v>3832</v>
      </c>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c r="AA1002" s="78"/>
      <c r="AB1002" s="78"/>
      <c r="AC1002" s="78"/>
      <c r="AD1002" s="78"/>
      <c r="AE1002" s="78"/>
      <c r="AF1002" s="78"/>
      <c r="AG1002" s="78"/>
      <c r="AH1002" s="78"/>
      <c r="AI1002" s="78"/>
      <c r="AJ1002" s="78"/>
      <c r="AK1002" s="78"/>
    </row>
    <row r="1003" spans="1:37">
      <c r="A1003" s="78"/>
      <c r="B1003" s="216"/>
      <c r="C1003" s="78"/>
      <c r="D1003" s="213" t="s">
        <v>3833</v>
      </c>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c r="AA1003" s="78"/>
      <c r="AB1003" s="78"/>
      <c r="AC1003" s="78"/>
      <c r="AD1003" s="78"/>
      <c r="AE1003" s="78"/>
      <c r="AF1003" s="78"/>
      <c r="AG1003" s="78"/>
      <c r="AH1003" s="78"/>
      <c r="AI1003" s="78"/>
      <c r="AJ1003" s="78"/>
      <c r="AK1003" s="78"/>
    </row>
    <row r="1004" spans="1:37">
      <c r="A1004" s="78"/>
      <c r="B1004" s="216"/>
      <c r="C1004" s="78"/>
      <c r="D1004" s="213" t="s">
        <v>3834</v>
      </c>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c r="AA1004" s="78"/>
      <c r="AB1004" s="78"/>
      <c r="AC1004" s="78"/>
      <c r="AD1004" s="78"/>
      <c r="AE1004" s="78"/>
      <c r="AF1004" s="78"/>
      <c r="AG1004" s="78"/>
      <c r="AH1004" s="78"/>
      <c r="AI1004" s="78"/>
      <c r="AJ1004" s="78"/>
      <c r="AK1004" s="78"/>
    </row>
    <row r="1005" spans="1:37">
      <c r="A1005" s="78"/>
      <c r="B1005" s="216"/>
      <c r="C1005" s="78"/>
      <c r="D1005" s="213" t="s">
        <v>3835</v>
      </c>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c r="AA1005" s="78"/>
      <c r="AB1005" s="78"/>
      <c r="AC1005" s="78"/>
      <c r="AD1005" s="78"/>
      <c r="AE1005" s="78"/>
      <c r="AF1005" s="78"/>
      <c r="AG1005" s="78"/>
      <c r="AH1005" s="78"/>
      <c r="AI1005" s="78"/>
      <c r="AJ1005" s="78"/>
      <c r="AK1005" s="78"/>
    </row>
    <row r="1006" spans="1:37">
      <c r="A1006" s="78"/>
      <c r="B1006" s="216"/>
      <c r="C1006" s="78"/>
      <c r="D1006" s="213" t="s">
        <v>3836</v>
      </c>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c r="AA1006" s="78"/>
      <c r="AB1006" s="78"/>
      <c r="AC1006" s="78"/>
      <c r="AD1006" s="78"/>
      <c r="AE1006" s="78"/>
      <c r="AF1006" s="78"/>
      <c r="AG1006" s="78"/>
      <c r="AH1006" s="78"/>
      <c r="AI1006" s="78"/>
      <c r="AJ1006" s="78"/>
      <c r="AK1006" s="78"/>
    </row>
    <row r="1007" spans="1:37">
      <c r="A1007" s="78"/>
      <c r="B1007" s="216"/>
      <c r="C1007" s="78"/>
      <c r="D1007" s="207" t="s">
        <v>3837</v>
      </c>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c r="AA1007" s="78"/>
      <c r="AB1007" s="78"/>
      <c r="AC1007" s="78"/>
      <c r="AD1007" s="78"/>
      <c r="AE1007" s="78"/>
      <c r="AF1007" s="78"/>
      <c r="AG1007" s="78"/>
      <c r="AH1007" s="78"/>
      <c r="AI1007" s="78"/>
      <c r="AJ1007" s="78"/>
      <c r="AK1007" s="78"/>
    </row>
    <row r="1008" spans="1:37">
      <c r="A1008" s="78"/>
      <c r="B1008" s="78"/>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c r="AA1008" s="78"/>
      <c r="AB1008" s="78"/>
      <c r="AC1008" s="78"/>
      <c r="AD1008" s="78"/>
      <c r="AE1008" s="78"/>
      <c r="AF1008" s="78"/>
      <c r="AG1008" s="78"/>
      <c r="AH1008" s="78"/>
      <c r="AI1008" s="78"/>
      <c r="AJ1008" s="78"/>
      <c r="AK1008" s="78"/>
    </row>
    <row r="1009" spans="1:37">
      <c r="A1009" s="78"/>
      <c r="B1009" s="235" t="s">
        <v>712</v>
      </c>
      <c r="C1009" s="78"/>
      <c r="D1009" s="207" t="s">
        <v>3838</v>
      </c>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c r="AA1009" s="78"/>
      <c r="AB1009" s="78"/>
      <c r="AC1009" s="78"/>
      <c r="AD1009" s="78"/>
      <c r="AE1009" s="78"/>
      <c r="AF1009" s="78"/>
      <c r="AG1009" s="78"/>
      <c r="AH1009" s="78"/>
      <c r="AI1009" s="78"/>
      <c r="AJ1009" s="78"/>
      <c r="AK1009" s="78"/>
    </row>
    <row r="1010" spans="1:37">
      <c r="A1010" s="78"/>
      <c r="B1010" s="216"/>
      <c r="C1010" s="78"/>
      <c r="D1010" s="207" t="s">
        <v>2648</v>
      </c>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c r="AA1010" s="78"/>
      <c r="AB1010" s="78"/>
      <c r="AC1010" s="78"/>
      <c r="AD1010" s="78"/>
      <c r="AE1010" s="78"/>
      <c r="AF1010" s="78"/>
      <c r="AG1010" s="78"/>
      <c r="AH1010" s="78"/>
      <c r="AI1010" s="78"/>
      <c r="AJ1010" s="78"/>
      <c r="AK1010" s="78"/>
    </row>
    <row r="1011" spans="1:37">
      <c r="A1011" s="78"/>
      <c r="B1011" s="216"/>
      <c r="C1011" s="78"/>
      <c r="D1011" s="207" t="s">
        <v>3839</v>
      </c>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c r="AA1011" s="78"/>
      <c r="AB1011" s="78"/>
      <c r="AC1011" s="78"/>
      <c r="AD1011" s="78"/>
      <c r="AE1011" s="78"/>
      <c r="AF1011" s="78"/>
      <c r="AG1011" s="78"/>
      <c r="AH1011" s="78"/>
      <c r="AI1011" s="78"/>
      <c r="AJ1011" s="78"/>
      <c r="AK1011" s="78"/>
    </row>
    <row r="1012" spans="1:37">
      <c r="A1012" s="78"/>
      <c r="B1012" s="216"/>
      <c r="C1012" s="78"/>
      <c r="D1012" s="207" t="s">
        <v>3840</v>
      </c>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c r="AA1012" s="78"/>
      <c r="AB1012" s="78"/>
      <c r="AC1012" s="78"/>
      <c r="AD1012" s="78"/>
      <c r="AE1012" s="78"/>
      <c r="AF1012" s="78"/>
      <c r="AG1012" s="78"/>
      <c r="AH1012" s="78"/>
      <c r="AI1012" s="78"/>
      <c r="AJ1012" s="78"/>
      <c r="AK1012" s="78"/>
    </row>
    <row r="1013" spans="1:37">
      <c r="A1013" s="78"/>
      <c r="B1013" s="216"/>
      <c r="C1013" s="78"/>
      <c r="D1013" s="207" t="s">
        <v>3841</v>
      </c>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c r="AA1013" s="78"/>
      <c r="AB1013" s="78"/>
      <c r="AC1013" s="78"/>
      <c r="AD1013" s="78"/>
      <c r="AE1013" s="78"/>
      <c r="AF1013" s="78"/>
      <c r="AG1013" s="78"/>
      <c r="AH1013" s="78"/>
      <c r="AI1013" s="78"/>
      <c r="AJ1013" s="78"/>
      <c r="AK1013" s="78"/>
    </row>
    <row r="1014" spans="1:37">
      <c r="A1014" s="78"/>
      <c r="B1014" s="216"/>
      <c r="C1014" s="78"/>
      <c r="D1014" s="207" t="s">
        <v>3842</v>
      </c>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c r="AA1014" s="78"/>
      <c r="AB1014" s="78"/>
      <c r="AC1014" s="78"/>
      <c r="AD1014" s="78"/>
      <c r="AE1014" s="78"/>
      <c r="AF1014" s="78"/>
      <c r="AG1014" s="78"/>
      <c r="AH1014" s="78"/>
      <c r="AI1014" s="78"/>
      <c r="AJ1014" s="78"/>
      <c r="AK1014" s="78"/>
    </row>
    <row r="1015" spans="1:37">
      <c r="A1015" s="78"/>
      <c r="B1015" s="216"/>
      <c r="C1015" s="78"/>
      <c r="D1015" s="207" t="s">
        <v>3843</v>
      </c>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c r="AA1015" s="78"/>
      <c r="AB1015" s="78"/>
      <c r="AC1015" s="78"/>
      <c r="AD1015" s="78"/>
      <c r="AE1015" s="78"/>
      <c r="AF1015" s="78"/>
      <c r="AG1015" s="78"/>
      <c r="AH1015" s="78"/>
      <c r="AI1015" s="78"/>
      <c r="AJ1015" s="78"/>
      <c r="AK1015" s="78"/>
    </row>
    <row r="1016" spans="1:37">
      <c r="A1016" s="78"/>
      <c r="B1016" s="216"/>
      <c r="C1016" s="78"/>
      <c r="D1016" s="207" t="s">
        <v>3844</v>
      </c>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c r="AA1016" s="78"/>
      <c r="AB1016" s="78"/>
      <c r="AC1016" s="78"/>
      <c r="AD1016" s="78"/>
      <c r="AE1016" s="78"/>
      <c r="AF1016" s="78"/>
      <c r="AG1016" s="78"/>
      <c r="AH1016" s="78"/>
      <c r="AI1016" s="78"/>
      <c r="AJ1016" s="78"/>
      <c r="AK1016" s="78"/>
    </row>
    <row r="1017" spans="1:37">
      <c r="A1017" s="78"/>
      <c r="B1017" s="216"/>
      <c r="C1017" s="78"/>
      <c r="D1017" s="207" t="s">
        <v>3845</v>
      </c>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c r="AA1017" s="78"/>
      <c r="AB1017" s="78"/>
      <c r="AC1017" s="78"/>
      <c r="AD1017" s="78"/>
      <c r="AE1017" s="78"/>
      <c r="AF1017" s="78"/>
      <c r="AG1017" s="78"/>
      <c r="AH1017" s="78"/>
      <c r="AI1017" s="78"/>
      <c r="AJ1017" s="78"/>
      <c r="AK1017" s="78"/>
    </row>
    <row r="1018" spans="1:37">
      <c r="A1018" s="78"/>
      <c r="B1018" s="216"/>
      <c r="C1018" s="78"/>
      <c r="D1018" s="207" t="s">
        <v>3846</v>
      </c>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c r="AA1018" s="78"/>
      <c r="AB1018" s="78"/>
      <c r="AC1018" s="78"/>
      <c r="AD1018" s="78"/>
      <c r="AE1018" s="78"/>
      <c r="AF1018" s="78"/>
      <c r="AG1018" s="78"/>
      <c r="AH1018" s="78"/>
      <c r="AI1018" s="78"/>
      <c r="AJ1018" s="78"/>
      <c r="AK1018" s="78"/>
    </row>
    <row r="1019" spans="1:37">
      <c r="A1019" s="78"/>
      <c r="B1019" s="216"/>
      <c r="C1019" s="78"/>
      <c r="D1019" s="207" t="s">
        <v>3847</v>
      </c>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c r="AA1019" s="78"/>
      <c r="AB1019" s="78"/>
      <c r="AC1019" s="78"/>
      <c r="AD1019" s="78"/>
      <c r="AE1019" s="78"/>
      <c r="AF1019" s="78"/>
      <c r="AG1019" s="78"/>
      <c r="AH1019" s="78"/>
      <c r="AI1019" s="78"/>
      <c r="AJ1019" s="78"/>
      <c r="AK1019" s="78"/>
    </row>
    <row r="1020" spans="1:37">
      <c r="A1020" s="78"/>
      <c r="B1020" s="216"/>
      <c r="C1020" s="78"/>
      <c r="D1020" s="207" t="s">
        <v>3848</v>
      </c>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c r="AA1020" s="78"/>
      <c r="AB1020" s="78"/>
      <c r="AC1020" s="78"/>
      <c r="AD1020" s="78"/>
      <c r="AE1020" s="78"/>
      <c r="AF1020" s="78"/>
      <c r="AG1020" s="78"/>
      <c r="AH1020" s="78"/>
      <c r="AI1020" s="78"/>
      <c r="AJ1020" s="78"/>
      <c r="AK1020" s="78"/>
    </row>
    <row r="1021" spans="1:37">
      <c r="A1021" s="78"/>
      <c r="B1021" s="216"/>
      <c r="C1021" s="78"/>
      <c r="D1021" s="207" t="s">
        <v>3849</v>
      </c>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c r="AA1021" s="78"/>
      <c r="AB1021" s="78"/>
      <c r="AC1021" s="78"/>
      <c r="AD1021" s="78"/>
      <c r="AE1021" s="78"/>
      <c r="AF1021" s="78"/>
      <c r="AG1021" s="78"/>
      <c r="AH1021" s="78"/>
      <c r="AI1021" s="78"/>
      <c r="AJ1021" s="78"/>
      <c r="AK1021" s="78"/>
    </row>
    <row r="1022" spans="1:37">
      <c r="A1022" s="78"/>
      <c r="B1022" s="216"/>
      <c r="C1022" s="78"/>
      <c r="D1022" s="207" t="s">
        <v>3850</v>
      </c>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c r="AA1022" s="78"/>
      <c r="AB1022" s="78"/>
      <c r="AC1022" s="78"/>
      <c r="AD1022" s="78"/>
      <c r="AE1022" s="78"/>
      <c r="AF1022" s="78"/>
      <c r="AG1022" s="78"/>
      <c r="AH1022" s="78"/>
      <c r="AI1022" s="78"/>
      <c r="AJ1022" s="78"/>
      <c r="AK1022" s="78"/>
    </row>
    <row r="1023" spans="1:37">
      <c r="A1023" s="78"/>
      <c r="B1023" s="216"/>
      <c r="C1023" s="78"/>
      <c r="D1023" s="207" t="s">
        <v>3851</v>
      </c>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c r="AA1023" s="78"/>
      <c r="AB1023" s="78"/>
      <c r="AC1023" s="78"/>
      <c r="AD1023" s="78"/>
      <c r="AE1023" s="78"/>
      <c r="AF1023" s="78"/>
      <c r="AG1023" s="78"/>
      <c r="AH1023" s="78"/>
      <c r="AI1023" s="78"/>
      <c r="AJ1023" s="78"/>
      <c r="AK1023" s="78"/>
    </row>
    <row r="1024" spans="1:37">
      <c r="A1024" s="78"/>
      <c r="B1024" s="216"/>
      <c r="C1024" s="78"/>
      <c r="D1024" s="207" t="s">
        <v>3852</v>
      </c>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c r="AA1024" s="78"/>
      <c r="AB1024" s="78"/>
      <c r="AC1024" s="78"/>
      <c r="AD1024" s="78"/>
      <c r="AE1024" s="78"/>
      <c r="AF1024" s="78"/>
      <c r="AG1024" s="78"/>
      <c r="AH1024" s="78"/>
      <c r="AI1024" s="78"/>
      <c r="AJ1024" s="78"/>
      <c r="AK1024" s="78"/>
    </row>
    <row r="1025" spans="1:37">
      <c r="A1025" s="78"/>
      <c r="B1025" s="216"/>
      <c r="C1025" s="78"/>
      <c r="D1025" s="207" t="s">
        <v>3853</v>
      </c>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c r="AA1025" s="78"/>
      <c r="AB1025" s="78"/>
      <c r="AC1025" s="78"/>
      <c r="AD1025" s="78"/>
      <c r="AE1025" s="78"/>
      <c r="AF1025" s="78"/>
      <c r="AG1025" s="78"/>
      <c r="AH1025" s="78"/>
      <c r="AI1025" s="78"/>
      <c r="AJ1025" s="78"/>
      <c r="AK1025" s="78"/>
    </row>
    <row r="1026" spans="1:37">
      <c r="A1026" s="78"/>
      <c r="B1026" s="216"/>
      <c r="C1026" s="78"/>
      <c r="D1026" s="207" t="s">
        <v>3854</v>
      </c>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c r="AA1026" s="78"/>
      <c r="AB1026" s="78"/>
      <c r="AC1026" s="78"/>
      <c r="AD1026" s="78"/>
      <c r="AE1026" s="78"/>
      <c r="AF1026" s="78"/>
      <c r="AG1026" s="78"/>
      <c r="AH1026" s="78"/>
      <c r="AI1026" s="78"/>
      <c r="AJ1026" s="78"/>
      <c r="AK1026" s="78"/>
    </row>
    <row r="1027" spans="1:37">
      <c r="A1027" s="78"/>
      <c r="B1027" s="216"/>
      <c r="C1027" s="78"/>
      <c r="D1027" s="207" t="s">
        <v>3855</v>
      </c>
      <c r="E1027" s="78"/>
      <c r="F1027" s="78"/>
      <c r="G1027" s="78"/>
      <c r="H1027" s="78"/>
      <c r="I1027" s="78"/>
      <c r="J1027" s="78"/>
      <c r="K1027" s="78"/>
      <c r="L1027" s="78"/>
      <c r="M1027" s="78"/>
      <c r="N1027" s="78"/>
      <c r="O1027" s="78"/>
      <c r="P1027" s="78"/>
      <c r="Q1027" s="78"/>
      <c r="R1027" s="78"/>
      <c r="S1027" s="78"/>
      <c r="T1027" s="78"/>
      <c r="U1027" s="78"/>
      <c r="V1027" s="78"/>
      <c r="W1027" s="78"/>
      <c r="X1027" s="78"/>
      <c r="Y1027" s="78"/>
      <c r="Z1027" s="78"/>
      <c r="AA1027" s="78"/>
      <c r="AB1027" s="78"/>
      <c r="AC1027" s="78"/>
      <c r="AD1027" s="78"/>
      <c r="AE1027" s="78"/>
      <c r="AF1027" s="78"/>
      <c r="AG1027" s="78"/>
      <c r="AH1027" s="78"/>
      <c r="AI1027" s="78"/>
      <c r="AJ1027" s="78"/>
      <c r="AK1027" s="78"/>
    </row>
    <row r="1028" spans="1:37">
      <c r="A1028" s="78"/>
      <c r="B1028" s="216"/>
      <c r="C1028" s="78"/>
      <c r="D1028" s="207" t="s">
        <v>3856</v>
      </c>
      <c r="E1028" s="78"/>
      <c r="F1028" s="78"/>
      <c r="G1028" s="78"/>
      <c r="H1028" s="78"/>
      <c r="I1028" s="78"/>
      <c r="J1028" s="78"/>
      <c r="K1028" s="78"/>
      <c r="L1028" s="78"/>
      <c r="M1028" s="78"/>
      <c r="N1028" s="78"/>
      <c r="O1028" s="78"/>
      <c r="P1028" s="78"/>
      <c r="Q1028" s="78"/>
      <c r="R1028" s="78"/>
      <c r="S1028" s="78"/>
      <c r="T1028" s="78"/>
      <c r="U1028" s="78"/>
      <c r="V1028" s="78"/>
      <c r="W1028" s="78"/>
      <c r="X1028" s="78"/>
      <c r="Y1028" s="78"/>
      <c r="Z1028" s="78"/>
      <c r="AA1028" s="78"/>
      <c r="AB1028" s="78"/>
      <c r="AC1028" s="78"/>
      <c r="AD1028" s="78"/>
      <c r="AE1028" s="78"/>
      <c r="AF1028" s="78"/>
      <c r="AG1028" s="78"/>
      <c r="AH1028" s="78"/>
      <c r="AI1028" s="78"/>
      <c r="AJ1028" s="78"/>
      <c r="AK1028" s="78"/>
    </row>
    <row r="1029" spans="1:37">
      <c r="A1029" s="78"/>
      <c r="B1029" s="216"/>
      <c r="C1029" s="78"/>
      <c r="D1029" s="207" t="s">
        <v>3857</v>
      </c>
      <c r="E1029" s="78"/>
      <c r="F1029" s="78"/>
      <c r="G1029" s="78"/>
      <c r="H1029" s="78"/>
      <c r="I1029" s="78"/>
      <c r="J1029" s="78"/>
      <c r="K1029" s="78"/>
      <c r="L1029" s="78"/>
      <c r="M1029" s="78"/>
      <c r="N1029" s="78"/>
      <c r="O1029" s="78"/>
      <c r="P1029" s="78"/>
      <c r="Q1029" s="78"/>
      <c r="R1029" s="78"/>
      <c r="S1029" s="78"/>
      <c r="T1029" s="78"/>
      <c r="U1029" s="78"/>
      <c r="V1029" s="78"/>
      <c r="W1029" s="78"/>
      <c r="X1029" s="78"/>
      <c r="Y1029" s="78"/>
      <c r="Z1029" s="78"/>
      <c r="AA1029" s="78"/>
      <c r="AB1029" s="78"/>
      <c r="AC1029" s="78"/>
      <c r="AD1029" s="78"/>
      <c r="AE1029" s="78"/>
      <c r="AF1029" s="78"/>
      <c r="AG1029" s="78"/>
      <c r="AH1029" s="78"/>
      <c r="AI1029" s="78"/>
      <c r="AJ1029" s="78"/>
      <c r="AK1029" s="78"/>
    </row>
    <row r="1030" spans="1:37">
      <c r="A1030" s="78"/>
      <c r="B1030" s="216"/>
      <c r="C1030" s="78"/>
      <c r="D1030" s="207" t="s">
        <v>3858</v>
      </c>
      <c r="E1030" s="78"/>
      <c r="F1030" s="78"/>
      <c r="G1030" s="78"/>
      <c r="H1030" s="78"/>
      <c r="I1030" s="78"/>
      <c r="J1030" s="78"/>
      <c r="K1030" s="78"/>
      <c r="L1030" s="78"/>
      <c r="M1030" s="78"/>
      <c r="N1030" s="78"/>
      <c r="O1030" s="78"/>
      <c r="P1030" s="78"/>
      <c r="Q1030" s="78"/>
      <c r="R1030" s="78"/>
      <c r="S1030" s="78"/>
      <c r="T1030" s="78"/>
      <c r="U1030" s="78"/>
      <c r="V1030" s="78"/>
      <c r="W1030" s="78"/>
      <c r="X1030" s="78"/>
      <c r="Y1030" s="78"/>
      <c r="Z1030" s="78"/>
      <c r="AA1030" s="78"/>
      <c r="AB1030" s="78"/>
      <c r="AC1030" s="78"/>
      <c r="AD1030" s="78"/>
      <c r="AE1030" s="78"/>
      <c r="AF1030" s="78"/>
      <c r="AG1030" s="78"/>
      <c r="AH1030" s="78"/>
      <c r="AI1030" s="78"/>
      <c r="AJ1030" s="78"/>
      <c r="AK1030" s="78"/>
    </row>
    <row r="1031" spans="1:37">
      <c r="A1031" s="78"/>
      <c r="B1031" s="78"/>
      <c r="C1031" s="78"/>
      <c r="D1031" s="78"/>
      <c r="E1031" s="78"/>
      <c r="F1031" s="78"/>
      <c r="G1031" s="78"/>
      <c r="H1031" s="78"/>
      <c r="I1031" s="78"/>
      <c r="J1031" s="78"/>
      <c r="K1031" s="78"/>
      <c r="L1031" s="78"/>
      <c r="M1031" s="78"/>
      <c r="N1031" s="78"/>
      <c r="O1031" s="78"/>
      <c r="P1031" s="78"/>
      <c r="Q1031" s="78"/>
      <c r="R1031" s="78"/>
      <c r="S1031" s="78"/>
      <c r="T1031" s="78"/>
      <c r="U1031" s="78"/>
      <c r="V1031" s="78"/>
      <c r="W1031" s="78"/>
      <c r="X1031" s="78"/>
      <c r="Y1031" s="78"/>
      <c r="Z1031" s="78"/>
      <c r="AA1031" s="78"/>
      <c r="AB1031" s="78"/>
      <c r="AC1031" s="78"/>
      <c r="AD1031" s="78"/>
      <c r="AE1031" s="78"/>
      <c r="AF1031" s="78"/>
      <c r="AG1031" s="78"/>
      <c r="AH1031" s="78"/>
      <c r="AI1031" s="78"/>
      <c r="AJ1031" s="78"/>
      <c r="AK1031" s="78"/>
    </row>
    <row r="1032" spans="1:37">
      <c r="A1032" s="78"/>
      <c r="B1032" s="232" t="s">
        <v>1118</v>
      </c>
      <c r="C1032" s="78"/>
      <c r="D1032" s="207" t="s">
        <v>3859</v>
      </c>
      <c r="E1032" s="78"/>
      <c r="F1032" s="78"/>
      <c r="G1032" s="78"/>
      <c r="H1032" s="78"/>
      <c r="I1032" s="78"/>
      <c r="J1032" s="78"/>
      <c r="K1032" s="78"/>
      <c r="L1032" s="78"/>
      <c r="M1032" s="78"/>
      <c r="N1032" s="78"/>
      <c r="O1032" s="78"/>
      <c r="P1032" s="78"/>
      <c r="Q1032" s="78"/>
      <c r="R1032" s="78"/>
      <c r="S1032" s="78"/>
      <c r="T1032" s="78"/>
      <c r="U1032" s="78"/>
      <c r="V1032" s="78"/>
      <c r="W1032" s="78"/>
      <c r="X1032" s="78"/>
      <c r="Y1032" s="78"/>
      <c r="Z1032" s="78"/>
      <c r="AA1032" s="78"/>
      <c r="AB1032" s="78"/>
      <c r="AC1032" s="78"/>
      <c r="AD1032" s="78"/>
      <c r="AE1032" s="78"/>
      <c r="AF1032" s="78"/>
      <c r="AG1032" s="78"/>
      <c r="AH1032" s="78"/>
      <c r="AI1032" s="78"/>
      <c r="AJ1032" s="78"/>
      <c r="AK1032" s="78"/>
    </row>
    <row r="1033" spans="1:37">
      <c r="A1033" s="78"/>
      <c r="B1033" s="216"/>
      <c r="C1033" s="78"/>
      <c r="D1033" s="207" t="s">
        <v>3860</v>
      </c>
      <c r="E1033" s="78"/>
      <c r="F1033" s="78"/>
      <c r="G1033" s="78"/>
      <c r="H1033" s="78"/>
      <c r="I1033" s="78"/>
      <c r="J1033" s="78"/>
      <c r="K1033" s="78"/>
      <c r="L1033" s="78"/>
      <c r="M1033" s="78"/>
      <c r="N1033" s="78"/>
      <c r="O1033" s="78"/>
      <c r="P1033" s="78"/>
      <c r="Q1033" s="78"/>
      <c r="R1033" s="78"/>
      <c r="S1033" s="78"/>
      <c r="T1033" s="78"/>
      <c r="U1033" s="78"/>
      <c r="V1033" s="78"/>
      <c r="W1033" s="78"/>
      <c r="X1033" s="78"/>
      <c r="Y1033" s="78"/>
      <c r="Z1033" s="78"/>
      <c r="AA1033" s="78"/>
      <c r="AB1033" s="78"/>
      <c r="AC1033" s="78"/>
      <c r="AD1033" s="78"/>
      <c r="AE1033" s="78"/>
      <c r="AF1033" s="78"/>
      <c r="AG1033" s="78"/>
      <c r="AH1033" s="78"/>
      <c r="AI1033" s="78"/>
      <c r="AJ1033" s="78"/>
      <c r="AK1033" s="78"/>
    </row>
    <row r="1034" spans="1:37">
      <c r="A1034" s="78"/>
      <c r="B1034" s="216"/>
      <c r="C1034" s="78"/>
      <c r="D1034" s="207" t="s">
        <v>3861</v>
      </c>
      <c r="E1034" s="78"/>
      <c r="F1034" s="78"/>
      <c r="G1034" s="78"/>
      <c r="H1034" s="78"/>
      <c r="I1034" s="78"/>
      <c r="J1034" s="78"/>
      <c r="K1034" s="78"/>
      <c r="L1034" s="78"/>
      <c r="M1034" s="78"/>
      <c r="N1034" s="78"/>
      <c r="O1034" s="78"/>
      <c r="P1034" s="78"/>
      <c r="Q1034" s="78"/>
      <c r="R1034" s="78"/>
      <c r="S1034" s="78"/>
      <c r="T1034" s="78"/>
      <c r="U1034" s="78"/>
      <c r="V1034" s="78"/>
      <c r="W1034" s="78"/>
      <c r="X1034" s="78"/>
      <c r="Y1034" s="78"/>
      <c r="Z1034" s="78"/>
      <c r="AA1034" s="78"/>
      <c r="AB1034" s="78"/>
      <c r="AC1034" s="78"/>
      <c r="AD1034" s="78"/>
      <c r="AE1034" s="78"/>
      <c r="AF1034" s="78"/>
      <c r="AG1034" s="78"/>
      <c r="AH1034" s="78"/>
      <c r="AI1034" s="78"/>
      <c r="AJ1034" s="78"/>
      <c r="AK1034" s="78"/>
    </row>
    <row r="1035" spans="1:37">
      <c r="A1035" s="78"/>
      <c r="B1035" s="216"/>
      <c r="C1035" s="78"/>
      <c r="D1035" s="207" t="s">
        <v>3862</v>
      </c>
      <c r="E1035" s="78"/>
      <c r="F1035" s="78"/>
      <c r="G1035" s="78"/>
      <c r="H1035" s="78"/>
      <c r="I1035" s="78"/>
      <c r="J1035" s="78"/>
      <c r="K1035" s="78"/>
      <c r="L1035" s="78"/>
      <c r="M1035" s="78"/>
      <c r="N1035" s="78"/>
      <c r="O1035" s="78"/>
      <c r="P1035" s="78"/>
      <c r="Q1035" s="78"/>
      <c r="R1035" s="78"/>
      <c r="S1035" s="78"/>
      <c r="T1035" s="78"/>
      <c r="U1035" s="78"/>
      <c r="V1035" s="78"/>
      <c r="W1035" s="78"/>
      <c r="X1035" s="78"/>
      <c r="Y1035" s="78"/>
      <c r="Z1035" s="78"/>
      <c r="AA1035" s="78"/>
      <c r="AB1035" s="78"/>
      <c r="AC1035" s="78"/>
      <c r="AD1035" s="78"/>
      <c r="AE1035" s="78"/>
      <c r="AF1035" s="78"/>
      <c r="AG1035" s="78"/>
      <c r="AH1035" s="78"/>
      <c r="AI1035" s="78"/>
      <c r="AJ1035" s="78"/>
      <c r="AK1035" s="78"/>
    </row>
    <row r="1036" spans="1:37">
      <c r="A1036" s="78"/>
      <c r="B1036" s="216"/>
      <c r="C1036" s="78"/>
      <c r="D1036" s="207" t="s">
        <v>3863</v>
      </c>
      <c r="E1036" s="78"/>
      <c r="F1036" s="78"/>
      <c r="G1036" s="78"/>
      <c r="H1036" s="78"/>
      <c r="I1036" s="78"/>
      <c r="J1036" s="78"/>
      <c r="K1036" s="78"/>
      <c r="L1036" s="78"/>
      <c r="M1036" s="78"/>
      <c r="N1036" s="78"/>
      <c r="O1036" s="78"/>
      <c r="P1036" s="78"/>
      <c r="Q1036" s="78"/>
      <c r="R1036" s="78"/>
      <c r="S1036" s="78"/>
      <c r="T1036" s="78"/>
      <c r="U1036" s="78"/>
      <c r="V1036" s="78"/>
      <c r="W1036" s="78"/>
      <c r="X1036" s="78"/>
      <c r="Y1036" s="78"/>
      <c r="Z1036" s="78"/>
      <c r="AA1036" s="78"/>
      <c r="AB1036" s="78"/>
      <c r="AC1036" s="78"/>
      <c r="AD1036" s="78"/>
      <c r="AE1036" s="78"/>
      <c r="AF1036" s="78"/>
      <c r="AG1036" s="78"/>
      <c r="AH1036" s="78"/>
      <c r="AI1036" s="78"/>
      <c r="AJ1036" s="78"/>
      <c r="AK1036" s="78"/>
    </row>
    <row r="1037" spans="1:37">
      <c r="A1037" s="78"/>
      <c r="B1037" s="216"/>
      <c r="C1037" s="78"/>
      <c r="D1037" s="207" t="s">
        <v>3864</v>
      </c>
      <c r="E1037" s="78"/>
      <c r="F1037" s="78"/>
      <c r="G1037" s="78"/>
      <c r="H1037" s="78"/>
      <c r="I1037" s="78"/>
      <c r="J1037" s="78"/>
      <c r="K1037" s="78"/>
      <c r="L1037" s="78"/>
      <c r="M1037" s="78"/>
      <c r="N1037" s="78"/>
      <c r="O1037" s="78"/>
      <c r="P1037" s="78"/>
      <c r="Q1037" s="78"/>
      <c r="R1037" s="78"/>
      <c r="S1037" s="78"/>
      <c r="T1037" s="78"/>
      <c r="U1037" s="78"/>
      <c r="V1037" s="78"/>
      <c r="W1037" s="78"/>
      <c r="X1037" s="78"/>
      <c r="Y1037" s="78"/>
      <c r="Z1037" s="78"/>
      <c r="AA1037" s="78"/>
      <c r="AB1037" s="78"/>
      <c r="AC1037" s="78"/>
      <c r="AD1037" s="78"/>
      <c r="AE1037" s="78"/>
      <c r="AF1037" s="78"/>
      <c r="AG1037" s="78"/>
      <c r="AH1037" s="78"/>
      <c r="AI1037" s="78"/>
      <c r="AJ1037" s="78"/>
      <c r="AK1037" s="78"/>
    </row>
    <row r="1038" spans="1:37">
      <c r="A1038" s="78"/>
      <c r="B1038" s="216"/>
      <c r="C1038" s="78"/>
      <c r="D1038" s="207" t="s">
        <v>3865</v>
      </c>
      <c r="E1038" s="78"/>
      <c r="F1038" s="78"/>
      <c r="G1038" s="78"/>
      <c r="H1038" s="78"/>
      <c r="I1038" s="78"/>
      <c r="J1038" s="78"/>
      <c r="K1038" s="78"/>
      <c r="L1038" s="78"/>
      <c r="M1038" s="78"/>
      <c r="N1038" s="78"/>
      <c r="O1038" s="78"/>
      <c r="P1038" s="78"/>
      <c r="Q1038" s="78"/>
      <c r="R1038" s="78"/>
      <c r="S1038" s="78"/>
      <c r="T1038" s="78"/>
      <c r="U1038" s="78"/>
      <c r="V1038" s="78"/>
      <c r="W1038" s="78"/>
      <c r="X1038" s="78"/>
      <c r="Y1038" s="78"/>
      <c r="Z1038" s="78"/>
      <c r="AA1038" s="78"/>
      <c r="AB1038" s="78"/>
      <c r="AC1038" s="78"/>
      <c r="AD1038" s="78"/>
      <c r="AE1038" s="78"/>
      <c r="AF1038" s="78"/>
      <c r="AG1038" s="78"/>
      <c r="AH1038" s="78"/>
      <c r="AI1038" s="78"/>
      <c r="AJ1038" s="78"/>
      <c r="AK1038" s="78"/>
    </row>
    <row r="1039" spans="1:37">
      <c r="A1039" s="78"/>
      <c r="B1039" s="216"/>
      <c r="C1039" s="78"/>
      <c r="D1039" s="207" t="s">
        <v>3866</v>
      </c>
      <c r="E1039" s="78"/>
      <c r="F1039" s="78"/>
      <c r="G1039" s="78"/>
      <c r="H1039" s="78"/>
      <c r="I1039" s="78"/>
      <c r="J1039" s="78"/>
      <c r="K1039" s="78"/>
      <c r="L1039" s="78"/>
      <c r="M1039" s="78"/>
      <c r="N1039" s="78"/>
      <c r="O1039" s="78"/>
      <c r="P1039" s="78"/>
      <c r="Q1039" s="78"/>
      <c r="R1039" s="78"/>
      <c r="S1039" s="78"/>
      <c r="T1039" s="78"/>
      <c r="U1039" s="78"/>
      <c r="V1039" s="78"/>
      <c r="W1039" s="78"/>
      <c r="X1039" s="78"/>
      <c r="Y1039" s="78"/>
      <c r="Z1039" s="78"/>
      <c r="AA1039" s="78"/>
      <c r="AB1039" s="78"/>
      <c r="AC1039" s="78"/>
      <c r="AD1039" s="78"/>
      <c r="AE1039" s="78"/>
      <c r="AF1039" s="78"/>
      <c r="AG1039" s="78"/>
      <c r="AH1039" s="78"/>
      <c r="AI1039" s="78"/>
      <c r="AJ1039" s="78"/>
      <c r="AK1039" s="78"/>
    </row>
    <row r="1040" spans="1:37">
      <c r="A1040" s="78"/>
      <c r="B1040" s="216"/>
      <c r="C1040" s="78"/>
      <c r="D1040" s="207" t="s">
        <v>3867</v>
      </c>
      <c r="E1040" s="78"/>
      <c r="F1040" s="78"/>
      <c r="G1040" s="78"/>
      <c r="H1040" s="78"/>
      <c r="I1040" s="78"/>
      <c r="J1040" s="78"/>
      <c r="K1040" s="78"/>
      <c r="L1040" s="78"/>
      <c r="M1040" s="78"/>
      <c r="N1040" s="78"/>
      <c r="O1040" s="78"/>
      <c r="P1040" s="78"/>
      <c r="Q1040" s="78"/>
      <c r="R1040" s="78"/>
      <c r="S1040" s="78"/>
      <c r="T1040" s="78"/>
      <c r="U1040" s="78"/>
      <c r="V1040" s="78"/>
      <c r="W1040" s="78"/>
      <c r="X1040" s="78"/>
      <c r="Y1040" s="78"/>
      <c r="Z1040" s="78"/>
      <c r="AA1040" s="78"/>
      <c r="AB1040" s="78"/>
      <c r="AC1040" s="78"/>
      <c r="AD1040" s="78"/>
      <c r="AE1040" s="78"/>
      <c r="AF1040" s="78"/>
      <c r="AG1040" s="78"/>
      <c r="AH1040" s="78"/>
      <c r="AI1040" s="78"/>
      <c r="AJ1040" s="78"/>
      <c r="AK1040" s="78"/>
    </row>
    <row r="1041" spans="1:37">
      <c r="A1041" s="78"/>
      <c r="B1041" s="216"/>
      <c r="C1041" s="78"/>
      <c r="D1041" s="207" t="s">
        <v>3868</v>
      </c>
      <c r="E1041" s="78"/>
      <c r="F1041" s="78"/>
      <c r="G1041" s="78"/>
      <c r="H1041" s="78"/>
      <c r="I1041" s="78"/>
      <c r="J1041" s="78"/>
      <c r="K1041" s="78"/>
      <c r="L1041" s="78"/>
      <c r="M1041" s="78"/>
      <c r="N1041" s="78"/>
      <c r="O1041" s="78"/>
      <c r="P1041" s="78"/>
      <c r="Q1041" s="78"/>
      <c r="R1041" s="78"/>
      <c r="S1041" s="78"/>
      <c r="T1041" s="78"/>
      <c r="U1041" s="78"/>
      <c r="V1041" s="78"/>
      <c r="W1041" s="78"/>
      <c r="X1041" s="78"/>
      <c r="Y1041" s="78"/>
      <c r="Z1041" s="78"/>
      <c r="AA1041" s="78"/>
      <c r="AB1041" s="78"/>
      <c r="AC1041" s="78"/>
      <c r="AD1041" s="78"/>
      <c r="AE1041" s="78"/>
      <c r="AF1041" s="78"/>
      <c r="AG1041" s="78"/>
      <c r="AH1041" s="78"/>
      <c r="AI1041" s="78"/>
      <c r="AJ1041" s="78"/>
      <c r="AK1041" s="78"/>
    </row>
    <row r="1042" spans="1:37">
      <c r="A1042" s="78"/>
      <c r="B1042" s="216"/>
      <c r="C1042" s="78"/>
      <c r="D1042" s="207" t="s">
        <v>3869</v>
      </c>
      <c r="E1042" s="78"/>
      <c r="F1042" s="78"/>
      <c r="G1042" s="78"/>
      <c r="H1042" s="78"/>
      <c r="I1042" s="78"/>
      <c r="J1042" s="78"/>
      <c r="K1042" s="78"/>
      <c r="L1042" s="78"/>
      <c r="M1042" s="78"/>
      <c r="N1042" s="78"/>
      <c r="O1042" s="78"/>
      <c r="P1042" s="78"/>
      <c r="Q1042" s="78"/>
      <c r="R1042" s="78"/>
      <c r="S1042" s="78"/>
      <c r="T1042" s="78"/>
      <c r="U1042" s="78"/>
      <c r="V1042" s="78"/>
      <c r="W1042" s="78"/>
      <c r="X1042" s="78"/>
      <c r="Y1042" s="78"/>
      <c r="Z1042" s="78"/>
      <c r="AA1042" s="78"/>
      <c r="AB1042" s="78"/>
      <c r="AC1042" s="78"/>
      <c r="AD1042" s="78"/>
      <c r="AE1042" s="78"/>
      <c r="AF1042" s="78"/>
      <c r="AG1042" s="78"/>
      <c r="AH1042" s="78"/>
      <c r="AI1042" s="78"/>
      <c r="AJ1042" s="78"/>
      <c r="AK1042" s="78"/>
    </row>
    <row r="1043" spans="1:37">
      <c r="A1043" s="78"/>
      <c r="B1043" s="216"/>
      <c r="C1043" s="78"/>
      <c r="D1043" s="207" t="s">
        <v>3870</v>
      </c>
      <c r="E1043" s="78"/>
      <c r="F1043" s="78"/>
      <c r="G1043" s="78"/>
      <c r="H1043" s="78"/>
      <c r="I1043" s="78"/>
      <c r="J1043" s="78"/>
      <c r="K1043" s="78"/>
      <c r="L1043" s="78"/>
      <c r="M1043" s="78"/>
      <c r="N1043" s="78"/>
      <c r="O1043" s="78"/>
      <c r="P1043" s="78"/>
      <c r="Q1043" s="78"/>
      <c r="R1043" s="78"/>
      <c r="S1043" s="78"/>
      <c r="T1043" s="78"/>
      <c r="U1043" s="78"/>
      <c r="V1043" s="78"/>
      <c r="W1043" s="78"/>
      <c r="X1043" s="78"/>
      <c r="Y1043" s="78"/>
      <c r="Z1043" s="78"/>
      <c r="AA1043" s="78"/>
      <c r="AB1043" s="78"/>
      <c r="AC1043" s="78"/>
      <c r="AD1043" s="78"/>
      <c r="AE1043" s="78"/>
      <c r="AF1043" s="78"/>
      <c r="AG1043" s="78"/>
      <c r="AH1043" s="78"/>
      <c r="AI1043" s="78"/>
      <c r="AJ1043" s="78"/>
      <c r="AK1043" s="78"/>
    </row>
    <row r="1044" spans="1:37">
      <c r="A1044" s="78"/>
      <c r="B1044" s="216"/>
      <c r="C1044" s="78"/>
      <c r="D1044" s="207" t="s">
        <v>3871</v>
      </c>
      <c r="E1044" s="78"/>
      <c r="F1044" s="78"/>
      <c r="G1044" s="78"/>
      <c r="H1044" s="78"/>
      <c r="I1044" s="78"/>
      <c r="J1044" s="78"/>
      <c r="K1044" s="78"/>
      <c r="L1044" s="78"/>
      <c r="M1044" s="78"/>
      <c r="N1044" s="78"/>
      <c r="O1044" s="78"/>
      <c r="P1044" s="78"/>
      <c r="Q1044" s="78"/>
      <c r="R1044" s="78"/>
      <c r="S1044" s="78"/>
      <c r="T1044" s="78"/>
      <c r="U1044" s="78"/>
      <c r="V1044" s="78"/>
      <c r="W1044" s="78"/>
      <c r="X1044" s="78"/>
      <c r="Y1044" s="78"/>
      <c r="Z1044" s="78"/>
      <c r="AA1044" s="78"/>
      <c r="AB1044" s="78"/>
      <c r="AC1044" s="78"/>
      <c r="AD1044" s="78"/>
      <c r="AE1044" s="78"/>
      <c r="AF1044" s="78"/>
      <c r="AG1044" s="78"/>
      <c r="AH1044" s="78"/>
      <c r="AI1044" s="78"/>
      <c r="AJ1044" s="78"/>
      <c r="AK1044" s="78"/>
    </row>
    <row r="1045" spans="1:37">
      <c r="A1045" s="78"/>
      <c r="B1045" s="216"/>
      <c r="C1045" s="78"/>
      <c r="D1045" s="207" t="s">
        <v>3872</v>
      </c>
      <c r="E1045" s="78"/>
      <c r="F1045" s="78"/>
      <c r="G1045" s="78"/>
      <c r="H1045" s="78"/>
      <c r="I1045" s="78"/>
      <c r="J1045" s="78"/>
      <c r="K1045" s="78"/>
      <c r="L1045" s="78"/>
      <c r="M1045" s="78"/>
      <c r="N1045" s="78"/>
      <c r="O1045" s="78"/>
      <c r="P1045" s="78"/>
      <c r="Q1045" s="78"/>
      <c r="R1045" s="78"/>
      <c r="S1045" s="78"/>
      <c r="T1045" s="78"/>
      <c r="U1045" s="78"/>
      <c r="V1045" s="78"/>
      <c r="W1045" s="78"/>
      <c r="X1045" s="78"/>
      <c r="Y1045" s="78"/>
      <c r="Z1045" s="78"/>
      <c r="AA1045" s="78"/>
      <c r="AB1045" s="78"/>
      <c r="AC1045" s="78"/>
      <c r="AD1045" s="78"/>
      <c r="AE1045" s="78"/>
      <c r="AF1045" s="78"/>
      <c r="AG1045" s="78"/>
      <c r="AH1045" s="78"/>
      <c r="AI1045" s="78"/>
      <c r="AJ1045" s="78"/>
      <c r="AK1045" s="78"/>
    </row>
    <row r="1046" spans="1:37">
      <c r="A1046" s="78"/>
      <c r="B1046" s="216"/>
      <c r="C1046" s="78"/>
      <c r="D1046" s="207" t="s">
        <v>3873</v>
      </c>
      <c r="E1046" s="78"/>
      <c r="F1046" s="78"/>
      <c r="G1046" s="78"/>
      <c r="H1046" s="78"/>
      <c r="I1046" s="78"/>
      <c r="J1046" s="78"/>
      <c r="K1046" s="78"/>
      <c r="L1046" s="78"/>
      <c r="M1046" s="78"/>
      <c r="N1046" s="78"/>
      <c r="O1046" s="78"/>
      <c r="P1046" s="78"/>
      <c r="Q1046" s="78"/>
      <c r="R1046" s="78"/>
      <c r="S1046" s="78"/>
      <c r="T1046" s="78"/>
      <c r="U1046" s="78"/>
      <c r="V1046" s="78"/>
      <c r="W1046" s="78"/>
      <c r="X1046" s="78"/>
      <c r="Y1046" s="78"/>
      <c r="Z1046" s="78"/>
      <c r="AA1046" s="78"/>
      <c r="AB1046" s="78"/>
      <c r="AC1046" s="78"/>
      <c r="AD1046" s="78"/>
      <c r="AE1046" s="78"/>
      <c r="AF1046" s="78"/>
      <c r="AG1046" s="78"/>
      <c r="AH1046" s="78"/>
      <c r="AI1046" s="78"/>
      <c r="AJ1046" s="78"/>
      <c r="AK1046" s="78"/>
    </row>
    <row r="1047" spans="1:37">
      <c r="A1047" s="78"/>
      <c r="B1047" s="78"/>
      <c r="C1047" s="78"/>
      <c r="D1047" s="78"/>
      <c r="E1047" s="78"/>
      <c r="F1047" s="78"/>
      <c r="G1047" s="78"/>
      <c r="H1047" s="78"/>
      <c r="I1047" s="78"/>
      <c r="J1047" s="78"/>
      <c r="K1047" s="78"/>
      <c r="L1047" s="78"/>
      <c r="M1047" s="78"/>
      <c r="N1047" s="78"/>
      <c r="O1047" s="78"/>
      <c r="P1047" s="78"/>
      <c r="Q1047" s="78"/>
      <c r="R1047" s="78"/>
      <c r="S1047" s="78"/>
      <c r="T1047" s="78"/>
      <c r="U1047" s="78"/>
      <c r="V1047" s="78"/>
      <c r="W1047" s="78"/>
      <c r="X1047" s="78"/>
      <c r="Y1047" s="78"/>
      <c r="Z1047" s="78"/>
      <c r="AA1047" s="78"/>
      <c r="AB1047" s="78"/>
      <c r="AC1047" s="78"/>
      <c r="AD1047" s="78"/>
      <c r="AE1047" s="78"/>
      <c r="AF1047" s="78"/>
      <c r="AG1047" s="78"/>
      <c r="AH1047" s="78"/>
      <c r="AI1047" s="78"/>
      <c r="AJ1047" s="78"/>
      <c r="AK1047" s="78"/>
    </row>
    <row r="1048" spans="1:37">
      <c r="A1048" s="78"/>
      <c r="B1048" s="152" t="s">
        <v>3874</v>
      </c>
      <c r="C1048" s="78"/>
      <c r="D1048" s="78"/>
      <c r="E1048" s="78"/>
      <c r="F1048" s="78"/>
      <c r="G1048" s="78"/>
      <c r="H1048" s="78"/>
      <c r="I1048" s="78"/>
      <c r="J1048" s="78"/>
      <c r="K1048" s="78"/>
      <c r="L1048" s="78"/>
      <c r="M1048" s="78"/>
      <c r="N1048" s="78"/>
      <c r="O1048" s="78"/>
      <c r="P1048" s="78"/>
      <c r="Q1048" s="78"/>
      <c r="R1048" s="78"/>
      <c r="S1048" s="78"/>
      <c r="T1048" s="78"/>
      <c r="U1048" s="78"/>
      <c r="V1048" s="78"/>
      <c r="W1048" s="78"/>
      <c r="X1048" s="78"/>
      <c r="Y1048" s="78"/>
      <c r="Z1048" s="78"/>
      <c r="AA1048" s="78"/>
      <c r="AB1048" s="78"/>
      <c r="AC1048" s="78"/>
      <c r="AD1048" s="78"/>
      <c r="AE1048" s="78"/>
      <c r="AF1048" s="78"/>
      <c r="AG1048" s="78"/>
      <c r="AH1048" s="78"/>
      <c r="AI1048" s="78"/>
      <c r="AJ1048" s="78"/>
      <c r="AK1048" s="78"/>
    </row>
    <row r="1049" spans="1:37">
      <c r="A1049" s="78"/>
      <c r="B1049" s="78"/>
      <c r="C1049" s="78"/>
      <c r="D1049" s="78"/>
      <c r="E1049" s="78"/>
      <c r="F1049" s="78"/>
      <c r="G1049" s="78"/>
      <c r="H1049" s="78"/>
      <c r="I1049" s="78"/>
      <c r="J1049" s="78"/>
      <c r="K1049" s="78"/>
      <c r="L1049" s="78"/>
      <c r="M1049" s="78"/>
      <c r="N1049" s="78"/>
      <c r="O1049" s="78"/>
      <c r="P1049" s="78"/>
      <c r="Q1049" s="78"/>
      <c r="R1049" s="78"/>
      <c r="S1049" s="78"/>
      <c r="T1049" s="78"/>
      <c r="U1049" s="78"/>
      <c r="V1049" s="78"/>
      <c r="W1049" s="78"/>
      <c r="X1049" s="78"/>
      <c r="Y1049" s="78"/>
      <c r="Z1049" s="78"/>
      <c r="AA1049" s="78"/>
      <c r="AB1049" s="78"/>
      <c r="AC1049" s="78"/>
      <c r="AD1049" s="78"/>
      <c r="AE1049" s="78"/>
      <c r="AF1049" s="78"/>
      <c r="AG1049" s="78"/>
      <c r="AH1049" s="78"/>
      <c r="AI1049" s="78"/>
      <c r="AJ1049" s="78"/>
      <c r="AK1049" s="78"/>
    </row>
    <row r="1050" spans="1:37">
      <c r="A1050" s="78"/>
      <c r="B1050" s="232" t="s">
        <v>811</v>
      </c>
      <c r="C1050" s="78"/>
      <c r="D1050" s="211" t="s">
        <v>3875</v>
      </c>
      <c r="E1050" s="78"/>
      <c r="F1050" s="78"/>
      <c r="G1050" s="78"/>
      <c r="H1050" s="78"/>
      <c r="I1050" s="78"/>
      <c r="J1050" s="78"/>
      <c r="K1050" s="78"/>
      <c r="L1050" s="78"/>
      <c r="M1050" s="78"/>
      <c r="N1050" s="78"/>
      <c r="O1050" s="78"/>
      <c r="P1050" s="78"/>
      <c r="Q1050" s="78"/>
      <c r="R1050" s="78"/>
      <c r="S1050" s="78"/>
      <c r="T1050" s="78"/>
      <c r="U1050" s="78"/>
      <c r="V1050" s="78"/>
      <c r="W1050" s="78"/>
      <c r="X1050" s="78"/>
      <c r="Y1050" s="78"/>
      <c r="Z1050" s="78"/>
      <c r="AA1050" s="78"/>
      <c r="AB1050" s="78"/>
      <c r="AC1050" s="78"/>
      <c r="AD1050" s="78"/>
      <c r="AE1050" s="78"/>
      <c r="AF1050" s="78"/>
      <c r="AG1050" s="78"/>
      <c r="AH1050" s="78"/>
      <c r="AI1050" s="78"/>
      <c r="AJ1050" s="78"/>
      <c r="AK1050" s="78"/>
    </row>
    <row r="1051" spans="1:37">
      <c r="A1051" s="78"/>
      <c r="B1051" s="216"/>
      <c r="C1051" s="78"/>
      <c r="D1051" s="211" t="s">
        <v>3876</v>
      </c>
      <c r="E1051" s="78"/>
      <c r="F1051" s="78"/>
      <c r="G1051" s="78"/>
      <c r="H1051" s="78"/>
      <c r="I1051" s="78"/>
      <c r="J1051" s="78"/>
      <c r="K1051" s="78"/>
      <c r="L1051" s="78"/>
      <c r="M1051" s="78"/>
      <c r="N1051" s="78"/>
      <c r="O1051" s="78"/>
      <c r="P1051" s="78"/>
      <c r="Q1051" s="78"/>
      <c r="R1051" s="78"/>
      <c r="S1051" s="78"/>
      <c r="T1051" s="78"/>
      <c r="U1051" s="78"/>
      <c r="V1051" s="78"/>
      <c r="W1051" s="78"/>
      <c r="X1051" s="78"/>
      <c r="Y1051" s="78"/>
      <c r="Z1051" s="78"/>
      <c r="AA1051" s="78"/>
      <c r="AB1051" s="78"/>
      <c r="AC1051" s="78"/>
      <c r="AD1051" s="78"/>
      <c r="AE1051" s="78"/>
      <c r="AF1051" s="78"/>
      <c r="AG1051" s="78"/>
      <c r="AH1051" s="78"/>
      <c r="AI1051" s="78"/>
      <c r="AJ1051" s="78"/>
      <c r="AK1051" s="78"/>
    </row>
    <row r="1052" spans="1:37">
      <c r="A1052" s="78"/>
      <c r="B1052" s="216"/>
      <c r="C1052" s="78"/>
      <c r="D1052" s="211" t="s">
        <v>3877</v>
      </c>
      <c r="E1052" s="78"/>
      <c r="F1052" s="78"/>
      <c r="G1052" s="78"/>
      <c r="H1052" s="78"/>
      <c r="I1052" s="78"/>
      <c r="J1052" s="78"/>
      <c r="K1052" s="78"/>
      <c r="L1052" s="78"/>
      <c r="M1052" s="78"/>
      <c r="N1052" s="78"/>
      <c r="O1052" s="78"/>
      <c r="P1052" s="78"/>
      <c r="Q1052" s="78"/>
      <c r="R1052" s="78"/>
      <c r="S1052" s="78"/>
      <c r="T1052" s="78"/>
      <c r="U1052" s="78"/>
      <c r="V1052" s="78"/>
      <c r="W1052" s="78"/>
      <c r="X1052" s="78"/>
      <c r="Y1052" s="78"/>
      <c r="Z1052" s="78"/>
      <c r="AA1052" s="78"/>
      <c r="AB1052" s="78"/>
      <c r="AC1052" s="78"/>
      <c r="AD1052" s="78"/>
      <c r="AE1052" s="78"/>
      <c r="AF1052" s="78"/>
      <c r="AG1052" s="78"/>
      <c r="AH1052" s="78"/>
      <c r="AI1052" s="78"/>
      <c r="AJ1052" s="78"/>
      <c r="AK1052" s="78"/>
    </row>
    <row r="1053" spans="1:37">
      <c r="A1053" s="78"/>
      <c r="B1053" s="216"/>
      <c r="C1053" s="78"/>
      <c r="D1053" s="211" t="s">
        <v>3878</v>
      </c>
      <c r="E1053" s="78"/>
      <c r="F1053" s="78"/>
      <c r="G1053" s="78"/>
      <c r="H1053" s="78"/>
      <c r="I1053" s="78"/>
      <c r="J1053" s="78"/>
      <c r="K1053" s="78"/>
      <c r="L1053" s="78"/>
      <c r="M1053" s="78"/>
      <c r="N1053" s="78"/>
      <c r="O1053" s="78"/>
      <c r="P1053" s="78"/>
      <c r="Q1053" s="78"/>
      <c r="R1053" s="78"/>
      <c r="S1053" s="78"/>
      <c r="T1053" s="78"/>
      <c r="U1053" s="78"/>
      <c r="V1053" s="78"/>
      <c r="W1053" s="78"/>
      <c r="X1053" s="78"/>
      <c r="Y1053" s="78"/>
      <c r="Z1053" s="78"/>
      <c r="AA1053" s="78"/>
      <c r="AB1053" s="78"/>
      <c r="AC1053" s="78"/>
      <c r="AD1053" s="78"/>
      <c r="AE1053" s="78"/>
      <c r="AF1053" s="78"/>
      <c r="AG1053" s="78"/>
      <c r="AH1053" s="78"/>
      <c r="AI1053" s="78"/>
      <c r="AJ1053" s="78"/>
      <c r="AK1053" s="78"/>
    </row>
    <row r="1054" spans="1:37">
      <c r="A1054" s="78"/>
      <c r="B1054" s="216"/>
      <c r="C1054" s="78"/>
      <c r="D1054" s="211" t="s">
        <v>3879</v>
      </c>
      <c r="E1054" s="78"/>
      <c r="F1054" s="78"/>
      <c r="G1054" s="78"/>
      <c r="H1054" s="78"/>
      <c r="I1054" s="78"/>
      <c r="J1054" s="78"/>
      <c r="K1054" s="78"/>
      <c r="L1054" s="78"/>
      <c r="M1054" s="78"/>
      <c r="N1054" s="78"/>
      <c r="O1054" s="78"/>
      <c r="P1054" s="78"/>
      <c r="Q1054" s="78"/>
      <c r="R1054" s="78"/>
      <c r="S1054" s="78"/>
      <c r="T1054" s="78"/>
      <c r="U1054" s="78"/>
      <c r="V1054" s="78"/>
      <c r="W1054" s="78"/>
      <c r="X1054" s="78"/>
      <c r="Y1054" s="78"/>
      <c r="Z1054" s="78"/>
      <c r="AA1054" s="78"/>
      <c r="AB1054" s="78"/>
      <c r="AC1054" s="78"/>
      <c r="AD1054" s="78"/>
      <c r="AE1054" s="78"/>
      <c r="AF1054" s="78"/>
      <c r="AG1054" s="78"/>
      <c r="AH1054" s="78"/>
      <c r="AI1054" s="78"/>
      <c r="AJ1054" s="78"/>
      <c r="AK1054" s="78"/>
    </row>
    <row r="1055" spans="1:37">
      <c r="A1055" s="78"/>
      <c r="B1055" s="216"/>
      <c r="C1055" s="78"/>
      <c r="D1055" s="211" t="s">
        <v>3880</v>
      </c>
      <c r="E1055" s="78"/>
      <c r="F1055" s="78"/>
      <c r="G1055" s="78"/>
      <c r="H1055" s="78"/>
      <c r="I1055" s="78"/>
      <c r="J1055" s="78"/>
      <c r="K1055" s="78"/>
      <c r="L1055" s="78"/>
      <c r="M1055" s="78"/>
      <c r="N1055" s="78"/>
      <c r="O1055" s="78"/>
      <c r="P1055" s="78"/>
      <c r="Q1055" s="78"/>
      <c r="R1055" s="78"/>
      <c r="S1055" s="78"/>
      <c r="T1055" s="78"/>
      <c r="U1055" s="78"/>
      <c r="V1055" s="78"/>
      <c r="W1055" s="78"/>
      <c r="X1055" s="78"/>
      <c r="Y1055" s="78"/>
      <c r="Z1055" s="78"/>
      <c r="AA1055" s="78"/>
      <c r="AB1055" s="78"/>
      <c r="AC1055" s="78"/>
      <c r="AD1055" s="78"/>
      <c r="AE1055" s="78"/>
      <c r="AF1055" s="78"/>
      <c r="AG1055" s="78"/>
      <c r="AH1055" s="78"/>
      <c r="AI1055" s="78"/>
      <c r="AJ1055" s="78"/>
      <c r="AK1055" s="78"/>
    </row>
    <row r="1056" spans="1:37">
      <c r="A1056" s="78"/>
      <c r="B1056" s="216"/>
      <c r="C1056" s="78"/>
      <c r="D1056" s="211" t="s">
        <v>3067</v>
      </c>
      <c r="E1056" s="78"/>
      <c r="F1056" s="78"/>
      <c r="G1056" s="78"/>
      <c r="H1056" s="78"/>
      <c r="I1056" s="78"/>
      <c r="J1056" s="78"/>
      <c r="K1056" s="78"/>
      <c r="L1056" s="78"/>
      <c r="M1056" s="78"/>
      <c r="N1056" s="78"/>
      <c r="O1056" s="78"/>
      <c r="P1056" s="78"/>
      <c r="Q1056" s="78"/>
      <c r="R1056" s="78"/>
      <c r="S1056" s="78"/>
      <c r="T1056" s="78"/>
      <c r="U1056" s="78"/>
      <c r="V1056" s="78"/>
      <c r="W1056" s="78"/>
      <c r="X1056" s="78"/>
      <c r="Y1056" s="78"/>
      <c r="Z1056" s="78"/>
      <c r="AA1056" s="78"/>
      <c r="AB1056" s="78"/>
      <c r="AC1056" s="78"/>
      <c r="AD1056" s="78"/>
      <c r="AE1056" s="78"/>
      <c r="AF1056" s="78"/>
      <c r="AG1056" s="78"/>
      <c r="AH1056" s="78"/>
      <c r="AI1056" s="78"/>
      <c r="AJ1056" s="78"/>
      <c r="AK1056" s="78"/>
    </row>
    <row r="1057" spans="1:37">
      <c r="A1057" s="78"/>
      <c r="B1057" s="216"/>
      <c r="C1057" s="78"/>
      <c r="D1057" s="211" t="s">
        <v>3881</v>
      </c>
      <c r="E1057" s="78"/>
      <c r="F1057" s="78"/>
      <c r="G1057" s="78"/>
      <c r="H1057" s="78"/>
      <c r="I1057" s="78"/>
      <c r="J1057" s="78"/>
      <c r="K1057" s="78"/>
      <c r="L1057" s="78"/>
      <c r="M1057" s="78"/>
      <c r="N1057" s="78"/>
      <c r="O1057" s="78"/>
      <c r="P1057" s="78"/>
      <c r="Q1057" s="78"/>
      <c r="R1057" s="78"/>
      <c r="S1057" s="78"/>
      <c r="T1057" s="78"/>
      <c r="U1057" s="78"/>
      <c r="V1057" s="78"/>
      <c r="W1057" s="78"/>
      <c r="X1057" s="78"/>
      <c r="Y1057" s="78"/>
      <c r="Z1057" s="78"/>
      <c r="AA1057" s="78"/>
      <c r="AB1057" s="78"/>
      <c r="AC1057" s="78"/>
      <c r="AD1057" s="78"/>
      <c r="AE1057" s="78"/>
      <c r="AF1057" s="78"/>
      <c r="AG1057" s="78"/>
      <c r="AH1057" s="78"/>
      <c r="AI1057" s="78"/>
      <c r="AJ1057" s="78"/>
      <c r="AK1057" s="78"/>
    </row>
    <row r="1058" spans="1:37">
      <c r="A1058" s="78"/>
      <c r="B1058" s="216"/>
      <c r="C1058" s="78"/>
      <c r="D1058" s="211" t="s">
        <v>3882</v>
      </c>
      <c r="E1058" s="78"/>
      <c r="F1058" s="78"/>
      <c r="G1058" s="78"/>
      <c r="H1058" s="78"/>
      <c r="I1058" s="78"/>
      <c r="J1058" s="78"/>
      <c r="K1058" s="78"/>
      <c r="L1058" s="78"/>
      <c r="M1058" s="78"/>
      <c r="N1058" s="78"/>
      <c r="O1058" s="78"/>
      <c r="P1058" s="78"/>
      <c r="Q1058" s="78"/>
      <c r="R1058" s="78"/>
      <c r="S1058" s="78"/>
      <c r="T1058" s="78"/>
      <c r="U1058" s="78"/>
      <c r="V1058" s="78"/>
      <c r="W1058" s="78"/>
      <c r="X1058" s="78"/>
      <c r="Y1058" s="78"/>
      <c r="Z1058" s="78"/>
      <c r="AA1058" s="78"/>
      <c r="AB1058" s="78"/>
      <c r="AC1058" s="78"/>
      <c r="AD1058" s="78"/>
      <c r="AE1058" s="78"/>
      <c r="AF1058" s="78"/>
      <c r="AG1058" s="78"/>
      <c r="AH1058" s="78"/>
      <c r="AI1058" s="78"/>
      <c r="AJ1058" s="78"/>
      <c r="AK1058" s="78"/>
    </row>
    <row r="1059" spans="1:37">
      <c r="A1059" s="78"/>
      <c r="B1059" s="216"/>
      <c r="C1059" s="78"/>
      <c r="D1059" s="211" t="s">
        <v>3883</v>
      </c>
      <c r="E1059" s="78"/>
      <c r="F1059" s="78"/>
      <c r="G1059" s="78"/>
      <c r="H1059" s="78"/>
      <c r="I1059" s="78"/>
      <c r="J1059" s="78"/>
      <c r="K1059" s="78"/>
      <c r="L1059" s="78"/>
      <c r="M1059" s="78"/>
      <c r="N1059" s="78"/>
      <c r="O1059" s="78"/>
      <c r="P1059" s="78"/>
      <c r="Q1059" s="78"/>
      <c r="R1059" s="78"/>
      <c r="S1059" s="78"/>
      <c r="T1059" s="78"/>
      <c r="U1059" s="78"/>
      <c r="V1059" s="78"/>
      <c r="W1059" s="78"/>
      <c r="X1059" s="78"/>
      <c r="Y1059" s="78"/>
      <c r="Z1059" s="78"/>
      <c r="AA1059" s="78"/>
      <c r="AB1059" s="78"/>
      <c r="AC1059" s="78"/>
      <c r="AD1059" s="78"/>
      <c r="AE1059" s="78"/>
      <c r="AF1059" s="78"/>
      <c r="AG1059" s="78"/>
      <c r="AH1059" s="78"/>
      <c r="AI1059" s="78"/>
      <c r="AJ1059" s="78"/>
      <c r="AK1059" s="78"/>
    </row>
    <row r="1060" spans="1:37">
      <c r="A1060" s="78"/>
      <c r="B1060" s="216"/>
      <c r="C1060" s="78"/>
      <c r="D1060" s="211" t="s">
        <v>3884</v>
      </c>
      <c r="E1060" s="78"/>
      <c r="F1060" s="78"/>
      <c r="G1060" s="78"/>
      <c r="H1060" s="78"/>
      <c r="I1060" s="78"/>
      <c r="J1060" s="78"/>
      <c r="K1060" s="78"/>
      <c r="L1060" s="78"/>
      <c r="M1060" s="78"/>
      <c r="N1060" s="78"/>
      <c r="O1060" s="78"/>
      <c r="P1060" s="78"/>
      <c r="Q1060" s="78"/>
      <c r="R1060" s="78"/>
      <c r="S1060" s="78"/>
      <c r="T1060" s="78"/>
      <c r="U1060" s="78"/>
      <c r="V1060" s="78"/>
      <c r="W1060" s="78"/>
      <c r="X1060" s="78"/>
      <c r="Y1060" s="78"/>
      <c r="Z1060" s="78"/>
      <c r="AA1060" s="78"/>
      <c r="AB1060" s="78"/>
      <c r="AC1060" s="78"/>
      <c r="AD1060" s="78"/>
      <c r="AE1060" s="78"/>
      <c r="AF1060" s="78"/>
      <c r="AG1060" s="78"/>
      <c r="AH1060" s="78"/>
      <c r="AI1060" s="78"/>
      <c r="AJ1060" s="78"/>
      <c r="AK1060" s="78"/>
    </row>
    <row r="1061" spans="1:37">
      <c r="A1061" s="78"/>
      <c r="B1061" s="216"/>
      <c r="C1061" s="78"/>
      <c r="D1061" s="211" t="s">
        <v>3885</v>
      </c>
      <c r="E1061" s="78"/>
      <c r="F1061" s="78"/>
      <c r="G1061" s="78"/>
      <c r="H1061" s="78"/>
      <c r="I1061" s="78"/>
      <c r="J1061" s="78"/>
      <c r="K1061" s="78"/>
      <c r="L1061" s="78"/>
      <c r="M1061" s="78"/>
      <c r="N1061" s="78"/>
      <c r="O1061" s="78"/>
      <c r="P1061" s="78"/>
      <c r="Q1061" s="78"/>
      <c r="R1061" s="78"/>
      <c r="S1061" s="78"/>
      <c r="T1061" s="78"/>
      <c r="U1061" s="78"/>
      <c r="V1061" s="78"/>
      <c r="W1061" s="78"/>
      <c r="X1061" s="78"/>
      <c r="Y1061" s="78"/>
      <c r="Z1061" s="78"/>
      <c r="AA1061" s="78"/>
      <c r="AB1061" s="78"/>
      <c r="AC1061" s="78"/>
      <c r="AD1061" s="78"/>
      <c r="AE1061" s="78"/>
      <c r="AF1061" s="78"/>
      <c r="AG1061" s="78"/>
      <c r="AH1061" s="78"/>
      <c r="AI1061" s="78"/>
      <c r="AJ1061" s="78"/>
      <c r="AK1061" s="78"/>
    </row>
    <row r="1062" spans="1:37">
      <c r="A1062" s="78"/>
      <c r="B1062" s="216"/>
      <c r="C1062" s="78"/>
      <c r="D1062" s="211" t="s">
        <v>3886</v>
      </c>
      <c r="E1062" s="78"/>
      <c r="F1062" s="78"/>
      <c r="G1062" s="78"/>
      <c r="H1062" s="78"/>
      <c r="I1062" s="78"/>
      <c r="J1062" s="78"/>
      <c r="K1062" s="78"/>
      <c r="L1062" s="78"/>
      <c r="M1062" s="78"/>
      <c r="N1062" s="78"/>
      <c r="O1062" s="78"/>
      <c r="P1062" s="78"/>
      <c r="Q1062" s="78"/>
      <c r="R1062" s="78"/>
      <c r="S1062" s="78"/>
      <c r="T1062" s="78"/>
      <c r="U1062" s="78"/>
      <c r="V1062" s="78"/>
      <c r="W1062" s="78"/>
      <c r="X1062" s="78"/>
      <c r="Y1062" s="78"/>
      <c r="Z1062" s="78"/>
      <c r="AA1062" s="78"/>
      <c r="AB1062" s="78"/>
      <c r="AC1062" s="78"/>
      <c r="AD1062" s="78"/>
      <c r="AE1062" s="78"/>
      <c r="AF1062" s="78"/>
      <c r="AG1062" s="78"/>
      <c r="AH1062" s="78"/>
      <c r="AI1062" s="78"/>
      <c r="AJ1062" s="78"/>
      <c r="AK1062" s="78"/>
    </row>
    <row r="1063" spans="1:37">
      <c r="A1063" s="78"/>
      <c r="B1063" s="216"/>
      <c r="C1063" s="78"/>
      <c r="D1063" s="211" t="s">
        <v>3887</v>
      </c>
      <c r="E1063" s="78"/>
      <c r="F1063" s="78"/>
      <c r="G1063" s="78"/>
      <c r="H1063" s="78"/>
      <c r="I1063" s="78"/>
      <c r="J1063" s="78"/>
      <c r="K1063" s="78"/>
      <c r="L1063" s="78"/>
      <c r="M1063" s="78"/>
      <c r="N1063" s="78"/>
      <c r="O1063" s="78"/>
      <c r="P1063" s="78"/>
      <c r="Q1063" s="78"/>
      <c r="R1063" s="78"/>
      <c r="S1063" s="78"/>
      <c r="T1063" s="78"/>
      <c r="U1063" s="78"/>
      <c r="V1063" s="78"/>
      <c r="W1063" s="78"/>
      <c r="X1063" s="78"/>
      <c r="Y1063" s="78"/>
      <c r="Z1063" s="78"/>
      <c r="AA1063" s="78"/>
      <c r="AB1063" s="78"/>
      <c r="AC1063" s="78"/>
      <c r="AD1063" s="78"/>
      <c r="AE1063" s="78"/>
      <c r="AF1063" s="78"/>
      <c r="AG1063" s="78"/>
      <c r="AH1063" s="78"/>
      <c r="AI1063" s="78"/>
      <c r="AJ1063" s="78"/>
      <c r="AK1063" s="78"/>
    </row>
    <row r="1064" spans="1:37">
      <c r="A1064" s="78"/>
      <c r="B1064" s="216"/>
      <c r="C1064" s="78"/>
      <c r="D1064" s="211" t="s">
        <v>3888</v>
      </c>
      <c r="E1064" s="78"/>
      <c r="F1064" s="78"/>
      <c r="G1064" s="78"/>
      <c r="H1064" s="78"/>
      <c r="I1064" s="78"/>
      <c r="J1064" s="78"/>
      <c r="K1064" s="78"/>
      <c r="L1064" s="78"/>
      <c r="M1064" s="78"/>
      <c r="N1064" s="78"/>
      <c r="O1064" s="78"/>
      <c r="P1064" s="78"/>
      <c r="Q1064" s="78"/>
      <c r="R1064" s="78"/>
      <c r="S1064" s="78"/>
      <c r="T1064" s="78"/>
      <c r="U1064" s="78"/>
      <c r="V1064" s="78"/>
      <c r="W1064" s="78"/>
      <c r="X1064" s="78"/>
      <c r="Y1064" s="78"/>
      <c r="Z1064" s="78"/>
      <c r="AA1064" s="78"/>
      <c r="AB1064" s="78"/>
      <c r="AC1064" s="78"/>
      <c r="AD1064" s="78"/>
      <c r="AE1064" s="78"/>
      <c r="AF1064" s="78"/>
      <c r="AG1064" s="78"/>
      <c r="AH1064" s="78"/>
      <c r="AI1064" s="78"/>
      <c r="AJ1064" s="78"/>
      <c r="AK1064" s="78"/>
    </row>
    <row r="1065" spans="1:37">
      <c r="A1065" s="78"/>
      <c r="B1065" s="216"/>
      <c r="C1065" s="78"/>
      <c r="D1065" s="211" t="s">
        <v>3889</v>
      </c>
      <c r="E1065" s="78"/>
      <c r="F1065" s="78"/>
      <c r="G1065" s="78"/>
      <c r="H1065" s="78"/>
      <c r="I1065" s="78"/>
      <c r="J1065" s="78"/>
      <c r="K1065" s="78"/>
      <c r="L1065" s="78"/>
      <c r="M1065" s="78"/>
      <c r="N1065" s="78"/>
      <c r="O1065" s="78"/>
      <c r="P1065" s="78"/>
      <c r="Q1065" s="78"/>
      <c r="R1065" s="78"/>
      <c r="S1065" s="78"/>
      <c r="T1065" s="78"/>
      <c r="U1065" s="78"/>
      <c r="V1065" s="78"/>
      <c r="W1065" s="78"/>
      <c r="X1065" s="78"/>
      <c r="Y1065" s="78"/>
      <c r="Z1065" s="78"/>
      <c r="AA1065" s="78"/>
      <c r="AB1065" s="78"/>
      <c r="AC1065" s="78"/>
      <c r="AD1065" s="78"/>
      <c r="AE1065" s="78"/>
      <c r="AF1065" s="78"/>
      <c r="AG1065" s="78"/>
      <c r="AH1065" s="78"/>
      <c r="AI1065" s="78"/>
      <c r="AJ1065" s="78"/>
      <c r="AK1065" s="78"/>
    </row>
    <row r="1066" spans="1:37">
      <c r="A1066" s="78"/>
      <c r="B1066" s="216"/>
      <c r="C1066" s="78"/>
      <c r="D1066" s="211" t="s">
        <v>3890</v>
      </c>
      <c r="E1066" s="78"/>
      <c r="F1066" s="78"/>
      <c r="G1066" s="78"/>
      <c r="H1066" s="78"/>
      <c r="I1066" s="78"/>
      <c r="J1066" s="78"/>
      <c r="K1066" s="78"/>
      <c r="L1066" s="78"/>
      <c r="M1066" s="78"/>
      <c r="N1066" s="78"/>
      <c r="O1066" s="78"/>
      <c r="P1066" s="78"/>
      <c r="Q1066" s="78"/>
      <c r="R1066" s="78"/>
      <c r="S1066" s="78"/>
      <c r="T1066" s="78"/>
      <c r="U1066" s="78"/>
      <c r="V1066" s="78"/>
      <c r="W1066" s="78"/>
      <c r="X1066" s="78"/>
      <c r="Y1066" s="78"/>
      <c r="Z1066" s="78"/>
      <c r="AA1066" s="78"/>
      <c r="AB1066" s="78"/>
      <c r="AC1066" s="78"/>
      <c r="AD1066" s="78"/>
      <c r="AE1066" s="78"/>
      <c r="AF1066" s="78"/>
      <c r="AG1066" s="78"/>
      <c r="AH1066" s="78"/>
      <c r="AI1066" s="78"/>
      <c r="AJ1066" s="78"/>
      <c r="AK1066" s="78"/>
    </row>
    <row r="1067" spans="1:37">
      <c r="A1067" s="78"/>
      <c r="B1067" s="216"/>
      <c r="C1067" s="78"/>
      <c r="D1067" s="211" t="s">
        <v>3891</v>
      </c>
      <c r="E1067" s="78"/>
      <c r="F1067" s="78"/>
      <c r="G1067" s="78"/>
      <c r="H1067" s="78"/>
      <c r="I1067" s="78"/>
      <c r="J1067" s="78"/>
      <c r="K1067" s="78"/>
      <c r="L1067" s="78"/>
      <c r="M1067" s="78"/>
      <c r="N1067" s="78"/>
      <c r="O1067" s="78"/>
      <c r="P1067" s="78"/>
      <c r="Q1067" s="78"/>
      <c r="R1067" s="78"/>
      <c r="S1067" s="78"/>
      <c r="T1067" s="78"/>
      <c r="U1067" s="78"/>
      <c r="V1067" s="78"/>
      <c r="W1067" s="78"/>
      <c r="X1067" s="78"/>
      <c r="Y1067" s="78"/>
      <c r="Z1067" s="78"/>
      <c r="AA1067" s="78"/>
      <c r="AB1067" s="78"/>
      <c r="AC1067" s="78"/>
      <c r="AD1067" s="78"/>
      <c r="AE1067" s="78"/>
      <c r="AF1067" s="78"/>
      <c r="AG1067" s="78"/>
      <c r="AH1067" s="78"/>
      <c r="AI1067" s="78"/>
      <c r="AJ1067" s="78"/>
      <c r="AK1067" s="78"/>
    </row>
    <row r="1068" spans="1:37">
      <c r="A1068" s="78"/>
      <c r="B1068" s="216"/>
      <c r="C1068" s="78"/>
      <c r="D1068" s="211" t="s">
        <v>3892</v>
      </c>
      <c r="E1068" s="78"/>
      <c r="F1068" s="78"/>
      <c r="G1068" s="78"/>
      <c r="H1068" s="78"/>
      <c r="I1068" s="78"/>
      <c r="J1068" s="78"/>
      <c r="K1068" s="78"/>
      <c r="L1068" s="78"/>
      <c r="M1068" s="78"/>
      <c r="N1068" s="78"/>
      <c r="O1068" s="78"/>
      <c r="P1068" s="78"/>
      <c r="Q1068" s="78"/>
      <c r="R1068" s="78"/>
      <c r="S1068" s="78"/>
      <c r="T1068" s="78"/>
      <c r="U1068" s="78"/>
      <c r="V1068" s="78"/>
      <c r="W1068" s="78"/>
      <c r="X1068" s="78"/>
      <c r="Y1068" s="78"/>
      <c r="Z1068" s="78"/>
      <c r="AA1068" s="78"/>
      <c r="AB1068" s="78"/>
      <c r="AC1068" s="78"/>
      <c r="AD1068" s="78"/>
      <c r="AE1068" s="78"/>
      <c r="AF1068" s="78"/>
      <c r="AG1068" s="78"/>
      <c r="AH1068" s="78"/>
      <c r="AI1068" s="78"/>
      <c r="AJ1068" s="78"/>
      <c r="AK1068" s="78"/>
    </row>
    <row r="1069" spans="1:37">
      <c r="A1069" s="78"/>
      <c r="B1069" s="216"/>
      <c r="C1069" s="78"/>
      <c r="D1069" s="211" t="s">
        <v>3893</v>
      </c>
      <c r="E1069" s="78"/>
      <c r="F1069" s="78"/>
      <c r="G1069" s="78"/>
      <c r="H1069" s="78"/>
      <c r="I1069" s="78"/>
      <c r="J1069" s="78"/>
      <c r="K1069" s="78"/>
      <c r="L1069" s="78"/>
      <c r="M1069" s="78"/>
      <c r="N1069" s="78"/>
      <c r="O1069" s="78"/>
      <c r="P1069" s="78"/>
      <c r="Q1069" s="78"/>
      <c r="R1069" s="78"/>
      <c r="S1069" s="78"/>
      <c r="T1069" s="78"/>
      <c r="U1069" s="78"/>
      <c r="V1069" s="78"/>
      <c r="W1069" s="78"/>
      <c r="X1069" s="78"/>
      <c r="Y1069" s="78"/>
      <c r="Z1069" s="78"/>
      <c r="AA1069" s="78"/>
      <c r="AB1069" s="78"/>
      <c r="AC1069" s="78"/>
      <c r="AD1069" s="78"/>
      <c r="AE1069" s="78"/>
      <c r="AF1069" s="78"/>
      <c r="AG1069" s="78"/>
      <c r="AH1069" s="78"/>
      <c r="AI1069" s="78"/>
      <c r="AJ1069" s="78"/>
      <c r="AK1069" s="78"/>
    </row>
    <row r="1070" spans="1:37">
      <c r="A1070" s="78"/>
      <c r="B1070" s="216"/>
      <c r="C1070" s="78"/>
      <c r="D1070" s="211" t="s">
        <v>3894</v>
      </c>
      <c r="E1070" s="78"/>
      <c r="F1070" s="78"/>
      <c r="G1070" s="78"/>
      <c r="H1070" s="78"/>
      <c r="I1070" s="78"/>
      <c r="J1070" s="78"/>
      <c r="K1070" s="78"/>
      <c r="L1070" s="78"/>
      <c r="M1070" s="78"/>
      <c r="N1070" s="78"/>
      <c r="O1070" s="78"/>
      <c r="P1070" s="78"/>
      <c r="Q1070" s="78"/>
      <c r="R1070" s="78"/>
      <c r="S1070" s="78"/>
      <c r="T1070" s="78"/>
      <c r="U1070" s="78"/>
      <c r="V1070" s="78"/>
      <c r="W1070" s="78"/>
      <c r="X1070" s="78"/>
      <c r="Y1070" s="78"/>
      <c r="Z1070" s="78"/>
      <c r="AA1070" s="78"/>
      <c r="AB1070" s="78"/>
      <c r="AC1070" s="78"/>
      <c r="AD1070" s="78"/>
      <c r="AE1070" s="78"/>
      <c r="AF1070" s="78"/>
      <c r="AG1070" s="78"/>
      <c r="AH1070" s="78"/>
      <c r="AI1070" s="78"/>
      <c r="AJ1070" s="78"/>
      <c r="AK1070" s="78"/>
    </row>
    <row r="1071" spans="1:37">
      <c r="A1071" s="78"/>
      <c r="B1071" s="78"/>
      <c r="C1071" s="78"/>
      <c r="D1071" s="78"/>
      <c r="E1071" s="78"/>
      <c r="F1071" s="78"/>
      <c r="G1071" s="78"/>
      <c r="H1071" s="78"/>
      <c r="I1071" s="78"/>
      <c r="J1071" s="78"/>
      <c r="K1071" s="78"/>
      <c r="L1071" s="78"/>
      <c r="M1071" s="78"/>
      <c r="N1071" s="78"/>
      <c r="O1071" s="78"/>
      <c r="P1071" s="78"/>
      <c r="Q1071" s="78"/>
      <c r="R1071" s="78"/>
      <c r="S1071" s="78"/>
      <c r="T1071" s="78"/>
      <c r="U1071" s="78"/>
      <c r="V1071" s="78"/>
      <c r="W1071" s="78"/>
      <c r="X1071" s="78"/>
      <c r="Y1071" s="78"/>
      <c r="Z1071" s="78"/>
      <c r="AA1071" s="78"/>
      <c r="AB1071" s="78"/>
      <c r="AC1071" s="78"/>
      <c r="AD1071" s="78"/>
      <c r="AE1071" s="78"/>
      <c r="AF1071" s="78"/>
      <c r="AG1071" s="78"/>
      <c r="AH1071" s="78"/>
      <c r="AI1071" s="78"/>
      <c r="AJ1071" s="78"/>
      <c r="AK1071" s="78"/>
    </row>
    <row r="1072" spans="1:37">
      <c r="A1072" s="78"/>
      <c r="B1072" s="232" t="s">
        <v>2595</v>
      </c>
      <c r="C1072" s="78"/>
      <c r="D1072" s="207" t="s">
        <v>3895</v>
      </c>
      <c r="E1072" s="78"/>
      <c r="F1072" s="78"/>
      <c r="G1072" s="78"/>
      <c r="H1072" s="78"/>
      <c r="I1072" s="78"/>
      <c r="J1072" s="78"/>
      <c r="K1072" s="78"/>
      <c r="L1072" s="78"/>
      <c r="M1072" s="78"/>
      <c r="N1072" s="78"/>
      <c r="O1072" s="78"/>
      <c r="P1072" s="78"/>
      <c r="Q1072" s="78"/>
      <c r="R1072" s="78"/>
      <c r="S1072" s="78"/>
      <c r="T1072" s="78"/>
      <c r="U1072" s="78"/>
      <c r="V1072" s="78"/>
      <c r="W1072" s="78"/>
      <c r="X1072" s="78"/>
      <c r="Y1072" s="78"/>
      <c r="Z1072" s="78"/>
      <c r="AA1072" s="78"/>
      <c r="AB1072" s="78"/>
      <c r="AC1072" s="78"/>
      <c r="AD1072" s="78"/>
      <c r="AE1072" s="78"/>
      <c r="AF1072" s="78"/>
      <c r="AG1072" s="78"/>
      <c r="AH1072" s="78"/>
      <c r="AI1072" s="78"/>
      <c r="AJ1072" s="78"/>
      <c r="AK1072" s="78"/>
    </row>
    <row r="1073" spans="1:37">
      <c r="A1073" s="78"/>
      <c r="B1073" s="216"/>
      <c r="C1073" s="78"/>
      <c r="D1073" s="207" t="s">
        <v>3896</v>
      </c>
      <c r="E1073" s="78"/>
      <c r="F1073" s="78"/>
      <c r="G1073" s="78"/>
      <c r="H1073" s="78"/>
      <c r="I1073" s="78"/>
      <c r="J1073" s="78"/>
      <c r="K1073" s="78"/>
      <c r="L1073" s="78"/>
      <c r="M1073" s="78"/>
      <c r="N1073" s="78"/>
      <c r="O1073" s="78"/>
      <c r="P1073" s="78"/>
      <c r="Q1073" s="78"/>
      <c r="R1073" s="78"/>
      <c r="S1073" s="78"/>
      <c r="T1073" s="78"/>
      <c r="U1073" s="78"/>
      <c r="V1073" s="78"/>
      <c r="W1073" s="78"/>
      <c r="X1073" s="78"/>
      <c r="Y1073" s="78"/>
      <c r="Z1073" s="78"/>
      <c r="AA1073" s="78"/>
      <c r="AB1073" s="78"/>
      <c r="AC1073" s="78"/>
      <c r="AD1073" s="78"/>
      <c r="AE1073" s="78"/>
      <c r="AF1073" s="78"/>
      <c r="AG1073" s="78"/>
      <c r="AH1073" s="78"/>
      <c r="AI1073" s="78"/>
      <c r="AJ1073" s="78"/>
      <c r="AK1073" s="78"/>
    </row>
    <row r="1074" spans="1:37">
      <c r="A1074" s="78"/>
      <c r="B1074" s="216"/>
      <c r="C1074" s="78"/>
      <c r="D1074" s="207" t="s">
        <v>3897</v>
      </c>
      <c r="E1074" s="78"/>
      <c r="F1074" s="78"/>
      <c r="G1074" s="78"/>
      <c r="H1074" s="78"/>
      <c r="I1074" s="78"/>
      <c r="J1074" s="78"/>
      <c r="K1074" s="78"/>
      <c r="L1074" s="78"/>
      <c r="M1074" s="78"/>
      <c r="N1074" s="78"/>
      <c r="O1074" s="78"/>
      <c r="P1074" s="78"/>
      <c r="Q1074" s="78"/>
      <c r="R1074" s="78"/>
      <c r="S1074" s="78"/>
      <c r="T1074" s="78"/>
      <c r="U1074" s="78"/>
      <c r="V1074" s="78"/>
      <c r="W1074" s="78"/>
      <c r="X1074" s="78"/>
      <c r="Y1074" s="78"/>
      <c r="Z1074" s="78"/>
      <c r="AA1074" s="78"/>
      <c r="AB1074" s="78"/>
      <c r="AC1074" s="78"/>
      <c r="AD1074" s="78"/>
      <c r="AE1074" s="78"/>
      <c r="AF1074" s="78"/>
      <c r="AG1074" s="78"/>
      <c r="AH1074" s="78"/>
      <c r="AI1074" s="78"/>
      <c r="AJ1074" s="78"/>
      <c r="AK1074" s="78"/>
    </row>
    <row r="1075" spans="1:37">
      <c r="A1075" s="78"/>
      <c r="B1075" s="216"/>
      <c r="C1075" s="78"/>
      <c r="D1075" s="207" t="s">
        <v>3898</v>
      </c>
      <c r="E1075" s="78"/>
      <c r="F1075" s="78"/>
      <c r="G1075" s="78"/>
      <c r="H1075" s="78"/>
      <c r="I1075" s="78"/>
      <c r="J1075" s="78"/>
      <c r="K1075" s="78"/>
      <c r="L1075" s="78"/>
      <c r="M1075" s="78"/>
      <c r="N1075" s="78"/>
      <c r="O1075" s="78"/>
      <c r="P1075" s="78"/>
      <c r="Q1075" s="78"/>
      <c r="R1075" s="78"/>
      <c r="S1075" s="78"/>
      <c r="T1075" s="78"/>
      <c r="U1075" s="78"/>
      <c r="V1075" s="78"/>
      <c r="W1075" s="78"/>
      <c r="X1075" s="78"/>
      <c r="Y1075" s="78"/>
      <c r="Z1075" s="78"/>
      <c r="AA1075" s="78"/>
      <c r="AB1075" s="78"/>
      <c r="AC1075" s="78"/>
      <c r="AD1075" s="78"/>
      <c r="AE1075" s="78"/>
      <c r="AF1075" s="78"/>
      <c r="AG1075" s="78"/>
      <c r="AH1075" s="78"/>
      <c r="AI1075" s="78"/>
      <c r="AJ1075" s="78"/>
      <c r="AK1075" s="78"/>
    </row>
    <row r="1076" spans="1:37">
      <c r="A1076" s="78"/>
      <c r="B1076" s="216"/>
      <c r="C1076" s="78"/>
      <c r="D1076" s="207" t="s">
        <v>3746</v>
      </c>
      <c r="E1076" s="78"/>
      <c r="F1076" s="78"/>
      <c r="G1076" s="78"/>
      <c r="H1076" s="78"/>
      <c r="I1076" s="78"/>
      <c r="J1076" s="78"/>
      <c r="K1076" s="78"/>
      <c r="L1076" s="78"/>
      <c r="M1076" s="78"/>
      <c r="N1076" s="78"/>
      <c r="O1076" s="78"/>
      <c r="P1076" s="78"/>
      <c r="Q1076" s="78"/>
      <c r="R1076" s="78"/>
      <c r="S1076" s="78"/>
      <c r="T1076" s="78"/>
      <c r="U1076" s="78"/>
      <c r="V1076" s="78"/>
      <c r="W1076" s="78"/>
      <c r="X1076" s="78"/>
      <c r="Y1076" s="78"/>
      <c r="Z1076" s="78"/>
      <c r="AA1076" s="78"/>
      <c r="AB1076" s="78"/>
      <c r="AC1076" s="78"/>
      <c r="AD1076" s="78"/>
      <c r="AE1076" s="78"/>
      <c r="AF1076" s="78"/>
      <c r="AG1076" s="78"/>
      <c r="AH1076" s="78"/>
      <c r="AI1076" s="78"/>
      <c r="AJ1076" s="78"/>
      <c r="AK1076" s="78"/>
    </row>
    <row r="1077" spans="1:37">
      <c r="A1077" s="78"/>
      <c r="B1077" s="216"/>
      <c r="C1077" s="78"/>
      <c r="D1077" s="207" t="s">
        <v>3899</v>
      </c>
      <c r="E1077" s="78"/>
      <c r="F1077" s="78"/>
      <c r="G1077" s="78"/>
      <c r="H1077" s="78"/>
      <c r="I1077" s="78"/>
      <c r="J1077" s="78"/>
      <c r="K1077" s="78"/>
      <c r="L1077" s="78"/>
      <c r="M1077" s="78"/>
      <c r="N1077" s="78"/>
      <c r="O1077" s="78"/>
      <c r="P1077" s="78"/>
      <c r="Q1077" s="78"/>
      <c r="R1077" s="78"/>
      <c r="S1077" s="78"/>
      <c r="T1077" s="78"/>
      <c r="U1077" s="78"/>
      <c r="V1077" s="78"/>
      <c r="W1077" s="78"/>
      <c r="X1077" s="78"/>
      <c r="Y1077" s="78"/>
      <c r="Z1077" s="78"/>
      <c r="AA1077" s="78"/>
      <c r="AB1077" s="78"/>
      <c r="AC1077" s="78"/>
      <c r="AD1077" s="78"/>
      <c r="AE1077" s="78"/>
      <c r="AF1077" s="78"/>
      <c r="AG1077" s="78"/>
      <c r="AH1077" s="78"/>
      <c r="AI1077" s="78"/>
      <c r="AJ1077" s="78"/>
      <c r="AK1077" s="78"/>
    </row>
    <row r="1078" spans="1:37">
      <c r="A1078" s="78"/>
      <c r="B1078" s="216"/>
      <c r="C1078" s="78"/>
      <c r="D1078" s="207" t="s">
        <v>3900</v>
      </c>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78"/>
      <c r="AA1078" s="78"/>
      <c r="AB1078" s="78"/>
      <c r="AC1078" s="78"/>
      <c r="AD1078" s="78"/>
      <c r="AE1078" s="78"/>
      <c r="AF1078" s="78"/>
      <c r="AG1078" s="78"/>
      <c r="AH1078" s="78"/>
      <c r="AI1078" s="78"/>
      <c r="AJ1078" s="78"/>
      <c r="AK1078" s="78"/>
    </row>
    <row r="1079" spans="1:37">
      <c r="A1079" s="78"/>
      <c r="B1079" s="216"/>
      <c r="C1079" s="78"/>
      <c r="D1079" s="207" t="s">
        <v>3901</v>
      </c>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c r="AA1079" s="78"/>
      <c r="AB1079" s="78"/>
      <c r="AC1079" s="78"/>
      <c r="AD1079" s="78"/>
      <c r="AE1079" s="78"/>
      <c r="AF1079" s="78"/>
      <c r="AG1079" s="78"/>
      <c r="AH1079" s="78"/>
      <c r="AI1079" s="78"/>
      <c r="AJ1079" s="78"/>
      <c r="AK1079" s="78"/>
    </row>
    <row r="1080" spans="1:37">
      <c r="A1080" s="78"/>
      <c r="B1080" s="216"/>
      <c r="C1080" s="78"/>
      <c r="D1080" s="207" t="s">
        <v>3902</v>
      </c>
      <c r="E1080" s="78"/>
      <c r="F1080" s="78"/>
      <c r="G1080" s="78"/>
      <c r="H1080" s="78"/>
      <c r="I1080" s="78"/>
      <c r="J1080" s="78"/>
      <c r="K1080" s="78"/>
      <c r="L1080" s="78"/>
      <c r="M1080" s="78"/>
      <c r="N1080" s="78"/>
      <c r="O1080" s="78"/>
      <c r="P1080" s="78"/>
      <c r="Q1080" s="78"/>
      <c r="R1080" s="78"/>
      <c r="S1080" s="78"/>
      <c r="T1080" s="78"/>
      <c r="U1080" s="78"/>
      <c r="V1080" s="78"/>
      <c r="W1080" s="78"/>
      <c r="X1080" s="78"/>
      <c r="Y1080" s="78"/>
      <c r="Z1080" s="78"/>
      <c r="AA1080" s="78"/>
      <c r="AB1080" s="78"/>
      <c r="AC1080" s="78"/>
      <c r="AD1080" s="78"/>
      <c r="AE1080" s="78"/>
      <c r="AF1080" s="78"/>
      <c r="AG1080" s="78"/>
      <c r="AH1080" s="78"/>
      <c r="AI1080" s="78"/>
      <c r="AJ1080" s="78"/>
      <c r="AK1080" s="78"/>
    </row>
    <row r="1081" spans="1:37">
      <c r="A1081" s="78"/>
      <c r="B1081" s="216"/>
      <c r="C1081" s="78"/>
      <c r="D1081" s="207" t="s">
        <v>3903</v>
      </c>
      <c r="E1081" s="78"/>
      <c r="F1081" s="78"/>
      <c r="G1081" s="78"/>
      <c r="H1081" s="78"/>
      <c r="I1081" s="78"/>
      <c r="J1081" s="78"/>
      <c r="K1081" s="78"/>
      <c r="L1081" s="78"/>
      <c r="M1081" s="78"/>
      <c r="N1081" s="78"/>
      <c r="O1081" s="78"/>
      <c r="P1081" s="78"/>
      <c r="Q1081" s="78"/>
      <c r="R1081" s="78"/>
      <c r="S1081" s="78"/>
      <c r="T1081" s="78"/>
      <c r="U1081" s="78"/>
      <c r="V1081" s="78"/>
      <c r="W1081" s="78"/>
      <c r="X1081" s="78"/>
      <c r="Y1081" s="78"/>
      <c r="Z1081" s="78"/>
      <c r="AA1081" s="78"/>
      <c r="AB1081" s="78"/>
      <c r="AC1081" s="78"/>
      <c r="AD1081" s="78"/>
      <c r="AE1081" s="78"/>
      <c r="AF1081" s="78"/>
      <c r="AG1081" s="78"/>
      <c r="AH1081" s="78"/>
      <c r="AI1081" s="78"/>
      <c r="AJ1081" s="78"/>
      <c r="AK1081" s="78"/>
    </row>
    <row r="1082" spans="1:37">
      <c r="A1082" s="78"/>
      <c r="B1082" s="216"/>
      <c r="C1082" s="78"/>
      <c r="D1082" s="207" t="s">
        <v>3904</v>
      </c>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78"/>
      <c r="AA1082" s="78"/>
      <c r="AB1082" s="78"/>
      <c r="AC1082" s="78"/>
      <c r="AD1082" s="78"/>
      <c r="AE1082" s="78"/>
      <c r="AF1082" s="78"/>
      <c r="AG1082" s="78"/>
      <c r="AH1082" s="78"/>
      <c r="AI1082" s="78"/>
      <c r="AJ1082" s="78"/>
      <c r="AK1082" s="78"/>
    </row>
    <row r="1083" spans="1:37">
      <c r="A1083" s="78"/>
      <c r="B1083" s="216"/>
      <c r="C1083" s="78"/>
      <c r="D1083" s="207" t="s">
        <v>3905</v>
      </c>
      <c r="E1083" s="78"/>
      <c r="F1083" s="78"/>
      <c r="G1083" s="78"/>
      <c r="H1083" s="78"/>
      <c r="I1083" s="78"/>
      <c r="J1083" s="78"/>
      <c r="K1083" s="78"/>
      <c r="L1083" s="78"/>
      <c r="M1083" s="78"/>
      <c r="N1083" s="78"/>
      <c r="O1083" s="78"/>
      <c r="P1083" s="78"/>
      <c r="Q1083" s="78"/>
      <c r="R1083" s="78"/>
      <c r="S1083" s="78"/>
      <c r="T1083" s="78"/>
      <c r="U1083" s="78"/>
      <c r="V1083" s="78"/>
      <c r="W1083" s="78"/>
      <c r="X1083" s="78"/>
      <c r="Y1083" s="78"/>
      <c r="Z1083" s="78"/>
      <c r="AA1083" s="78"/>
      <c r="AB1083" s="78"/>
      <c r="AC1083" s="78"/>
      <c r="AD1083" s="78"/>
      <c r="AE1083" s="78"/>
      <c r="AF1083" s="78"/>
      <c r="AG1083" s="78"/>
      <c r="AH1083" s="78"/>
      <c r="AI1083" s="78"/>
      <c r="AJ1083" s="78"/>
      <c r="AK1083" s="78"/>
    </row>
    <row r="1084" spans="1:37">
      <c r="A1084" s="78"/>
      <c r="B1084" s="216"/>
      <c r="C1084" s="78"/>
      <c r="D1084" s="207" t="s">
        <v>3906</v>
      </c>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c r="AA1084" s="78"/>
      <c r="AB1084" s="78"/>
      <c r="AC1084" s="78"/>
      <c r="AD1084" s="78"/>
      <c r="AE1084" s="78"/>
      <c r="AF1084" s="78"/>
      <c r="AG1084" s="78"/>
      <c r="AH1084" s="78"/>
      <c r="AI1084" s="78"/>
      <c r="AJ1084" s="78"/>
      <c r="AK1084" s="78"/>
    </row>
    <row r="1085" spans="1:37">
      <c r="A1085" s="78"/>
      <c r="B1085" s="216"/>
      <c r="C1085" s="78"/>
      <c r="D1085" s="207" t="s">
        <v>3907</v>
      </c>
      <c r="E1085" s="78"/>
      <c r="F1085" s="78"/>
      <c r="G1085" s="78"/>
      <c r="H1085" s="78"/>
      <c r="I1085" s="78"/>
      <c r="J1085" s="78"/>
      <c r="K1085" s="78"/>
      <c r="L1085" s="78"/>
      <c r="M1085" s="78"/>
      <c r="N1085" s="78"/>
      <c r="O1085" s="78"/>
      <c r="P1085" s="78"/>
      <c r="Q1085" s="78"/>
      <c r="R1085" s="78"/>
      <c r="S1085" s="78"/>
      <c r="T1085" s="78"/>
      <c r="U1085" s="78"/>
      <c r="V1085" s="78"/>
      <c r="W1085" s="78"/>
      <c r="X1085" s="78"/>
      <c r="Y1085" s="78"/>
      <c r="Z1085" s="78"/>
      <c r="AA1085" s="78"/>
      <c r="AB1085" s="78"/>
      <c r="AC1085" s="78"/>
      <c r="AD1085" s="78"/>
      <c r="AE1085" s="78"/>
      <c r="AF1085" s="78"/>
      <c r="AG1085" s="78"/>
      <c r="AH1085" s="78"/>
      <c r="AI1085" s="78"/>
      <c r="AJ1085" s="78"/>
      <c r="AK1085" s="78"/>
    </row>
    <row r="1086" spans="1:37">
      <c r="A1086" s="78"/>
      <c r="B1086" s="78"/>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c r="AA1086" s="78"/>
      <c r="AB1086" s="78"/>
      <c r="AC1086" s="78"/>
      <c r="AD1086" s="78"/>
      <c r="AE1086" s="78"/>
      <c r="AF1086" s="78"/>
      <c r="AG1086" s="78"/>
      <c r="AH1086" s="78"/>
      <c r="AI1086" s="78"/>
      <c r="AJ1086" s="78"/>
      <c r="AK1086" s="78"/>
    </row>
    <row r="1087" spans="1:37">
      <c r="A1087" s="78"/>
      <c r="B1087" s="235" t="s">
        <v>1014</v>
      </c>
      <c r="C1087" s="78"/>
      <c r="D1087" s="207" t="s">
        <v>1027</v>
      </c>
      <c r="E1087" s="78"/>
      <c r="F1087" s="78"/>
      <c r="G1087" s="78"/>
      <c r="H1087" s="78"/>
      <c r="I1087" s="78"/>
      <c r="J1087" s="78"/>
      <c r="K1087" s="78"/>
      <c r="L1087" s="78"/>
      <c r="M1087" s="78"/>
      <c r="N1087" s="78"/>
      <c r="O1087" s="78"/>
      <c r="P1087" s="78"/>
      <c r="Q1087" s="78"/>
      <c r="R1087" s="78"/>
      <c r="S1087" s="78"/>
      <c r="T1087" s="78"/>
      <c r="U1087" s="78"/>
      <c r="V1087" s="78"/>
      <c r="W1087" s="78"/>
      <c r="X1087" s="78"/>
      <c r="Y1087" s="78"/>
      <c r="Z1087" s="78"/>
      <c r="AA1087" s="78"/>
      <c r="AB1087" s="78"/>
      <c r="AC1087" s="78"/>
      <c r="AD1087" s="78"/>
      <c r="AE1087" s="78"/>
      <c r="AF1087" s="78"/>
      <c r="AG1087" s="78"/>
      <c r="AH1087" s="78"/>
      <c r="AI1087" s="78"/>
      <c r="AJ1087" s="78"/>
      <c r="AK1087" s="78"/>
    </row>
    <row r="1088" spans="1:37">
      <c r="A1088" s="78"/>
      <c r="B1088" s="216"/>
      <c r="C1088" s="78"/>
      <c r="D1088" s="207" t="s">
        <v>3908</v>
      </c>
      <c r="E1088" s="78"/>
      <c r="F1088" s="78"/>
      <c r="G1088" s="78"/>
      <c r="H1088" s="78"/>
      <c r="I1088" s="78"/>
      <c r="J1088" s="78"/>
      <c r="K1088" s="78"/>
      <c r="L1088" s="78"/>
      <c r="M1088" s="78"/>
      <c r="N1088" s="78"/>
      <c r="O1088" s="78"/>
      <c r="P1088" s="78"/>
      <c r="Q1088" s="78"/>
      <c r="R1088" s="78"/>
      <c r="S1088" s="78"/>
      <c r="T1088" s="78"/>
      <c r="U1088" s="78"/>
      <c r="V1088" s="78"/>
      <c r="W1088" s="78"/>
      <c r="X1088" s="78"/>
      <c r="Y1088" s="78"/>
      <c r="Z1088" s="78"/>
      <c r="AA1088" s="78"/>
      <c r="AB1088" s="78"/>
      <c r="AC1088" s="78"/>
      <c r="AD1088" s="78"/>
      <c r="AE1088" s="78"/>
      <c r="AF1088" s="78"/>
      <c r="AG1088" s="78"/>
      <c r="AH1088" s="78"/>
      <c r="AI1088" s="78"/>
      <c r="AJ1088" s="78"/>
      <c r="AK1088" s="78"/>
    </row>
    <row r="1089" spans="1:37">
      <c r="A1089" s="78"/>
      <c r="B1089" s="216"/>
      <c r="C1089" s="78"/>
      <c r="D1089" s="207" t="s">
        <v>3909</v>
      </c>
      <c r="E1089" s="78"/>
      <c r="F1089" s="78"/>
      <c r="G1089" s="78"/>
      <c r="H1089" s="78"/>
      <c r="I1089" s="78"/>
      <c r="J1089" s="78"/>
      <c r="K1089" s="78"/>
      <c r="L1089" s="78"/>
      <c r="M1089" s="78"/>
      <c r="N1089" s="78"/>
      <c r="O1089" s="78"/>
      <c r="P1089" s="78"/>
      <c r="Q1089" s="78"/>
      <c r="R1089" s="78"/>
      <c r="S1089" s="78"/>
      <c r="T1089" s="78"/>
      <c r="U1089" s="78"/>
      <c r="V1089" s="78"/>
      <c r="W1089" s="78"/>
      <c r="X1089" s="78"/>
      <c r="Y1089" s="78"/>
      <c r="Z1089" s="78"/>
      <c r="AA1089" s="78"/>
      <c r="AB1089" s="78"/>
      <c r="AC1089" s="78"/>
      <c r="AD1089" s="78"/>
      <c r="AE1089" s="78"/>
      <c r="AF1089" s="78"/>
      <c r="AG1089" s="78"/>
      <c r="AH1089" s="78"/>
      <c r="AI1089" s="78"/>
      <c r="AJ1089" s="78"/>
      <c r="AK1089" s="78"/>
    </row>
    <row r="1090" spans="1:37">
      <c r="A1090" s="78"/>
      <c r="B1090" s="216"/>
      <c r="C1090" s="78"/>
      <c r="D1090" s="207" t="s">
        <v>3910</v>
      </c>
      <c r="E1090" s="78"/>
      <c r="F1090" s="78"/>
      <c r="G1090" s="78"/>
      <c r="H1090" s="78"/>
      <c r="I1090" s="78"/>
      <c r="J1090" s="78"/>
      <c r="K1090" s="78"/>
      <c r="L1090" s="78"/>
      <c r="M1090" s="78"/>
      <c r="N1090" s="78"/>
      <c r="O1090" s="78"/>
      <c r="P1090" s="78"/>
      <c r="Q1090" s="78"/>
      <c r="R1090" s="78"/>
      <c r="S1090" s="78"/>
      <c r="T1090" s="78"/>
      <c r="U1090" s="78"/>
      <c r="V1090" s="78"/>
      <c r="W1090" s="78"/>
      <c r="X1090" s="78"/>
      <c r="Y1090" s="78"/>
      <c r="Z1090" s="78"/>
      <c r="AA1090" s="78"/>
      <c r="AB1090" s="78"/>
      <c r="AC1090" s="78"/>
      <c r="AD1090" s="78"/>
      <c r="AE1090" s="78"/>
      <c r="AF1090" s="78"/>
      <c r="AG1090" s="78"/>
      <c r="AH1090" s="78"/>
      <c r="AI1090" s="78"/>
      <c r="AJ1090" s="78"/>
      <c r="AK1090" s="78"/>
    </row>
    <row r="1091" spans="1:37">
      <c r="A1091" s="78"/>
      <c r="B1091" s="216"/>
      <c r="C1091" s="78"/>
      <c r="D1091" s="207" t="s">
        <v>3911</v>
      </c>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c r="AA1091" s="78"/>
      <c r="AB1091" s="78"/>
      <c r="AC1091" s="78"/>
      <c r="AD1091" s="78"/>
      <c r="AE1091" s="78"/>
      <c r="AF1091" s="78"/>
      <c r="AG1091" s="78"/>
      <c r="AH1091" s="78"/>
      <c r="AI1091" s="78"/>
      <c r="AJ1091" s="78"/>
      <c r="AK1091" s="78"/>
    </row>
    <row r="1092" spans="1:37">
      <c r="A1092" s="78"/>
      <c r="B1092" s="216"/>
      <c r="C1092" s="78"/>
      <c r="D1092" s="207" t="s">
        <v>3912</v>
      </c>
      <c r="E1092" s="78"/>
      <c r="F1092" s="78"/>
      <c r="G1092" s="78"/>
      <c r="H1092" s="78"/>
      <c r="I1092" s="78"/>
      <c r="J1092" s="78"/>
      <c r="K1092" s="78"/>
      <c r="L1092" s="78"/>
      <c r="M1092" s="78"/>
      <c r="N1092" s="78"/>
      <c r="O1092" s="78"/>
      <c r="P1092" s="78"/>
      <c r="Q1092" s="78"/>
      <c r="R1092" s="78"/>
      <c r="S1092" s="78"/>
      <c r="T1092" s="78"/>
      <c r="U1092" s="78"/>
      <c r="V1092" s="78"/>
      <c r="W1092" s="78"/>
      <c r="X1092" s="78"/>
      <c r="Y1092" s="78"/>
      <c r="Z1092" s="78"/>
      <c r="AA1092" s="78"/>
      <c r="AB1092" s="78"/>
      <c r="AC1092" s="78"/>
      <c r="AD1092" s="78"/>
      <c r="AE1092" s="78"/>
      <c r="AF1092" s="78"/>
      <c r="AG1092" s="78"/>
      <c r="AH1092" s="78"/>
      <c r="AI1092" s="78"/>
      <c r="AJ1092" s="78"/>
      <c r="AK1092" s="78"/>
    </row>
    <row r="1093" spans="1:37">
      <c r="A1093" s="78"/>
      <c r="B1093" s="78"/>
      <c r="C1093" s="78"/>
      <c r="D1093" s="78"/>
      <c r="E1093" s="78"/>
      <c r="F1093" s="78"/>
      <c r="G1093" s="78"/>
      <c r="H1093" s="78"/>
      <c r="I1093" s="78"/>
      <c r="J1093" s="78"/>
      <c r="K1093" s="78"/>
      <c r="L1093" s="78"/>
      <c r="M1093" s="78"/>
      <c r="N1093" s="78"/>
      <c r="O1093" s="78"/>
      <c r="P1093" s="78"/>
      <c r="Q1093" s="78"/>
      <c r="R1093" s="78"/>
      <c r="S1093" s="78"/>
      <c r="T1093" s="78"/>
      <c r="U1093" s="78"/>
      <c r="V1093" s="78"/>
      <c r="W1093" s="78"/>
      <c r="X1093" s="78"/>
      <c r="Y1093" s="78"/>
      <c r="Z1093" s="78"/>
      <c r="AA1093" s="78"/>
      <c r="AB1093" s="78"/>
      <c r="AC1093" s="78"/>
      <c r="AD1093" s="78"/>
      <c r="AE1093" s="78"/>
      <c r="AF1093" s="78"/>
      <c r="AG1093" s="78"/>
      <c r="AH1093" s="78"/>
      <c r="AI1093" s="78"/>
      <c r="AJ1093" s="78"/>
      <c r="AK1093" s="78"/>
    </row>
    <row r="1094" spans="1:37">
      <c r="A1094" s="78"/>
      <c r="B1094" s="235" t="s">
        <v>1163</v>
      </c>
      <c r="C1094" s="78"/>
      <c r="D1094" s="207" t="s">
        <v>3913</v>
      </c>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c r="AA1094" s="78"/>
      <c r="AB1094" s="78"/>
      <c r="AC1094" s="78"/>
      <c r="AD1094" s="78"/>
      <c r="AE1094" s="78"/>
      <c r="AF1094" s="78"/>
      <c r="AG1094" s="78"/>
      <c r="AH1094" s="78"/>
      <c r="AI1094" s="78"/>
      <c r="AJ1094" s="78"/>
      <c r="AK1094" s="78"/>
    </row>
    <row r="1095" spans="1:37">
      <c r="A1095" s="78"/>
      <c r="B1095" s="216"/>
      <c r="C1095" s="78"/>
      <c r="D1095" s="207" t="s">
        <v>3914</v>
      </c>
      <c r="E1095" s="78"/>
      <c r="F1095" s="78"/>
      <c r="G1095" s="78"/>
      <c r="H1095" s="78"/>
      <c r="I1095" s="78"/>
      <c r="J1095" s="78"/>
      <c r="K1095" s="78"/>
      <c r="L1095" s="78"/>
      <c r="M1095" s="78"/>
      <c r="N1095" s="78"/>
      <c r="O1095" s="78"/>
      <c r="P1095" s="78"/>
      <c r="Q1095" s="78"/>
      <c r="R1095" s="78"/>
      <c r="S1095" s="78"/>
      <c r="T1095" s="78"/>
      <c r="U1095" s="78"/>
      <c r="V1095" s="78"/>
      <c r="W1095" s="78"/>
      <c r="X1095" s="78"/>
      <c r="Y1095" s="78"/>
      <c r="Z1095" s="78"/>
      <c r="AA1095" s="78"/>
      <c r="AB1095" s="78"/>
      <c r="AC1095" s="78"/>
      <c r="AD1095" s="78"/>
      <c r="AE1095" s="78"/>
      <c r="AF1095" s="78"/>
      <c r="AG1095" s="78"/>
      <c r="AH1095" s="78"/>
      <c r="AI1095" s="78"/>
      <c r="AJ1095" s="78"/>
      <c r="AK1095" s="78"/>
    </row>
    <row r="1096" spans="1:37">
      <c r="A1096" s="78"/>
      <c r="B1096" s="216"/>
      <c r="C1096" s="78"/>
      <c r="D1096" s="207" t="s">
        <v>3915</v>
      </c>
      <c r="E1096" s="78"/>
      <c r="F1096" s="78"/>
      <c r="G1096" s="78"/>
      <c r="H1096" s="78"/>
      <c r="I1096" s="78"/>
      <c r="J1096" s="78"/>
      <c r="K1096" s="78"/>
      <c r="L1096" s="78"/>
      <c r="M1096" s="78"/>
      <c r="N1096" s="78"/>
      <c r="O1096" s="78"/>
      <c r="P1096" s="78"/>
      <c r="Q1096" s="78"/>
      <c r="R1096" s="78"/>
      <c r="S1096" s="78"/>
      <c r="T1096" s="78"/>
      <c r="U1096" s="78"/>
      <c r="V1096" s="78"/>
      <c r="W1096" s="78"/>
      <c r="X1096" s="78"/>
      <c r="Y1096" s="78"/>
      <c r="Z1096" s="78"/>
      <c r="AA1096" s="78"/>
      <c r="AB1096" s="78"/>
      <c r="AC1096" s="78"/>
      <c r="AD1096" s="78"/>
      <c r="AE1096" s="78"/>
      <c r="AF1096" s="78"/>
      <c r="AG1096" s="78"/>
      <c r="AH1096" s="78"/>
      <c r="AI1096" s="78"/>
      <c r="AJ1096" s="78"/>
      <c r="AK1096" s="78"/>
    </row>
    <row r="1097" spans="1:37">
      <c r="A1097" s="78"/>
      <c r="B1097" s="216"/>
      <c r="C1097" s="78"/>
      <c r="D1097" s="207" t="s">
        <v>3916</v>
      </c>
      <c r="E1097" s="78"/>
      <c r="F1097" s="78"/>
      <c r="G1097" s="78"/>
      <c r="H1097" s="78"/>
      <c r="I1097" s="78"/>
      <c r="J1097" s="78"/>
      <c r="K1097" s="78"/>
      <c r="L1097" s="78"/>
      <c r="M1097" s="78"/>
      <c r="N1097" s="78"/>
      <c r="O1097" s="78"/>
      <c r="P1097" s="78"/>
      <c r="Q1097" s="78"/>
      <c r="R1097" s="78"/>
      <c r="S1097" s="78"/>
      <c r="T1097" s="78"/>
      <c r="U1097" s="78"/>
      <c r="V1097" s="78"/>
      <c r="W1097" s="78"/>
      <c r="X1097" s="78"/>
      <c r="Y1097" s="78"/>
      <c r="Z1097" s="78"/>
      <c r="AA1097" s="78"/>
      <c r="AB1097" s="78"/>
      <c r="AC1097" s="78"/>
      <c r="AD1097" s="78"/>
      <c r="AE1097" s="78"/>
      <c r="AF1097" s="78"/>
      <c r="AG1097" s="78"/>
      <c r="AH1097" s="78"/>
      <c r="AI1097" s="78"/>
      <c r="AJ1097" s="78"/>
      <c r="AK1097" s="78"/>
    </row>
    <row r="1098" spans="1:37">
      <c r="A1098" s="78"/>
      <c r="B1098" s="216"/>
      <c r="C1098" s="78"/>
      <c r="D1098" s="207" t="s">
        <v>3917</v>
      </c>
      <c r="E1098" s="78"/>
      <c r="F1098" s="78"/>
      <c r="G1098" s="78"/>
      <c r="H1098" s="78"/>
      <c r="I1098" s="78"/>
      <c r="J1098" s="78"/>
      <c r="K1098" s="78"/>
      <c r="L1098" s="78"/>
      <c r="M1098" s="78"/>
      <c r="N1098" s="78"/>
      <c r="O1098" s="78"/>
      <c r="P1098" s="78"/>
      <c r="Q1098" s="78"/>
      <c r="R1098" s="78"/>
      <c r="S1098" s="78"/>
      <c r="T1098" s="78"/>
      <c r="U1098" s="78"/>
      <c r="V1098" s="78"/>
      <c r="W1098" s="78"/>
      <c r="X1098" s="78"/>
      <c r="Y1098" s="78"/>
      <c r="Z1098" s="78"/>
      <c r="AA1098" s="78"/>
      <c r="AB1098" s="78"/>
      <c r="AC1098" s="78"/>
      <c r="AD1098" s="78"/>
      <c r="AE1098" s="78"/>
      <c r="AF1098" s="78"/>
      <c r="AG1098" s="78"/>
      <c r="AH1098" s="78"/>
      <c r="AI1098" s="78"/>
      <c r="AJ1098" s="78"/>
      <c r="AK1098" s="78"/>
    </row>
    <row r="1099" spans="1:37">
      <c r="A1099" s="78"/>
      <c r="B1099" s="216"/>
      <c r="C1099" s="78"/>
      <c r="D1099" s="207" t="s">
        <v>3918</v>
      </c>
      <c r="E1099" s="78"/>
      <c r="F1099" s="78"/>
      <c r="G1099" s="78"/>
      <c r="H1099" s="78"/>
      <c r="I1099" s="78"/>
      <c r="J1099" s="78"/>
      <c r="K1099" s="78"/>
      <c r="L1099" s="78"/>
      <c r="M1099" s="78"/>
      <c r="N1099" s="78"/>
      <c r="O1099" s="78"/>
      <c r="P1099" s="78"/>
      <c r="Q1099" s="78"/>
      <c r="R1099" s="78"/>
      <c r="S1099" s="78"/>
      <c r="T1099" s="78"/>
      <c r="U1099" s="78"/>
      <c r="V1099" s="78"/>
      <c r="W1099" s="78"/>
      <c r="X1099" s="78"/>
      <c r="Y1099" s="78"/>
      <c r="Z1099" s="78"/>
      <c r="AA1099" s="78"/>
      <c r="AB1099" s="78"/>
      <c r="AC1099" s="78"/>
      <c r="AD1099" s="78"/>
      <c r="AE1099" s="78"/>
      <c r="AF1099" s="78"/>
      <c r="AG1099" s="78"/>
      <c r="AH1099" s="78"/>
      <c r="AI1099" s="78"/>
      <c r="AJ1099" s="78"/>
      <c r="AK1099" s="78"/>
    </row>
    <row r="1100" spans="1:37">
      <c r="A1100" s="78"/>
      <c r="B1100" s="216"/>
      <c r="C1100" s="78"/>
      <c r="D1100" s="207" t="s">
        <v>3919</v>
      </c>
      <c r="E1100" s="78"/>
      <c r="F1100" s="78"/>
      <c r="G1100" s="78"/>
      <c r="H1100" s="78"/>
      <c r="I1100" s="78"/>
      <c r="J1100" s="78"/>
      <c r="K1100" s="78"/>
      <c r="L1100" s="78"/>
      <c r="M1100" s="78"/>
      <c r="N1100" s="78"/>
      <c r="O1100" s="78"/>
      <c r="P1100" s="78"/>
      <c r="Q1100" s="78"/>
      <c r="R1100" s="78"/>
      <c r="S1100" s="78"/>
      <c r="T1100" s="78"/>
      <c r="U1100" s="78"/>
      <c r="V1100" s="78"/>
      <c r="W1100" s="78"/>
      <c r="X1100" s="78"/>
      <c r="Y1100" s="78"/>
      <c r="Z1100" s="78"/>
      <c r="AA1100" s="78"/>
      <c r="AB1100" s="78"/>
      <c r="AC1100" s="78"/>
      <c r="AD1100" s="78"/>
      <c r="AE1100" s="78"/>
      <c r="AF1100" s="78"/>
      <c r="AG1100" s="78"/>
      <c r="AH1100" s="78"/>
      <c r="AI1100" s="78"/>
      <c r="AJ1100" s="78"/>
      <c r="AK1100" s="78"/>
    </row>
    <row r="1101" spans="1:37">
      <c r="A1101" s="78"/>
      <c r="B1101" s="216"/>
      <c r="C1101" s="78"/>
      <c r="D1101" s="207" t="s">
        <v>3920</v>
      </c>
      <c r="E1101" s="78"/>
      <c r="F1101" s="78"/>
      <c r="G1101" s="78"/>
      <c r="H1101" s="78"/>
      <c r="I1101" s="78"/>
      <c r="J1101" s="78"/>
      <c r="K1101" s="78"/>
      <c r="L1101" s="78"/>
      <c r="M1101" s="78"/>
      <c r="N1101" s="78"/>
      <c r="O1101" s="78"/>
      <c r="P1101" s="78"/>
      <c r="Q1101" s="78"/>
      <c r="R1101" s="78"/>
      <c r="S1101" s="78"/>
      <c r="T1101" s="78"/>
      <c r="U1101" s="78"/>
      <c r="V1101" s="78"/>
      <c r="W1101" s="78"/>
      <c r="X1101" s="78"/>
      <c r="Y1101" s="78"/>
      <c r="Z1101" s="78"/>
      <c r="AA1101" s="78"/>
      <c r="AB1101" s="78"/>
      <c r="AC1101" s="78"/>
      <c r="AD1101" s="78"/>
      <c r="AE1101" s="78"/>
      <c r="AF1101" s="78"/>
      <c r="AG1101" s="78"/>
      <c r="AH1101" s="78"/>
      <c r="AI1101" s="78"/>
      <c r="AJ1101" s="78"/>
      <c r="AK1101" s="78"/>
    </row>
    <row r="1102" spans="1:37">
      <c r="A1102" s="78"/>
      <c r="B1102" s="216"/>
      <c r="C1102" s="78"/>
      <c r="D1102" s="207" t="s">
        <v>3921</v>
      </c>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c r="AA1102" s="78"/>
      <c r="AB1102" s="78"/>
      <c r="AC1102" s="78"/>
      <c r="AD1102" s="78"/>
      <c r="AE1102" s="78"/>
      <c r="AF1102" s="78"/>
      <c r="AG1102" s="78"/>
      <c r="AH1102" s="78"/>
      <c r="AI1102" s="78"/>
      <c r="AJ1102" s="78"/>
      <c r="AK1102" s="78"/>
    </row>
    <row r="1103" spans="1:37">
      <c r="A1103" s="78"/>
      <c r="B1103" s="216"/>
      <c r="C1103" s="78"/>
      <c r="D1103" s="207" t="s">
        <v>3922</v>
      </c>
      <c r="E1103" s="78"/>
      <c r="F1103" s="78"/>
      <c r="G1103" s="78"/>
      <c r="H1103" s="78"/>
      <c r="I1103" s="78"/>
      <c r="J1103" s="78"/>
      <c r="K1103" s="78"/>
      <c r="L1103" s="78"/>
      <c r="M1103" s="78"/>
      <c r="N1103" s="78"/>
      <c r="O1103" s="78"/>
      <c r="P1103" s="78"/>
      <c r="Q1103" s="78"/>
      <c r="R1103" s="78"/>
      <c r="S1103" s="78"/>
      <c r="T1103" s="78"/>
      <c r="U1103" s="78"/>
      <c r="V1103" s="78"/>
      <c r="W1103" s="78"/>
      <c r="X1103" s="78"/>
      <c r="Y1103" s="78"/>
      <c r="Z1103" s="78"/>
      <c r="AA1103" s="78"/>
      <c r="AB1103" s="78"/>
      <c r="AC1103" s="78"/>
      <c r="AD1103" s="78"/>
      <c r="AE1103" s="78"/>
      <c r="AF1103" s="78"/>
      <c r="AG1103" s="78"/>
      <c r="AH1103" s="78"/>
      <c r="AI1103" s="78"/>
      <c r="AJ1103" s="78"/>
      <c r="AK1103" s="78"/>
    </row>
    <row r="1104" spans="1:37">
      <c r="A1104" s="78"/>
      <c r="B1104" s="216"/>
      <c r="C1104" s="78"/>
      <c r="D1104" s="207" t="s">
        <v>3923</v>
      </c>
      <c r="E1104" s="78"/>
      <c r="F1104" s="78"/>
      <c r="G1104" s="78"/>
      <c r="H1104" s="78"/>
      <c r="I1104" s="78"/>
      <c r="J1104" s="78"/>
      <c r="K1104" s="78"/>
      <c r="L1104" s="78"/>
      <c r="M1104" s="78"/>
      <c r="N1104" s="78"/>
      <c r="O1104" s="78"/>
      <c r="P1104" s="78"/>
      <c r="Q1104" s="78"/>
      <c r="R1104" s="78"/>
      <c r="S1104" s="78"/>
      <c r="T1104" s="78"/>
      <c r="U1104" s="78"/>
      <c r="V1104" s="78"/>
      <c r="W1104" s="78"/>
      <c r="X1104" s="78"/>
      <c r="Y1104" s="78"/>
      <c r="Z1104" s="78"/>
      <c r="AA1104" s="78"/>
      <c r="AB1104" s="78"/>
      <c r="AC1104" s="78"/>
      <c r="AD1104" s="78"/>
      <c r="AE1104" s="78"/>
      <c r="AF1104" s="78"/>
      <c r="AG1104" s="78"/>
      <c r="AH1104" s="78"/>
      <c r="AI1104" s="78"/>
      <c r="AJ1104" s="78"/>
      <c r="AK1104" s="78"/>
    </row>
    <row r="1105" spans="1:37">
      <c r="A1105" s="78"/>
      <c r="B1105" s="216"/>
      <c r="C1105" s="78"/>
      <c r="D1105" s="207" t="s">
        <v>3924</v>
      </c>
      <c r="E1105" s="78"/>
      <c r="F1105" s="78"/>
      <c r="G1105" s="78"/>
      <c r="H1105" s="78"/>
      <c r="I1105" s="78"/>
      <c r="J1105" s="78"/>
      <c r="K1105" s="78"/>
      <c r="L1105" s="78"/>
      <c r="M1105" s="78"/>
      <c r="N1105" s="78"/>
      <c r="O1105" s="78"/>
      <c r="P1105" s="78"/>
      <c r="Q1105" s="78"/>
      <c r="R1105" s="78"/>
      <c r="S1105" s="78"/>
      <c r="T1105" s="78"/>
      <c r="U1105" s="78"/>
      <c r="V1105" s="78"/>
      <c r="W1105" s="78"/>
      <c r="X1105" s="78"/>
      <c r="Y1105" s="78"/>
      <c r="Z1105" s="78"/>
      <c r="AA1105" s="78"/>
      <c r="AB1105" s="78"/>
      <c r="AC1105" s="78"/>
      <c r="AD1105" s="78"/>
      <c r="AE1105" s="78"/>
      <c r="AF1105" s="78"/>
      <c r="AG1105" s="78"/>
      <c r="AH1105" s="78"/>
      <c r="AI1105" s="78"/>
      <c r="AJ1105" s="78"/>
      <c r="AK1105" s="78"/>
    </row>
    <row r="1106" spans="1:37">
      <c r="A1106" s="78"/>
      <c r="B1106" s="216"/>
      <c r="C1106" s="78"/>
      <c r="D1106" s="207" t="s">
        <v>3925</v>
      </c>
      <c r="E1106" s="78"/>
      <c r="F1106" s="78"/>
      <c r="G1106" s="78"/>
      <c r="H1106" s="78"/>
      <c r="I1106" s="78"/>
      <c r="J1106" s="78"/>
      <c r="K1106" s="78"/>
      <c r="L1106" s="78"/>
      <c r="M1106" s="78"/>
      <c r="N1106" s="78"/>
      <c r="O1106" s="78"/>
      <c r="P1106" s="78"/>
      <c r="Q1106" s="78"/>
      <c r="R1106" s="78"/>
      <c r="S1106" s="78"/>
      <c r="T1106" s="78"/>
      <c r="U1106" s="78"/>
      <c r="V1106" s="78"/>
      <c r="W1106" s="78"/>
      <c r="X1106" s="78"/>
      <c r="Y1106" s="78"/>
      <c r="Z1106" s="78"/>
      <c r="AA1106" s="78"/>
      <c r="AB1106" s="78"/>
      <c r="AC1106" s="78"/>
      <c r="AD1106" s="78"/>
      <c r="AE1106" s="78"/>
      <c r="AF1106" s="78"/>
      <c r="AG1106" s="78"/>
      <c r="AH1106" s="78"/>
      <c r="AI1106" s="78"/>
      <c r="AJ1106" s="78"/>
      <c r="AK1106" s="78"/>
    </row>
    <row r="1107" spans="1:37">
      <c r="A1107" s="78"/>
      <c r="B1107" s="216"/>
      <c r="C1107" s="78"/>
      <c r="D1107" s="207" t="s">
        <v>3926</v>
      </c>
      <c r="E1107" s="78"/>
      <c r="F1107" s="78"/>
      <c r="G1107" s="78"/>
      <c r="H1107" s="78"/>
      <c r="I1107" s="78"/>
      <c r="J1107" s="78"/>
      <c r="K1107" s="78"/>
      <c r="L1107" s="78"/>
      <c r="M1107" s="78"/>
      <c r="N1107" s="78"/>
      <c r="O1107" s="78"/>
      <c r="P1107" s="78"/>
      <c r="Q1107" s="78"/>
      <c r="R1107" s="78"/>
      <c r="S1107" s="78"/>
      <c r="T1107" s="78"/>
      <c r="U1107" s="78"/>
      <c r="V1107" s="78"/>
      <c r="W1107" s="78"/>
      <c r="X1107" s="78"/>
      <c r="Y1107" s="78"/>
      <c r="Z1107" s="78"/>
      <c r="AA1107" s="78"/>
      <c r="AB1107" s="78"/>
      <c r="AC1107" s="78"/>
      <c r="AD1107" s="78"/>
      <c r="AE1107" s="78"/>
      <c r="AF1107" s="78"/>
      <c r="AG1107" s="78"/>
      <c r="AH1107" s="78"/>
      <c r="AI1107" s="78"/>
      <c r="AJ1107" s="78"/>
      <c r="AK1107" s="78"/>
    </row>
    <row r="1108" spans="1:37">
      <c r="A1108" s="78"/>
      <c r="B1108" s="216"/>
      <c r="C1108" s="78"/>
      <c r="D1108" s="207" t="s">
        <v>3927</v>
      </c>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c r="AA1108" s="78"/>
      <c r="AB1108" s="78"/>
      <c r="AC1108" s="78"/>
      <c r="AD1108" s="78"/>
      <c r="AE1108" s="78"/>
      <c r="AF1108" s="78"/>
      <c r="AG1108" s="78"/>
      <c r="AH1108" s="78"/>
      <c r="AI1108" s="78"/>
      <c r="AJ1108" s="78"/>
      <c r="AK1108" s="78"/>
    </row>
    <row r="1109" spans="1:37">
      <c r="A1109" s="78"/>
      <c r="B1109" s="216"/>
      <c r="C1109" s="78"/>
      <c r="D1109" s="207" t="s">
        <v>3928</v>
      </c>
      <c r="E1109" s="78"/>
      <c r="F1109" s="78"/>
      <c r="G1109" s="78"/>
      <c r="H1109" s="78"/>
      <c r="I1109" s="78"/>
      <c r="J1109" s="78"/>
      <c r="K1109" s="78"/>
      <c r="L1109" s="78"/>
      <c r="M1109" s="78"/>
      <c r="N1109" s="78"/>
      <c r="O1109" s="78"/>
      <c r="P1109" s="78"/>
      <c r="Q1109" s="78"/>
      <c r="R1109" s="78"/>
      <c r="S1109" s="78"/>
      <c r="T1109" s="78"/>
      <c r="U1109" s="78"/>
      <c r="V1109" s="78"/>
      <c r="W1109" s="78"/>
      <c r="X1109" s="78"/>
      <c r="Y1109" s="78"/>
      <c r="Z1109" s="78"/>
      <c r="AA1109" s="78"/>
      <c r="AB1109" s="78"/>
      <c r="AC1109" s="78"/>
      <c r="AD1109" s="78"/>
      <c r="AE1109" s="78"/>
      <c r="AF1109" s="78"/>
      <c r="AG1109" s="78"/>
      <c r="AH1109" s="78"/>
      <c r="AI1109" s="78"/>
      <c r="AJ1109" s="78"/>
      <c r="AK1109" s="78"/>
    </row>
    <row r="1110" spans="1:37">
      <c r="A1110" s="78"/>
      <c r="B1110" s="216"/>
      <c r="C1110" s="78"/>
      <c r="D1110" s="207" t="s">
        <v>3929</v>
      </c>
      <c r="E1110" s="78"/>
      <c r="F1110" s="78"/>
      <c r="G1110" s="78"/>
      <c r="H1110" s="78"/>
      <c r="I1110" s="78"/>
      <c r="J1110" s="78"/>
      <c r="K1110" s="78"/>
      <c r="L1110" s="78"/>
      <c r="M1110" s="78"/>
      <c r="N1110" s="78"/>
      <c r="O1110" s="78"/>
      <c r="P1110" s="78"/>
      <c r="Q1110" s="78"/>
      <c r="R1110" s="78"/>
      <c r="S1110" s="78"/>
      <c r="T1110" s="78"/>
      <c r="U1110" s="78"/>
      <c r="V1110" s="78"/>
      <c r="W1110" s="78"/>
      <c r="X1110" s="78"/>
      <c r="Y1110" s="78"/>
      <c r="Z1110" s="78"/>
      <c r="AA1110" s="78"/>
      <c r="AB1110" s="78"/>
      <c r="AC1110" s="78"/>
      <c r="AD1110" s="78"/>
      <c r="AE1110" s="78"/>
      <c r="AF1110" s="78"/>
      <c r="AG1110" s="78"/>
      <c r="AH1110" s="78"/>
      <c r="AI1110" s="78"/>
      <c r="AJ1110" s="78"/>
      <c r="AK1110" s="78"/>
    </row>
    <row r="1111" spans="1:37">
      <c r="A1111" s="78"/>
      <c r="B1111" s="216"/>
      <c r="C1111" s="78"/>
      <c r="D1111" s="207" t="s">
        <v>3930</v>
      </c>
      <c r="E1111" s="78"/>
      <c r="F1111" s="78"/>
      <c r="G1111" s="78"/>
      <c r="H1111" s="78"/>
      <c r="I1111" s="78"/>
      <c r="J1111" s="78"/>
      <c r="K1111" s="78"/>
      <c r="L1111" s="78"/>
      <c r="M1111" s="78"/>
      <c r="N1111" s="78"/>
      <c r="O1111" s="78"/>
      <c r="P1111" s="78"/>
      <c r="Q1111" s="78"/>
      <c r="R1111" s="78"/>
      <c r="S1111" s="78"/>
      <c r="T1111" s="78"/>
      <c r="U1111" s="78"/>
      <c r="V1111" s="78"/>
      <c r="W1111" s="78"/>
      <c r="X1111" s="78"/>
      <c r="Y1111" s="78"/>
      <c r="Z1111" s="78"/>
      <c r="AA1111" s="78"/>
      <c r="AB1111" s="78"/>
      <c r="AC1111" s="78"/>
      <c r="AD1111" s="78"/>
      <c r="AE1111" s="78"/>
      <c r="AF1111" s="78"/>
      <c r="AG1111" s="78"/>
      <c r="AH1111" s="78"/>
      <c r="AI1111" s="78"/>
      <c r="AJ1111" s="78"/>
      <c r="AK1111" s="78"/>
    </row>
    <row r="1112" spans="1:37">
      <c r="A1112" s="78"/>
      <c r="B1112" s="216"/>
      <c r="C1112" s="78"/>
      <c r="D1112" s="207" t="s">
        <v>3931</v>
      </c>
      <c r="E1112" s="78"/>
      <c r="F1112" s="78"/>
      <c r="G1112" s="78"/>
      <c r="H1112" s="78"/>
      <c r="I1112" s="78"/>
      <c r="J1112" s="78"/>
      <c r="K1112" s="78"/>
      <c r="L1112" s="78"/>
      <c r="M1112" s="78"/>
      <c r="N1112" s="78"/>
      <c r="O1112" s="78"/>
      <c r="P1112" s="78"/>
      <c r="Q1112" s="78"/>
      <c r="R1112" s="78"/>
      <c r="S1112" s="78"/>
      <c r="T1112" s="78"/>
      <c r="U1112" s="78"/>
      <c r="V1112" s="78"/>
      <c r="W1112" s="78"/>
      <c r="X1112" s="78"/>
      <c r="Y1112" s="78"/>
      <c r="Z1112" s="78"/>
      <c r="AA1112" s="78"/>
      <c r="AB1112" s="78"/>
      <c r="AC1112" s="78"/>
      <c r="AD1112" s="78"/>
      <c r="AE1112" s="78"/>
      <c r="AF1112" s="78"/>
      <c r="AG1112" s="78"/>
      <c r="AH1112" s="78"/>
      <c r="AI1112" s="78"/>
      <c r="AJ1112" s="78"/>
      <c r="AK1112" s="78"/>
    </row>
    <row r="1113" spans="1:37">
      <c r="A1113" s="78"/>
      <c r="B1113" s="216"/>
      <c r="C1113" s="78"/>
      <c r="D1113" s="207" t="s">
        <v>3932</v>
      </c>
      <c r="E1113" s="78"/>
      <c r="F1113" s="78"/>
      <c r="G1113" s="78"/>
      <c r="H1113" s="78"/>
      <c r="I1113" s="78"/>
      <c r="J1113" s="78"/>
      <c r="K1113" s="78"/>
      <c r="L1113" s="78"/>
      <c r="M1113" s="78"/>
      <c r="N1113" s="78"/>
      <c r="O1113" s="78"/>
      <c r="P1113" s="78"/>
      <c r="Q1113" s="78"/>
      <c r="R1113" s="78"/>
      <c r="S1113" s="78"/>
      <c r="T1113" s="78"/>
      <c r="U1113" s="78"/>
      <c r="V1113" s="78"/>
      <c r="W1113" s="78"/>
      <c r="X1113" s="78"/>
      <c r="Y1113" s="78"/>
      <c r="Z1113" s="78"/>
      <c r="AA1113" s="78"/>
      <c r="AB1113" s="78"/>
      <c r="AC1113" s="78"/>
      <c r="AD1113" s="78"/>
      <c r="AE1113" s="78"/>
      <c r="AF1113" s="78"/>
      <c r="AG1113" s="78"/>
      <c r="AH1113" s="78"/>
      <c r="AI1113" s="78"/>
      <c r="AJ1113" s="78"/>
      <c r="AK1113" s="78"/>
    </row>
    <row r="1114" spans="1:37">
      <c r="A1114" s="78"/>
      <c r="B1114" s="216"/>
      <c r="C1114" s="78"/>
      <c r="D1114" s="207" t="s">
        <v>3933</v>
      </c>
      <c r="E1114" s="78"/>
      <c r="F1114" s="78"/>
      <c r="G1114" s="78"/>
      <c r="H1114" s="78"/>
      <c r="I1114" s="78"/>
      <c r="J1114" s="78"/>
      <c r="K1114" s="78"/>
      <c r="L1114" s="78"/>
      <c r="M1114" s="78"/>
      <c r="N1114" s="78"/>
      <c r="O1114" s="78"/>
      <c r="P1114" s="78"/>
      <c r="Q1114" s="78"/>
      <c r="R1114" s="78"/>
      <c r="S1114" s="78"/>
      <c r="T1114" s="78"/>
      <c r="U1114" s="78"/>
      <c r="V1114" s="78"/>
      <c r="W1114" s="78"/>
      <c r="X1114" s="78"/>
      <c r="Y1114" s="78"/>
      <c r="Z1114" s="78"/>
      <c r="AA1114" s="78"/>
      <c r="AB1114" s="78"/>
      <c r="AC1114" s="78"/>
      <c r="AD1114" s="78"/>
      <c r="AE1114" s="78"/>
      <c r="AF1114" s="78"/>
      <c r="AG1114" s="78"/>
      <c r="AH1114" s="78"/>
      <c r="AI1114" s="78"/>
      <c r="AJ1114" s="78"/>
      <c r="AK1114" s="78"/>
    </row>
    <row r="1115" spans="1:37">
      <c r="A1115" s="78"/>
      <c r="B1115" s="78"/>
      <c r="C1115" s="78"/>
      <c r="D1115" s="78"/>
      <c r="E1115" s="78"/>
      <c r="F1115" s="78"/>
      <c r="G1115" s="78"/>
      <c r="H1115" s="78"/>
      <c r="I1115" s="78"/>
      <c r="J1115" s="78"/>
      <c r="K1115" s="78"/>
      <c r="L1115" s="78"/>
      <c r="M1115" s="78"/>
      <c r="N1115" s="78"/>
      <c r="O1115" s="78"/>
      <c r="P1115" s="78"/>
      <c r="Q1115" s="78"/>
      <c r="R1115" s="78"/>
      <c r="S1115" s="78"/>
      <c r="T1115" s="78"/>
      <c r="U1115" s="78"/>
      <c r="V1115" s="78"/>
      <c r="W1115" s="78"/>
      <c r="X1115" s="78"/>
      <c r="Y1115" s="78"/>
      <c r="Z1115" s="78"/>
      <c r="AA1115" s="78"/>
      <c r="AB1115" s="78"/>
      <c r="AC1115" s="78"/>
      <c r="AD1115" s="78"/>
      <c r="AE1115" s="78"/>
      <c r="AF1115" s="78"/>
      <c r="AG1115" s="78"/>
      <c r="AH1115" s="78"/>
      <c r="AI1115" s="78"/>
      <c r="AJ1115" s="78"/>
      <c r="AK1115" s="78"/>
    </row>
    <row r="1116" spans="1:37">
      <c r="A1116" s="78"/>
      <c r="B1116" s="232" t="s">
        <v>383</v>
      </c>
      <c r="C1116" s="78"/>
      <c r="D1116" s="207" t="s">
        <v>3934</v>
      </c>
      <c r="E1116" s="78"/>
      <c r="F1116" s="78"/>
      <c r="G1116" s="78"/>
      <c r="H1116" s="78"/>
      <c r="I1116" s="78"/>
      <c r="J1116" s="78"/>
      <c r="K1116" s="78"/>
      <c r="L1116" s="78"/>
      <c r="M1116" s="78"/>
      <c r="N1116" s="78"/>
      <c r="O1116" s="78"/>
      <c r="P1116" s="78"/>
      <c r="Q1116" s="78"/>
      <c r="R1116" s="78"/>
      <c r="S1116" s="78"/>
      <c r="T1116" s="78"/>
      <c r="U1116" s="78"/>
      <c r="V1116" s="78"/>
      <c r="W1116" s="78"/>
      <c r="X1116" s="78"/>
      <c r="Y1116" s="78"/>
      <c r="Z1116" s="78"/>
      <c r="AA1116" s="78"/>
      <c r="AB1116" s="78"/>
      <c r="AC1116" s="78"/>
      <c r="AD1116" s="78"/>
      <c r="AE1116" s="78"/>
      <c r="AF1116" s="78"/>
      <c r="AG1116" s="78"/>
      <c r="AH1116" s="78"/>
      <c r="AI1116" s="78"/>
      <c r="AJ1116" s="78"/>
      <c r="AK1116" s="78"/>
    </row>
    <row r="1117" spans="1:37">
      <c r="A1117" s="78"/>
      <c r="B1117" s="216"/>
      <c r="C1117" s="78"/>
      <c r="D1117" s="207" t="s">
        <v>3935</v>
      </c>
      <c r="E1117" s="78"/>
      <c r="F1117" s="78"/>
      <c r="G1117" s="78"/>
      <c r="H1117" s="78"/>
      <c r="I1117" s="78"/>
      <c r="J1117" s="78"/>
      <c r="K1117" s="78"/>
      <c r="L1117" s="78"/>
      <c r="M1117" s="78"/>
      <c r="N1117" s="78"/>
      <c r="O1117" s="78"/>
      <c r="P1117" s="78"/>
      <c r="Q1117" s="78"/>
      <c r="R1117" s="78"/>
      <c r="S1117" s="78"/>
      <c r="T1117" s="78"/>
      <c r="U1117" s="78"/>
      <c r="V1117" s="78"/>
      <c r="W1117" s="78"/>
      <c r="X1117" s="78"/>
      <c r="Y1117" s="78"/>
      <c r="Z1117" s="78"/>
      <c r="AA1117" s="78"/>
      <c r="AB1117" s="78"/>
      <c r="AC1117" s="78"/>
      <c r="AD1117" s="78"/>
      <c r="AE1117" s="78"/>
      <c r="AF1117" s="78"/>
      <c r="AG1117" s="78"/>
      <c r="AH1117" s="78"/>
      <c r="AI1117" s="78"/>
      <c r="AJ1117" s="78"/>
      <c r="AK1117" s="78"/>
    </row>
    <row r="1118" spans="1:37">
      <c r="A1118" s="78"/>
      <c r="B1118" s="216"/>
      <c r="C1118" s="78"/>
      <c r="D1118" s="207" t="s">
        <v>3936</v>
      </c>
      <c r="E1118" s="78"/>
      <c r="F1118" s="78"/>
      <c r="G1118" s="78"/>
      <c r="H1118" s="78"/>
      <c r="I1118" s="78"/>
      <c r="J1118" s="78"/>
      <c r="K1118" s="78"/>
      <c r="L1118" s="78"/>
      <c r="M1118" s="78"/>
      <c r="N1118" s="78"/>
      <c r="O1118" s="78"/>
      <c r="P1118" s="78"/>
      <c r="Q1118" s="78"/>
      <c r="R1118" s="78"/>
      <c r="S1118" s="78"/>
      <c r="T1118" s="78"/>
      <c r="U1118" s="78"/>
      <c r="V1118" s="78"/>
      <c r="W1118" s="78"/>
      <c r="X1118" s="78"/>
      <c r="Y1118" s="78"/>
      <c r="Z1118" s="78"/>
      <c r="AA1118" s="78"/>
      <c r="AB1118" s="78"/>
      <c r="AC1118" s="78"/>
      <c r="AD1118" s="78"/>
      <c r="AE1118" s="78"/>
      <c r="AF1118" s="78"/>
      <c r="AG1118" s="78"/>
      <c r="AH1118" s="78"/>
      <c r="AI1118" s="78"/>
      <c r="AJ1118" s="78"/>
      <c r="AK1118" s="78"/>
    </row>
    <row r="1119" spans="1:37">
      <c r="A1119" s="78"/>
      <c r="B1119" s="216"/>
      <c r="C1119" s="78"/>
      <c r="D1119" s="207" t="s">
        <v>3937</v>
      </c>
      <c r="E1119" s="78"/>
      <c r="F1119" s="78"/>
      <c r="G1119" s="78"/>
      <c r="H1119" s="78"/>
      <c r="I1119" s="78"/>
      <c r="J1119" s="78"/>
      <c r="K1119" s="78"/>
      <c r="L1119" s="78"/>
      <c r="M1119" s="78"/>
      <c r="N1119" s="78"/>
      <c r="O1119" s="78"/>
      <c r="P1119" s="78"/>
      <c r="Q1119" s="78"/>
      <c r="R1119" s="78"/>
      <c r="S1119" s="78"/>
      <c r="T1119" s="78"/>
      <c r="U1119" s="78"/>
      <c r="V1119" s="78"/>
      <c r="W1119" s="78"/>
      <c r="X1119" s="78"/>
      <c r="Y1119" s="78"/>
      <c r="Z1119" s="78"/>
      <c r="AA1119" s="78"/>
      <c r="AB1119" s="78"/>
      <c r="AC1119" s="78"/>
      <c r="AD1119" s="78"/>
      <c r="AE1119" s="78"/>
      <c r="AF1119" s="78"/>
      <c r="AG1119" s="78"/>
      <c r="AH1119" s="78"/>
      <c r="AI1119" s="78"/>
      <c r="AJ1119" s="78"/>
      <c r="AK1119" s="78"/>
    </row>
    <row r="1120" spans="1:37">
      <c r="A1120" s="78"/>
      <c r="B1120" s="216"/>
      <c r="C1120" s="78"/>
      <c r="D1120" s="207" t="s">
        <v>3938</v>
      </c>
      <c r="E1120" s="78"/>
      <c r="F1120" s="78"/>
      <c r="G1120" s="78"/>
      <c r="H1120" s="78"/>
      <c r="I1120" s="78"/>
      <c r="J1120" s="78"/>
      <c r="K1120" s="78"/>
      <c r="L1120" s="78"/>
      <c r="M1120" s="78"/>
      <c r="N1120" s="78"/>
      <c r="O1120" s="78"/>
      <c r="P1120" s="78"/>
      <c r="Q1120" s="78"/>
      <c r="R1120" s="78"/>
      <c r="S1120" s="78"/>
      <c r="T1120" s="78"/>
      <c r="U1120" s="78"/>
      <c r="V1120" s="78"/>
      <c r="W1120" s="78"/>
      <c r="X1120" s="78"/>
      <c r="Y1120" s="78"/>
      <c r="Z1120" s="78"/>
      <c r="AA1120" s="78"/>
      <c r="AB1120" s="78"/>
      <c r="AC1120" s="78"/>
      <c r="AD1120" s="78"/>
      <c r="AE1120" s="78"/>
      <c r="AF1120" s="78"/>
      <c r="AG1120" s="78"/>
      <c r="AH1120" s="78"/>
      <c r="AI1120" s="78"/>
      <c r="AJ1120" s="78"/>
      <c r="AK1120" s="78"/>
    </row>
    <row r="1121" spans="1:37">
      <c r="A1121" s="78"/>
      <c r="B1121" s="216"/>
      <c r="C1121" s="78"/>
      <c r="D1121" s="207" t="s">
        <v>3939</v>
      </c>
      <c r="E1121" s="78"/>
      <c r="F1121" s="78"/>
      <c r="G1121" s="78"/>
      <c r="H1121" s="78"/>
      <c r="I1121" s="78"/>
      <c r="J1121" s="78"/>
      <c r="K1121" s="78"/>
      <c r="L1121" s="78"/>
      <c r="M1121" s="78"/>
      <c r="N1121" s="78"/>
      <c r="O1121" s="78"/>
      <c r="P1121" s="78"/>
      <c r="Q1121" s="78"/>
      <c r="R1121" s="78"/>
      <c r="S1121" s="78"/>
      <c r="T1121" s="78"/>
      <c r="U1121" s="78"/>
      <c r="V1121" s="78"/>
      <c r="W1121" s="78"/>
      <c r="X1121" s="78"/>
      <c r="Y1121" s="78"/>
      <c r="Z1121" s="78"/>
      <c r="AA1121" s="78"/>
      <c r="AB1121" s="78"/>
      <c r="AC1121" s="78"/>
      <c r="AD1121" s="78"/>
      <c r="AE1121" s="78"/>
      <c r="AF1121" s="78"/>
      <c r="AG1121" s="78"/>
      <c r="AH1121" s="78"/>
      <c r="AI1121" s="78"/>
      <c r="AJ1121" s="78"/>
      <c r="AK1121" s="78"/>
    </row>
    <row r="1122" spans="1:37">
      <c r="A1122" s="78"/>
      <c r="B1122" s="216"/>
      <c r="C1122" s="78"/>
      <c r="D1122" s="207" t="s">
        <v>3940</v>
      </c>
      <c r="E1122" s="78"/>
      <c r="F1122" s="78"/>
      <c r="G1122" s="78"/>
      <c r="H1122" s="78"/>
      <c r="I1122" s="78"/>
      <c r="J1122" s="78"/>
      <c r="K1122" s="78"/>
      <c r="L1122" s="78"/>
      <c r="M1122" s="78"/>
      <c r="N1122" s="78"/>
      <c r="O1122" s="78"/>
      <c r="P1122" s="78"/>
      <c r="Q1122" s="78"/>
      <c r="R1122" s="78"/>
      <c r="S1122" s="78"/>
      <c r="T1122" s="78"/>
      <c r="U1122" s="78"/>
      <c r="V1122" s="78"/>
      <c r="W1122" s="78"/>
      <c r="X1122" s="78"/>
      <c r="Y1122" s="78"/>
      <c r="Z1122" s="78"/>
      <c r="AA1122" s="78"/>
      <c r="AB1122" s="78"/>
      <c r="AC1122" s="78"/>
      <c r="AD1122" s="78"/>
      <c r="AE1122" s="78"/>
      <c r="AF1122" s="78"/>
      <c r="AG1122" s="78"/>
      <c r="AH1122" s="78"/>
      <c r="AI1122" s="78"/>
      <c r="AJ1122" s="78"/>
      <c r="AK1122" s="78"/>
    </row>
    <row r="1123" spans="1:37">
      <c r="A1123" s="78"/>
      <c r="B1123" s="216"/>
      <c r="C1123" s="78"/>
      <c r="D1123" s="207" t="s">
        <v>3941</v>
      </c>
      <c r="E1123" s="78"/>
      <c r="F1123" s="78"/>
      <c r="G1123" s="78"/>
      <c r="H1123" s="78"/>
      <c r="I1123" s="78"/>
      <c r="J1123" s="78"/>
      <c r="K1123" s="78"/>
      <c r="L1123" s="78"/>
      <c r="M1123" s="78"/>
      <c r="N1123" s="78"/>
      <c r="O1123" s="78"/>
      <c r="P1123" s="78"/>
      <c r="Q1123" s="78"/>
      <c r="R1123" s="78"/>
      <c r="S1123" s="78"/>
      <c r="T1123" s="78"/>
      <c r="U1123" s="78"/>
      <c r="V1123" s="78"/>
      <c r="W1123" s="78"/>
      <c r="X1123" s="78"/>
      <c r="Y1123" s="78"/>
      <c r="Z1123" s="78"/>
      <c r="AA1123" s="78"/>
      <c r="AB1123" s="78"/>
      <c r="AC1123" s="78"/>
      <c r="AD1123" s="78"/>
      <c r="AE1123" s="78"/>
      <c r="AF1123" s="78"/>
      <c r="AG1123" s="78"/>
      <c r="AH1123" s="78"/>
      <c r="AI1123" s="78"/>
      <c r="AJ1123" s="78"/>
      <c r="AK1123" s="78"/>
    </row>
    <row r="1124" spans="1:37">
      <c r="A1124" s="78"/>
      <c r="B1124" s="216"/>
      <c r="C1124" s="78"/>
      <c r="D1124" s="207" t="s">
        <v>3942</v>
      </c>
      <c r="E1124" s="78"/>
      <c r="F1124" s="78"/>
      <c r="G1124" s="78"/>
      <c r="H1124" s="78"/>
      <c r="I1124" s="78"/>
      <c r="J1124" s="78"/>
      <c r="K1124" s="78"/>
      <c r="L1124" s="78"/>
      <c r="M1124" s="78"/>
      <c r="N1124" s="78"/>
      <c r="O1124" s="78"/>
      <c r="P1124" s="78"/>
      <c r="Q1124" s="78"/>
      <c r="R1124" s="78"/>
      <c r="S1124" s="78"/>
      <c r="T1124" s="78"/>
      <c r="U1124" s="78"/>
      <c r="V1124" s="78"/>
      <c r="W1124" s="78"/>
      <c r="X1124" s="78"/>
      <c r="Y1124" s="78"/>
      <c r="Z1124" s="78"/>
      <c r="AA1124" s="78"/>
      <c r="AB1124" s="78"/>
      <c r="AC1124" s="78"/>
      <c r="AD1124" s="78"/>
      <c r="AE1124" s="78"/>
      <c r="AF1124" s="78"/>
      <c r="AG1124" s="78"/>
      <c r="AH1124" s="78"/>
      <c r="AI1124" s="78"/>
      <c r="AJ1124" s="78"/>
      <c r="AK1124" s="78"/>
    </row>
    <row r="1125" spans="1:37">
      <c r="A1125" s="78"/>
      <c r="B1125" s="216"/>
      <c r="C1125" s="78"/>
      <c r="D1125" s="207" t="s">
        <v>3943</v>
      </c>
      <c r="E1125" s="78"/>
      <c r="F1125" s="78"/>
      <c r="G1125" s="78"/>
      <c r="H1125" s="78"/>
      <c r="I1125" s="78"/>
      <c r="J1125" s="78"/>
      <c r="K1125" s="78"/>
      <c r="L1125" s="78"/>
      <c r="M1125" s="78"/>
      <c r="N1125" s="78"/>
      <c r="O1125" s="78"/>
      <c r="P1125" s="78"/>
      <c r="Q1125" s="78"/>
      <c r="R1125" s="78"/>
      <c r="S1125" s="78"/>
      <c r="T1125" s="78"/>
      <c r="U1125" s="78"/>
      <c r="V1125" s="78"/>
      <c r="W1125" s="78"/>
      <c r="X1125" s="78"/>
      <c r="Y1125" s="78"/>
      <c r="Z1125" s="78"/>
      <c r="AA1125" s="78"/>
      <c r="AB1125" s="78"/>
      <c r="AC1125" s="78"/>
      <c r="AD1125" s="78"/>
      <c r="AE1125" s="78"/>
      <c r="AF1125" s="78"/>
      <c r="AG1125" s="78"/>
      <c r="AH1125" s="78"/>
      <c r="AI1125" s="78"/>
      <c r="AJ1125" s="78"/>
      <c r="AK1125" s="78"/>
    </row>
    <row r="1126" spans="1:37">
      <c r="A1126" s="78"/>
      <c r="B1126" s="216"/>
      <c r="C1126" s="78"/>
      <c r="D1126" s="207" t="s">
        <v>3944</v>
      </c>
      <c r="E1126" s="78"/>
      <c r="F1126" s="78"/>
      <c r="G1126" s="78"/>
      <c r="H1126" s="78"/>
      <c r="I1126" s="78"/>
      <c r="J1126" s="78"/>
      <c r="K1126" s="78"/>
      <c r="L1126" s="78"/>
      <c r="M1126" s="78"/>
      <c r="N1126" s="78"/>
      <c r="O1126" s="78"/>
      <c r="P1126" s="78"/>
      <c r="Q1126" s="78"/>
      <c r="R1126" s="78"/>
      <c r="S1126" s="78"/>
      <c r="T1126" s="78"/>
      <c r="U1126" s="78"/>
      <c r="V1126" s="78"/>
      <c r="W1126" s="78"/>
      <c r="X1126" s="78"/>
      <c r="Y1126" s="78"/>
      <c r="Z1126" s="78"/>
      <c r="AA1126" s="78"/>
      <c r="AB1126" s="78"/>
      <c r="AC1126" s="78"/>
      <c r="AD1126" s="78"/>
      <c r="AE1126" s="78"/>
      <c r="AF1126" s="78"/>
      <c r="AG1126" s="78"/>
      <c r="AH1126" s="78"/>
      <c r="AI1126" s="78"/>
      <c r="AJ1126" s="78"/>
      <c r="AK1126" s="78"/>
    </row>
    <row r="1127" spans="1:37">
      <c r="A1127" s="78"/>
      <c r="B1127" s="216"/>
      <c r="C1127" s="78"/>
      <c r="D1127" s="207" t="s">
        <v>3945</v>
      </c>
      <c r="E1127" s="78"/>
      <c r="F1127" s="78"/>
      <c r="G1127" s="78"/>
      <c r="H1127" s="78"/>
      <c r="I1127" s="78"/>
      <c r="J1127" s="78"/>
      <c r="K1127" s="78"/>
      <c r="L1127" s="78"/>
      <c r="M1127" s="78"/>
      <c r="N1127" s="78"/>
      <c r="O1127" s="78"/>
      <c r="P1127" s="78"/>
      <c r="Q1127" s="78"/>
      <c r="R1127" s="78"/>
      <c r="S1127" s="78"/>
      <c r="T1127" s="78"/>
      <c r="U1127" s="78"/>
      <c r="V1127" s="78"/>
      <c r="W1127" s="78"/>
      <c r="X1127" s="78"/>
      <c r="Y1127" s="78"/>
      <c r="Z1127" s="78"/>
      <c r="AA1127" s="78"/>
      <c r="AB1127" s="78"/>
      <c r="AC1127" s="78"/>
      <c r="AD1127" s="78"/>
      <c r="AE1127" s="78"/>
      <c r="AF1127" s="78"/>
      <c r="AG1127" s="78"/>
      <c r="AH1127" s="78"/>
      <c r="AI1127" s="78"/>
      <c r="AJ1127" s="78"/>
      <c r="AK1127" s="78"/>
    </row>
    <row r="1128" spans="1:37">
      <c r="A1128" s="78"/>
      <c r="B1128" s="216"/>
      <c r="C1128" s="78"/>
      <c r="D1128" s="207" t="s">
        <v>3946</v>
      </c>
      <c r="E1128" s="78"/>
      <c r="F1128" s="78"/>
      <c r="G1128" s="78"/>
      <c r="H1128" s="78"/>
      <c r="I1128" s="78"/>
      <c r="J1128" s="78"/>
      <c r="K1128" s="78"/>
      <c r="L1128" s="78"/>
      <c r="M1128" s="78"/>
      <c r="N1128" s="78"/>
      <c r="O1128" s="78"/>
      <c r="P1128" s="78"/>
      <c r="Q1128" s="78"/>
      <c r="R1128" s="78"/>
      <c r="S1128" s="78"/>
      <c r="T1128" s="78"/>
      <c r="U1128" s="78"/>
      <c r="V1128" s="78"/>
      <c r="W1128" s="78"/>
      <c r="X1128" s="78"/>
      <c r="Y1128" s="78"/>
      <c r="Z1128" s="78"/>
      <c r="AA1128" s="78"/>
      <c r="AB1128" s="78"/>
      <c r="AC1128" s="78"/>
      <c r="AD1128" s="78"/>
      <c r="AE1128" s="78"/>
      <c r="AF1128" s="78"/>
      <c r="AG1128" s="78"/>
      <c r="AH1128" s="78"/>
      <c r="AI1128" s="78"/>
      <c r="AJ1128" s="78"/>
      <c r="AK1128" s="78"/>
    </row>
    <row r="1129" spans="1:37">
      <c r="A1129" s="78"/>
      <c r="B1129" s="216"/>
      <c r="C1129" s="78"/>
      <c r="D1129" s="207" t="s">
        <v>3947</v>
      </c>
      <c r="E1129" s="78"/>
      <c r="F1129" s="78"/>
      <c r="G1129" s="78"/>
      <c r="H1129" s="78"/>
      <c r="I1129" s="78"/>
      <c r="J1129" s="78"/>
      <c r="K1129" s="78"/>
      <c r="L1129" s="78"/>
      <c r="M1129" s="78"/>
      <c r="N1129" s="78"/>
      <c r="O1129" s="78"/>
      <c r="P1129" s="78"/>
      <c r="Q1129" s="78"/>
      <c r="R1129" s="78"/>
      <c r="S1129" s="78"/>
      <c r="T1129" s="78"/>
      <c r="U1129" s="78"/>
      <c r="V1129" s="78"/>
      <c r="W1129" s="78"/>
      <c r="X1129" s="78"/>
      <c r="Y1129" s="78"/>
      <c r="Z1129" s="78"/>
      <c r="AA1129" s="78"/>
      <c r="AB1129" s="78"/>
      <c r="AC1129" s="78"/>
      <c r="AD1129" s="78"/>
      <c r="AE1129" s="78"/>
      <c r="AF1129" s="78"/>
      <c r="AG1129" s="78"/>
      <c r="AH1129" s="78"/>
      <c r="AI1129" s="78"/>
      <c r="AJ1129" s="78"/>
      <c r="AK1129" s="78"/>
    </row>
    <row r="1130" spans="1:37">
      <c r="A1130" s="78"/>
      <c r="B1130" s="216"/>
      <c r="C1130" s="78"/>
      <c r="D1130" s="207" t="s">
        <v>3948</v>
      </c>
      <c r="E1130" s="78"/>
      <c r="F1130" s="78"/>
      <c r="G1130" s="78"/>
      <c r="H1130" s="78"/>
      <c r="I1130" s="78"/>
      <c r="J1130" s="78"/>
      <c r="K1130" s="78"/>
      <c r="L1130" s="78"/>
      <c r="M1130" s="78"/>
      <c r="N1130" s="78"/>
      <c r="O1130" s="78"/>
      <c r="P1130" s="78"/>
      <c r="Q1130" s="78"/>
      <c r="R1130" s="78"/>
      <c r="S1130" s="78"/>
      <c r="T1130" s="78"/>
      <c r="U1130" s="78"/>
      <c r="V1130" s="78"/>
      <c r="W1130" s="78"/>
      <c r="X1130" s="78"/>
      <c r="Y1130" s="78"/>
      <c r="Z1130" s="78"/>
      <c r="AA1130" s="78"/>
      <c r="AB1130" s="78"/>
      <c r="AC1130" s="78"/>
      <c r="AD1130" s="78"/>
      <c r="AE1130" s="78"/>
      <c r="AF1130" s="78"/>
      <c r="AG1130" s="78"/>
      <c r="AH1130" s="78"/>
      <c r="AI1130" s="78"/>
      <c r="AJ1130" s="78"/>
      <c r="AK1130" s="78"/>
    </row>
    <row r="1131" spans="1:37">
      <c r="A1131" s="78"/>
      <c r="B1131" s="216"/>
      <c r="C1131" s="78"/>
      <c r="D1131" s="207" t="s">
        <v>3001</v>
      </c>
      <c r="E1131" s="78"/>
      <c r="F1131" s="78"/>
      <c r="G1131" s="78"/>
      <c r="H1131" s="78"/>
      <c r="I1131" s="78"/>
      <c r="J1131" s="78"/>
      <c r="K1131" s="78"/>
      <c r="L1131" s="78"/>
      <c r="M1131" s="78"/>
      <c r="N1131" s="78"/>
      <c r="O1131" s="78"/>
      <c r="P1131" s="78"/>
      <c r="Q1131" s="78"/>
      <c r="R1131" s="78"/>
      <c r="S1131" s="78"/>
      <c r="T1131" s="78"/>
      <c r="U1131" s="78"/>
      <c r="V1131" s="78"/>
      <c r="W1131" s="78"/>
      <c r="X1131" s="78"/>
      <c r="Y1131" s="78"/>
      <c r="Z1131" s="78"/>
      <c r="AA1131" s="78"/>
      <c r="AB1131" s="78"/>
      <c r="AC1131" s="78"/>
      <c r="AD1131" s="78"/>
      <c r="AE1131" s="78"/>
      <c r="AF1131" s="78"/>
      <c r="AG1131" s="78"/>
      <c r="AH1131" s="78"/>
      <c r="AI1131" s="78"/>
      <c r="AJ1131" s="78"/>
      <c r="AK1131" s="78"/>
    </row>
    <row r="1132" spans="1:37">
      <c r="A1132" s="78"/>
      <c r="B1132" s="216"/>
      <c r="C1132" s="78"/>
      <c r="D1132" s="207" t="s">
        <v>3949</v>
      </c>
      <c r="E1132" s="78"/>
      <c r="F1132" s="78"/>
      <c r="G1132" s="78"/>
      <c r="H1132" s="78"/>
      <c r="I1132" s="78"/>
      <c r="J1132" s="78"/>
      <c r="K1132" s="78"/>
      <c r="L1132" s="78"/>
      <c r="M1132" s="78"/>
      <c r="N1132" s="78"/>
      <c r="O1132" s="78"/>
      <c r="P1132" s="78"/>
      <c r="Q1132" s="78"/>
      <c r="R1132" s="78"/>
      <c r="S1132" s="78"/>
      <c r="T1132" s="78"/>
      <c r="U1132" s="78"/>
      <c r="V1132" s="78"/>
      <c r="W1132" s="78"/>
      <c r="X1132" s="78"/>
      <c r="Y1132" s="78"/>
      <c r="Z1132" s="78"/>
      <c r="AA1132" s="78"/>
      <c r="AB1132" s="78"/>
      <c r="AC1132" s="78"/>
      <c r="AD1132" s="78"/>
      <c r="AE1132" s="78"/>
      <c r="AF1132" s="78"/>
      <c r="AG1132" s="78"/>
      <c r="AH1132" s="78"/>
      <c r="AI1132" s="78"/>
      <c r="AJ1132" s="78"/>
      <c r="AK1132" s="78"/>
    </row>
    <row r="1133" spans="1:37">
      <c r="A1133" s="78"/>
      <c r="B1133" s="216"/>
      <c r="C1133" s="78"/>
      <c r="D1133" s="207" t="s">
        <v>3950</v>
      </c>
      <c r="E1133" s="78"/>
      <c r="F1133" s="78"/>
      <c r="G1133" s="78"/>
      <c r="H1133" s="78"/>
      <c r="I1133" s="78"/>
      <c r="J1133" s="78"/>
      <c r="K1133" s="78"/>
      <c r="L1133" s="78"/>
      <c r="M1133" s="78"/>
      <c r="N1133" s="78"/>
      <c r="O1133" s="78"/>
      <c r="P1133" s="78"/>
      <c r="Q1133" s="78"/>
      <c r="R1133" s="78"/>
      <c r="S1133" s="78"/>
      <c r="T1133" s="78"/>
      <c r="U1133" s="78"/>
      <c r="V1133" s="78"/>
      <c r="W1133" s="78"/>
      <c r="X1133" s="78"/>
      <c r="Y1133" s="78"/>
      <c r="Z1133" s="78"/>
      <c r="AA1133" s="78"/>
      <c r="AB1133" s="78"/>
      <c r="AC1133" s="78"/>
      <c r="AD1133" s="78"/>
      <c r="AE1133" s="78"/>
      <c r="AF1133" s="78"/>
      <c r="AG1133" s="78"/>
      <c r="AH1133" s="78"/>
      <c r="AI1133" s="78"/>
      <c r="AJ1133" s="78"/>
      <c r="AK1133" s="78"/>
    </row>
    <row r="1134" spans="1:37">
      <c r="A1134" s="78"/>
      <c r="B1134" s="216"/>
      <c r="C1134" s="78"/>
      <c r="D1134" s="207" t="s">
        <v>3951</v>
      </c>
      <c r="E1134" s="78"/>
      <c r="F1134" s="78"/>
      <c r="G1134" s="78"/>
      <c r="H1134" s="78"/>
      <c r="I1134" s="78"/>
      <c r="J1134" s="78"/>
      <c r="K1134" s="78"/>
      <c r="L1134" s="78"/>
      <c r="M1134" s="78"/>
      <c r="N1134" s="78"/>
      <c r="O1134" s="78"/>
      <c r="P1134" s="78"/>
      <c r="Q1134" s="78"/>
      <c r="R1134" s="78"/>
      <c r="S1134" s="78"/>
      <c r="T1134" s="78"/>
      <c r="U1134" s="78"/>
      <c r="V1134" s="78"/>
      <c r="W1134" s="78"/>
      <c r="X1134" s="78"/>
      <c r="Y1134" s="78"/>
      <c r="Z1134" s="78"/>
      <c r="AA1134" s="78"/>
      <c r="AB1134" s="78"/>
      <c r="AC1134" s="78"/>
      <c r="AD1134" s="78"/>
      <c r="AE1134" s="78"/>
      <c r="AF1134" s="78"/>
      <c r="AG1134" s="78"/>
      <c r="AH1134" s="78"/>
      <c r="AI1134" s="78"/>
      <c r="AJ1134" s="78"/>
      <c r="AK1134" s="78"/>
    </row>
    <row r="1135" spans="1:37">
      <c r="A1135" s="78"/>
      <c r="B1135" s="216"/>
      <c r="C1135" s="78"/>
      <c r="D1135" s="207" t="s">
        <v>3952</v>
      </c>
      <c r="E1135" s="78"/>
      <c r="F1135" s="78"/>
      <c r="G1135" s="78"/>
      <c r="H1135" s="78"/>
      <c r="I1135" s="78"/>
      <c r="J1135" s="78"/>
      <c r="K1135" s="78"/>
      <c r="L1135" s="78"/>
      <c r="M1135" s="78"/>
      <c r="N1135" s="78"/>
      <c r="O1135" s="78"/>
      <c r="P1135" s="78"/>
      <c r="Q1135" s="78"/>
      <c r="R1135" s="78"/>
      <c r="S1135" s="78"/>
      <c r="T1135" s="78"/>
      <c r="U1135" s="78"/>
      <c r="V1135" s="78"/>
      <c r="W1135" s="78"/>
      <c r="X1135" s="78"/>
      <c r="Y1135" s="78"/>
      <c r="Z1135" s="78"/>
      <c r="AA1135" s="78"/>
      <c r="AB1135" s="78"/>
      <c r="AC1135" s="78"/>
      <c r="AD1135" s="78"/>
      <c r="AE1135" s="78"/>
      <c r="AF1135" s="78"/>
      <c r="AG1135" s="78"/>
      <c r="AH1135" s="78"/>
      <c r="AI1135" s="78"/>
      <c r="AJ1135" s="78"/>
      <c r="AK1135" s="78"/>
    </row>
    <row r="1136" spans="1:37">
      <c r="A1136" s="78"/>
      <c r="B1136" s="216"/>
      <c r="C1136" s="78"/>
      <c r="D1136" s="207" t="s">
        <v>3953</v>
      </c>
      <c r="E1136" s="78"/>
      <c r="F1136" s="78"/>
      <c r="G1136" s="78"/>
      <c r="H1136" s="78"/>
      <c r="I1136" s="78"/>
      <c r="J1136" s="78"/>
      <c r="K1136" s="78"/>
      <c r="L1136" s="78"/>
      <c r="M1136" s="78"/>
      <c r="N1136" s="78"/>
      <c r="O1136" s="78"/>
      <c r="P1136" s="78"/>
      <c r="Q1136" s="78"/>
      <c r="R1136" s="78"/>
      <c r="S1136" s="78"/>
      <c r="T1136" s="78"/>
      <c r="U1136" s="78"/>
      <c r="V1136" s="78"/>
      <c r="W1136" s="78"/>
      <c r="X1136" s="78"/>
      <c r="Y1136" s="78"/>
      <c r="Z1136" s="78"/>
      <c r="AA1136" s="78"/>
      <c r="AB1136" s="78"/>
      <c r="AC1136" s="78"/>
      <c r="AD1136" s="78"/>
      <c r="AE1136" s="78"/>
      <c r="AF1136" s="78"/>
      <c r="AG1136" s="78"/>
      <c r="AH1136" s="78"/>
      <c r="AI1136" s="78"/>
      <c r="AJ1136" s="78"/>
      <c r="AK1136" s="78"/>
    </row>
    <row r="1137" spans="1:37">
      <c r="A1137" s="78"/>
      <c r="B1137" s="216"/>
      <c r="C1137" s="78"/>
      <c r="D1137" s="207" t="s">
        <v>3654</v>
      </c>
      <c r="E1137" s="78"/>
      <c r="F1137" s="78"/>
      <c r="G1137" s="78"/>
      <c r="H1137" s="78"/>
      <c r="I1137" s="78"/>
      <c r="J1137" s="78"/>
      <c r="K1137" s="78"/>
      <c r="L1137" s="78"/>
      <c r="M1137" s="78"/>
      <c r="N1137" s="78"/>
      <c r="O1137" s="78"/>
      <c r="P1137" s="78"/>
      <c r="Q1137" s="78"/>
      <c r="R1137" s="78"/>
      <c r="S1137" s="78"/>
      <c r="T1137" s="78"/>
      <c r="U1137" s="78"/>
      <c r="V1137" s="78"/>
      <c r="W1137" s="78"/>
      <c r="X1137" s="78"/>
      <c r="Y1137" s="78"/>
      <c r="Z1137" s="78"/>
      <c r="AA1137" s="78"/>
      <c r="AB1137" s="78"/>
      <c r="AC1137" s="78"/>
      <c r="AD1137" s="78"/>
      <c r="AE1137" s="78"/>
      <c r="AF1137" s="78"/>
      <c r="AG1137" s="78"/>
      <c r="AH1137" s="78"/>
      <c r="AI1137" s="78"/>
      <c r="AJ1137" s="78"/>
      <c r="AK1137" s="78"/>
    </row>
    <row r="1138" spans="1:37">
      <c r="A1138" s="78"/>
      <c r="B1138" s="216"/>
      <c r="C1138" s="78"/>
      <c r="D1138" s="207" t="s">
        <v>3655</v>
      </c>
      <c r="E1138" s="78"/>
      <c r="F1138" s="78"/>
      <c r="G1138" s="78"/>
      <c r="H1138" s="78"/>
      <c r="I1138" s="78"/>
      <c r="J1138" s="78"/>
      <c r="K1138" s="78"/>
      <c r="L1138" s="78"/>
      <c r="M1138" s="78"/>
      <c r="N1138" s="78"/>
      <c r="O1138" s="78"/>
      <c r="P1138" s="78"/>
      <c r="Q1138" s="78"/>
      <c r="R1138" s="78"/>
      <c r="S1138" s="78"/>
      <c r="T1138" s="78"/>
      <c r="U1138" s="78"/>
      <c r="V1138" s="78"/>
      <c r="W1138" s="78"/>
      <c r="X1138" s="78"/>
      <c r="Y1138" s="78"/>
      <c r="Z1138" s="78"/>
      <c r="AA1138" s="78"/>
      <c r="AB1138" s="78"/>
      <c r="AC1138" s="78"/>
      <c r="AD1138" s="78"/>
      <c r="AE1138" s="78"/>
      <c r="AF1138" s="78"/>
      <c r="AG1138" s="78"/>
      <c r="AH1138" s="78"/>
      <c r="AI1138" s="78"/>
      <c r="AJ1138" s="78"/>
      <c r="AK1138" s="78"/>
    </row>
    <row r="1139" spans="1:37">
      <c r="A1139" s="78"/>
      <c r="B1139" s="216"/>
      <c r="C1139" s="78"/>
      <c r="D1139" s="207" t="s">
        <v>3954</v>
      </c>
      <c r="E1139" s="78"/>
      <c r="F1139" s="78"/>
      <c r="G1139" s="78"/>
      <c r="H1139" s="78"/>
      <c r="I1139" s="78"/>
      <c r="J1139" s="78"/>
      <c r="K1139" s="78"/>
      <c r="L1139" s="78"/>
      <c r="M1139" s="78"/>
      <c r="N1139" s="78"/>
      <c r="O1139" s="78"/>
      <c r="P1139" s="78"/>
      <c r="Q1139" s="78"/>
      <c r="R1139" s="78"/>
      <c r="S1139" s="78"/>
      <c r="T1139" s="78"/>
      <c r="U1139" s="78"/>
      <c r="V1139" s="78"/>
      <c r="W1139" s="78"/>
      <c r="X1139" s="78"/>
      <c r="Y1139" s="78"/>
      <c r="Z1139" s="78"/>
      <c r="AA1139" s="78"/>
      <c r="AB1139" s="78"/>
      <c r="AC1139" s="78"/>
      <c r="AD1139" s="78"/>
      <c r="AE1139" s="78"/>
      <c r="AF1139" s="78"/>
      <c r="AG1139" s="78"/>
      <c r="AH1139" s="78"/>
      <c r="AI1139" s="78"/>
      <c r="AJ1139" s="78"/>
      <c r="AK1139" s="78"/>
    </row>
    <row r="1140" spans="1:37">
      <c r="A1140" s="78"/>
      <c r="B1140" s="78"/>
      <c r="C1140" s="78"/>
      <c r="D1140" s="78"/>
      <c r="E1140" s="78"/>
      <c r="F1140" s="78"/>
      <c r="G1140" s="78"/>
      <c r="H1140" s="78"/>
      <c r="I1140" s="78"/>
      <c r="J1140" s="78"/>
      <c r="K1140" s="78"/>
      <c r="L1140" s="78"/>
      <c r="M1140" s="78"/>
      <c r="N1140" s="78"/>
      <c r="O1140" s="78"/>
      <c r="P1140" s="78"/>
      <c r="Q1140" s="78"/>
      <c r="R1140" s="78"/>
      <c r="S1140" s="78"/>
      <c r="T1140" s="78"/>
      <c r="U1140" s="78"/>
      <c r="V1140" s="78"/>
      <c r="W1140" s="78"/>
      <c r="X1140" s="78"/>
      <c r="Y1140" s="78"/>
      <c r="Z1140" s="78"/>
      <c r="AA1140" s="78"/>
      <c r="AB1140" s="78"/>
      <c r="AC1140" s="78"/>
      <c r="AD1140" s="78"/>
      <c r="AE1140" s="78"/>
      <c r="AF1140" s="78"/>
      <c r="AG1140" s="78"/>
      <c r="AH1140" s="78"/>
      <c r="AI1140" s="78"/>
      <c r="AJ1140" s="78"/>
      <c r="AK1140" s="78"/>
    </row>
    <row r="1141" spans="1:37">
      <c r="A1141" s="78"/>
      <c r="B1141" s="235" t="s">
        <v>758</v>
      </c>
      <c r="C1141" s="78"/>
      <c r="D1141" s="212" t="s">
        <v>3955</v>
      </c>
      <c r="E1141" s="78"/>
      <c r="F1141" s="78"/>
      <c r="G1141" s="78"/>
      <c r="H1141" s="78"/>
      <c r="I1141" s="78"/>
      <c r="J1141" s="78"/>
      <c r="K1141" s="78"/>
      <c r="L1141" s="78"/>
      <c r="M1141" s="78"/>
      <c r="N1141" s="78"/>
      <c r="O1141" s="78"/>
      <c r="P1141" s="78"/>
      <c r="Q1141" s="78"/>
      <c r="R1141" s="78"/>
      <c r="S1141" s="78"/>
      <c r="T1141" s="78"/>
      <c r="U1141" s="78"/>
      <c r="V1141" s="78"/>
      <c r="W1141" s="78"/>
      <c r="X1141" s="78"/>
      <c r="Y1141" s="78"/>
      <c r="Z1141" s="78"/>
      <c r="AA1141" s="78"/>
      <c r="AB1141" s="78"/>
      <c r="AC1141" s="78"/>
      <c r="AD1141" s="78"/>
      <c r="AE1141" s="78"/>
      <c r="AF1141" s="78"/>
      <c r="AG1141" s="78"/>
      <c r="AH1141" s="78"/>
      <c r="AI1141" s="78"/>
      <c r="AJ1141" s="78"/>
      <c r="AK1141" s="78"/>
    </row>
    <row r="1142" spans="1:37">
      <c r="A1142" s="78"/>
      <c r="B1142" s="216"/>
      <c r="C1142" s="78"/>
      <c r="D1142" s="212" t="s">
        <v>3956</v>
      </c>
      <c r="E1142" s="78"/>
      <c r="F1142" s="78"/>
      <c r="G1142" s="78"/>
      <c r="H1142" s="78"/>
      <c r="I1142" s="78"/>
      <c r="J1142" s="78"/>
      <c r="K1142" s="78"/>
      <c r="L1142" s="78"/>
      <c r="M1142" s="78"/>
      <c r="N1142" s="78"/>
      <c r="O1142" s="78"/>
      <c r="P1142" s="78"/>
      <c r="Q1142" s="78"/>
      <c r="R1142" s="78"/>
      <c r="S1142" s="78"/>
      <c r="T1142" s="78"/>
      <c r="U1142" s="78"/>
      <c r="V1142" s="78"/>
      <c r="W1142" s="78"/>
      <c r="X1142" s="78"/>
      <c r="Y1142" s="78"/>
      <c r="Z1142" s="78"/>
      <c r="AA1142" s="78"/>
      <c r="AB1142" s="78"/>
      <c r="AC1142" s="78"/>
      <c r="AD1142" s="78"/>
      <c r="AE1142" s="78"/>
      <c r="AF1142" s="78"/>
      <c r="AG1142" s="78"/>
      <c r="AH1142" s="78"/>
      <c r="AI1142" s="78"/>
      <c r="AJ1142" s="78"/>
      <c r="AK1142" s="78"/>
    </row>
    <row r="1143" spans="1:37">
      <c r="A1143" s="78"/>
      <c r="B1143" s="216"/>
      <c r="C1143" s="78"/>
      <c r="D1143" s="212" t="s">
        <v>3741</v>
      </c>
      <c r="E1143" s="78"/>
      <c r="F1143" s="78"/>
      <c r="G1143" s="78"/>
      <c r="H1143" s="78"/>
      <c r="I1143" s="78"/>
      <c r="J1143" s="78"/>
      <c r="K1143" s="78"/>
      <c r="L1143" s="78"/>
      <c r="M1143" s="78"/>
      <c r="N1143" s="78"/>
      <c r="O1143" s="78"/>
      <c r="P1143" s="78"/>
      <c r="Q1143" s="78"/>
      <c r="R1143" s="78"/>
      <c r="S1143" s="78"/>
      <c r="T1143" s="78"/>
      <c r="U1143" s="78"/>
      <c r="V1143" s="78"/>
      <c r="W1143" s="78"/>
      <c r="X1143" s="78"/>
      <c r="Y1143" s="78"/>
      <c r="Z1143" s="78"/>
      <c r="AA1143" s="78"/>
      <c r="AB1143" s="78"/>
      <c r="AC1143" s="78"/>
      <c r="AD1143" s="78"/>
      <c r="AE1143" s="78"/>
      <c r="AF1143" s="78"/>
      <c r="AG1143" s="78"/>
      <c r="AH1143" s="78"/>
      <c r="AI1143" s="78"/>
      <c r="AJ1143" s="78"/>
      <c r="AK1143" s="78"/>
    </row>
    <row r="1144" spans="1:37">
      <c r="A1144" s="78"/>
      <c r="B1144" s="216"/>
      <c r="C1144" s="78"/>
      <c r="D1144" s="212" t="s">
        <v>3957</v>
      </c>
      <c r="E1144" s="78"/>
      <c r="F1144" s="78"/>
      <c r="G1144" s="78"/>
      <c r="H1144" s="78"/>
      <c r="I1144" s="78"/>
      <c r="J1144" s="78"/>
      <c r="K1144" s="78"/>
      <c r="L1144" s="78"/>
      <c r="M1144" s="78"/>
      <c r="N1144" s="78"/>
      <c r="O1144" s="78"/>
      <c r="P1144" s="78"/>
      <c r="Q1144" s="78"/>
      <c r="R1144" s="78"/>
      <c r="S1144" s="78"/>
      <c r="T1144" s="78"/>
      <c r="U1144" s="78"/>
      <c r="V1144" s="78"/>
      <c r="W1144" s="78"/>
      <c r="X1144" s="78"/>
      <c r="Y1144" s="78"/>
      <c r="Z1144" s="78"/>
      <c r="AA1144" s="78"/>
      <c r="AB1144" s="78"/>
      <c r="AC1144" s="78"/>
      <c r="AD1144" s="78"/>
      <c r="AE1144" s="78"/>
      <c r="AF1144" s="78"/>
      <c r="AG1144" s="78"/>
      <c r="AH1144" s="78"/>
      <c r="AI1144" s="78"/>
      <c r="AJ1144" s="78"/>
      <c r="AK1144" s="78"/>
    </row>
    <row r="1145" spans="1:37">
      <c r="A1145" s="78"/>
      <c r="B1145" s="216"/>
      <c r="C1145" s="78"/>
      <c r="D1145" s="212" t="s">
        <v>3958</v>
      </c>
      <c r="E1145" s="78"/>
      <c r="F1145" s="78"/>
      <c r="G1145" s="78"/>
      <c r="H1145" s="78"/>
      <c r="I1145" s="78"/>
      <c r="J1145" s="78"/>
      <c r="K1145" s="78"/>
      <c r="L1145" s="78"/>
      <c r="M1145" s="78"/>
      <c r="N1145" s="78"/>
      <c r="O1145" s="78"/>
      <c r="P1145" s="78"/>
      <c r="Q1145" s="78"/>
      <c r="R1145" s="78"/>
      <c r="S1145" s="78"/>
      <c r="T1145" s="78"/>
      <c r="U1145" s="78"/>
      <c r="V1145" s="78"/>
      <c r="W1145" s="78"/>
      <c r="X1145" s="78"/>
      <c r="Y1145" s="78"/>
      <c r="Z1145" s="78"/>
      <c r="AA1145" s="78"/>
      <c r="AB1145" s="78"/>
      <c r="AC1145" s="78"/>
      <c r="AD1145" s="78"/>
      <c r="AE1145" s="78"/>
      <c r="AF1145" s="78"/>
      <c r="AG1145" s="78"/>
      <c r="AH1145" s="78"/>
      <c r="AI1145" s="78"/>
      <c r="AJ1145" s="78"/>
      <c r="AK1145" s="78"/>
    </row>
    <row r="1146" spans="1:37">
      <c r="A1146" s="78"/>
      <c r="B1146" s="216"/>
      <c r="C1146" s="78"/>
      <c r="D1146" s="212" t="s">
        <v>3797</v>
      </c>
      <c r="E1146" s="78"/>
      <c r="F1146" s="78"/>
      <c r="G1146" s="78"/>
      <c r="H1146" s="78"/>
      <c r="I1146" s="78"/>
      <c r="J1146" s="78"/>
      <c r="K1146" s="78"/>
      <c r="L1146" s="78"/>
      <c r="M1146" s="78"/>
      <c r="N1146" s="78"/>
      <c r="O1146" s="78"/>
      <c r="P1146" s="78"/>
      <c r="Q1146" s="78"/>
      <c r="R1146" s="78"/>
      <c r="S1146" s="78"/>
      <c r="T1146" s="78"/>
      <c r="U1146" s="78"/>
      <c r="V1146" s="78"/>
      <c r="W1146" s="78"/>
      <c r="X1146" s="78"/>
      <c r="Y1146" s="78"/>
      <c r="Z1146" s="78"/>
      <c r="AA1146" s="78"/>
      <c r="AB1146" s="78"/>
      <c r="AC1146" s="78"/>
      <c r="AD1146" s="78"/>
      <c r="AE1146" s="78"/>
      <c r="AF1146" s="78"/>
      <c r="AG1146" s="78"/>
      <c r="AH1146" s="78"/>
      <c r="AI1146" s="78"/>
      <c r="AJ1146" s="78"/>
      <c r="AK1146" s="78"/>
    </row>
    <row r="1147" spans="1:37">
      <c r="A1147" s="78"/>
      <c r="B1147" s="216"/>
      <c r="C1147" s="78"/>
      <c r="D1147" s="212" t="s">
        <v>3959</v>
      </c>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78"/>
      <c r="AA1147" s="78"/>
      <c r="AB1147" s="78"/>
      <c r="AC1147" s="78"/>
      <c r="AD1147" s="78"/>
      <c r="AE1147" s="78"/>
      <c r="AF1147" s="78"/>
      <c r="AG1147" s="78"/>
      <c r="AH1147" s="78"/>
      <c r="AI1147" s="78"/>
      <c r="AJ1147" s="78"/>
      <c r="AK1147" s="78"/>
    </row>
    <row r="1148" spans="1:37">
      <c r="A1148" s="78"/>
      <c r="B1148" s="216"/>
      <c r="C1148" s="78"/>
      <c r="D1148" s="212" t="s">
        <v>3960</v>
      </c>
      <c r="E1148" s="78"/>
      <c r="F1148" s="78"/>
      <c r="G1148" s="78"/>
      <c r="H1148" s="78"/>
      <c r="I1148" s="78"/>
      <c r="J1148" s="78"/>
      <c r="K1148" s="78"/>
      <c r="L1148" s="78"/>
      <c r="M1148" s="78"/>
      <c r="N1148" s="78"/>
      <c r="O1148" s="78"/>
      <c r="P1148" s="78"/>
      <c r="Q1148" s="78"/>
      <c r="R1148" s="78"/>
      <c r="S1148" s="78"/>
      <c r="T1148" s="78"/>
      <c r="U1148" s="78"/>
      <c r="V1148" s="78"/>
      <c r="W1148" s="78"/>
      <c r="X1148" s="78"/>
      <c r="Y1148" s="78"/>
      <c r="Z1148" s="78"/>
      <c r="AA1148" s="78"/>
      <c r="AB1148" s="78"/>
      <c r="AC1148" s="78"/>
      <c r="AD1148" s="78"/>
      <c r="AE1148" s="78"/>
      <c r="AF1148" s="78"/>
      <c r="AG1148" s="78"/>
      <c r="AH1148" s="78"/>
      <c r="AI1148" s="78"/>
      <c r="AJ1148" s="78"/>
      <c r="AK1148" s="78"/>
    </row>
    <row r="1149" spans="1:37">
      <c r="A1149" s="78"/>
      <c r="B1149" s="216"/>
      <c r="C1149" s="78"/>
      <c r="D1149" s="212" t="s">
        <v>3961</v>
      </c>
      <c r="E1149" s="78"/>
      <c r="F1149" s="78"/>
      <c r="G1149" s="78"/>
      <c r="H1149" s="78"/>
      <c r="I1149" s="78"/>
      <c r="J1149" s="78"/>
      <c r="K1149" s="78"/>
      <c r="L1149" s="78"/>
      <c r="M1149" s="78"/>
      <c r="N1149" s="78"/>
      <c r="O1149" s="78"/>
      <c r="P1149" s="78"/>
      <c r="Q1149" s="78"/>
      <c r="R1149" s="78"/>
      <c r="S1149" s="78"/>
      <c r="T1149" s="78"/>
      <c r="U1149" s="78"/>
      <c r="V1149" s="78"/>
      <c r="W1149" s="78"/>
      <c r="X1149" s="78"/>
      <c r="Y1149" s="78"/>
      <c r="Z1149" s="78"/>
      <c r="AA1149" s="78"/>
      <c r="AB1149" s="78"/>
      <c r="AC1149" s="78"/>
      <c r="AD1149" s="78"/>
      <c r="AE1149" s="78"/>
      <c r="AF1149" s="78"/>
      <c r="AG1149" s="78"/>
      <c r="AH1149" s="78"/>
      <c r="AI1149" s="78"/>
      <c r="AJ1149" s="78"/>
      <c r="AK1149" s="78"/>
    </row>
    <row r="1150" spans="1:37">
      <c r="A1150" s="78"/>
      <c r="B1150" s="216"/>
      <c r="C1150" s="78"/>
      <c r="D1150" s="212" t="s">
        <v>3962</v>
      </c>
      <c r="E1150" s="78"/>
      <c r="F1150" s="78"/>
      <c r="G1150" s="78"/>
      <c r="H1150" s="78"/>
      <c r="I1150" s="78"/>
      <c r="J1150" s="78"/>
      <c r="K1150" s="78"/>
      <c r="L1150" s="78"/>
      <c r="M1150" s="78"/>
      <c r="N1150" s="78"/>
      <c r="O1150" s="78"/>
      <c r="P1150" s="78"/>
      <c r="Q1150" s="78"/>
      <c r="R1150" s="78"/>
      <c r="S1150" s="78"/>
      <c r="T1150" s="78"/>
      <c r="U1150" s="78"/>
      <c r="V1150" s="78"/>
      <c r="W1150" s="78"/>
      <c r="X1150" s="78"/>
      <c r="Y1150" s="78"/>
      <c r="Z1150" s="78"/>
      <c r="AA1150" s="78"/>
      <c r="AB1150" s="78"/>
      <c r="AC1150" s="78"/>
      <c r="AD1150" s="78"/>
      <c r="AE1150" s="78"/>
      <c r="AF1150" s="78"/>
      <c r="AG1150" s="78"/>
      <c r="AH1150" s="78"/>
      <c r="AI1150" s="78"/>
      <c r="AJ1150" s="78"/>
      <c r="AK1150" s="78"/>
    </row>
    <row r="1151" spans="1:37">
      <c r="A1151" s="78"/>
      <c r="B1151" s="216"/>
      <c r="C1151" s="78"/>
      <c r="D1151" s="212" t="s">
        <v>3963</v>
      </c>
      <c r="E1151" s="78"/>
      <c r="F1151" s="78"/>
      <c r="G1151" s="78"/>
      <c r="H1151" s="78"/>
      <c r="I1151" s="78"/>
      <c r="J1151" s="78"/>
      <c r="K1151" s="78"/>
      <c r="L1151" s="78"/>
      <c r="M1151" s="78"/>
      <c r="N1151" s="78"/>
      <c r="O1151" s="78"/>
      <c r="P1151" s="78"/>
      <c r="Q1151" s="78"/>
      <c r="R1151" s="78"/>
      <c r="S1151" s="78"/>
      <c r="T1151" s="78"/>
      <c r="U1151" s="78"/>
      <c r="V1151" s="78"/>
      <c r="W1151" s="78"/>
      <c r="X1151" s="78"/>
      <c r="Y1151" s="78"/>
      <c r="Z1151" s="78"/>
      <c r="AA1151" s="78"/>
      <c r="AB1151" s="78"/>
      <c r="AC1151" s="78"/>
      <c r="AD1151" s="78"/>
      <c r="AE1151" s="78"/>
      <c r="AF1151" s="78"/>
      <c r="AG1151" s="78"/>
      <c r="AH1151" s="78"/>
      <c r="AI1151" s="78"/>
      <c r="AJ1151" s="78"/>
      <c r="AK1151" s="78"/>
    </row>
    <row r="1152" spans="1:37">
      <c r="A1152" s="78"/>
      <c r="B1152" s="78"/>
      <c r="C1152" s="78"/>
      <c r="D1152" s="78"/>
      <c r="E1152" s="78"/>
      <c r="F1152" s="78"/>
      <c r="G1152" s="78"/>
      <c r="H1152" s="78"/>
      <c r="I1152" s="78"/>
      <c r="J1152" s="78"/>
      <c r="K1152" s="78"/>
      <c r="L1152" s="78"/>
      <c r="M1152" s="78"/>
      <c r="N1152" s="78"/>
      <c r="O1152" s="78"/>
      <c r="P1152" s="78"/>
      <c r="Q1152" s="78"/>
      <c r="R1152" s="78"/>
      <c r="S1152" s="78"/>
      <c r="T1152" s="78"/>
      <c r="U1152" s="78"/>
      <c r="V1152" s="78"/>
      <c r="W1152" s="78"/>
      <c r="X1152" s="78"/>
      <c r="Y1152" s="78"/>
      <c r="Z1152" s="78"/>
      <c r="AA1152" s="78"/>
      <c r="AB1152" s="78"/>
      <c r="AC1152" s="78"/>
      <c r="AD1152" s="78"/>
      <c r="AE1152" s="78"/>
      <c r="AF1152" s="78"/>
      <c r="AG1152" s="78"/>
      <c r="AH1152" s="78"/>
      <c r="AI1152" s="78"/>
      <c r="AJ1152" s="78"/>
      <c r="AK1152" s="78"/>
    </row>
    <row r="1153" spans="1:37">
      <c r="A1153" s="78"/>
      <c r="B1153" s="232" t="s">
        <v>2610</v>
      </c>
      <c r="C1153" s="78"/>
      <c r="D1153" s="212" t="s">
        <v>3964</v>
      </c>
      <c r="E1153" s="78"/>
      <c r="F1153" s="78"/>
      <c r="G1153" s="78"/>
      <c r="H1153" s="78"/>
      <c r="I1153" s="78"/>
      <c r="J1153" s="78"/>
      <c r="K1153" s="78"/>
      <c r="L1153" s="78"/>
      <c r="M1153" s="78"/>
      <c r="N1153" s="78"/>
      <c r="O1153" s="78"/>
      <c r="P1153" s="78"/>
      <c r="Q1153" s="78"/>
      <c r="R1153" s="78"/>
      <c r="S1153" s="78"/>
      <c r="T1153" s="78"/>
      <c r="U1153" s="78"/>
      <c r="V1153" s="78"/>
      <c r="W1153" s="78"/>
      <c r="X1153" s="78"/>
      <c r="Y1153" s="78"/>
      <c r="Z1153" s="78"/>
      <c r="AA1153" s="78"/>
      <c r="AB1153" s="78"/>
      <c r="AC1153" s="78"/>
      <c r="AD1153" s="78"/>
      <c r="AE1153" s="78"/>
      <c r="AF1153" s="78"/>
      <c r="AG1153" s="78"/>
      <c r="AH1153" s="78"/>
      <c r="AI1153" s="78"/>
      <c r="AJ1153" s="78"/>
      <c r="AK1153" s="78"/>
    </row>
    <row r="1154" spans="1:37">
      <c r="A1154" s="78"/>
      <c r="B1154" s="216"/>
      <c r="C1154" s="78"/>
      <c r="D1154" s="212" t="s">
        <v>3965</v>
      </c>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c r="AA1154" s="78"/>
      <c r="AB1154" s="78"/>
      <c r="AC1154" s="78"/>
      <c r="AD1154" s="78"/>
      <c r="AE1154" s="78"/>
      <c r="AF1154" s="78"/>
      <c r="AG1154" s="78"/>
      <c r="AH1154" s="78"/>
      <c r="AI1154" s="78"/>
      <c r="AJ1154" s="78"/>
      <c r="AK1154" s="78"/>
    </row>
    <row r="1155" spans="1:37">
      <c r="A1155" s="78"/>
      <c r="B1155" s="216"/>
      <c r="C1155" s="78"/>
      <c r="D1155" s="212" t="s">
        <v>3966</v>
      </c>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c r="AA1155" s="78"/>
      <c r="AB1155" s="78"/>
      <c r="AC1155" s="78"/>
      <c r="AD1155" s="78"/>
      <c r="AE1155" s="78"/>
      <c r="AF1155" s="78"/>
      <c r="AG1155" s="78"/>
      <c r="AH1155" s="78"/>
      <c r="AI1155" s="78"/>
      <c r="AJ1155" s="78"/>
      <c r="AK1155" s="78"/>
    </row>
    <row r="1156" spans="1:37">
      <c r="A1156" s="78"/>
      <c r="B1156" s="216"/>
      <c r="C1156" s="78"/>
      <c r="D1156" s="212" t="s">
        <v>3967</v>
      </c>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c r="AA1156" s="78"/>
      <c r="AB1156" s="78"/>
      <c r="AC1156" s="78"/>
      <c r="AD1156" s="78"/>
      <c r="AE1156" s="78"/>
      <c r="AF1156" s="78"/>
      <c r="AG1156" s="78"/>
      <c r="AH1156" s="78"/>
      <c r="AI1156" s="78"/>
      <c r="AJ1156" s="78"/>
      <c r="AK1156" s="78"/>
    </row>
    <row r="1157" spans="1:37">
      <c r="A1157" s="78"/>
      <c r="B1157" s="216"/>
      <c r="C1157" s="78"/>
      <c r="D1157" s="212" t="s">
        <v>3968</v>
      </c>
      <c r="E1157" s="78"/>
      <c r="F1157" s="78"/>
      <c r="G1157" s="78"/>
      <c r="H1157" s="78"/>
      <c r="I1157" s="78"/>
      <c r="J1157" s="78"/>
      <c r="K1157" s="78"/>
      <c r="L1157" s="78"/>
      <c r="M1157" s="78"/>
      <c r="N1157" s="78"/>
      <c r="O1157" s="78"/>
      <c r="P1157" s="78"/>
      <c r="Q1157" s="78"/>
      <c r="R1157" s="78"/>
      <c r="S1157" s="78"/>
      <c r="T1157" s="78"/>
      <c r="U1157" s="78"/>
      <c r="V1157" s="78"/>
      <c r="W1157" s="78"/>
      <c r="X1157" s="78"/>
      <c r="Y1157" s="78"/>
      <c r="Z1157" s="78"/>
      <c r="AA1157" s="78"/>
      <c r="AB1157" s="78"/>
      <c r="AC1157" s="78"/>
      <c r="AD1157" s="78"/>
      <c r="AE1157" s="78"/>
      <c r="AF1157" s="78"/>
      <c r="AG1157" s="78"/>
      <c r="AH1157" s="78"/>
      <c r="AI1157" s="78"/>
      <c r="AJ1157" s="78"/>
      <c r="AK1157" s="78"/>
    </row>
    <row r="1158" spans="1:37">
      <c r="A1158" s="78"/>
      <c r="B1158" s="216"/>
      <c r="C1158" s="78"/>
      <c r="D1158" s="212" t="s">
        <v>3969</v>
      </c>
      <c r="E1158" s="78"/>
      <c r="F1158" s="78"/>
      <c r="G1158" s="78"/>
      <c r="H1158" s="78"/>
      <c r="I1158" s="78"/>
      <c r="J1158" s="78"/>
      <c r="K1158" s="78"/>
      <c r="L1158" s="78"/>
      <c r="M1158" s="78"/>
      <c r="N1158" s="78"/>
      <c r="O1158" s="78"/>
      <c r="P1158" s="78"/>
      <c r="Q1158" s="78"/>
      <c r="R1158" s="78"/>
      <c r="S1158" s="78"/>
      <c r="T1158" s="78"/>
      <c r="U1158" s="78"/>
      <c r="V1158" s="78"/>
      <c r="W1158" s="78"/>
      <c r="X1158" s="78"/>
      <c r="Y1158" s="78"/>
      <c r="Z1158" s="78"/>
      <c r="AA1158" s="78"/>
      <c r="AB1158" s="78"/>
      <c r="AC1158" s="78"/>
      <c r="AD1158" s="78"/>
      <c r="AE1158" s="78"/>
      <c r="AF1158" s="78"/>
      <c r="AG1158" s="78"/>
      <c r="AH1158" s="78"/>
      <c r="AI1158" s="78"/>
      <c r="AJ1158" s="78"/>
      <c r="AK1158" s="78"/>
    </row>
    <row r="1159" spans="1:37">
      <c r="A1159" s="78"/>
      <c r="B1159" s="216"/>
      <c r="C1159" s="78"/>
      <c r="D1159" s="212" t="s">
        <v>3970</v>
      </c>
      <c r="E1159" s="78"/>
      <c r="F1159" s="78"/>
      <c r="G1159" s="78"/>
      <c r="H1159" s="78"/>
      <c r="I1159" s="78"/>
      <c r="J1159" s="78"/>
      <c r="K1159" s="78"/>
      <c r="L1159" s="78"/>
      <c r="M1159" s="78"/>
      <c r="N1159" s="78"/>
      <c r="O1159" s="78"/>
      <c r="P1159" s="78"/>
      <c r="Q1159" s="78"/>
      <c r="R1159" s="78"/>
      <c r="S1159" s="78"/>
      <c r="T1159" s="78"/>
      <c r="U1159" s="78"/>
      <c r="V1159" s="78"/>
      <c r="W1159" s="78"/>
      <c r="X1159" s="78"/>
      <c r="Y1159" s="78"/>
      <c r="Z1159" s="78"/>
      <c r="AA1159" s="78"/>
      <c r="AB1159" s="78"/>
      <c r="AC1159" s="78"/>
      <c r="AD1159" s="78"/>
      <c r="AE1159" s="78"/>
      <c r="AF1159" s="78"/>
      <c r="AG1159" s="78"/>
      <c r="AH1159" s="78"/>
      <c r="AI1159" s="78"/>
      <c r="AJ1159" s="78"/>
      <c r="AK1159" s="78"/>
    </row>
    <row r="1160" spans="1:37">
      <c r="A1160" s="78"/>
      <c r="B1160" s="216"/>
      <c r="C1160" s="78"/>
      <c r="D1160" s="212" t="s">
        <v>3971</v>
      </c>
      <c r="E1160" s="78"/>
      <c r="F1160" s="78"/>
      <c r="G1160" s="78"/>
      <c r="H1160" s="78"/>
      <c r="I1160" s="78"/>
      <c r="J1160" s="78"/>
      <c r="K1160" s="78"/>
      <c r="L1160" s="78"/>
      <c r="M1160" s="78"/>
      <c r="N1160" s="78"/>
      <c r="O1160" s="78"/>
      <c r="P1160" s="78"/>
      <c r="Q1160" s="78"/>
      <c r="R1160" s="78"/>
      <c r="S1160" s="78"/>
      <c r="T1160" s="78"/>
      <c r="U1160" s="78"/>
      <c r="V1160" s="78"/>
      <c r="W1160" s="78"/>
      <c r="X1160" s="78"/>
      <c r="Y1160" s="78"/>
      <c r="Z1160" s="78"/>
      <c r="AA1160" s="78"/>
      <c r="AB1160" s="78"/>
      <c r="AC1160" s="78"/>
      <c r="AD1160" s="78"/>
      <c r="AE1160" s="78"/>
      <c r="AF1160" s="78"/>
      <c r="AG1160" s="78"/>
      <c r="AH1160" s="78"/>
      <c r="AI1160" s="78"/>
      <c r="AJ1160" s="78"/>
      <c r="AK1160" s="78"/>
    </row>
    <row r="1161" spans="1:37">
      <c r="A1161" s="78"/>
      <c r="B1161" s="216"/>
      <c r="C1161" s="78"/>
      <c r="D1161" s="212" t="s">
        <v>3972</v>
      </c>
      <c r="E1161" s="78"/>
      <c r="F1161" s="78"/>
      <c r="G1161" s="78"/>
      <c r="H1161" s="78"/>
      <c r="I1161" s="78"/>
      <c r="J1161" s="78"/>
      <c r="K1161" s="78"/>
      <c r="L1161" s="78"/>
      <c r="M1161" s="78"/>
      <c r="N1161" s="78"/>
      <c r="O1161" s="78"/>
      <c r="P1161" s="78"/>
      <c r="Q1161" s="78"/>
      <c r="R1161" s="78"/>
      <c r="S1161" s="78"/>
      <c r="T1161" s="78"/>
      <c r="U1161" s="78"/>
      <c r="V1161" s="78"/>
      <c r="W1161" s="78"/>
      <c r="X1161" s="78"/>
      <c r="Y1161" s="78"/>
      <c r="Z1161" s="78"/>
      <c r="AA1161" s="78"/>
      <c r="AB1161" s="78"/>
      <c r="AC1161" s="78"/>
      <c r="AD1161" s="78"/>
      <c r="AE1161" s="78"/>
      <c r="AF1161" s="78"/>
      <c r="AG1161" s="78"/>
      <c r="AH1161" s="78"/>
      <c r="AI1161" s="78"/>
      <c r="AJ1161" s="78"/>
      <c r="AK1161" s="78"/>
    </row>
    <row r="1162" spans="1:37">
      <c r="A1162" s="78"/>
      <c r="B1162" s="216"/>
      <c r="C1162" s="78"/>
      <c r="D1162" s="212" t="s">
        <v>3973</v>
      </c>
      <c r="E1162" s="78"/>
      <c r="F1162" s="78"/>
      <c r="G1162" s="78"/>
      <c r="H1162" s="78"/>
      <c r="I1162" s="78"/>
      <c r="J1162" s="78"/>
      <c r="K1162" s="78"/>
      <c r="L1162" s="78"/>
      <c r="M1162" s="78"/>
      <c r="N1162" s="78"/>
      <c r="O1162" s="78"/>
      <c r="P1162" s="78"/>
      <c r="Q1162" s="78"/>
      <c r="R1162" s="78"/>
      <c r="S1162" s="78"/>
      <c r="T1162" s="78"/>
      <c r="U1162" s="78"/>
      <c r="V1162" s="78"/>
      <c r="W1162" s="78"/>
      <c r="X1162" s="78"/>
      <c r="Y1162" s="78"/>
      <c r="Z1162" s="78"/>
      <c r="AA1162" s="78"/>
      <c r="AB1162" s="78"/>
      <c r="AC1162" s="78"/>
      <c r="AD1162" s="78"/>
      <c r="AE1162" s="78"/>
      <c r="AF1162" s="78"/>
      <c r="AG1162" s="78"/>
      <c r="AH1162" s="78"/>
      <c r="AI1162" s="78"/>
      <c r="AJ1162" s="78"/>
      <c r="AK1162" s="78"/>
    </row>
    <row r="1163" spans="1:37">
      <c r="A1163" s="78"/>
      <c r="B1163" s="78"/>
      <c r="C1163" s="78"/>
      <c r="D1163" s="78"/>
      <c r="E1163" s="78"/>
      <c r="F1163" s="78"/>
      <c r="G1163" s="78"/>
      <c r="H1163" s="78"/>
      <c r="I1163" s="78"/>
      <c r="J1163" s="78"/>
      <c r="K1163" s="78"/>
      <c r="L1163" s="78"/>
      <c r="M1163" s="78"/>
      <c r="N1163" s="78"/>
      <c r="O1163" s="78"/>
      <c r="P1163" s="78"/>
      <c r="Q1163" s="78"/>
      <c r="R1163" s="78"/>
      <c r="S1163" s="78"/>
      <c r="T1163" s="78"/>
      <c r="U1163" s="78"/>
      <c r="V1163" s="78"/>
      <c r="W1163" s="78"/>
      <c r="X1163" s="78"/>
      <c r="Y1163" s="78"/>
      <c r="Z1163" s="78"/>
      <c r="AA1163" s="78"/>
      <c r="AB1163" s="78"/>
      <c r="AC1163" s="78"/>
      <c r="AD1163" s="78"/>
      <c r="AE1163" s="78"/>
      <c r="AF1163" s="78"/>
      <c r="AG1163" s="78"/>
      <c r="AH1163" s="78"/>
      <c r="AI1163" s="78"/>
      <c r="AJ1163" s="78"/>
      <c r="AK1163" s="78"/>
    </row>
    <row r="1164" spans="1:37">
      <c r="A1164" s="78"/>
      <c r="B1164" s="232" t="s">
        <v>847</v>
      </c>
      <c r="C1164" s="78"/>
      <c r="D1164" s="207" t="s">
        <v>1046</v>
      </c>
      <c r="E1164" s="78"/>
      <c r="F1164" s="78"/>
      <c r="G1164" s="78"/>
      <c r="H1164" s="78"/>
      <c r="I1164" s="78"/>
      <c r="J1164" s="78"/>
      <c r="K1164" s="78"/>
      <c r="L1164" s="78"/>
      <c r="M1164" s="78"/>
      <c r="N1164" s="78"/>
      <c r="O1164" s="78"/>
      <c r="P1164" s="78"/>
      <c r="Q1164" s="78"/>
      <c r="R1164" s="78"/>
      <c r="S1164" s="78"/>
      <c r="T1164" s="78"/>
      <c r="U1164" s="78"/>
      <c r="V1164" s="78"/>
      <c r="W1164" s="78"/>
      <c r="X1164" s="78"/>
      <c r="Y1164" s="78"/>
      <c r="Z1164" s="78"/>
      <c r="AA1164" s="78"/>
      <c r="AB1164" s="78"/>
      <c r="AC1164" s="78"/>
      <c r="AD1164" s="78"/>
      <c r="AE1164" s="78"/>
      <c r="AF1164" s="78"/>
      <c r="AG1164" s="78"/>
      <c r="AH1164" s="78"/>
      <c r="AI1164" s="78"/>
      <c r="AJ1164" s="78"/>
      <c r="AK1164" s="78"/>
    </row>
    <row r="1165" spans="1:37">
      <c r="A1165" s="78"/>
      <c r="B1165" s="216"/>
      <c r="C1165" s="78"/>
      <c r="D1165" s="207" t="s">
        <v>3974</v>
      </c>
      <c r="E1165" s="78"/>
      <c r="F1165" s="78"/>
      <c r="G1165" s="78"/>
      <c r="H1165" s="78"/>
      <c r="I1165" s="78"/>
      <c r="J1165" s="78"/>
      <c r="K1165" s="78"/>
      <c r="L1165" s="78"/>
      <c r="M1165" s="78"/>
      <c r="N1165" s="78"/>
      <c r="O1165" s="78"/>
      <c r="P1165" s="78"/>
      <c r="Q1165" s="78"/>
      <c r="R1165" s="78"/>
      <c r="S1165" s="78"/>
      <c r="T1165" s="78"/>
      <c r="U1165" s="78"/>
      <c r="V1165" s="78"/>
      <c r="W1165" s="78"/>
      <c r="X1165" s="78"/>
      <c r="Y1165" s="78"/>
      <c r="Z1165" s="78"/>
      <c r="AA1165" s="78"/>
      <c r="AB1165" s="78"/>
      <c r="AC1165" s="78"/>
      <c r="AD1165" s="78"/>
      <c r="AE1165" s="78"/>
      <c r="AF1165" s="78"/>
      <c r="AG1165" s="78"/>
      <c r="AH1165" s="78"/>
      <c r="AI1165" s="78"/>
      <c r="AJ1165" s="78"/>
      <c r="AK1165" s="78"/>
    </row>
    <row r="1166" spans="1:37">
      <c r="A1166" s="78"/>
      <c r="B1166" s="216"/>
      <c r="C1166" s="78"/>
      <c r="D1166" s="207" t="s">
        <v>3975</v>
      </c>
      <c r="E1166" s="78"/>
      <c r="F1166" s="78"/>
      <c r="G1166" s="78"/>
      <c r="H1166" s="78"/>
      <c r="I1166" s="78"/>
      <c r="J1166" s="78"/>
      <c r="K1166" s="78"/>
      <c r="L1166" s="78"/>
      <c r="M1166" s="78"/>
      <c r="N1166" s="78"/>
      <c r="O1166" s="78"/>
      <c r="P1166" s="78"/>
      <c r="Q1166" s="78"/>
      <c r="R1166" s="78"/>
      <c r="S1166" s="78"/>
      <c r="T1166" s="78"/>
      <c r="U1166" s="78"/>
      <c r="V1166" s="78"/>
      <c r="W1166" s="78"/>
      <c r="X1166" s="78"/>
      <c r="Y1166" s="78"/>
      <c r="Z1166" s="78"/>
      <c r="AA1166" s="78"/>
      <c r="AB1166" s="78"/>
      <c r="AC1166" s="78"/>
      <c r="AD1166" s="78"/>
      <c r="AE1166" s="78"/>
      <c r="AF1166" s="78"/>
      <c r="AG1166" s="78"/>
      <c r="AH1166" s="78"/>
      <c r="AI1166" s="78"/>
      <c r="AJ1166" s="78"/>
      <c r="AK1166" s="78"/>
    </row>
    <row r="1167" spans="1:37">
      <c r="A1167" s="78"/>
      <c r="B1167" s="216"/>
      <c r="C1167" s="78"/>
      <c r="D1167" s="207" t="s">
        <v>3976</v>
      </c>
      <c r="E1167" s="78"/>
      <c r="F1167" s="78"/>
      <c r="G1167" s="78"/>
      <c r="H1167" s="78"/>
      <c r="I1167" s="78"/>
      <c r="J1167" s="78"/>
      <c r="K1167" s="78"/>
      <c r="L1167" s="78"/>
      <c r="M1167" s="78"/>
      <c r="N1167" s="78"/>
      <c r="O1167" s="78"/>
      <c r="P1167" s="78"/>
      <c r="Q1167" s="78"/>
      <c r="R1167" s="78"/>
      <c r="S1167" s="78"/>
      <c r="T1167" s="78"/>
      <c r="U1167" s="78"/>
      <c r="V1167" s="78"/>
      <c r="W1167" s="78"/>
      <c r="X1167" s="78"/>
      <c r="Y1167" s="78"/>
      <c r="Z1167" s="78"/>
      <c r="AA1167" s="78"/>
      <c r="AB1167" s="78"/>
      <c r="AC1167" s="78"/>
      <c r="AD1167" s="78"/>
      <c r="AE1167" s="78"/>
      <c r="AF1167" s="78"/>
      <c r="AG1167" s="78"/>
      <c r="AH1167" s="78"/>
      <c r="AI1167" s="78"/>
      <c r="AJ1167" s="78"/>
      <c r="AK1167" s="78"/>
    </row>
    <row r="1168" spans="1:37">
      <c r="A1168" s="78"/>
      <c r="B1168" s="216"/>
      <c r="C1168" s="78"/>
      <c r="D1168" s="207" t="s">
        <v>3977</v>
      </c>
      <c r="E1168" s="78"/>
      <c r="F1168" s="78"/>
      <c r="G1168" s="78"/>
      <c r="H1168" s="78"/>
      <c r="I1168" s="78"/>
      <c r="J1168" s="78"/>
      <c r="K1168" s="78"/>
      <c r="L1168" s="78"/>
      <c r="M1168" s="78"/>
      <c r="N1168" s="78"/>
      <c r="O1168" s="78"/>
      <c r="P1168" s="78"/>
      <c r="Q1168" s="78"/>
      <c r="R1168" s="78"/>
      <c r="S1168" s="78"/>
      <c r="T1168" s="78"/>
      <c r="U1168" s="78"/>
      <c r="V1168" s="78"/>
      <c r="W1168" s="78"/>
      <c r="X1168" s="78"/>
      <c r="Y1168" s="78"/>
      <c r="Z1168" s="78"/>
      <c r="AA1168" s="78"/>
      <c r="AB1168" s="78"/>
      <c r="AC1168" s="78"/>
      <c r="AD1168" s="78"/>
      <c r="AE1168" s="78"/>
      <c r="AF1168" s="78"/>
      <c r="AG1168" s="78"/>
      <c r="AH1168" s="78"/>
      <c r="AI1168" s="78"/>
      <c r="AJ1168" s="78"/>
      <c r="AK1168" s="78"/>
    </row>
    <row r="1169" spans="1:37">
      <c r="A1169" s="78"/>
      <c r="B1169" s="216"/>
      <c r="C1169" s="78"/>
      <c r="D1169" s="207" t="s">
        <v>3978</v>
      </c>
      <c r="E1169" s="78"/>
      <c r="F1169" s="78"/>
      <c r="G1169" s="78"/>
      <c r="H1169" s="78"/>
      <c r="I1169" s="78"/>
      <c r="J1169" s="78"/>
      <c r="K1169" s="78"/>
      <c r="L1169" s="78"/>
      <c r="M1169" s="78"/>
      <c r="N1169" s="78"/>
      <c r="O1169" s="78"/>
      <c r="P1169" s="78"/>
      <c r="Q1169" s="78"/>
      <c r="R1169" s="78"/>
      <c r="S1169" s="78"/>
      <c r="T1169" s="78"/>
      <c r="U1169" s="78"/>
      <c r="V1169" s="78"/>
      <c r="W1169" s="78"/>
      <c r="X1169" s="78"/>
      <c r="Y1169" s="78"/>
      <c r="Z1169" s="78"/>
      <c r="AA1169" s="78"/>
      <c r="AB1169" s="78"/>
      <c r="AC1169" s="78"/>
      <c r="AD1169" s="78"/>
      <c r="AE1169" s="78"/>
      <c r="AF1169" s="78"/>
      <c r="AG1169" s="78"/>
      <c r="AH1169" s="78"/>
      <c r="AI1169" s="78"/>
      <c r="AJ1169" s="78"/>
      <c r="AK1169" s="78"/>
    </row>
    <row r="1170" spans="1:37">
      <c r="A1170" s="78"/>
      <c r="B1170" s="216"/>
      <c r="C1170" s="78"/>
      <c r="D1170" s="207" t="s">
        <v>3979</v>
      </c>
      <c r="E1170" s="78"/>
      <c r="F1170" s="78"/>
      <c r="G1170" s="78"/>
      <c r="H1170" s="78"/>
      <c r="I1170" s="78"/>
      <c r="J1170" s="78"/>
      <c r="K1170" s="78"/>
      <c r="L1170" s="78"/>
      <c r="M1170" s="78"/>
      <c r="N1170" s="78"/>
      <c r="O1170" s="78"/>
      <c r="P1170" s="78"/>
      <c r="Q1170" s="78"/>
      <c r="R1170" s="78"/>
      <c r="S1170" s="78"/>
      <c r="T1170" s="78"/>
      <c r="U1170" s="78"/>
      <c r="V1170" s="78"/>
      <c r="W1170" s="78"/>
      <c r="X1170" s="78"/>
      <c r="Y1170" s="78"/>
      <c r="Z1170" s="78"/>
      <c r="AA1170" s="78"/>
      <c r="AB1170" s="78"/>
      <c r="AC1170" s="78"/>
      <c r="AD1170" s="78"/>
      <c r="AE1170" s="78"/>
      <c r="AF1170" s="78"/>
      <c r="AG1170" s="78"/>
      <c r="AH1170" s="78"/>
      <c r="AI1170" s="78"/>
      <c r="AJ1170" s="78"/>
      <c r="AK1170" s="78"/>
    </row>
    <row r="1171" spans="1:37">
      <c r="A1171" s="78"/>
      <c r="B1171" s="216"/>
      <c r="C1171" s="78"/>
      <c r="D1171" s="207" t="s">
        <v>3928</v>
      </c>
      <c r="E1171" s="78"/>
      <c r="F1171" s="78"/>
      <c r="G1171" s="78"/>
      <c r="H1171" s="78"/>
      <c r="I1171" s="78"/>
      <c r="J1171" s="78"/>
      <c r="K1171" s="78"/>
      <c r="L1171" s="78"/>
      <c r="M1171" s="78"/>
      <c r="N1171" s="78"/>
      <c r="O1171" s="78"/>
      <c r="P1171" s="78"/>
      <c r="Q1171" s="78"/>
      <c r="R1171" s="78"/>
      <c r="S1171" s="78"/>
      <c r="T1171" s="78"/>
      <c r="U1171" s="78"/>
      <c r="V1171" s="78"/>
      <c r="W1171" s="78"/>
      <c r="X1171" s="78"/>
      <c r="Y1171" s="78"/>
      <c r="Z1171" s="78"/>
      <c r="AA1171" s="78"/>
      <c r="AB1171" s="78"/>
      <c r="AC1171" s="78"/>
      <c r="AD1171" s="78"/>
      <c r="AE1171" s="78"/>
      <c r="AF1171" s="78"/>
      <c r="AG1171" s="78"/>
      <c r="AH1171" s="78"/>
      <c r="AI1171" s="78"/>
      <c r="AJ1171" s="78"/>
      <c r="AK1171" s="78"/>
    </row>
    <row r="1172" spans="1:37">
      <c r="A1172" s="78"/>
      <c r="B1172" s="216"/>
      <c r="C1172" s="78"/>
      <c r="D1172" s="207" t="s">
        <v>3980</v>
      </c>
      <c r="E1172" s="78"/>
      <c r="F1172" s="78"/>
      <c r="G1172" s="78"/>
      <c r="H1172" s="78"/>
      <c r="I1172" s="78"/>
      <c r="J1172" s="78"/>
      <c r="K1172" s="78"/>
      <c r="L1172" s="78"/>
      <c r="M1172" s="78"/>
      <c r="N1172" s="78"/>
      <c r="O1172" s="78"/>
      <c r="P1172" s="78"/>
      <c r="Q1172" s="78"/>
      <c r="R1172" s="78"/>
      <c r="S1172" s="78"/>
      <c r="T1172" s="78"/>
      <c r="U1172" s="78"/>
      <c r="V1172" s="78"/>
      <c r="W1172" s="78"/>
      <c r="X1172" s="78"/>
      <c r="Y1172" s="78"/>
      <c r="Z1172" s="78"/>
      <c r="AA1172" s="78"/>
      <c r="AB1172" s="78"/>
      <c r="AC1172" s="78"/>
      <c r="AD1172" s="78"/>
      <c r="AE1172" s="78"/>
      <c r="AF1172" s="78"/>
      <c r="AG1172" s="78"/>
      <c r="AH1172" s="78"/>
      <c r="AI1172" s="78"/>
      <c r="AJ1172" s="78"/>
      <c r="AK1172" s="78"/>
    </row>
    <row r="1173" spans="1:37">
      <c r="A1173" s="78"/>
      <c r="B1173" s="216"/>
      <c r="C1173" s="78"/>
      <c r="D1173" s="207" t="s">
        <v>3981</v>
      </c>
      <c r="E1173" s="78"/>
      <c r="F1173" s="78"/>
      <c r="G1173" s="78"/>
      <c r="H1173" s="78"/>
      <c r="I1173" s="78"/>
      <c r="J1173" s="78"/>
      <c r="K1173" s="78"/>
      <c r="L1173" s="78"/>
      <c r="M1173" s="78"/>
      <c r="N1173" s="78"/>
      <c r="O1173" s="78"/>
      <c r="P1173" s="78"/>
      <c r="Q1173" s="78"/>
      <c r="R1173" s="78"/>
      <c r="S1173" s="78"/>
      <c r="T1173" s="78"/>
      <c r="U1173" s="78"/>
      <c r="V1173" s="78"/>
      <c r="W1173" s="78"/>
      <c r="X1173" s="78"/>
      <c r="Y1173" s="78"/>
      <c r="Z1173" s="78"/>
      <c r="AA1173" s="78"/>
      <c r="AB1173" s="78"/>
      <c r="AC1173" s="78"/>
      <c r="AD1173" s="78"/>
      <c r="AE1173" s="78"/>
      <c r="AF1173" s="78"/>
      <c r="AG1173" s="78"/>
      <c r="AH1173" s="78"/>
      <c r="AI1173" s="78"/>
      <c r="AJ1173" s="78"/>
      <c r="AK1173" s="78"/>
    </row>
    <row r="1174" spans="1:37">
      <c r="A1174" s="78"/>
      <c r="B1174" s="216"/>
      <c r="C1174" s="78"/>
      <c r="D1174" s="207" t="s">
        <v>3982</v>
      </c>
      <c r="E1174" s="78"/>
      <c r="F1174" s="78"/>
      <c r="G1174" s="78"/>
      <c r="H1174" s="78"/>
      <c r="I1174" s="78"/>
      <c r="J1174" s="78"/>
      <c r="K1174" s="78"/>
      <c r="L1174" s="78"/>
      <c r="M1174" s="78"/>
      <c r="N1174" s="78"/>
      <c r="O1174" s="78"/>
      <c r="P1174" s="78"/>
      <c r="Q1174" s="78"/>
      <c r="R1174" s="78"/>
      <c r="S1174" s="78"/>
      <c r="T1174" s="78"/>
      <c r="U1174" s="78"/>
      <c r="V1174" s="78"/>
      <c r="W1174" s="78"/>
      <c r="X1174" s="78"/>
      <c r="Y1174" s="78"/>
      <c r="Z1174" s="78"/>
      <c r="AA1174" s="78"/>
      <c r="AB1174" s="78"/>
      <c r="AC1174" s="78"/>
      <c r="AD1174" s="78"/>
      <c r="AE1174" s="78"/>
      <c r="AF1174" s="78"/>
      <c r="AG1174" s="78"/>
      <c r="AH1174" s="78"/>
      <c r="AI1174" s="78"/>
      <c r="AJ1174" s="78"/>
      <c r="AK1174" s="78"/>
    </row>
    <row r="1175" spans="1:37">
      <c r="A1175" s="78"/>
      <c r="B1175" s="216"/>
      <c r="C1175" s="78"/>
      <c r="D1175" s="207" t="s">
        <v>3983</v>
      </c>
      <c r="E1175" s="78"/>
      <c r="F1175" s="78"/>
      <c r="G1175" s="78"/>
      <c r="H1175" s="78"/>
      <c r="I1175" s="78"/>
      <c r="J1175" s="78"/>
      <c r="K1175" s="78"/>
      <c r="L1175" s="78"/>
      <c r="M1175" s="78"/>
      <c r="N1175" s="78"/>
      <c r="O1175" s="78"/>
      <c r="P1175" s="78"/>
      <c r="Q1175" s="78"/>
      <c r="R1175" s="78"/>
      <c r="S1175" s="78"/>
      <c r="T1175" s="78"/>
      <c r="U1175" s="78"/>
      <c r="V1175" s="78"/>
      <c r="W1175" s="78"/>
      <c r="X1175" s="78"/>
      <c r="Y1175" s="78"/>
      <c r="Z1175" s="78"/>
      <c r="AA1175" s="78"/>
      <c r="AB1175" s="78"/>
      <c r="AC1175" s="78"/>
      <c r="AD1175" s="78"/>
      <c r="AE1175" s="78"/>
      <c r="AF1175" s="78"/>
      <c r="AG1175" s="78"/>
      <c r="AH1175" s="78"/>
      <c r="AI1175" s="78"/>
      <c r="AJ1175" s="78"/>
      <c r="AK1175" s="78"/>
    </row>
    <row r="1176" spans="1:37">
      <c r="A1176" s="78"/>
      <c r="B1176" s="216"/>
      <c r="C1176" s="78"/>
      <c r="D1176" s="207" t="s">
        <v>3984</v>
      </c>
      <c r="E1176" s="78"/>
      <c r="F1176" s="78"/>
      <c r="G1176" s="78"/>
      <c r="H1176" s="78"/>
      <c r="I1176" s="78"/>
      <c r="J1176" s="78"/>
      <c r="K1176" s="78"/>
      <c r="L1176" s="78"/>
      <c r="M1176" s="78"/>
      <c r="N1176" s="78"/>
      <c r="O1176" s="78"/>
      <c r="P1176" s="78"/>
      <c r="Q1176" s="78"/>
      <c r="R1176" s="78"/>
      <c r="S1176" s="78"/>
      <c r="T1176" s="78"/>
      <c r="U1176" s="78"/>
      <c r="V1176" s="78"/>
      <c r="W1176" s="78"/>
      <c r="X1176" s="78"/>
      <c r="Y1176" s="78"/>
      <c r="Z1176" s="78"/>
      <c r="AA1176" s="78"/>
      <c r="AB1176" s="78"/>
      <c r="AC1176" s="78"/>
      <c r="AD1176" s="78"/>
      <c r="AE1176" s="78"/>
      <c r="AF1176" s="78"/>
      <c r="AG1176" s="78"/>
      <c r="AH1176" s="78"/>
      <c r="AI1176" s="78"/>
      <c r="AJ1176" s="78"/>
      <c r="AK1176" s="78"/>
    </row>
    <row r="1177" spans="1:37">
      <c r="A1177" s="78"/>
      <c r="B1177" s="216"/>
      <c r="C1177" s="78"/>
      <c r="D1177" s="207" t="s">
        <v>3985</v>
      </c>
      <c r="E1177" s="78"/>
      <c r="F1177" s="78"/>
      <c r="G1177" s="78"/>
      <c r="H1177" s="78"/>
      <c r="I1177" s="78"/>
      <c r="J1177" s="78"/>
      <c r="K1177" s="78"/>
      <c r="L1177" s="78"/>
      <c r="M1177" s="78"/>
      <c r="N1177" s="78"/>
      <c r="O1177" s="78"/>
      <c r="P1177" s="78"/>
      <c r="Q1177" s="78"/>
      <c r="R1177" s="78"/>
      <c r="S1177" s="78"/>
      <c r="T1177" s="78"/>
      <c r="U1177" s="78"/>
      <c r="V1177" s="78"/>
      <c r="W1177" s="78"/>
      <c r="X1177" s="78"/>
      <c r="Y1177" s="78"/>
      <c r="Z1177" s="78"/>
      <c r="AA1177" s="78"/>
      <c r="AB1177" s="78"/>
      <c r="AC1177" s="78"/>
      <c r="AD1177" s="78"/>
      <c r="AE1177" s="78"/>
      <c r="AF1177" s="78"/>
      <c r="AG1177" s="78"/>
      <c r="AH1177" s="78"/>
      <c r="AI1177" s="78"/>
      <c r="AJ1177" s="78"/>
      <c r="AK1177" s="78"/>
    </row>
    <row r="1178" spans="1:37">
      <c r="A1178" s="78"/>
      <c r="B1178" s="216"/>
      <c r="C1178" s="78"/>
      <c r="D1178" s="207" t="s">
        <v>3986</v>
      </c>
      <c r="E1178" s="78"/>
      <c r="F1178" s="78"/>
      <c r="G1178" s="78"/>
      <c r="H1178" s="78"/>
      <c r="I1178" s="78"/>
      <c r="J1178" s="78"/>
      <c r="K1178" s="78"/>
      <c r="L1178" s="78"/>
      <c r="M1178" s="78"/>
      <c r="N1178" s="78"/>
      <c r="O1178" s="78"/>
      <c r="P1178" s="78"/>
      <c r="Q1178" s="78"/>
      <c r="R1178" s="78"/>
      <c r="S1178" s="78"/>
      <c r="T1178" s="78"/>
      <c r="U1178" s="78"/>
      <c r="V1178" s="78"/>
      <c r="W1178" s="78"/>
      <c r="X1178" s="78"/>
      <c r="Y1178" s="78"/>
      <c r="Z1178" s="78"/>
      <c r="AA1178" s="78"/>
      <c r="AB1178" s="78"/>
      <c r="AC1178" s="78"/>
      <c r="AD1178" s="78"/>
      <c r="AE1178" s="78"/>
      <c r="AF1178" s="78"/>
      <c r="AG1178" s="78"/>
      <c r="AH1178" s="78"/>
      <c r="AI1178" s="78"/>
      <c r="AJ1178" s="78"/>
      <c r="AK1178" s="78"/>
    </row>
    <row r="1179" spans="1:37">
      <c r="A1179" s="78"/>
      <c r="B1179" s="78"/>
      <c r="C1179" s="78"/>
      <c r="D1179" s="78"/>
      <c r="E1179" s="78"/>
      <c r="F1179" s="78"/>
      <c r="G1179" s="78"/>
      <c r="H1179" s="78"/>
      <c r="I1179" s="78"/>
      <c r="J1179" s="78"/>
      <c r="K1179" s="78"/>
      <c r="L1179" s="78"/>
      <c r="M1179" s="78"/>
      <c r="N1179" s="78"/>
      <c r="O1179" s="78"/>
      <c r="P1179" s="78"/>
      <c r="Q1179" s="78"/>
      <c r="R1179" s="78"/>
      <c r="S1179" s="78"/>
      <c r="T1179" s="78"/>
      <c r="U1179" s="78"/>
      <c r="V1179" s="78"/>
      <c r="W1179" s="78"/>
      <c r="X1179" s="78"/>
      <c r="Y1179" s="78"/>
      <c r="Z1179" s="78"/>
      <c r="AA1179" s="78"/>
      <c r="AB1179" s="78"/>
      <c r="AC1179" s="78"/>
      <c r="AD1179" s="78"/>
      <c r="AE1179" s="78"/>
      <c r="AF1179" s="78"/>
      <c r="AG1179" s="78"/>
      <c r="AH1179" s="78"/>
      <c r="AI1179" s="78"/>
      <c r="AJ1179" s="78"/>
      <c r="AK1179" s="78"/>
    </row>
    <row r="1180" spans="1:37">
      <c r="A1180" s="78"/>
      <c r="B1180" s="235" t="s">
        <v>441</v>
      </c>
      <c r="C1180" s="78"/>
      <c r="D1180" s="207" t="s">
        <v>3987</v>
      </c>
      <c r="E1180" s="78"/>
      <c r="F1180" s="78"/>
      <c r="G1180" s="78"/>
      <c r="H1180" s="78"/>
      <c r="I1180" s="78"/>
      <c r="J1180" s="78"/>
      <c r="K1180" s="78"/>
      <c r="L1180" s="78"/>
      <c r="M1180" s="78"/>
      <c r="N1180" s="78"/>
      <c r="O1180" s="78"/>
      <c r="P1180" s="78"/>
      <c r="Q1180" s="78"/>
      <c r="R1180" s="78"/>
      <c r="S1180" s="78"/>
      <c r="T1180" s="78"/>
      <c r="U1180" s="78"/>
      <c r="V1180" s="78"/>
      <c r="W1180" s="78"/>
      <c r="X1180" s="78"/>
      <c r="Y1180" s="78"/>
      <c r="Z1180" s="78"/>
      <c r="AA1180" s="78"/>
      <c r="AB1180" s="78"/>
      <c r="AC1180" s="78"/>
      <c r="AD1180" s="78"/>
      <c r="AE1180" s="78"/>
      <c r="AF1180" s="78"/>
      <c r="AG1180" s="78"/>
      <c r="AH1180" s="78"/>
      <c r="AI1180" s="78"/>
      <c r="AJ1180" s="78"/>
      <c r="AK1180" s="78"/>
    </row>
    <row r="1181" spans="1:37">
      <c r="A1181" s="78"/>
      <c r="B1181" s="216"/>
      <c r="C1181" s="78"/>
      <c r="D1181" s="207" t="s">
        <v>3988</v>
      </c>
      <c r="E1181" s="78"/>
      <c r="F1181" s="78"/>
      <c r="G1181" s="78"/>
      <c r="H1181" s="78"/>
      <c r="I1181" s="78"/>
      <c r="J1181" s="78"/>
      <c r="K1181" s="78"/>
      <c r="L1181" s="78"/>
      <c r="M1181" s="78"/>
      <c r="N1181" s="78"/>
      <c r="O1181" s="78"/>
      <c r="P1181" s="78"/>
      <c r="Q1181" s="78"/>
      <c r="R1181" s="78"/>
      <c r="S1181" s="78"/>
      <c r="T1181" s="78"/>
      <c r="U1181" s="78"/>
      <c r="V1181" s="78"/>
      <c r="W1181" s="78"/>
      <c r="X1181" s="78"/>
      <c r="Y1181" s="78"/>
      <c r="Z1181" s="78"/>
      <c r="AA1181" s="78"/>
      <c r="AB1181" s="78"/>
      <c r="AC1181" s="78"/>
      <c r="AD1181" s="78"/>
      <c r="AE1181" s="78"/>
      <c r="AF1181" s="78"/>
      <c r="AG1181" s="78"/>
      <c r="AH1181" s="78"/>
      <c r="AI1181" s="78"/>
      <c r="AJ1181" s="78"/>
      <c r="AK1181" s="78"/>
    </row>
    <row r="1182" spans="1:37">
      <c r="A1182" s="78"/>
      <c r="B1182" s="216"/>
      <c r="C1182" s="78"/>
      <c r="D1182" s="207" t="s">
        <v>3989</v>
      </c>
      <c r="E1182" s="78"/>
      <c r="F1182" s="78"/>
      <c r="G1182" s="78"/>
      <c r="H1182" s="78"/>
      <c r="I1182" s="78"/>
      <c r="J1182" s="78"/>
      <c r="K1182" s="78"/>
      <c r="L1182" s="78"/>
      <c r="M1182" s="78"/>
      <c r="N1182" s="78"/>
      <c r="O1182" s="78"/>
      <c r="P1182" s="78"/>
      <c r="Q1182" s="78"/>
      <c r="R1182" s="78"/>
      <c r="S1182" s="78"/>
      <c r="T1182" s="78"/>
      <c r="U1182" s="78"/>
      <c r="V1182" s="78"/>
      <c r="W1182" s="78"/>
      <c r="X1182" s="78"/>
      <c r="Y1182" s="78"/>
      <c r="Z1182" s="78"/>
      <c r="AA1182" s="78"/>
      <c r="AB1182" s="78"/>
      <c r="AC1182" s="78"/>
      <c r="AD1182" s="78"/>
      <c r="AE1182" s="78"/>
      <c r="AF1182" s="78"/>
      <c r="AG1182" s="78"/>
      <c r="AH1182" s="78"/>
      <c r="AI1182" s="78"/>
      <c r="AJ1182" s="78"/>
      <c r="AK1182" s="78"/>
    </row>
    <row r="1183" spans="1:37">
      <c r="A1183" s="78"/>
      <c r="B1183" s="216"/>
      <c r="C1183" s="78"/>
      <c r="D1183" s="207" t="s">
        <v>3241</v>
      </c>
      <c r="E1183" s="78"/>
      <c r="F1183" s="78"/>
      <c r="G1183" s="78"/>
      <c r="H1183" s="78"/>
      <c r="I1183" s="78"/>
      <c r="J1183" s="78"/>
      <c r="K1183" s="78"/>
      <c r="L1183" s="78"/>
      <c r="M1183" s="78"/>
      <c r="N1183" s="78"/>
      <c r="O1183" s="78"/>
      <c r="P1183" s="78"/>
      <c r="Q1183" s="78"/>
      <c r="R1183" s="78"/>
      <c r="S1183" s="78"/>
      <c r="T1183" s="78"/>
      <c r="U1183" s="78"/>
      <c r="V1183" s="78"/>
      <c r="W1183" s="78"/>
      <c r="X1183" s="78"/>
      <c r="Y1183" s="78"/>
      <c r="Z1183" s="78"/>
      <c r="AA1183" s="78"/>
      <c r="AB1183" s="78"/>
      <c r="AC1183" s="78"/>
      <c r="AD1183" s="78"/>
      <c r="AE1183" s="78"/>
      <c r="AF1183" s="78"/>
      <c r="AG1183" s="78"/>
      <c r="AH1183" s="78"/>
      <c r="AI1183" s="78"/>
      <c r="AJ1183" s="78"/>
      <c r="AK1183" s="78"/>
    </row>
    <row r="1184" spans="1:37">
      <c r="A1184" s="78"/>
      <c r="B1184" s="216"/>
      <c r="C1184" s="78"/>
      <c r="D1184" s="207" t="s">
        <v>3990</v>
      </c>
      <c r="E1184" s="78"/>
      <c r="F1184" s="78"/>
      <c r="G1184" s="78"/>
      <c r="H1184" s="78"/>
      <c r="I1184" s="78"/>
      <c r="J1184" s="78"/>
      <c r="K1184" s="78"/>
      <c r="L1184" s="78"/>
      <c r="M1184" s="78"/>
      <c r="N1184" s="78"/>
      <c r="O1184" s="78"/>
      <c r="P1184" s="78"/>
      <c r="Q1184" s="78"/>
      <c r="R1184" s="78"/>
      <c r="S1184" s="78"/>
      <c r="T1184" s="78"/>
      <c r="U1184" s="78"/>
      <c r="V1184" s="78"/>
      <c r="W1184" s="78"/>
      <c r="X1184" s="78"/>
      <c r="Y1184" s="78"/>
      <c r="Z1184" s="78"/>
      <c r="AA1184" s="78"/>
      <c r="AB1184" s="78"/>
      <c r="AC1184" s="78"/>
      <c r="AD1184" s="78"/>
      <c r="AE1184" s="78"/>
      <c r="AF1184" s="78"/>
      <c r="AG1184" s="78"/>
      <c r="AH1184" s="78"/>
      <c r="AI1184" s="78"/>
      <c r="AJ1184" s="78"/>
      <c r="AK1184" s="78"/>
    </row>
    <row r="1185" spans="1:37">
      <c r="A1185" s="78"/>
      <c r="B1185" s="216"/>
      <c r="C1185" s="78"/>
      <c r="D1185" s="207" t="s">
        <v>3991</v>
      </c>
      <c r="E1185" s="78"/>
      <c r="F1185" s="78"/>
      <c r="G1185" s="78"/>
      <c r="H1185" s="78"/>
      <c r="I1185" s="78"/>
      <c r="J1185" s="78"/>
      <c r="K1185" s="78"/>
      <c r="L1185" s="78"/>
      <c r="M1185" s="78"/>
      <c r="N1185" s="78"/>
      <c r="O1185" s="78"/>
      <c r="P1185" s="78"/>
      <c r="Q1185" s="78"/>
      <c r="R1185" s="78"/>
      <c r="S1185" s="78"/>
      <c r="T1185" s="78"/>
      <c r="U1185" s="78"/>
      <c r="V1185" s="78"/>
      <c r="W1185" s="78"/>
      <c r="X1185" s="78"/>
      <c r="Y1185" s="78"/>
      <c r="Z1185" s="78"/>
      <c r="AA1185" s="78"/>
      <c r="AB1185" s="78"/>
      <c r="AC1185" s="78"/>
      <c r="AD1185" s="78"/>
      <c r="AE1185" s="78"/>
      <c r="AF1185" s="78"/>
      <c r="AG1185" s="78"/>
      <c r="AH1185" s="78"/>
      <c r="AI1185" s="78"/>
      <c r="AJ1185" s="78"/>
      <c r="AK1185" s="78"/>
    </row>
    <row r="1186" spans="1:37">
      <c r="A1186" s="78"/>
      <c r="B1186" s="216"/>
      <c r="C1186" s="78"/>
      <c r="D1186" s="207" t="s">
        <v>3992</v>
      </c>
      <c r="E1186" s="78"/>
      <c r="F1186" s="78"/>
      <c r="G1186" s="78"/>
      <c r="H1186" s="78"/>
      <c r="I1186" s="78"/>
      <c r="J1186" s="78"/>
      <c r="K1186" s="78"/>
      <c r="L1186" s="78"/>
      <c r="M1186" s="78"/>
      <c r="N1186" s="78"/>
      <c r="O1186" s="78"/>
      <c r="P1186" s="78"/>
      <c r="Q1186" s="78"/>
      <c r="R1186" s="78"/>
      <c r="S1186" s="78"/>
      <c r="T1186" s="78"/>
      <c r="U1186" s="78"/>
      <c r="V1186" s="78"/>
      <c r="W1186" s="78"/>
      <c r="X1186" s="78"/>
      <c r="Y1186" s="78"/>
      <c r="Z1186" s="78"/>
      <c r="AA1186" s="78"/>
      <c r="AB1186" s="78"/>
      <c r="AC1186" s="78"/>
      <c r="AD1186" s="78"/>
      <c r="AE1186" s="78"/>
      <c r="AF1186" s="78"/>
      <c r="AG1186" s="78"/>
      <c r="AH1186" s="78"/>
      <c r="AI1186" s="78"/>
      <c r="AJ1186" s="78"/>
      <c r="AK1186" s="78"/>
    </row>
    <row r="1187" spans="1:37">
      <c r="A1187" s="78"/>
      <c r="B1187" s="216"/>
      <c r="C1187" s="78"/>
      <c r="D1187" s="207" t="s">
        <v>3993</v>
      </c>
      <c r="E1187" s="78"/>
      <c r="F1187" s="78"/>
      <c r="G1187" s="78"/>
      <c r="H1187" s="78"/>
      <c r="I1187" s="78"/>
      <c r="J1187" s="78"/>
      <c r="K1187" s="78"/>
      <c r="L1187" s="78"/>
      <c r="M1187" s="78"/>
      <c r="N1187" s="78"/>
      <c r="O1187" s="78"/>
      <c r="P1187" s="78"/>
      <c r="Q1187" s="78"/>
      <c r="R1187" s="78"/>
      <c r="S1187" s="78"/>
      <c r="T1187" s="78"/>
      <c r="U1187" s="78"/>
      <c r="V1187" s="78"/>
      <c r="W1187" s="78"/>
      <c r="X1187" s="78"/>
      <c r="Y1187" s="78"/>
      <c r="Z1187" s="78"/>
      <c r="AA1187" s="78"/>
      <c r="AB1187" s="78"/>
      <c r="AC1187" s="78"/>
      <c r="AD1187" s="78"/>
      <c r="AE1187" s="78"/>
      <c r="AF1187" s="78"/>
      <c r="AG1187" s="78"/>
      <c r="AH1187" s="78"/>
      <c r="AI1187" s="78"/>
      <c r="AJ1187" s="78"/>
      <c r="AK1187" s="78"/>
    </row>
    <row r="1188" spans="1:37">
      <c r="A1188" s="78"/>
      <c r="B1188" s="216"/>
      <c r="C1188" s="78"/>
      <c r="D1188" s="207" t="s">
        <v>1278</v>
      </c>
      <c r="E1188" s="78"/>
      <c r="F1188" s="78"/>
      <c r="G1188" s="78"/>
      <c r="H1188" s="78"/>
      <c r="I1188" s="78"/>
      <c r="J1188" s="78"/>
      <c r="K1188" s="78"/>
      <c r="L1188" s="78"/>
      <c r="M1188" s="78"/>
      <c r="N1188" s="78"/>
      <c r="O1188" s="78"/>
      <c r="P1188" s="78"/>
      <c r="Q1188" s="78"/>
      <c r="R1188" s="78"/>
      <c r="S1188" s="78"/>
      <c r="T1188" s="78"/>
      <c r="U1188" s="78"/>
      <c r="V1188" s="78"/>
      <c r="W1188" s="78"/>
      <c r="X1188" s="78"/>
      <c r="Y1188" s="78"/>
      <c r="Z1188" s="78"/>
      <c r="AA1188" s="78"/>
      <c r="AB1188" s="78"/>
      <c r="AC1188" s="78"/>
      <c r="AD1188" s="78"/>
      <c r="AE1188" s="78"/>
      <c r="AF1188" s="78"/>
      <c r="AG1188" s="78"/>
      <c r="AH1188" s="78"/>
      <c r="AI1188" s="78"/>
      <c r="AJ1188" s="78"/>
      <c r="AK1188" s="78"/>
    </row>
    <row r="1189" spans="1:37">
      <c r="A1189" s="78"/>
      <c r="B1189" s="216"/>
      <c r="C1189" s="78"/>
      <c r="D1189" s="207" t="s">
        <v>3994</v>
      </c>
      <c r="E1189" s="78"/>
      <c r="F1189" s="78"/>
      <c r="G1189" s="78"/>
      <c r="H1189" s="78"/>
      <c r="I1189" s="78"/>
      <c r="J1189" s="78"/>
      <c r="K1189" s="78"/>
      <c r="L1189" s="78"/>
      <c r="M1189" s="78"/>
      <c r="N1189" s="78"/>
      <c r="O1189" s="78"/>
      <c r="P1189" s="78"/>
      <c r="Q1189" s="78"/>
      <c r="R1189" s="78"/>
      <c r="S1189" s="78"/>
      <c r="T1189" s="78"/>
      <c r="U1189" s="78"/>
      <c r="V1189" s="78"/>
      <c r="W1189" s="78"/>
      <c r="X1189" s="78"/>
      <c r="Y1189" s="78"/>
      <c r="Z1189" s="78"/>
      <c r="AA1189" s="78"/>
      <c r="AB1189" s="78"/>
      <c r="AC1189" s="78"/>
      <c r="AD1189" s="78"/>
      <c r="AE1189" s="78"/>
      <c r="AF1189" s="78"/>
      <c r="AG1189" s="78"/>
      <c r="AH1189" s="78"/>
      <c r="AI1189" s="78"/>
      <c r="AJ1189" s="78"/>
      <c r="AK1189" s="78"/>
    </row>
    <row r="1190" spans="1:37">
      <c r="A1190" s="78"/>
      <c r="B1190" s="78"/>
      <c r="C1190" s="78"/>
      <c r="D1190" s="78"/>
      <c r="E1190" s="78"/>
      <c r="F1190" s="78"/>
      <c r="G1190" s="78"/>
      <c r="H1190" s="78"/>
      <c r="I1190" s="78"/>
      <c r="J1190" s="78"/>
      <c r="K1190" s="78"/>
      <c r="L1190" s="78"/>
      <c r="M1190" s="78"/>
      <c r="N1190" s="78"/>
      <c r="O1190" s="78"/>
      <c r="P1190" s="78"/>
      <c r="Q1190" s="78"/>
      <c r="R1190" s="78"/>
      <c r="S1190" s="78"/>
      <c r="T1190" s="78"/>
      <c r="U1190" s="78"/>
      <c r="V1190" s="78"/>
      <c r="W1190" s="78"/>
      <c r="X1190" s="78"/>
      <c r="Y1190" s="78"/>
      <c r="Z1190" s="78"/>
      <c r="AA1190" s="78"/>
      <c r="AB1190" s="78"/>
      <c r="AC1190" s="78"/>
      <c r="AD1190" s="78"/>
      <c r="AE1190" s="78"/>
      <c r="AF1190" s="78"/>
      <c r="AG1190" s="78"/>
      <c r="AH1190" s="78"/>
      <c r="AI1190" s="78"/>
      <c r="AJ1190" s="78"/>
      <c r="AK1190" s="78"/>
    </row>
    <row r="1191" spans="1:37">
      <c r="A1191" s="78"/>
      <c r="B1191" s="232" t="s">
        <v>1280</v>
      </c>
      <c r="C1191" s="78"/>
      <c r="D1191" s="212" t="s">
        <v>3995</v>
      </c>
      <c r="E1191" s="78"/>
      <c r="F1191" s="78"/>
      <c r="G1191" s="78"/>
      <c r="H1191" s="78"/>
      <c r="I1191" s="78"/>
      <c r="J1191" s="78"/>
      <c r="K1191" s="78"/>
      <c r="L1191" s="78"/>
      <c r="M1191" s="78"/>
      <c r="N1191" s="78"/>
      <c r="O1191" s="78"/>
      <c r="P1191" s="78"/>
      <c r="Q1191" s="78"/>
      <c r="R1191" s="78"/>
      <c r="S1191" s="78"/>
      <c r="T1191" s="78"/>
      <c r="U1191" s="78"/>
      <c r="V1191" s="78"/>
      <c r="W1191" s="78"/>
      <c r="X1191" s="78"/>
      <c r="Y1191" s="78"/>
      <c r="Z1191" s="78"/>
      <c r="AA1191" s="78"/>
      <c r="AB1191" s="78"/>
      <c r="AC1191" s="78"/>
      <c r="AD1191" s="78"/>
      <c r="AE1191" s="78"/>
      <c r="AF1191" s="78"/>
      <c r="AG1191" s="78"/>
      <c r="AH1191" s="78"/>
      <c r="AI1191" s="78"/>
      <c r="AJ1191" s="78"/>
      <c r="AK1191" s="78"/>
    </row>
    <row r="1192" spans="1:37">
      <c r="A1192" s="78"/>
      <c r="B1192" s="216"/>
      <c r="C1192" s="78"/>
      <c r="D1192" s="212" t="s">
        <v>3996</v>
      </c>
      <c r="E1192" s="78"/>
      <c r="F1192" s="78"/>
      <c r="G1192" s="78"/>
      <c r="H1192" s="78"/>
      <c r="I1192" s="78"/>
      <c r="J1192" s="78"/>
      <c r="K1192" s="78"/>
      <c r="L1192" s="78"/>
      <c r="M1192" s="78"/>
      <c r="N1192" s="78"/>
      <c r="O1192" s="78"/>
      <c r="P1192" s="78"/>
      <c r="Q1192" s="78"/>
      <c r="R1192" s="78"/>
      <c r="S1192" s="78"/>
      <c r="T1192" s="78"/>
      <c r="U1192" s="78"/>
      <c r="V1192" s="78"/>
      <c r="W1192" s="78"/>
      <c r="X1192" s="78"/>
      <c r="Y1192" s="78"/>
      <c r="Z1192" s="78"/>
      <c r="AA1192" s="78"/>
      <c r="AB1192" s="78"/>
      <c r="AC1192" s="78"/>
      <c r="AD1192" s="78"/>
      <c r="AE1192" s="78"/>
      <c r="AF1192" s="78"/>
      <c r="AG1192" s="78"/>
      <c r="AH1192" s="78"/>
      <c r="AI1192" s="78"/>
      <c r="AJ1192" s="78"/>
      <c r="AK1192" s="78"/>
    </row>
    <row r="1193" spans="1:37">
      <c r="A1193" s="78"/>
      <c r="B1193" s="216"/>
      <c r="C1193" s="78"/>
      <c r="D1193" s="212" t="s">
        <v>3997</v>
      </c>
      <c r="E1193" s="78"/>
      <c r="F1193" s="78"/>
      <c r="G1193" s="78"/>
      <c r="H1193" s="78"/>
      <c r="I1193" s="78"/>
      <c r="J1193" s="78"/>
      <c r="K1193" s="78"/>
      <c r="L1193" s="78"/>
      <c r="M1193" s="78"/>
      <c r="N1193" s="78"/>
      <c r="O1193" s="78"/>
      <c r="P1193" s="78"/>
      <c r="Q1193" s="78"/>
      <c r="R1193" s="78"/>
      <c r="S1193" s="78"/>
      <c r="T1193" s="78"/>
      <c r="U1193" s="78"/>
      <c r="V1193" s="78"/>
      <c r="W1193" s="78"/>
      <c r="X1193" s="78"/>
      <c r="Y1193" s="78"/>
      <c r="Z1193" s="78"/>
      <c r="AA1193" s="78"/>
      <c r="AB1193" s="78"/>
      <c r="AC1193" s="78"/>
      <c r="AD1193" s="78"/>
      <c r="AE1193" s="78"/>
      <c r="AF1193" s="78"/>
      <c r="AG1193" s="78"/>
      <c r="AH1193" s="78"/>
      <c r="AI1193" s="78"/>
      <c r="AJ1193" s="78"/>
      <c r="AK1193" s="78"/>
    </row>
    <row r="1194" spans="1:37">
      <c r="A1194" s="78"/>
      <c r="B1194" s="216"/>
      <c r="C1194" s="78"/>
      <c r="D1194" s="212" t="s">
        <v>3998</v>
      </c>
      <c r="E1194" s="78"/>
      <c r="F1194" s="78"/>
      <c r="G1194" s="78"/>
      <c r="H1194" s="78"/>
      <c r="I1194" s="78"/>
      <c r="J1194" s="78"/>
      <c r="K1194" s="78"/>
      <c r="L1194" s="78"/>
      <c r="M1194" s="78"/>
      <c r="N1194" s="78"/>
      <c r="O1194" s="78"/>
      <c r="P1194" s="78"/>
      <c r="Q1194" s="78"/>
      <c r="R1194" s="78"/>
      <c r="S1194" s="78"/>
      <c r="T1194" s="78"/>
      <c r="U1194" s="78"/>
      <c r="V1194" s="78"/>
      <c r="W1194" s="78"/>
      <c r="X1194" s="78"/>
      <c r="Y1194" s="78"/>
      <c r="Z1194" s="78"/>
      <c r="AA1194" s="78"/>
      <c r="AB1194" s="78"/>
      <c r="AC1194" s="78"/>
      <c r="AD1194" s="78"/>
      <c r="AE1194" s="78"/>
      <c r="AF1194" s="78"/>
      <c r="AG1194" s="78"/>
      <c r="AH1194" s="78"/>
      <c r="AI1194" s="78"/>
      <c r="AJ1194" s="78"/>
      <c r="AK1194" s="78"/>
    </row>
    <row r="1195" spans="1:37">
      <c r="A1195" s="78"/>
      <c r="B1195" s="216"/>
      <c r="C1195" s="78"/>
      <c r="D1195" s="212" t="s">
        <v>3999</v>
      </c>
      <c r="E1195" s="78"/>
      <c r="F1195" s="78"/>
      <c r="G1195" s="78"/>
      <c r="H1195" s="78"/>
      <c r="I1195" s="78"/>
      <c r="J1195" s="78"/>
      <c r="K1195" s="78"/>
      <c r="L1195" s="78"/>
      <c r="M1195" s="78"/>
      <c r="N1195" s="78"/>
      <c r="O1195" s="78"/>
      <c r="P1195" s="78"/>
      <c r="Q1195" s="78"/>
      <c r="R1195" s="78"/>
      <c r="S1195" s="78"/>
      <c r="T1195" s="78"/>
      <c r="U1195" s="78"/>
      <c r="V1195" s="78"/>
      <c r="W1195" s="78"/>
      <c r="X1195" s="78"/>
      <c r="Y1195" s="78"/>
      <c r="Z1195" s="78"/>
      <c r="AA1195" s="78"/>
      <c r="AB1195" s="78"/>
      <c r="AC1195" s="78"/>
      <c r="AD1195" s="78"/>
      <c r="AE1195" s="78"/>
      <c r="AF1195" s="78"/>
      <c r="AG1195" s="78"/>
      <c r="AH1195" s="78"/>
      <c r="AI1195" s="78"/>
      <c r="AJ1195" s="78"/>
      <c r="AK1195" s="78"/>
    </row>
    <row r="1196" spans="1:37">
      <c r="A1196" s="78"/>
      <c r="B1196" s="216"/>
      <c r="C1196" s="78"/>
      <c r="D1196" s="212" t="s">
        <v>4000</v>
      </c>
      <c r="E1196" s="78"/>
      <c r="F1196" s="78"/>
      <c r="G1196" s="78"/>
      <c r="H1196" s="78"/>
      <c r="I1196" s="78"/>
      <c r="J1196" s="78"/>
      <c r="K1196" s="78"/>
      <c r="L1196" s="78"/>
      <c r="M1196" s="78"/>
      <c r="N1196" s="78"/>
      <c r="O1196" s="78"/>
      <c r="P1196" s="78"/>
      <c r="Q1196" s="78"/>
      <c r="R1196" s="78"/>
      <c r="S1196" s="78"/>
      <c r="T1196" s="78"/>
      <c r="U1196" s="78"/>
      <c r="V1196" s="78"/>
      <c r="W1196" s="78"/>
      <c r="X1196" s="78"/>
      <c r="Y1196" s="78"/>
      <c r="Z1196" s="78"/>
      <c r="AA1196" s="78"/>
      <c r="AB1196" s="78"/>
      <c r="AC1196" s="78"/>
      <c r="AD1196" s="78"/>
      <c r="AE1196" s="78"/>
      <c r="AF1196" s="78"/>
      <c r="AG1196" s="78"/>
      <c r="AH1196" s="78"/>
      <c r="AI1196" s="78"/>
      <c r="AJ1196" s="78"/>
      <c r="AK1196" s="78"/>
    </row>
    <row r="1197" spans="1:37">
      <c r="A1197" s="78"/>
      <c r="B1197" s="216"/>
      <c r="C1197" s="78"/>
      <c r="D1197" s="212" t="s">
        <v>4001</v>
      </c>
      <c r="E1197" s="78"/>
      <c r="F1197" s="78"/>
      <c r="G1197" s="78"/>
      <c r="H1197" s="78"/>
      <c r="I1197" s="78"/>
      <c r="J1197" s="78"/>
      <c r="K1197" s="78"/>
      <c r="L1197" s="78"/>
      <c r="M1197" s="78"/>
      <c r="N1197" s="78"/>
      <c r="O1197" s="78"/>
      <c r="P1197" s="78"/>
      <c r="Q1197" s="78"/>
      <c r="R1197" s="78"/>
      <c r="S1197" s="78"/>
      <c r="T1197" s="78"/>
      <c r="U1197" s="78"/>
      <c r="V1197" s="78"/>
      <c r="W1197" s="78"/>
      <c r="X1197" s="78"/>
      <c r="Y1197" s="78"/>
      <c r="Z1197" s="78"/>
      <c r="AA1197" s="78"/>
      <c r="AB1197" s="78"/>
      <c r="AC1197" s="78"/>
      <c r="AD1197" s="78"/>
      <c r="AE1197" s="78"/>
      <c r="AF1197" s="78"/>
      <c r="AG1197" s="78"/>
      <c r="AH1197" s="78"/>
      <c r="AI1197" s="78"/>
      <c r="AJ1197" s="78"/>
      <c r="AK1197" s="78"/>
    </row>
    <row r="1198" spans="1:37">
      <c r="A1198" s="78"/>
      <c r="B1198" s="216"/>
      <c r="C1198" s="78"/>
      <c r="D1198" s="212" t="s">
        <v>4002</v>
      </c>
      <c r="E1198" s="78"/>
      <c r="F1198" s="78"/>
      <c r="G1198" s="78"/>
      <c r="H1198" s="78"/>
      <c r="I1198" s="78"/>
      <c r="J1198" s="78"/>
      <c r="K1198" s="78"/>
      <c r="L1198" s="78"/>
      <c r="M1198" s="78"/>
      <c r="N1198" s="78"/>
      <c r="O1198" s="78"/>
      <c r="P1198" s="78"/>
      <c r="Q1198" s="78"/>
      <c r="R1198" s="78"/>
      <c r="S1198" s="78"/>
      <c r="T1198" s="78"/>
      <c r="U1198" s="78"/>
      <c r="V1198" s="78"/>
      <c r="W1198" s="78"/>
      <c r="X1198" s="78"/>
      <c r="Y1198" s="78"/>
      <c r="Z1198" s="78"/>
      <c r="AA1198" s="78"/>
      <c r="AB1198" s="78"/>
      <c r="AC1198" s="78"/>
      <c r="AD1198" s="78"/>
      <c r="AE1198" s="78"/>
      <c r="AF1198" s="78"/>
      <c r="AG1198" s="78"/>
      <c r="AH1198" s="78"/>
      <c r="AI1198" s="78"/>
      <c r="AJ1198" s="78"/>
      <c r="AK1198" s="78"/>
    </row>
    <row r="1199" spans="1:37">
      <c r="A1199" s="78"/>
      <c r="B1199" s="216"/>
      <c r="C1199" s="78"/>
      <c r="D1199" s="212" t="s">
        <v>4003</v>
      </c>
      <c r="E1199" s="78"/>
      <c r="F1199" s="78"/>
      <c r="G1199" s="78"/>
      <c r="H1199" s="78"/>
      <c r="I1199" s="78"/>
      <c r="J1199" s="78"/>
      <c r="K1199" s="78"/>
      <c r="L1199" s="78"/>
      <c r="M1199" s="78"/>
      <c r="N1199" s="78"/>
      <c r="O1199" s="78"/>
      <c r="P1199" s="78"/>
      <c r="Q1199" s="78"/>
      <c r="R1199" s="78"/>
      <c r="S1199" s="78"/>
      <c r="T1199" s="78"/>
      <c r="U1199" s="78"/>
      <c r="V1199" s="78"/>
      <c r="W1199" s="78"/>
      <c r="X1199" s="78"/>
      <c r="Y1199" s="78"/>
      <c r="Z1199" s="78"/>
      <c r="AA1199" s="78"/>
      <c r="AB1199" s="78"/>
      <c r="AC1199" s="78"/>
      <c r="AD1199" s="78"/>
      <c r="AE1199" s="78"/>
      <c r="AF1199" s="78"/>
      <c r="AG1199" s="78"/>
      <c r="AH1199" s="78"/>
      <c r="AI1199" s="78"/>
      <c r="AJ1199" s="78"/>
      <c r="AK1199" s="78"/>
    </row>
    <row r="1200" spans="1:37">
      <c r="A1200" s="78"/>
      <c r="B1200" s="78"/>
      <c r="C1200" s="78"/>
      <c r="D1200" s="78"/>
      <c r="E1200" s="78"/>
      <c r="F1200" s="78"/>
      <c r="G1200" s="78"/>
      <c r="H1200" s="78"/>
      <c r="I1200" s="78"/>
      <c r="J1200" s="78"/>
      <c r="K1200" s="78"/>
      <c r="L1200" s="78"/>
      <c r="M1200" s="78"/>
      <c r="N1200" s="78"/>
      <c r="O1200" s="78"/>
      <c r="P1200" s="78"/>
      <c r="Q1200" s="78"/>
      <c r="R1200" s="78"/>
      <c r="S1200" s="78"/>
      <c r="T1200" s="78"/>
      <c r="U1200" s="78"/>
      <c r="V1200" s="78"/>
      <c r="W1200" s="78"/>
      <c r="X1200" s="78"/>
      <c r="Y1200" s="78"/>
      <c r="Z1200" s="78"/>
      <c r="AA1200" s="78"/>
      <c r="AB1200" s="78"/>
      <c r="AC1200" s="78"/>
      <c r="AD1200" s="78"/>
      <c r="AE1200" s="78"/>
      <c r="AF1200" s="78"/>
      <c r="AG1200" s="78"/>
      <c r="AH1200" s="78"/>
      <c r="AI1200" s="78"/>
      <c r="AJ1200" s="78"/>
      <c r="AK1200" s="78"/>
    </row>
    <row r="1201" spans="1:37">
      <c r="A1201" s="68"/>
      <c r="B1201" s="242" t="s">
        <v>1828</v>
      </c>
      <c r="C1201" s="214"/>
      <c r="D1201" s="214" t="s">
        <v>4004</v>
      </c>
      <c r="E1201" s="68"/>
      <c r="F1201" s="68"/>
      <c r="G1201" s="68"/>
      <c r="H1201" s="68"/>
      <c r="I1201" s="68"/>
      <c r="J1201" s="68"/>
      <c r="K1201" s="68"/>
      <c r="L1201" s="68"/>
      <c r="M1201" s="68"/>
      <c r="N1201" s="68"/>
      <c r="O1201" s="68"/>
      <c r="P1201" s="68"/>
      <c r="Q1201" s="68"/>
      <c r="R1201" s="68"/>
      <c r="S1201" s="68"/>
      <c r="T1201" s="68"/>
      <c r="U1201" s="68"/>
      <c r="V1201" s="68"/>
      <c r="W1201" s="68"/>
      <c r="X1201" s="68"/>
      <c r="Y1201" s="68"/>
      <c r="Z1201" s="68"/>
      <c r="AA1201" s="68"/>
      <c r="AB1201" s="68"/>
      <c r="AC1201" s="68"/>
      <c r="AD1201" s="68"/>
      <c r="AE1201" s="68"/>
      <c r="AF1201" s="68"/>
      <c r="AG1201" s="68"/>
      <c r="AH1201" s="68"/>
      <c r="AI1201" s="68"/>
      <c r="AJ1201" s="68"/>
      <c r="AK1201" s="68"/>
    </row>
    <row r="1202" spans="1:37">
      <c r="A1202" s="68"/>
      <c r="B1202" s="216"/>
      <c r="C1202" s="214"/>
      <c r="D1202" s="214" t="s">
        <v>4005</v>
      </c>
      <c r="E1202" s="68"/>
      <c r="F1202" s="68"/>
      <c r="G1202" s="68"/>
      <c r="H1202" s="68"/>
      <c r="I1202" s="68"/>
      <c r="J1202" s="68"/>
      <c r="K1202" s="68"/>
      <c r="L1202" s="68"/>
      <c r="M1202" s="68"/>
      <c r="N1202" s="68"/>
      <c r="O1202" s="68"/>
      <c r="P1202" s="68"/>
      <c r="Q1202" s="68"/>
      <c r="R1202" s="68"/>
      <c r="S1202" s="68"/>
      <c r="T1202" s="68"/>
      <c r="U1202" s="68"/>
      <c r="V1202" s="68"/>
      <c r="W1202" s="68"/>
      <c r="X1202" s="68"/>
      <c r="Y1202" s="68"/>
      <c r="Z1202" s="68"/>
      <c r="AA1202" s="68"/>
      <c r="AB1202" s="68"/>
      <c r="AC1202" s="68"/>
      <c r="AD1202" s="68"/>
      <c r="AE1202" s="68"/>
      <c r="AF1202" s="68"/>
      <c r="AG1202" s="68"/>
      <c r="AH1202" s="68"/>
      <c r="AI1202" s="68"/>
      <c r="AJ1202" s="68"/>
      <c r="AK1202" s="68"/>
    </row>
    <row r="1203" spans="1:37">
      <c r="A1203" s="68"/>
      <c r="B1203" s="216"/>
      <c r="C1203" s="214"/>
      <c r="D1203" s="214" t="s">
        <v>4006</v>
      </c>
      <c r="E1203" s="68"/>
      <c r="F1203" s="68"/>
      <c r="G1203" s="68"/>
      <c r="H1203" s="68"/>
      <c r="I1203" s="68"/>
      <c r="J1203" s="68"/>
      <c r="K1203" s="68"/>
      <c r="L1203" s="68"/>
      <c r="M1203" s="68"/>
      <c r="N1203" s="68"/>
      <c r="O1203" s="68"/>
      <c r="P1203" s="68"/>
      <c r="Q1203" s="68"/>
      <c r="R1203" s="68"/>
      <c r="S1203" s="68"/>
      <c r="T1203" s="68"/>
      <c r="U1203" s="68"/>
      <c r="V1203" s="68"/>
      <c r="W1203" s="68"/>
      <c r="X1203" s="68"/>
      <c r="Y1203" s="68"/>
      <c r="Z1203" s="68"/>
      <c r="AA1203" s="68"/>
      <c r="AB1203" s="68"/>
      <c r="AC1203" s="68"/>
      <c r="AD1203" s="68"/>
      <c r="AE1203" s="68"/>
      <c r="AF1203" s="68"/>
      <c r="AG1203" s="68"/>
      <c r="AH1203" s="68"/>
      <c r="AI1203" s="68"/>
      <c r="AJ1203" s="68"/>
      <c r="AK1203" s="68"/>
    </row>
    <row r="1204" spans="1:37">
      <c r="A1204" s="68"/>
      <c r="B1204" s="216"/>
      <c r="C1204" s="214"/>
      <c r="D1204" s="214" t="s">
        <v>4007</v>
      </c>
      <c r="E1204" s="68"/>
      <c r="F1204" s="68"/>
      <c r="G1204" s="68"/>
      <c r="H1204" s="68"/>
      <c r="I1204" s="68"/>
      <c r="J1204" s="68"/>
      <c r="K1204" s="68"/>
      <c r="L1204" s="68"/>
      <c r="M1204" s="68"/>
      <c r="N1204" s="68"/>
      <c r="O1204" s="68"/>
      <c r="P1204" s="68"/>
      <c r="Q1204" s="68"/>
      <c r="R1204" s="68"/>
      <c r="S1204" s="68"/>
      <c r="T1204" s="68"/>
      <c r="U1204" s="68"/>
      <c r="V1204" s="68"/>
      <c r="W1204" s="68"/>
      <c r="X1204" s="68"/>
      <c r="Y1204" s="68"/>
      <c r="Z1204" s="68"/>
      <c r="AA1204" s="68"/>
      <c r="AB1204" s="68"/>
      <c r="AC1204" s="68"/>
      <c r="AD1204" s="68"/>
      <c r="AE1204" s="68"/>
      <c r="AF1204" s="68"/>
      <c r="AG1204" s="68"/>
      <c r="AH1204" s="68"/>
      <c r="AI1204" s="68"/>
      <c r="AJ1204" s="68"/>
      <c r="AK1204" s="68"/>
    </row>
    <row r="1205" spans="1:37">
      <c r="A1205" s="68"/>
      <c r="B1205" s="216"/>
      <c r="C1205" s="214"/>
      <c r="D1205" s="214" t="s">
        <v>3412</v>
      </c>
      <c r="E1205" s="68"/>
      <c r="F1205" s="68"/>
      <c r="G1205" s="68"/>
      <c r="H1205" s="68"/>
      <c r="I1205" s="68"/>
      <c r="J1205" s="68"/>
      <c r="K1205" s="68"/>
      <c r="L1205" s="68"/>
      <c r="M1205" s="68"/>
      <c r="N1205" s="68"/>
      <c r="O1205" s="68"/>
      <c r="P1205" s="68"/>
      <c r="Q1205" s="68"/>
      <c r="R1205" s="68"/>
      <c r="S1205" s="68"/>
      <c r="T1205" s="68"/>
      <c r="U1205" s="68"/>
      <c r="V1205" s="68"/>
      <c r="W1205" s="68"/>
      <c r="X1205" s="68"/>
      <c r="Y1205" s="68"/>
      <c r="Z1205" s="68"/>
      <c r="AA1205" s="68"/>
      <c r="AB1205" s="68"/>
      <c r="AC1205" s="68"/>
      <c r="AD1205" s="68"/>
      <c r="AE1205" s="68"/>
      <c r="AF1205" s="68"/>
      <c r="AG1205" s="68"/>
      <c r="AH1205" s="68"/>
      <c r="AI1205" s="68"/>
      <c r="AJ1205" s="68"/>
      <c r="AK1205" s="68"/>
    </row>
    <row r="1206" spans="1:37">
      <c r="A1206" s="68"/>
      <c r="B1206" s="216"/>
      <c r="C1206" s="214"/>
      <c r="D1206" s="214" t="s">
        <v>2878</v>
      </c>
      <c r="E1206" s="68"/>
      <c r="F1206" s="68"/>
      <c r="G1206" s="68"/>
      <c r="H1206" s="68"/>
      <c r="I1206" s="68"/>
      <c r="J1206" s="68"/>
      <c r="K1206" s="68"/>
      <c r="L1206" s="68"/>
      <c r="M1206" s="68"/>
      <c r="N1206" s="68"/>
      <c r="O1206" s="68"/>
      <c r="P1206" s="68"/>
      <c r="Q1206" s="68"/>
      <c r="R1206" s="68"/>
      <c r="S1206" s="68"/>
      <c r="T1206" s="68"/>
      <c r="U1206" s="68"/>
      <c r="V1206" s="68"/>
      <c r="W1206" s="68"/>
      <c r="X1206" s="68"/>
      <c r="Y1206" s="68"/>
      <c r="Z1206" s="68"/>
      <c r="AA1206" s="68"/>
      <c r="AB1206" s="68"/>
      <c r="AC1206" s="68"/>
      <c r="AD1206" s="68"/>
      <c r="AE1206" s="68"/>
      <c r="AF1206" s="68"/>
      <c r="AG1206" s="68"/>
      <c r="AH1206" s="68"/>
      <c r="AI1206" s="68"/>
      <c r="AJ1206" s="68"/>
      <c r="AK1206" s="68"/>
    </row>
    <row r="1207" spans="1:37">
      <c r="A1207" s="68"/>
      <c r="B1207" s="216"/>
      <c r="C1207" s="214"/>
      <c r="D1207" s="214" t="s">
        <v>4008</v>
      </c>
      <c r="E1207" s="68"/>
      <c r="F1207" s="68"/>
      <c r="G1207" s="68"/>
      <c r="H1207" s="68"/>
      <c r="I1207" s="68"/>
      <c r="J1207" s="68"/>
      <c r="K1207" s="68"/>
      <c r="L1207" s="68"/>
      <c r="M1207" s="68"/>
      <c r="N1207" s="68"/>
      <c r="O1207" s="68"/>
      <c r="P1207" s="68"/>
      <c r="Q1207" s="68"/>
      <c r="R1207" s="68"/>
      <c r="S1207" s="68"/>
      <c r="T1207" s="68"/>
      <c r="U1207" s="68"/>
      <c r="V1207" s="68"/>
      <c r="W1207" s="68"/>
      <c r="X1207" s="68"/>
      <c r="Y1207" s="68"/>
      <c r="Z1207" s="68"/>
      <c r="AA1207" s="68"/>
      <c r="AB1207" s="68"/>
      <c r="AC1207" s="68"/>
      <c r="AD1207" s="68"/>
      <c r="AE1207" s="68"/>
      <c r="AF1207" s="68"/>
      <c r="AG1207" s="68"/>
      <c r="AH1207" s="68"/>
      <c r="AI1207" s="68"/>
      <c r="AJ1207" s="68"/>
      <c r="AK1207" s="68"/>
    </row>
    <row r="1208" spans="1:37">
      <c r="A1208" s="68"/>
      <c r="B1208" s="216"/>
      <c r="C1208" s="214"/>
      <c r="D1208" s="214" t="s">
        <v>4009</v>
      </c>
      <c r="E1208" s="68"/>
      <c r="F1208" s="68"/>
      <c r="G1208" s="68"/>
      <c r="H1208" s="68"/>
      <c r="I1208" s="68"/>
      <c r="J1208" s="68"/>
      <c r="K1208" s="68"/>
      <c r="L1208" s="68"/>
      <c r="M1208" s="68"/>
      <c r="N1208" s="68"/>
      <c r="O1208" s="68"/>
      <c r="P1208" s="68"/>
      <c r="Q1208" s="68"/>
      <c r="R1208" s="68"/>
      <c r="S1208" s="68"/>
      <c r="T1208" s="68"/>
      <c r="U1208" s="68"/>
      <c r="V1208" s="68"/>
      <c r="W1208" s="68"/>
      <c r="X1208" s="68"/>
      <c r="Y1208" s="68"/>
      <c r="Z1208" s="68"/>
      <c r="AA1208" s="68"/>
      <c r="AB1208" s="68"/>
      <c r="AC1208" s="68"/>
      <c r="AD1208" s="68"/>
      <c r="AE1208" s="68"/>
      <c r="AF1208" s="68"/>
      <c r="AG1208" s="68"/>
      <c r="AH1208" s="68"/>
      <c r="AI1208" s="68"/>
      <c r="AJ1208" s="68"/>
      <c r="AK1208" s="68"/>
    </row>
    <row r="1209" spans="1:37">
      <c r="A1209" s="68"/>
      <c r="B1209" s="216"/>
      <c r="C1209" s="214"/>
      <c r="D1209" s="214" t="s">
        <v>4010</v>
      </c>
      <c r="E1209" s="68"/>
      <c r="F1209" s="68"/>
      <c r="G1209" s="68"/>
      <c r="H1209" s="68"/>
      <c r="I1209" s="68"/>
      <c r="J1209" s="68"/>
      <c r="K1209" s="68"/>
      <c r="L1209" s="68"/>
      <c r="M1209" s="68"/>
      <c r="N1209" s="68"/>
      <c r="O1209" s="68"/>
      <c r="P1209" s="68"/>
      <c r="Q1209" s="68"/>
      <c r="R1209" s="68"/>
      <c r="S1209" s="68"/>
      <c r="T1209" s="68"/>
      <c r="U1209" s="68"/>
      <c r="V1209" s="68"/>
      <c r="W1209" s="68"/>
      <c r="X1209" s="68"/>
      <c r="Y1209" s="68"/>
      <c r="Z1209" s="68"/>
      <c r="AA1209" s="68"/>
      <c r="AB1209" s="68"/>
      <c r="AC1209" s="68"/>
      <c r="AD1209" s="68"/>
      <c r="AE1209" s="68"/>
      <c r="AF1209" s="68"/>
      <c r="AG1209" s="68"/>
      <c r="AH1209" s="68"/>
      <c r="AI1209" s="68"/>
      <c r="AJ1209" s="68"/>
      <c r="AK1209" s="68"/>
    </row>
    <row r="1210" spans="1:37">
      <c r="A1210" s="68"/>
      <c r="B1210" s="216"/>
      <c r="C1210" s="214"/>
      <c r="D1210" s="214" t="s">
        <v>4011</v>
      </c>
      <c r="E1210" s="68"/>
      <c r="F1210" s="68"/>
      <c r="G1210" s="68"/>
      <c r="H1210" s="68"/>
      <c r="I1210" s="68"/>
      <c r="J1210" s="68"/>
      <c r="K1210" s="68"/>
      <c r="L1210" s="68"/>
      <c r="M1210" s="68"/>
      <c r="N1210" s="68"/>
      <c r="O1210" s="68"/>
      <c r="P1210" s="68"/>
      <c r="Q1210" s="68"/>
      <c r="R1210" s="68"/>
      <c r="S1210" s="68"/>
      <c r="T1210" s="68"/>
      <c r="U1210" s="68"/>
      <c r="V1210" s="68"/>
      <c r="W1210" s="68"/>
      <c r="X1210" s="68"/>
      <c r="Y1210" s="68"/>
      <c r="Z1210" s="68"/>
      <c r="AA1210" s="68"/>
      <c r="AB1210" s="68"/>
      <c r="AC1210" s="68"/>
      <c r="AD1210" s="68"/>
      <c r="AE1210" s="68"/>
      <c r="AF1210" s="68"/>
      <c r="AG1210" s="68"/>
      <c r="AH1210" s="68"/>
      <c r="AI1210" s="68"/>
      <c r="AJ1210" s="68"/>
      <c r="AK1210" s="68"/>
    </row>
    <row r="1211" spans="1:37">
      <c r="A1211" s="68"/>
      <c r="B1211" s="216"/>
      <c r="C1211" s="214"/>
      <c r="D1211" s="214" t="s">
        <v>4012</v>
      </c>
      <c r="E1211" s="68"/>
      <c r="F1211" s="68"/>
      <c r="G1211" s="68"/>
      <c r="H1211" s="68"/>
      <c r="I1211" s="68"/>
      <c r="J1211" s="68"/>
      <c r="K1211" s="68"/>
      <c r="L1211" s="68"/>
      <c r="M1211" s="68"/>
      <c r="N1211" s="68"/>
      <c r="O1211" s="68"/>
      <c r="P1211" s="68"/>
      <c r="Q1211" s="68"/>
      <c r="R1211" s="68"/>
      <c r="S1211" s="68"/>
      <c r="T1211" s="68"/>
      <c r="U1211" s="68"/>
      <c r="V1211" s="68"/>
      <c r="W1211" s="68"/>
      <c r="X1211" s="68"/>
      <c r="Y1211" s="68"/>
      <c r="Z1211" s="68"/>
      <c r="AA1211" s="68"/>
      <c r="AB1211" s="68"/>
      <c r="AC1211" s="68"/>
      <c r="AD1211" s="68"/>
      <c r="AE1211" s="68"/>
      <c r="AF1211" s="68"/>
      <c r="AG1211" s="68"/>
      <c r="AH1211" s="68"/>
      <c r="AI1211" s="68"/>
      <c r="AJ1211" s="68"/>
      <c r="AK1211" s="68"/>
    </row>
    <row r="1212" spans="1:37">
      <c r="A1212" s="68"/>
      <c r="B1212" s="216"/>
      <c r="C1212" s="214"/>
      <c r="D1212" s="214" t="s">
        <v>4013</v>
      </c>
      <c r="E1212" s="68"/>
      <c r="F1212" s="68"/>
      <c r="G1212" s="68"/>
      <c r="H1212" s="68"/>
      <c r="I1212" s="68"/>
      <c r="J1212" s="68"/>
      <c r="K1212" s="68"/>
      <c r="L1212" s="68"/>
      <c r="M1212" s="68"/>
      <c r="N1212" s="68"/>
      <c r="O1212" s="68"/>
      <c r="P1212" s="68"/>
      <c r="Q1212" s="68"/>
      <c r="R1212" s="68"/>
      <c r="S1212" s="68"/>
      <c r="T1212" s="68"/>
      <c r="U1212" s="68"/>
      <c r="V1212" s="68"/>
      <c r="W1212" s="68"/>
      <c r="X1212" s="68"/>
      <c r="Y1212" s="68"/>
      <c r="Z1212" s="68"/>
      <c r="AA1212" s="68"/>
      <c r="AB1212" s="68"/>
      <c r="AC1212" s="68"/>
      <c r="AD1212" s="68"/>
      <c r="AE1212" s="68"/>
      <c r="AF1212" s="68"/>
      <c r="AG1212" s="68"/>
      <c r="AH1212" s="68"/>
      <c r="AI1212" s="68"/>
      <c r="AJ1212" s="68"/>
      <c r="AK1212" s="68"/>
    </row>
    <row r="1213" spans="1:37">
      <c r="A1213" s="68"/>
      <c r="B1213" s="216"/>
      <c r="C1213" s="214"/>
      <c r="D1213" s="214" t="s">
        <v>4014</v>
      </c>
      <c r="E1213" s="68"/>
      <c r="F1213" s="68"/>
      <c r="G1213" s="68"/>
      <c r="H1213" s="68"/>
      <c r="I1213" s="68"/>
      <c r="J1213" s="68"/>
      <c r="K1213" s="68"/>
      <c r="L1213" s="68"/>
      <c r="M1213" s="68"/>
      <c r="N1213" s="68"/>
      <c r="O1213" s="68"/>
      <c r="P1213" s="68"/>
      <c r="Q1213" s="68"/>
      <c r="R1213" s="68"/>
      <c r="S1213" s="68"/>
      <c r="T1213" s="68"/>
      <c r="U1213" s="68"/>
      <c r="V1213" s="68"/>
      <c r="W1213" s="68"/>
      <c r="X1213" s="68"/>
      <c r="Y1213" s="68"/>
      <c r="Z1213" s="68"/>
      <c r="AA1213" s="68"/>
      <c r="AB1213" s="68"/>
      <c r="AC1213" s="68"/>
      <c r="AD1213" s="68"/>
      <c r="AE1213" s="68"/>
      <c r="AF1213" s="68"/>
      <c r="AG1213" s="68"/>
      <c r="AH1213" s="68"/>
      <c r="AI1213" s="68"/>
      <c r="AJ1213" s="68"/>
      <c r="AK1213" s="68"/>
    </row>
    <row r="1214" spans="1:37">
      <c r="A1214" s="68"/>
      <c r="B1214" s="216"/>
      <c r="C1214" s="214"/>
      <c r="D1214" s="214" t="s">
        <v>4015</v>
      </c>
      <c r="E1214" s="68"/>
      <c r="F1214" s="68"/>
      <c r="G1214" s="68"/>
      <c r="H1214" s="68"/>
      <c r="I1214" s="68"/>
      <c r="J1214" s="68"/>
      <c r="K1214" s="68"/>
      <c r="L1214" s="68"/>
      <c r="M1214" s="68"/>
      <c r="N1214" s="68"/>
      <c r="O1214" s="68"/>
      <c r="P1214" s="68"/>
      <c r="Q1214" s="68"/>
      <c r="R1214" s="68"/>
      <c r="S1214" s="68"/>
      <c r="T1214" s="68"/>
      <c r="U1214" s="68"/>
      <c r="V1214" s="68"/>
      <c r="W1214" s="68"/>
      <c r="X1214" s="68"/>
      <c r="Y1214" s="68"/>
      <c r="Z1214" s="68"/>
      <c r="AA1214" s="68"/>
      <c r="AB1214" s="68"/>
      <c r="AC1214" s="68"/>
      <c r="AD1214" s="68"/>
      <c r="AE1214" s="68"/>
      <c r="AF1214" s="68"/>
      <c r="AG1214" s="68"/>
      <c r="AH1214" s="68"/>
      <c r="AI1214" s="68"/>
      <c r="AJ1214" s="68"/>
      <c r="AK1214" s="68"/>
    </row>
    <row r="1215" spans="1:37">
      <c r="A1215" s="68"/>
      <c r="B1215" s="216"/>
      <c r="C1215" s="214"/>
      <c r="D1215" s="214" t="s">
        <v>4016</v>
      </c>
      <c r="E1215" s="68"/>
      <c r="F1215" s="68"/>
      <c r="G1215" s="68"/>
      <c r="H1215" s="68"/>
      <c r="I1215" s="68"/>
      <c r="J1215" s="68"/>
      <c r="K1215" s="68"/>
      <c r="L1215" s="68"/>
      <c r="M1215" s="68"/>
      <c r="N1215" s="68"/>
      <c r="O1215" s="68"/>
      <c r="P1215" s="68"/>
      <c r="Q1215" s="68"/>
      <c r="R1215" s="68"/>
      <c r="S1215" s="68"/>
      <c r="T1215" s="68"/>
      <c r="U1215" s="68"/>
      <c r="V1215" s="68"/>
      <c r="W1215" s="68"/>
      <c r="X1215" s="68"/>
      <c r="Y1215" s="68"/>
      <c r="Z1215" s="68"/>
      <c r="AA1215" s="68"/>
      <c r="AB1215" s="68"/>
      <c r="AC1215" s="68"/>
      <c r="AD1215" s="68"/>
      <c r="AE1215" s="68"/>
      <c r="AF1215" s="68"/>
      <c r="AG1215" s="68"/>
      <c r="AH1215" s="68"/>
      <c r="AI1215" s="68"/>
      <c r="AJ1215" s="68"/>
      <c r="AK1215" s="68"/>
    </row>
    <row r="1216" spans="1:37">
      <c r="A1216" s="68"/>
      <c r="B1216" s="216"/>
      <c r="C1216" s="214"/>
      <c r="D1216" s="214" t="s">
        <v>4017</v>
      </c>
      <c r="E1216" s="68"/>
      <c r="F1216" s="68"/>
      <c r="G1216" s="68"/>
      <c r="H1216" s="68"/>
      <c r="I1216" s="68"/>
      <c r="J1216" s="68"/>
      <c r="K1216" s="68"/>
      <c r="L1216" s="68"/>
      <c r="M1216" s="68"/>
      <c r="N1216" s="68"/>
      <c r="O1216" s="68"/>
      <c r="P1216" s="68"/>
      <c r="Q1216" s="68"/>
      <c r="R1216" s="68"/>
      <c r="S1216" s="68"/>
      <c r="T1216" s="68"/>
      <c r="U1216" s="68"/>
      <c r="V1216" s="68"/>
      <c r="W1216" s="68"/>
      <c r="X1216" s="68"/>
      <c r="Y1216" s="68"/>
      <c r="Z1216" s="68"/>
      <c r="AA1216" s="68"/>
      <c r="AB1216" s="68"/>
      <c r="AC1216" s="68"/>
      <c r="AD1216" s="68"/>
      <c r="AE1216" s="68"/>
      <c r="AF1216" s="68"/>
      <c r="AG1216" s="68"/>
      <c r="AH1216" s="68"/>
      <c r="AI1216" s="68"/>
      <c r="AJ1216" s="68"/>
      <c r="AK1216" s="68"/>
    </row>
    <row r="1217" spans="1:37">
      <c r="A1217" s="68"/>
      <c r="B1217" s="216"/>
      <c r="C1217" s="214"/>
      <c r="D1217" s="214" t="s">
        <v>1840</v>
      </c>
      <c r="E1217" s="68"/>
      <c r="F1217" s="68"/>
      <c r="G1217" s="68"/>
      <c r="H1217" s="68"/>
      <c r="I1217" s="68"/>
      <c r="J1217" s="68"/>
      <c r="K1217" s="68"/>
      <c r="L1217" s="68"/>
      <c r="M1217" s="68"/>
      <c r="N1217" s="68"/>
      <c r="O1217" s="68"/>
      <c r="P1217" s="68"/>
      <c r="Q1217" s="68"/>
      <c r="R1217" s="68"/>
      <c r="S1217" s="68"/>
      <c r="T1217" s="68"/>
      <c r="U1217" s="68"/>
      <c r="V1217" s="68"/>
      <c r="W1217" s="68"/>
      <c r="X1217" s="68"/>
      <c r="Y1217" s="68"/>
      <c r="Z1217" s="68"/>
      <c r="AA1217" s="68"/>
      <c r="AB1217" s="68"/>
      <c r="AC1217" s="68"/>
      <c r="AD1217" s="68"/>
      <c r="AE1217" s="68"/>
      <c r="AF1217" s="68"/>
      <c r="AG1217" s="68"/>
      <c r="AH1217" s="68"/>
      <c r="AI1217" s="68"/>
      <c r="AJ1217" s="68"/>
      <c r="AK1217" s="68"/>
    </row>
    <row r="1218" spans="1:37">
      <c r="A1218" s="68"/>
      <c r="B1218" s="216"/>
      <c r="C1218" s="214"/>
      <c r="D1218" s="214" t="s">
        <v>4018</v>
      </c>
      <c r="E1218" s="68"/>
      <c r="F1218" s="68"/>
      <c r="G1218" s="68"/>
      <c r="H1218" s="68"/>
      <c r="I1218" s="68"/>
      <c r="J1218" s="68"/>
      <c r="K1218" s="68"/>
      <c r="L1218" s="68"/>
      <c r="M1218" s="68"/>
      <c r="N1218" s="68"/>
      <c r="O1218" s="68"/>
      <c r="P1218" s="68"/>
      <c r="Q1218" s="68"/>
      <c r="R1218" s="68"/>
      <c r="S1218" s="68"/>
      <c r="T1218" s="68"/>
      <c r="U1218" s="68"/>
      <c r="V1218" s="68"/>
      <c r="W1218" s="68"/>
      <c r="X1218" s="68"/>
      <c r="Y1218" s="68"/>
      <c r="Z1218" s="68"/>
      <c r="AA1218" s="68"/>
      <c r="AB1218" s="68"/>
      <c r="AC1218" s="68"/>
      <c r="AD1218" s="68"/>
      <c r="AE1218" s="68"/>
      <c r="AF1218" s="68"/>
      <c r="AG1218" s="68"/>
      <c r="AH1218" s="68"/>
      <c r="AI1218" s="68"/>
      <c r="AJ1218" s="68"/>
      <c r="AK1218" s="68"/>
    </row>
    <row r="1219" spans="1:37">
      <c r="A1219" s="68"/>
      <c r="B1219" s="216"/>
      <c r="C1219" s="214"/>
      <c r="D1219" s="214" t="s">
        <v>1853</v>
      </c>
      <c r="E1219" s="68"/>
      <c r="F1219" s="68"/>
      <c r="G1219" s="68"/>
      <c r="H1219" s="68"/>
      <c r="I1219" s="68"/>
      <c r="J1219" s="68"/>
      <c r="K1219" s="68"/>
      <c r="L1219" s="68"/>
      <c r="M1219" s="68"/>
      <c r="N1219" s="68"/>
      <c r="O1219" s="68"/>
      <c r="P1219" s="68"/>
      <c r="Q1219" s="68"/>
      <c r="R1219" s="68"/>
      <c r="S1219" s="68"/>
      <c r="T1219" s="68"/>
      <c r="U1219" s="68"/>
      <c r="V1219" s="68"/>
      <c r="W1219" s="68"/>
      <c r="X1219" s="68"/>
      <c r="Y1219" s="68"/>
      <c r="Z1219" s="68"/>
      <c r="AA1219" s="68"/>
      <c r="AB1219" s="68"/>
      <c r="AC1219" s="68"/>
      <c r="AD1219" s="68"/>
      <c r="AE1219" s="68"/>
      <c r="AF1219" s="68"/>
      <c r="AG1219" s="68"/>
      <c r="AH1219" s="68"/>
      <c r="AI1219" s="68"/>
      <c r="AJ1219" s="68"/>
      <c r="AK1219" s="68"/>
    </row>
    <row r="1220" spans="1:37">
      <c r="A1220" s="68"/>
      <c r="B1220" s="216"/>
      <c r="C1220" s="214"/>
      <c r="D1220" s="214" t="s">
        <v>4019</v>
      </c>
      <c r="E1220" s="68"/>
      <c r="F1220" s="68"/>
      <c r="G1220" s="68"/>
      <c r="H1220" s="68"/>
      <c r="I1220" s="68"/>
      <c r="J1220" s="68"/>
      <c r="K1220" s="68"/>
      <c r="L1220" s="68"/>
      <c r="M1220" s="68"/>
      <c r="N1220" s="68"/>
      <c r="O1220" s="68"/>
      <c r="P1220" s="68"/>
      <c r="Q1220" s="68"/>
      <c r="R1220" s="68"/>
      <c r="S1220" s="68"/>
      <c r="T1220" s="68"/>
      <c r="U1220" s="68"/>
      <c r="V1220" s="68"/>
      <c r="W1220" s="68"/>
      <c r="X1220" s="68"/>
      <c r="Y1220" s="68"/>
      <c r="Z1220" s="68"/>
      <c r="AA1220" s="68"/>
      <c r="AB1220" s="68"/>
      <c r="AC1220" s="68"/>
      <c r="AD1220" s="68"/>
      <c r="AE1220" s="68"/>
      <c r="AF1220" s="68"/>
      <c r="AG1220" s="68"/>
      <c r="AH1220" s="68"/>
      <c r="AI1220" s="68"/>
      <c r="AJ1220" s="68"/>
      <c r="AK1220" s="68"/>
    </row>
    <row r="1221" spans="1:37">
      <c r="A1221" s="68"/>
      <c r="B1221" s="216"/>
      <c r="C1221" s="214"/>
      <c r="D1221" s="214" t="s">
        <v>4020</v>
      </c>
      <c r="E1221" s="68"/>
      <c r="F1221" s="68"/>
      <c r="G1221" s="68"/>
      <c r="H1221" s="68"/>
      <c r="I1221" s="68"/>
      <c r="J1221" s="68"/>
      <c r="K1221" s="68"/>
      <c r="L1221" s="68"/>
      <c r="M1221" s="68"/>
      <c r="N1221" s="68"/>
      <c r="O1221" s="68"/>
      <c r="P1221" s="68"/>
      <c r="Q1221" s="68"/>
      <c r="R1221" s="68"/>
      <c r="S1221" s="68"/>
      <c r="T1221" s="68"/>
      <c r="U1221" s="68"/>
      <c r="V1221" s="68"/>
      <c r="W1221" s="68"/>
      <c r="X1221" s="68"/>
      <c r="Y1221" s="68"/>
      <c r="Z1221" s="68"/>
      <c r="AA1221" s="68"/>
      <c r="AB1221" s="68"/>
      <c r="AC1221" s="68"/>
      <c r="AD1221" s="68"/>
      <c r="AE1221" s="68"/>
      <c r="AF1221" s="68"/>
      <c r="AG1221" s="68"/>
      <c r="AH1221" s="68"/>
      <c r="AI1221" s="68"/>
      <c r="AJ1221" s="68"/>
      <c r="AK1221" s="68"/>
    </row>
    <row r="1222" spans="1:37">
      <c r="A1222" s="68"/>
      <c r="B1222" s="216"/>
      <c r="C1222" s="214"/>
      <c r="D1222" s="214" t="s">
        <v>4021</v>
      </c>
      <c r="E1222" s="68"/>
      <c r="F1222" s="68"/>
      <c r="G1222" s="68"/>
      <c r="H1222" s="68"/>
      <c r="I1222" s="68"/>
      <c r="J1222" s="68"/>
      <c r="K1222" s="68"/>
      <c r="L1222" s="68"/>
      <c r="M1222" s="68"/>
      <c r="N1222" s="68"/>
      <c r="O1222" s="68"/>
      <c r="P1222" s="68"/>
      <c r="Q1222" s="68"/>
      <c r="R1222" s="68"/>
      <c r="S1222" s="68"/>
      <c r="T1222" s="68"/>
      <c r="U1222" s="68"/>
      <c r="V1222" s="68"/>
      <c r="W1222" s="68"/>
      <c r="X1222" s="68"/>
      <c r="Y1222" s="68"/>
      <c r="Z1222" s="68"/>
      <c r="AA1222" s="68"/>
      <c r="AB1222" s="68"/>
      <c r="AC1222" s="68"/>
      <c r="AD1222" s="68"/>
      <c r="AE1222" s="68"/>
      <c r="AF1222" s="68"/>
      <c r="AG1222" s="68"/>
      <c r="AH1222" s="68"/>
      <c r="AI1222" s="68"/>
      <c r="AJ1222" s="68"/>
      <c r="AK1222" s="68"/>
    </row>
    <row r="1223" spans="1:37">
      <c r="A1223" s="68"/>
      <c r="B1223" s="216"/>
      <c r="C1223" s="214"/>
      <c r="D1223" s="214" t="s">
        <v>4022</v>
      </c>
      <c r="E1223" s="68"/>
      <c r="F1223" s="68"/>
      <c r="G1223" s="68"/>
      <c r="H1223" s="68"/>
      <c r="I1223" s="68"/>
      <c r="J1223" s="68"/>
      <c r="K1223" s="68"/>
      <c r="L1223" s="68"/>
      <c r="M1223" s="68"/>
      <c r="N1223" s="68"/>
      <c r="O1223" s="68"/>
      <c r="P1223" s="68"/>
      <c r="Q1223" s="68"/>
      <c r="R1223" s="68"/>
      <c r="S1223" s="68"/>
      <c r="T1223" s="68"/>
      <c r="U1223" s="68"/>
      <c r="V1223" s="68"/>
      <c r="W1223" s="68"/>
      <c r="X1223" s="68"/>
      <c r="Y1223" s="68"/>
      <c r="Z1223" s="68"/>
      <c r="AA1223" s="68"/>
      <c r="AB1223" s="68"/>
      <c r="AC1223" s="68"/>
      <c r="AD1223" s="68"/>
      <c r="AE1223" s="68"/>
      <c r="AF1223" s="68"/>
      <c r="AG1223" s="68"/>
      <c r="AH1223" s="68"/>
      <c r="AI1223" s="68"/>
      <c r="AJ1223" s="68"/>
      <c r="AK1223" s="68"/>
    </row>
    <row r="1224" spans="1:37">
      <c r="A1224" s="68"/>
      <c r="B1224" s="216"/>
      <c r="C1224" s="214"/>
      <c r="D1224" s="214" t="s">
        <v>4023</v>
      </c>
      <c r="E1224" s="68"/>
      <c r="F1224" s="68"/>
      <c r="G1224" s="68"/>
      <c r="H1224" s="68"/>
      <c r="I1224" s="68"/>
      <c r="J1224" s="68"/>
      <c r="K1224" s="68"/>
      <c r="L1224" s="68"/>
      <c r="M1224" s="68"/>
      <c r="N1224" s="68"/>
      <c r="O1224" s="68"/>
      <c r="P1224" s="68"/>
      <c r="Q1224" s="68"/>
      <c r="R1224" s="68"/>
      <c r="S1224" s="68"/>
      <c r="T1224" s="68"/>
      <c r="U1224" s="68"/>
      <c r="V1224" s="68"/>
      <c r="W1224" s="68"/>
      <c r="X1224" s="68"/>
      <c r="Y1224" s="68"/>
      <c r="Z1224" s="68"/>
      <c r="AA1224" s="68"/>
      <c r="AB1224" s="68"/>
      <c r="AC1224" s="68"/>
      <c r="AD1224" s="68"/>
      <c r="AE1224" s="68"/>
      <c r="AF1224" s="68"/>
      <c r="AG1224" s="68"/>
      <c r="AH1224" s="68"/>
      <c r="AI1224" s="68"/>
      <c r="AJ1224" s="68"/>
      <c r="AK1224" s="68"/>
    </row>
    <row r="1225" spans="1:37">
      <c r="A1225" s="68"/>
      <c r="B1225" s="216"/>
      <c r="C1225" s="214"/>
      <c r="D1225" s="214" t="s">
        <v>4024</v>
      </c>
      <c r="E1225" s="68"/>
      <c r="F1225" s="68"/>
      <c r="G1225" s="68"/>
      <c r="H1225" s="68"/>
      <c r="I1225" s="68"/>
      <c r="J1225" s="68"/>
      <c r="K1225" s="68"/>
      <c r="L1225" s="68"/>
      <c r="M1225" s="68"/>
      <c r="N1225" s="68"/>
      <c r="O1225" s="68"/>
      <c r="P1225" s="68"/>
      <c r="Q1225" s="68"/>
      <c r="R1225" s="68"/>
      <c r="S1225" s="68"/>
      <c r="T1225" s="68"/>
      <c r="U1225" s="68"/>
      <c r="V1225" s="68"/>
      <c r="W1225" s="68"/>
      <c r="X1225" s="68"/>
      <c r="Y1225" s="68"/>
      <c r="Z1225" s="68"/>
      <c r="AA1225" s="68"/>
      <c r="AB1225" s="68"/>
      <c r="AC1225" s="68"/>
      <c r="AD1225" s="68"/>
      <c r="AE1225" s="68"/>
      <c r="AF1225" s="68"/>
      <c r="AG1225" s="68"/>
      <c r="AH1225" s="68"/>
      <c r="AI1225" s="68"/>
      <c r="AJ1225" s="68"/>
      <c r="AK1225" s="68"/>
    </row>
    <row r="1226" spans="1:37">
      <c r="A1226" s="68"/>
      <c r="B1226" s="216"/>
      <c r="C1226" s="214"/>
      <c r="D1226" s="214" t="s">
        <v>4025</v>
      </c>
      <c r="E1226" s="68"/>
      <c r="F1226" s="68"/>
      <c r="G1226" s="68"/>
      <c r="H1226" s="68"/>
      <c r="I1226" s="68"/>
      <c r="J1226" s="68"/>
      <c r="K1226" s="68"/>
      <c r="L1226" s="68"/>
      <c r="M1226" s="68"/>
      <c r="N1226" s="68"/>
      <c r="O1226" s="68"/>
      <c r="P1226" s="68"/>
      <c r="Q1226" s="68"/>
      <c r="R1226" s="68"/>
      <c r="S1226" s="68"/>
      <c r="T1226" s="68"/>
      <c r="U1226" s="68"/>
      <c r="V1226" s="68"/>
      <c r="W1226" s="68"/>
      <c r="X1226" s="68"/>
      <c r="Y1226" s="68"/>
      <c r="Z1226" s="68"/>
      <c r="AA1226" s="68"/>
      <c r="AB1226" s="68"/>
      <c r="AC1226" s="68"/>
      <c r="AD1226" s="68"/>
      <c r="AE1226" s="68"/>
      <c r="AF1226" s="68"/>
      <c r="AG1226" s="68"/>
      <c r="AH1226" s="68"/>
      <c r="AI1226" s="68"/>
      <c r="AJ1226" s="68"/>
      <c r="AK1226" s="68"/>
    </row>
    <row r="1227" spans="1:37">
      <c r="A1227" s="68"/>
      <c r="B1227" s="216"/>
      <c r="C1227" s="214"/>
      <c r="D1227" s="214" t="s">
        <v>4026</v>
      </c>
      <c r="E1227" s="68"/>
      <c r="F1227" s="68"/>
      <c r="G1227" s="68"/>
      <c r="H1227" s="68"/>
      <c r="I1227" s="68"/>
      <c r="J1227" s="68"/>
      <c r="K1227" s="68"/>
      <c r="L1227" s="68"/>
      <c r="M1227" s="68"/>
      <c r="N1227" s="68"/>
      <c r="O1227" s="68"/>
      <c r="P1227" s="68"/>
      <c r="Q1227" s="68"/>
      <c r="R1227" s="68"/>
      <c r="S1227" s="68"/>
      <c r="T1227" s="68"/>
      <c r="U1227" s="68"/>
      <c r="V1227" s="68"/>
      <c r="W1227" s="68"/>
      <c r="X1227" s="68"/>
      <c r="Y1227" s="68"/>
      <c r="Z1227" s="68"/>
      <c r="AA1227" s="68"/>
      <c r="AB1227" s="68"/>
      <c r="AC1227" s="68"/>
      <c r="AD1227" s="68"/>
      <c r="AE1227" s="68"/>
      <c r="AF1227" s="68"/>
      <c r="AG1227" s="68"/>
      <c r="AH1227" s="68"/>
      <c r="AI1227" s="68"/>
      <c r="AJ1227" s="68"/>
      <c r="AK1227" s="68"/>
    </row>
    <row r="1228" spans="1:37">
      <c r="A1228" s="68"/>
      <c r="B1228" s="216"/>
      <c r="C1228" s="214"/>
      <c r="D1228" s="214" t="s">
        <v>4027</v>
      </c>
      <c r="E1228" s="68"/>
      <c r="F1228" s="68"/>
      <c r="G1228" s="68"/>
      <c r="H1228" s="68"/>
      <c r="I1228" s="68"/>
      <c r="J1228" s="68"/>
      <c r="K1228" s="68"/>
      <c r="L1228" s="68"/>
      <c r="M1228" s="68"/>
      <c r="N1228" s="68"/>
      <c r="O1228" s="68"/>
      <c r="P1228" s="68"/>
      <c r="Q1228" s="68"/>
      <c r="R1228" s="68"/>
      <c r="S1228" s="68"/>
      <c r="T1228" s="68"/>
      <c r="U1228" s="68"/>
      <c r="V1228" s="68"/>
      <c r="W1228" s="68"/>
      <c r="X1228" s="68"/>
      <c r="Y1228" s="68"/>
      <c r="Z1228" s="68"/>
      <c r="AA1228" s="68"/>
      <c r="AB1228" s="68"/>
      <c r="AC1228" s="68"/>
      <c r="AD1228" s="68"/>
      <c r="AE1228" s="68"/>
      <c r="AF1228" s="68"/>
      <c r="AG1228" s="68"/>
      <c r="AH1228" s="68"/>
      <c r="AI1228" s="68"/>
      <c r="AJ1228" s="68"/>
      <c r="AK1228" s="68"/>
    </row>
    <row r="1229" spans="1:37">
      <c r="A1229" s="68"/>
      <c r="B1229" s="216"/>
      <c r="C1229" s="214"/>
      <c r="D1229" s="214" t="s">
        <v>4028</v>
      </c>
      <c r="E1229" s="68"/>
      <c r="F1229" s="68"/>
      <c r="G1229" s="68"/>
      <c r="H1229" s="68"/>
      <c r="I1229" s="68"/>
      <c r="J1229" s="68"/>
      <c r="K1229" s="68"/>
      <c r="L1229" s="68"/>
      <c r="M1229" s="68"/>
      <c r="N1229" s="68"/>
      <c r="O1229" s="68"/>
      <c r="P1229" s="68"/>
      <c r="Q1229" s="68"/>
      <c r="R1229" s="68"/>
      <c r="S1229" s="68"/>
      <c r="T1229" s="68"/>
      <c r="U1229" s="68"/>
      <c r="V1229" s="68"/>
      <c r="W1229" s="68"/>
      <c r="X1229" s="68"/>
      <c r="Y1229" s="68"/>
      <c r="Z1229" s="68"/>
      <c r="AA1229" s="68"/>
      <c r="AB1229" s="68"/>
      <c r="AC1229" s="68"/>
      <c r="AD1229" s="68"/>
      <c r="AE1229" s="68"/>
      <c r="AF1229" s="68"/>
      <c r="AG1229" s="68"/>
      <c r="AH1229" s="68"/>
      <c r="AI1229" s="68"/>
      <c r="AJ1229" s="68"/>
      <c r="AK1229" s="68"/>
    </row>
    <row r="1230" spans="1:37">
      <c r="A1230" s="78"/>
      <c r="B1230" s="78"/>
      <c r="C1230" s="78"/>
      <c r="D1230" s="78"/>
      <c r="E1230" s="78"/>
      <c r="F1230" s="78"/>
      <c r="G1230" s="78"/>
      <c r="H1230" s="78"/>
      <c r="I1230" s="78"/>
      <c r="J1230" s="78"/>
      <c r="K1230" s="78"/>
      <c r="L1230" s="78"/>
      <c r="M1230" s="78"/>
      <c r="N1230" s="78"/>
      <c r="O1230" s="78"/>
      <c r="P1230" s="78"/>
      <c r="Q1230" s="78"/>
      <c r="R1230" s="78"/>
      <c r="S1230" s="78"/>
      <c r="T1230" s="78"/>
      <c r="U1230" s="78"/>
      <c r="V1230" s="78"/>
      <c r="W1230" s="78"/>
      <c r="X1230" s="78"/>
      <c r="Y1230" s="78"/>
      <c r="Z1230" s="78"/>
      <c r="AA1230" s="78"/>
      <c r="AB1230" s="78"/>
      <c r="AC1230" s="78"/>
      <c r="AD1230" s="78"/>
      <c r="AE1230" s="78"/>
      <c r="AF1230" s="78"/>
      <c r="AG1230" s="78"/>
      <c r="AH1230" s="78"/>
      <c r="AI1230" s="78"/>
      <c r="AJ1230" s="78"/>
      <c r="AK1230" s="78"/>
    </row>
    <row r="1231" spans="1:37">
      <c r="A1231" s="78"/>
      <c r="B1231" s="78"/>
      <c r="C1231" s="78"/>
      <c r="D1231" s="78"/>
      <c r="E1231" s="78"/>
      <c r="F1231" s="78"/>
      <c r="G1231" s="78"/>
      <c r="H1231" s="78"/>
      <c r="I1231" s="78"/>
      <c r="J1231" s="78"/>
      <c r="K1231" s="78"/>
      <c r="L1231" s="78"/>
      <c r="M1231" s="78"/>
      <c r="N1231" s="78"/>
      <c r="O1231" s="78"/>
      <c r="P1231" s="78"/>
      <c r="Q1231" s="78"/>
      <c r="R1231" s="78"/>
      <c r="S1231" s="78"/>
      <c r="T1231" s="78"/>
      <c r="U1231" s="78"/>
      <c r="V1231" s="78"/>
      <c r="W1231" s="78"/>
      <c r="X1231" s="78"/>
      <c r="Y1231" s="78"/>
      <c r="Z1231" s="78"/>
      <c r="AA1231" s="78"/>
      <c r="AB1231" s="78"/>
      <c r="AC1231" s="78"/>
      <c r="AD1231" s="78"/>
      <c r="AE1231" s="78"/>
      <c r="AF1231" s="78"/>
      <c r="AG1231" s="78"/>
      <c r="AH1231" s="78"/>
      <c r="AI1231" s="78"/>
      <c r="AJ1231" s="78"/>
      <c r="AK1231" s="78"/>
    </row>
    <row r="1232" spans="1:37">
      <c r="A1232" s="78"/>
      <c r="B1232" s="78"/>
      <c r="C1232" s="78"/>
      <c r="D1232" s="78"/>
      <c r="E1232" s="78"/>
      <c r="F1232" s="78"/>
      <c r="G1232" s="78"/>
      <c r="H1232" s="78"/>
      <c r="I1232" s="78"/>
      <c r="J1232" s="78"/>
      <c r="K1232" s="78"/>
      <c r="L1232" s="78"/>
      <c r="M1232" s="78"/>
      <c r="N1232" s="78"/>
      <c r="O1232" s="78"/>
      <c r="P1232" s="78"/>
      <c r="Q1232" s="78"/>
      <c r="R1232" s="78"/>
      <c r="S1232" s="78"/>
      <c r="T1232" s="78"/>
      <c r="U1232" s="78"/>
      <c r="V1232" s="78"/>
      <c r="W1232" s="78"/>
      <c r="X1232" s="78"/>
      <c r="Y1232" s="78"/>
      <c r="Z1232" s="78"/>
      <c r="AA1232" s="78"/>
      <c r="AB1232" s="78"/>
      <c r="AC1232" s="78"/>
      <c r="AD1232" s="78"/>
      <c r="AE1232" s="78"/>
      <c r="AF1232" s="78"/>
      <c r="AG1232" s="78"/>
      <c r="AH1232" s="78"/>
      <c r="AI1232" s="78"/>
      <c r="AJ1232" s="78"/>
      <c r="AK1232" s="78"/>
    </row>
    <row r="1233" spans="1:37">
      <c r="A1233" s="78"/>
      <c r="B1233" s="78"/>
      <c r="C1233" s="78"/>
      <c r="D1233" s="78"/>
      <c r="E1233" s="78"/>
      <c r="F1233" s="78"/>
      <c r="G1233" s="78"/>
      <c r="H1233" s="78"/>
      <c r="I1233" s="78"/>
      <c r="J1233" s="78"/>
      <c r="K1233" s="78"/>
      <c r="L1233" s="78"/>
      <c r="M1233" s="78"/>
      <c r="N1233" s="78"/>
      <c r="O1233" s="78"/>
      <c r="P1233" s="78"/>
      <c r="Q1233" s="78"/>
      <c r="R1233" s="78"/>
      <c r="S1233" s="78"/>
      <c r="T1233" s="78"/>
      <c r="U1233" s="78"/>
      <c r="V1233" s="78"/>
      <c r="W1233" s="78"/>
      <c r="X1233" s="78"/>
      <c r="Y1233" s="78"/>
      <c r="Z1233" s="78"/>
      <c r="AA1233" s="78"/>
      <c r="AB1233" s="78"/>
      <c r="AC1233" s="78"/>
      <c r="AD1233" s="78"/>
      <c r="AE1233" s="78"/>
      <c r="AF1233" s="78"/>
      <c r="AG1233" s="78"/>
      <c r="AH1233" s="78"/>
      <c r="AI1233" s="78"/>
      <c r="AJ1233" s="78"/>
      <c r="AK1233" s="78"/>
    </row>
    <row r="1234" spans="1:37">
      <c r="A1234" s="78"/>
      <c r="B1234" s="78"/>
      <c r="C1234" s="78"/>
      <c r="D1234" s="78"/>
      <c r="E1234" s="78"/>
      <c r="F1234" s="78"/>
      <c r="G1234" s="78"/>
      <c r="H1234" s="78"/>
      <c r="I1234" s="78"/>
      <c r="J1234" s="78"/>
      <c r="K1234" s="78"/>
      <c r="L1234" s="78"/>
      <c r="M1234" s="78"/>
      <c r="N1234" s="78"/>
      <c r="O1234" s="78"/>
      <c r="P1234" s="78"/>
      <c r="Q1234" s="78"/>
      <c r="R1234" s="78"/>
      <c r="S1234" s="78"/>
      <c r="T1234" s="78"/>
      <c r="U1234" s="78"/>
      <c r="V1234" s="78"/>
      <c r="W1234" s="78"/>
      <c r="X1234" s="78"/>
      <c r="Y1234" s="78"/>
      <c r="Z1234" s="78"/>
      <c r="AA1234" s="78"/>
      <c r="AB1234" s="78"/>
      <c r="AC1234" s="78"/>
      <c r="AD1234" s="78"/>
      <c r="AE1234" s="78"/>
      <c r="AF1234" s="78"/>
      <c r="AG1234" s="78"/>
      <c r="AH1234" s="78"/>
      <c r="AI1234" s="78"/>
      <c r="AJ1234" s="78"/>
      <c r="AK1234" s="78"/>
    </row>
    <row r="1235" spans="1:37">
      <c r="A1235" s="78"/>
      <c r="B1235" s="78"/>
      <c r="C1235" s="78"/>
      <c r="D1235" s="78"/>
      <c r="E1235" s="78"/>
      <c r="F1235" s="78"/>
      <c r="G1235" s="78"/>
      <c r="H1235" s="78"/>
      <c r="I1235" s="78"/>
      <c r="J1235" s="78"/>
      <c r="K1235" s="78"/>
      <c r="L1235" s="78"/>
      <c r="M1235" s="78"/>
      <c r="N1235" s="78"/>
      <c r="O1235" s="78"/>
      <c r="P1235" s="78"/>
      <c r="Q1235" s="78"/>
      <c r="R1235" s="78"/>
      <c r="S1235" s="78"/>
      <c r="T1235" s="78"/>
      <c r="U1235" s="78"/>
      <c r="V1235" s="78"/>
      <c r="W1235" s="78"/>
      <c r="X1235" s="78"/>
      <c r="Y1235" s="78"/>
      <c r="Z1235" s="78"/>
      <c r="AA1235" s="78"/>
      <c r="AB1235" s="78"/>
      <c r="AC1235" s="78"/>
      <c r="AD1235" s="78"/>
      <c r="AE1235" s="78"/>
      <c r="AF1235" s="78"/>
      <c r="AG1235" s="78"/>
      <c r="AH1235" s="78"/>
      <c r="AI1235" s="78"/>
      <c r="AJ1235" s="78"/>
      <c r="AK1235" s="78"/>
    </row>
    <row r="1236" spans="1:37">
      <c r="A1236" s="78"/>
      <c r="B1236" s="78"/>
      <c r="C1236" s="78"/>
      <c r="D1236" s="78"/>
      <c r="E1236" s="78"/>
      <c r="F1236" s="78"/>
      <c r="G1236" s="78"/>
      <c r="H1236" s="78"/>
      <c r="I1236" s="78"/>
      <c r="J1236" s="78"/>
      <c r="K1236" s="78"/>
      <c r="L1236" s="78"/>
      <c r="M1236" s="78"/>
      <c r="N1236" s="78"/>
      <c r="O1236" s="78"/>
      <c r="P1236" s="78"/>
      <c r="Q1236" s="78"/>
      <c r="R1236" s="78"/>
      <c r="S1236" s="78"/>
      <c r="T1236" s="78"/>
      <c r="U1236" s="78"/>
      <c r="V1236" s="78"/>
      <c r="W1236" s="78"/>
      <c r="X1236" s="78"/>
      <c r="Y1236" s="78"/>
      <c r="Z1236" s="78"/>
      <c r="AA1236" s="78"/>
      <c r="AB1236" s="78"/>
      <c r="AC1236" s="78"/>
      <c r="AD1236" s="78"/>
      <c r="AE1236" s="78"/>
      <c r="AF1236" s="78"/>
      <c r="AG1236" s="78"/>
      <c r="AH1236" s="78"/>
      <c r="AI1236" s="78"/>
      <c r="AJ1236" s="78"/>
      <c r="AK1236" s="78"/>
    </row>
    <row r="1237" spans="1:37">
      <c r="A1237" s="78"/>
      <c r="B1237" s="78"/>
      <c r="C1237" s="78"/>
      <c r="D1237" s="78"/>
      <c r="E1237" s="78"/>
      <c r="F1237" s="78"/>
      <c r="G1237" s="78"/>
      <c r="H1237" s="78"/>
      <c r="I1237" s="78"/>
      <c r="J1237" s="78"/>
      <c r="K1237" s="78"/>
      <c r="L1237" s="78"/>
      <c r="M1237" s="78"/>
      <c r="N1237" s="78"/>
      <c r="O1237" s="78"/>
      <c r="P1237" s="78"/>
      <c r="Q1237" s="78"/>
      <c r="R1237" s="78"/>
      <c r="S1237" s="78"/>
      <c r="T1237" s="78"/>
      <c r="U1237" s="78"/>
      <c r="V1237" s="78"/>
      <c r="W1237" s="78"/>
      <c r="X1237" s="78"/>
      <c r="Y1237" s="78"/>
      <c r="Z1237" s="78"/>
      <c r="AA1237" s="78"/>
      <c r="AB1237" s="78"/>
      <c r="AC1237" s="78"/>
      <c r="AD1237" s="78"/>
      <c r="AE1237" s="78"/>
      <c r="AF1237" s="78"/>
      <c r="AG1237" s="78"/>
      <c r="AH1237" s="78"/>
      <c r="AI1237" s="78"/>
      <c r="AJ1237" s="78"/>
      <c r="AK1237" s="78"/>
    </row>
    <row r="1238" spans="1:37">
      <c r="A1238" s="78"/>
      <c r="B1238" s="78"/>
      <c r="C1238" s="78"/>
      <c r="D1238" s="78"/>
      <c r="E1238" s="78"/>
      <c r="F1238" s="78"/>
      <c r="G1238" s="78"/>
      <c r="H1238" s="78"/>
      <c r="I1238" s="78"/>
      <c r="J1238" s="78"/>
      <c r="K1238" s="78"/>
      <c r="L1238" s="78"/>
      <c r="M1238" s="78"/>
      <c r="N1238" s="78"/>
      <c r="O1238" s="78"/>
      <c r="P1238" s="78"/>
      <c r="Q1238" s="78"/>
      <c r="R1238" s="78"/>
      <c r="S1238" s="78"/>
      <c r="T1238" s="78"/>
      <c r="U1238" s="78"/>
      <c r="V1238" s="78"/>
      <c r="W1238" s="78"/>
      <c r="X1238" s="78"/>
      <c r="Y1238" s="78"/>
      <c r="Z1238" s="78"/>
      <c r="AA1238" s="78"/>
      <c r="AB1238" s="78"/>
      <c r="AC1238" s="78"/>
      <c r="AD1238" s="78"/>
      <c r="AE1238" s="78"/>
      <c r="AF1238" s="78"/>
      <c r="AG1238" s="78"/>
      <c r="AH1238" s="78"/>
      <c r="AI1238" s="78"/>
      <c r="AJ1238" s="78"/>
      <c r="AK1238" s="78"/>
    </row>
    <row r="1239" spans="1:37">
      <c r="A1239" s="78"/>
      <c r="B1239" s="78"/>
      <c r="C1239" s="78"/>
      <c r="D1239" s="78"/>
      <c r="E1239" s="78"/>
      <c r="F1239" s="78"/>
      <c r="G1239" s="78"/>
      <c r="H1239" s="78"/>
      <c r="I1239" s="78"/>
      <c r="J1239" s="78"/>
      <c r="K1239" s="78"/>
      <c r="L1239" s="78"/>
      <c r="M1239" s="78"/>
      <c r="N1239" s="78"/>
      <c r="O1239" s="78"/>
      <c r="P1239" s="78"/>
      <c r="Q1239" s="78"/>
      <c r="R1239" s="78"/>
      <c r="S1239" s="78"/>
      <c r="T1239" s="78"/>
      <c r="U1239" s="78"/>
      <c r="V1239" s="78"/>
      <c r="W1239" s="78"/>
      <c r="X1239" s="78"/>
      <c r="Y1239" s="78"/>
      <c r="Z1239" s="78"/>
      <c r="AA1239" s="78"/>
      <c r="AB1239" s="78"/>
      <c r="AC1239" s="78"/>
      <c r="AD1239" s="78"/>
      <c r="AE1239" s="78"/>
      <c r="AF1239" s="78"/>
      <c r="AG1239" s="78"/>
      <c r="AH1239" s="78"/>
      <c r="AI1239" s="78"/>
      <c r="AJ1239" s="78"/>
      <c r="AK1239" s="78"/>
    </row>
    <row r="1240" spans="1:37">
      <c r="A1240" s="78"/>
      <c r="B1240" s="78"/>
      <c r="C1240" s="78"/>
      <c r="D1240" s="78"/>
      <c r="E1240" s="78"/>
      <c r="F1240" s="78"/>
      <c r="G1240" s="78"/>
      <c r="H1240" s="78"/>
      <c r="I1240" s="78"/>
      <c r="J1240" s="78"/>
      <c r="K1240" s="78"/>
      <c r="L1240" s="78"/>
      <c r="M1240" s="78"/>
      <c r="N1240" s="78"/>
      <c r="O1240" s="78"/>
      <c r="P1240" s="78"/>
      <c r="Q1240" s="78"/>
      <c r="R1240" s="78"/>
      <c r="S1240" s="78"/>
      <c r="T1240" s="78"/>
      <c r="U1240" s="78"/>
      <c r="V1240" s="78"/>
      <c r="W1240" s="78"/>
      <c r="X1240" s="78"/>
      <c r="Y1240" s="78"/>
      <c r="Z1240" s="78"/>
      <c r="AA1240" s="78"/>
      <c r="AB1240" s="78"/>
      <c r="AC1240" s="78"/>
      <c r="AD1240" s="78"/>
      <c r="AE1240" s="78"/>
      <c r="AF1240" s="78"/>
      <c r="AG1240" s="78"/>
      <c r="AH1240" s="78"/>
      <c r="AI1240" s="78"/>
      <c r="AJ1240" s="78"/>
      <c r="AK1240" s="78"/>
    </row>
    <row r="1241" spans="1:37">
      <c r="A1241" s="78"/>
      <c r="B1241" s="78"/>
      <c r="C1241" s="78"/>
      <c r="D1241" s="78"/>
      <c r="E1241" s="78"/>
      <c r="F1241" s="78"/>
      <c r="G1241" s="78"/>
      <c r="H1241" s="78"/>
      <c r="I1241" s="78"/>
      <c r="J1241" s="78"/>
      <c r="K1241" s="78"/>
      <c r="L1241" s="78"/>
      <c r="M1241" s="78"/>
      <c r="N1241" s="78"/>
      <c r="O1241" s="78"/>
      <c r="P1241" s="78"/>
      <c r="Q1241" s="78"/>
      <c r="R1241" s="78"/>
      <c r="S1241" s="78"/>
      <c r="T1241" s="78"/>
      <c r="U1241" s="78"/>
      <c r="V1241" s="78"/>
      <c r="W1241" s="78"/>
      <c r="X1241" s="78"/>
      <c r="Y1241" s="78"/>
      <c r="Z1241" s="78"/>
      <c r="AA1241" s="78"/>
      <c r="AB1241" s="78"/>
      <c r="AC1241" s="78"/>
      <c r="AD1241" s="78"/>
      <c r="AE1241" s="78"/>
      <c r="AF1241" s="78"/>
      <c r="AG1241" s="78"/>
      <c r="AH1241" s="78"/>
      <c r="AI1241" s="78"/>
      <c r="AJ1241" s="78"/>
      <c r="AK1241" s="78"/>
    </row>
    <row r="1242" spans="1:37">
      <c r="A1242" s="78"/>
      <c r="B1242" s="78"/>
      <c r="C1242" s="78"/>
      <c r="D1242" s="78"/>
      <c r="E1242" s="78"/>
      <c r="F1242" s="78"/>
      <c r="G1242" s="78"/>
      <c r="H1242" s="78"/>
      <c r="I1242" s="78"/>
      <c r="J1242" s="78"/>
      <c r="K1242" s="78"/>
      <c r="L1242" s="78"/>
      <c r="M1242" s="78"/>
      <c r="N1242" s="78"/>
      <c r="O1242" s="78"/>
      <c r="P1242" s="78"/>
      <c r="Q1242" s="78"/>
      <c r="R1242" s="78"/>
      <c r="S1242" s="78"/>
      <c r="T1242" s="78"/>
      <c r="U1242" s="78"/>
      <c r="V1242" s="78"/>
      <c r="W1242" s="78"/>
      <c r="X1242" s="78"/>
      <c r="Y1242" s="78"/>
      <c r="Z1242" s="78"/>
      <c r="AA1242" s="78"/>
      <c r="AB1242" s="78"/>
      <c r="AC1242" s="78"/>
      <c r="AD1242" s="78"/>
      <c r="AE1242" s="78"/>
      <c r="AF1242" s="78"/>
      <c r="AG1242" s="78"/>
      <c r="AH1242" s="78"/>
      <c r="AI1242" s="78"/>
      <c r="AJ1242" s="78"/>
      <c r="AK1242" s="78"/>
    </row>
    <row r="1243" spans="1:37">
      <c r="A1243" s="78"/>
      <c r="B1243" s="78"/>
      <c r="C1243" s="78"/>
      <c r="D1243" s="78"/>
      <c r="E1243" s="78"/>
      <c r="F1243" s="78"/>
      <c r="G1243" s="78"/>
      <c r="H1243" s="78"/>
      <c r="I1243" s="78"/>
      <c r="J1243" s="78"/>
      <c r="K1243" s="78"/>
      <c r="L1243" s="78"/>
      <c r="M1243" s="78"/>
      <c r="N1243" s="78"/>
      <c r="O1243" s="78"/>
      <c r="P1243" s="78"/>
      <c r="Q1243" s="78"/>
      <c r="R1243" s="78"/>
      <c r="S1243" s="78"/>
      <c r="T1243" s="78"/>
      <c r="U1243" s="78"/>
      <c r="V1243" s="78"/>
      <c r="W1243" s="78"/>
      <c r="X1243" s="78"/>
      <c r="Y1243" s="78"/>
      <c r="Z1243" s="78"/>
      <c r="AA1243" s="78"/>
      <c r="AB1243" s="78"/>
      <c r="AC1243" s="78"/>
      <c r="AD1243" s="78"/>
      <c r="AE1243" s="78"/>
      <c r="AF1243" s="78"/>
      <c r="AG1243" s="78"/>
      <c r="AH1243" s="78"/>
      <c r="AI1243" s="78"/>
      <c r="AJ1243" s="78"/>
      <c r="AK1243" s="78"/>
    </row>
    <row r="1244" spans="1:37">
      <c r="A1244" s="78"/>
      <c r="B1244" s="78"/>
      <c r="C1244" s="78"/>
      <c r="D1244" s="78"/>
      <c r="E1244" s="78"/>
      <c r="F1244" s="78"/>
      <c r="G1244" s="78"/>
      <c r="H1244" s="78"/>
      <c r="I1244" s="78"/>
      <c r="J1244" s="78"/>
      <c r="K1244" s="78"/>
      <c r="L1244" s="78"/>
      <c r="M1244" s="78"/>
      <c r="N1244" s="78"/>
      <c r="O1244" s="78"/>
      <c r="P1244" s="78"/>
      <c r="Q1244" s="78"/>
      <c r="R1244" s="78"/>
      <c r="S1244" s="78"/>
      <c r="T1244" s="78"/>
      <c r="U1244" s="78"/>
      <c r="V1244" s="78"/>
      <c r="W1244" s="78"/>
      <c r="X1244" s="78"/>
      <c r="Y1244" s="78"/>
      <c r="Z1244" s="78"/>
      <c r="AA1244" s="78"/>
      <c r="AB1244" s="78"/>
      <c r="AC1244" s="78"/>
      <c r="AD1244" s="78"/>
      <c r="AE1244" s="78"/>
      <c r="AF1244" s="78"/>
      <c r="AG1244" s="78"/>
      <c r="AH1244" s="78"/>
      <c r="AI1244" s="78"/>
      <c r="AJ1244" s="78"/>
      <c r="AK1244" s="78"/>
    </row>
    <row r="1245" spans="1:37">
      <c r="A1245" s="78"/>
      <c r="B1245" s="78"/>
      <c r="C1245" s="78"/>
      <c r="D1245" s="78"/>
      <c r="E1245" s="78"/>
      <c r="F1245" s="78"/>
      <c r="G1245" s="78"/>
      <c r="H1245" s="78"/>
      <c r="I1245" s="78"/>
      <c r="J1245" s="78"/>
      <c r="K1245" s="78"/>
      <c r="L1245" s="78"/>
      <c r="M1245" s="78"/>
      <c r="N1245" s="78"/>
      <c r="O1245" s="78"/>
      <c r="P1245" s="78"/>
      <c r="Q1245" s="78"/>
      <c r="R1245" s="78"/>
      <c r="S1245" s="78"/>
      <c r="T1245" s="78"/>
      <c r="U1245" s="78"/>
      <c r="V1245" s="78"/>
      <c r="W1245" s="78"/>
      <c r="X1245" s="78"/>
      <c r="Y1245" s="78"/>
      <c r="Z1245" s="78"/>
      <c r="AA1245" s="78"/>
      <c r="AB1245" s="78"/>
      <c r="AC1245" s="78"/>
      <c r="AD1245" s="78"/>
      <c r="AE1245" s="78"/>
      <c r="AF1245" s="78"/>
      <c r="AG1245" s="78"/>
      <c r="AH1245" s="78"/>
      <c r="AI1245" s="78"/>
      <c r="AJ1245" s="78"/>
      <c r="AK1245" s="78"/>
    </row>
    <row r="1246" spans="1:37">
      <c r="A1246" s="78"/>
      <c r="B1246" s="78"/>
      <c r="C1246" s="78"/>
      <c r="D1246" s="78"/>
      <c r="E1246" s="78"/>
      <c r="F1246" s="78"/>
      <c r="G1246" s="78"/>
      <c r="H1246" s="78"/>
      <c r="I1246" s="78"/>
      <c r="J1246" s="78"/>
      <c r="K1246" s="78"/>
      <c r="L1246" s="78"/>
      <c r="M1246" s="78"/>
      <c r="N1246" s="78"/>
      <c r="O1246" s="78"/>
      <c r="P1246" s="78"/>
      <c r="Q1246" s="78"/>
      <c r="R1246" s="78"/>
      <c r="S1246" s="78"/>
      <c r="T1246" s="78"/>
      <c r="U1246" s="78"/>
      <c r="V1246" s="78"/>
      <c r="W1246" s="78"/>
      <c r="X1246" s="78"/>
      <c r="Y1246" s="78"/>
      <c r="Z1246" s="78"/>
      <c r="AA1246" s="78"/>
      <c r="AB1246" s="78"/>
      <c r="AC1246" s="78"/>
      <c r="AD1246" s="78"/>
      <c r="AE1246" s="78"/>
      <c r="AF1246" s="78"/>
      <c r="AG1246" s="78"/>
      <c r="AH1246" s="78"/>
      <c r="AI1246" s="78"/>
      <c r="AJ1246" s="78"/>
      <c r="AK1246" s="78"/>
    </row>
    <row r="1247" spans="1:37">
      <c r="A1247" s="78"/>
      <c r="B1247" s="78"/>
      <c r="C1247" s="78"/>
      <c r="D1247" s="78"/>
      <c r="E1247" s="78"/>
      <c r="F1247" s="78"/>
      <c r="G1247" s="78"/>
      <c r="H1247" s="78"/>
      <c r="I1247" s="78"/>
      <c r="J1247" s="78"/>
      <c r="K1247" s="78"/>
      <c r="L1247" s="78"/>
      <c r="M1247" s="78"/>
      <c r="N1247" s="78"/>
      <c r="O1247" s="78"/>
      <c r="P1247" s="78"/>
      <c r="Q1247" s="78"/>
      <c r="R1247" s="78"/>
      <c r="S1247" s="78"/>
      <c r="T1247" s="78"/>
      <c r="U1247" s="78"/>
      <c r="V1247" s="78"/>
      <c r="W1247" s="78"/>
      <c r="X1247" s="78"/>
      <c r="Y1247" s="78"/>
      <c r="Z1247" s="78"/>
      <c r="AA1247" s="78"/>
      <c r="AB1247" s="78"/>
      <c r="AC1247" s="78"/>
      <c r="AD1247" s="78"/>
      <c r="AE1247" s="78"/>
      <c r="AF1247" s="78"/>
      <c r="AG1247" s="78"/>
      <c r="AH1247" s="78"/>
      <c r="AI1247" s="78"/>
      <c r="AJ1247" s="78"/>
      <c r="AK1247" s="78"/>
    </row>
    <row r="1248" spans="1:37">
      <c r="A1248" s="78"/>
      <c r="B1248" s="78"/>
      <c r="C1248" s="78"/>
      <c r="D1248" s="78"/>
      <c r="E1248" s="78"/>
      <c r="F1248" s="78"/>
      <c r="G1248" s="78"/>
      <c r="H1248" s="78"/>
      <c r="I1248" s="78"/>
      <c r="J1248" s="78"/>
      <c r="K1248" s="78"/>
      <c r="L1248" s="78"/>
      <c r="M1248" s="78"/>
      <c r="N1248" s="78"/>
      <c r="O1248" s="78"/>
      <c r="P1248" s="78"/>
      <c r="Q1248" s="78"/>
      <c r="R1248" s="78"/>
      <c r="S1248" s="78"/>
      <c r="T1248" s="78"/>
      <c r="U1248" s="78"/>
      <c r="V1248" s="78"/>
      <c r="W1248" s="78"/>
      <c r="X1248" s="78"/>
      <c r="Y1248" s="78"/>
      <c r="Z1248" s="78"/>
      <c r="AA1248" s="78"/>
      <c r="AB1248" s="78"/>
      <c r="AC1248" s="78"/>
      <c r="AD1248" s="78"/>
      <c r="AE1248" s="78"/>
      <c r="AF1248" s="78"/>
      <c r="AG1248" s="78"/>
      <c r="AH1248" s="78"/>
      <c r="AI1248" s="78"/>
      <c r="AJ1248" s="78"/>
      <c r="AK1248" s="78"/>
    </row>
    <row r="1249" spans="1:37">
      <c r="A1249" s="78"/>
      <c r="B1249" s="78"/>
      <c r="C1249" s="78"/>
      <c r="D1249" s="78"/>
      <c r="E1249" s="78"/>
      <c r="F1249" s="78"/>
      <c r="G1249" s="78"/>
      <c r="H1249" s="78"/>
      <c r="I1249" s="78"/>
      <c r="J1249" s="78"/>
      <c r="K1249" s="78"/>
      <c r="L1249" s="78"/>
      <c r="M1249" s="78"/>
      <c r="N1249" s="78"/>
      <c r="O1249" s="78"/>
      <c r="P1249" s="78"/>
      <c r="Q1249" s="78"/>
      <c r="R1249" s="78"/>
      <c r="S1249" s="78"/>
      <c r="T1249" s="78"/>
      <c r="U1249" s="78"/>
      <c r="V1249" s="78"/>
      <c r="W1249" s="78"/>
      <c r="X1249" s="78"/>
      <c r="Y1249" s="78"/>
      <c r="Z1249" s="78"/>
      <c r="AA1249" s="78"/>
      <c r="AB1249" s="78"/>
      <c r="AC1249" s="78"/>
      <c r="AD1249" s="78"/>
      <c r="AE1249" s="78"/>
      <c r="AF1249" s="78"/>
      <c r="AG1249" s="78"/>
      <c r="AH1249" s="78"/>
      <c r="AI1249" s="78"/>
      <c r="AJ1249" s="78"/>
      <c r="AK1249" s="78"/>
    </row>
    <row r="1250" spans="1:37">
      <c r="A1250" s="78"/>
      <c r="B1250" s="78"/>
      <c r="C1250" s="78"/>
      <c r="D1250" s="78"/>
      <c r="E1250" s="78"/>
      <c r="F1250" s="78"/>
      <c r="G1250" s="78"/>
      <c r="H1250" s="78"/>
      <c r="I1250" s="78"/>
      <c r="J1250" s="78"/>
      <c r="K1250" s="78"/>
      <c r="L1250" s="78"/>
      <c r="M1250" s="78"/>
      <c r="N1250" s="78"/>
      <c r="O1250" s="78"/>
      <c r="P1250" s="78"/>
      <c r="Q1250" s="78"/>
      <c r="R1250" s="78"/>
      <c r="S1250" s="78"/>
      <c r="T1250" s="78"/>
      <c r="U1250" s="78"/>
      <c r="V1250" s="78"/>
      <c r="W1250" s="78"/>
      <c r="X1250" s="78"/>
      <c r="Y1250" s="78"/>
      <c r="Z1250" s="78"/>
      <c r="AA1250" s="78"/>
      <c r="AB1250" s="78"/>
      <c r="AC1250" s="78"/>
      <c r="AD1250" s="78"/>
      <c r="AE1250" s="78"/>
      <c r="AF1250" s="78"/>
      <c r="AG1250" s="78"/>
      <c r="AH1250" s="78"/>
      <c r="AI1250" s="78"/>
      <c r="AJ1250" s="78"/>
      <c r="AK1250" s="78"/>
    </row>
    <row r="1251" spans="1:37">
      <c r="A1251" s="78"/>
      <c r="B1251" s="78"/>
      <c r="C1251" s="78"/>
      <c r="D1251" s="78"/>
      <c r="E1251" s="78"/>
      <c r="F1251" s="78"/>
      <c r="G1251" s="78"/>
      <c r="H1251" s="78"/>
      <c r="I1251" s="78"/>
      <c r="J1251" s="78"/>
      <c r="K1251" s="78"/>
      <c r="L1251" s="78"/>
      <c r="M1251" s="78"/>
      <c r="N1251" s="78"/>
      <c r="O1251" s="78"/>
      <c r="P1251" s="78"/>
      <c r="Q1251" s="78"/>
      <c r="R1251" s="78"/>
      <c r="S1251" s="78"/>
      <c r="T1251" s="78"/>
      <c r="U1251" s="78"/>
      <c r="V1251" s="78"/>
      <c r="W1251" s="78"/>
      <c r="X1251" s="78"/>
      <c r="Y1251" s="78"/>
      <c r="Z1251" s="78"/>
      <c r="AA1251" s="78"/>
      <c r="AB1251" s="78"/>
      <c r="AC1251" s="78"/>
      <c r="AD1251" s="78"/>
      <c r="AE1251" s="78"/>
      <c r="AF1251" s="78"/>
      <c r="AG1251" s="78"/>
      <c r="AH1251" s="78"/>
      <c r="AI1251" s="78"/>
      <c r="AJ1251" s="78"/>
      <c r="AK1251" s="78"/>
    </row>
    <row r="1252" spans="1:37">
      <c r="A1252" s="78"/>
      <c r="B1252" s="78"/>
      <c r="C1252" s="78"/>
      <c r="D1252" s="78"/>
      <c r="E1252" s="78"/>
      <c r="F1252" s="78"/>
      <c r="G1252" s="78"/>
      <c r="H1252" s="78"/>
      <c r="I1252" s="78"/>
      <c r="J1252" s="78"/>
      <c r="K1252" s="78"/>
      <c r="L1252" s="78"/>
      <c r="M1252" s="78"/>
      <c r="N1252" s="78"/>
      <c r="O1252" s="78"/>
      <c r="P1252" s="78"/>
      <c r="Q1252" s="78"/>
      <c r="R1252" s="78"/>
      <c r="S1252" s="78"/>
      <c r="T1252" s="78"/>
      <c r="U1252" s="78"/>
      <c r="V1252" s="78"/>
      <c r="W1252" s="78"/>
      <c r="X1252" s="78"/>
      <c r="Y1252" s="78"/>
      <c r="Z1252" s="78"/>
      <c r="AA1252" s="78"/>
      <c r="AB1252" s="78"/>
      <c r="AC1252" s="78"/>
      <c r="AD1252" s="78"/>
      <c r="AE1252" s="78"/>
      <c r="AF1252" s="78"/>
      <c r="AG1252" s="78"/>
      <c r="AH1252" s="78"/>
      <c r="AI1252" s="78"/>
      <c r="AJ1252" s="78"/>
      <c r="AK1252" s="78"/>
    </row>
    <row r="1253" spans="1:37">
      <c r="A1253" s="78"/>
      <c r="B1253" s="78"/>
      <c r="C1253" s="78"/>
      <c r="D1253" s="78"/>
      <c r="E1253" s="78"/>
      <c r="F1253" s="78"/>
      <c r="G1253" s="78"/>
      <c r="H1253" s="78"/>
      <c r="I1253" s="78"/>
      <c r="J1253" s="78"/>
      <c r="K1253" s="78"/>
      <c r="L1253" s="78"/>
      <c r="M1253" s="78"/>
      <c r="N1253" s="78"/>
      <c r="O1253" s="78"/>
      <c r="P1253" s="78"/>
      <c r="Q1253" s="78"/>
      <c r="R1253" s="78"/>
      <c r="S1253" s="78"/>
      <c r="T1253" s="78"/>
      <c r="U1253" s="78"/>
      <c r="V1253" s="78"/>
      <c r="W1253" s="78"/>
      <c r="X1253" s="78"/>
      <c r="Y1253" s="78"/>
      <c r="Z1253" s="78"/>
      <c r="AA1253" s="78"/>
      <c r="AB1253" s="78"/>
      <c r="AC1253" s="78"/>
      <c r="AD1253" s="78"/>
      <c r="AE1253" s="78"/>
      <c r="AF1253" s="78"/>
      <c r="AG1253" s="78"/>
      <c r="AH1253" s="78"/>
      <c r="AI1253" s="78"/>
      <c r="AJ1253" s="78"/>
      <c r="AK1253" s="78"/>
    </row>
    <row r="1254" spans="1:37">
      <c r="A1254" s="78"/>
      <c r="B1254" s="78"/>
      <c r="C1254" s="78"/>
      <c r="D1254" s="78"/>
      <c r="E1254" s="78"/>
      <c r="F1254" s="78"/>
      <c r="G1254" s="78"/>
      <c r="H1254" s="78"/>
      <c r="I1254" s="78"/>
      <c r="J1254" s="78"/>
      <c r="K1254" s="78"/>
      <c r="L1254" s="78"/>
      <c r="M1254" s="78"/>
      <c r="N1254" s="78"/>
      <c r="O1254" s="78"/>
      <c r="P1254" s="78"/>
      <c r="Q1254" s="78"/>
      <c r="R1254" s="78"/>
      <c r="S1254" s="78"/>
      <c r="T1254" s="78"/>
      <c r="U1254" s="78"/>
      <c r="V1254" s="78"/>
      <c r="W1254" s="78"/>
      <c r="X1254" s="78"/>
      <c r="Y1254" s="78"/>
      <c r="Z1254" s="78"/>
      <c r="AA1254" s="78"/>
      <c r="AB1254" s="78"/>
      <c r="AC1254" s="78"/>
      <c r="AD1254" s="78"/>
      <c r="AE1254" s="78"/>
      <c r="AF1254" s="78"/>
      <c r="AG1254" s="78"/>
      <c r="AH1254" s="78"/>
      <c r="AI1254" s="78"/>
      <c r="AJ1254" s="78"/>
      <c r="AK1254" s="78"/>
    </row>
    <row r="1255" spans="1:37">
      <c r="A1255" s="78"/>
      <c r="B1255" s="78"/>
      <c r="C1255" s="78"/>
      <c r="D1255" s="78"/>
      <c r="E1255" s="78"/>
      <c r="F1255" s="78"/>
      <c r="G1255" s="78"/>
      <c r="H1255" s="78"/>
      <c r="I1255" s="78"/>
      <c r="J1255" s="78"/>
      <c r="K1255" s="78"/>
      <c r="L1255" s="78"/>
      <c r="M1255" s="78"/>
      <c r="N1255" s="78"/>
      <c r="O1255" s="78"/>
      <c r="P1255" s="78"/>
      <c r="Q1255" s="78"/>
      <c r="R1255" s="78"/>
      <c r="S1255" s="78"/>
      <c r="T1255" s="78"/>
      <c r="U1255" s="78"/>
      <c r="V1255" s="78"/>
      <c r="W1255" s="78"/>
      <c r="X1255" s="78"/>
      <c r="Y1255" s="78"/>
      <c r="Z1255" s="78"/>
      <c r="AA1255" s="78"/>
      <c r="AB1255" s="78"/>
      <c r="AC1255" s="78"/>
      <c r="AD1255" s="78"/>
      <c r="AE1255" s="78"/>
      <c r="AF1255" s="78"/>
      <c r="AG1255" s="78"/>
      <c r="AH1255" s="78"/>
      <c r="AI1255" s="78"/>
      <c r="AJ1255" s="78"/>
      <c r="AK1255" s="78"/>
    </row>
    <row r="1256" spans="1:37">
      <c r="A1256" s="78"/>
      <c r="B1256" s="78"/>
      <c r="C1256" s="78"/>
      <c r="D1256" s="78"/>
      <c r="E1256" s="78"/>
      <c r="F1256" s="78"/>
      <c r="G1256" s="78"/>
      <c r="H1256" s="78"/>
      <c r="I1256" s="78"/>
      <c r="J1256" s="78"/>
      <c r="K1256" s="78"/>
      <c r="L1256" s="78"/>
      <c r="M1256" s="78"/>
      <c r="N1256" s="78"/>
      <c r="O1256" s="78"/>
      <c r="P1256" s="78"/>
      <c r="Q1256" s="78"/>
      <c r="R1256" s="78"/>
      <c r="S1256" s="78"/>
      <c r="T1256" s="78"/>
      <c r="U1256" s="78"/>
      <c r="V1256" s="78"/>
      <c r="W1256" s="78"/>
      <c r="X1256" s="78"/>
      <c r="Y1256" s="78"/>
      <c r="Z1256" s="78"/>
      <c r="AA1256" s="78"/>
      <c r="AB1256" s="78"/>
      <c r="AC1256" s="78"/>
      <c r="AD1256" s="78"/>
      <c r="AE1256" s="78"/>
      <c r="AF1256" s="78"/>
      <c r="AG1256" s="78"/>
      <c r="AH1256" s="78"/>
      <c r="AI1256" s="78"/>
      <c r="AJ1256" s="78"/>
      <c r="AK1256" s="78"/>
    </row>
    <row r="1257" spans="1:37">
      <c r="A1257" s="78"/>
      <c r="B1257" s="78"/>
      <c r="C1257" s="78"/>
      <c r="D1257" s="78"/>
      <c r="E1257" s="78"/>
      <c r="F1257" s="78"/>
      <c r="G1257" s="78"/>
      <c r="H1257" s="78"/>
      <c r="I1257" s="78"/>
      <c r="J1257" s="78"/>
      <c r="K1257" s="78"/>
      <c r="L1257" s="78"/>
      <c r="M1257" s="78"/>
      <c r="N1257" s="78"/>
      <c r="O1257" s="78"/>
      <c r="P1257" s="78"/>
      <c r="Q1257" s="78"/>
      <c r="R1257" s="78"/>
      <c r="S1257" s="78"/>
      <c r="T1257" s="78"/>
      <c r="U1257" s="78"/>
      <c r="V1257" s="78"/>
      <c r="W1257" s="78"/>
      <c r="X1257" s="78"/>
      <c r="Y1257" s="78"/>
      <c r="Z1257" s="78"/>
      <c r="AA1257" s="78"/>
      <c r="AB1257" s="78"/>
      <c r="AC1257" s="78"/>
      <c r="AD1257" s="78"/>
      <c r="AE1257" s="78"/>
      <c r="AF1257" s="78"/>
      <c r="AG1257" s="78"/>
      <c r="AH1257" s="78"/>
      <c r="AI1257" s="78"/>
      <c r="AJ1257" s="78"/>
      <c r="AK1257" s="78"/>
    </row>
    <row r="1258" spans="1:37">
      <c r="A1258" s="78"/>
      <c r="B1258" s="78"/>
      <c r="C1258" s="78"/>
      <c r="D1258" s="78"/>
      <c r="E1258" s="78"/>
      <c r="F1258" s="78"/>
      <c r="G1258" s="78"/>
      <c r="H1258" s="78"/>
      <c r="I1258" s="78"/>
      <c r="J1258" s="78"/>
      <c r="K1258" s="78"/>
      <c r="L1258" s="78"/>
      <c r="M1258" s="78"/>
      <c r="N1258" s="78"/>
      <c r="O1258" s="78"/>
      <c r="P1258" s="78"/>
      <c r="Q1258" s="78"/>
      <c r="R1258" s="78"/>
      <c r="S1258" s="78"/>
      <c r="T1258" s="78"/>
      <c r="U1258" s="78"/>
      <c r="V1258" s="78"/>
      <c r="W1258" s="78"/>
      <c r="X1258" s="78"/>
      <c r="Y1258" s="78"/>
      <c r="Z1258" s="78"/>
      <c r="AA1258" s="78"/>
      <c r="AB1258" s="78"/>
      <c r="AC1258" s="78"/>
      <c r="AD1258" s="78"/>
      <c r="AE1258" s="78"/>
      <c r="AF1258" s="78"/>
      <c r="AG1258" s="78"/>
      <c r="AH1258" s="78"/>
      <c r="AI1258" s="78"/>
      <c r="AJ1258" s="78"/>
      <c r="AK1258" s="78"/>
    </row>
    <row r="1259" spans="1:37">
      <c r="A1259" s="78"/>
      <c r="B1259" s="78"/>
      <c r="C1259" s="78"/>
      <c r="D1259" s="78"/>
      <c r="E1259" s="78"/>
      <c r="F1259" s="78"/>
      <c r="G1259" s="78"/>
      <c r="H1259" s="78"/>
      <c r="I1259" s="78"/>
      <c r="J1259" s="78"/>
      <c r="K1259" s="78"/>
      <c r="L1259" s="78"/>
      <c r="M1259" s="78"/>
      <c r="N1259" s="78"/>
      <c r="O1259" s="78"/>
      <c r="P1259" s="78"/>
      <c r="Q1259" s="78"/>
      <c r="R1259" s="78"/>
      <c r="S1259" s="78"/>
      <c r="T1259" s="78"/>
      <c r="U1259" s="78"/>
      <c r="V1259" s="78"/>
      <c r="W1259" s="78"/>
      <c r="X1259" s="78"/>
      <c r="Y1259" s="78"/>
      <c r="Z1259" s="78"/>
      <c r="AA1259" s="78"/>
      <c r="AB1259" s="78"/>
      <c r="AC1259" s="78"/>
      <c r="AD1259" s="78"/>
      <c r="AE1259" s="78"/>
      <c r="AF1259" s="78"/>
      <c r="AG1259" s="78"/>
      <c r="AH1259" s="78"/>
      <c r="AI1259" s="78"/>
      <c r="AJ1259" s="78"/>
      <c r="AK1259" s="78"/>
    </row>
    <row r="1260" spans="1:37">
      <c r="A1260" s="78"/>
      <c r="B1260" s="78"/>
      <c r="C1260" s="78"/>
      <c r="D1260" s="78"/>
      <c r="E1260" s="78"/>
      <c r="F1260" s="78"/>
      <c r="G1260" s="78"/>
      <c r="H1260" s="78"/>
      <c r="I1260" s="78"/>
      <c r="J1260" s="78"/>
      <c r="K1260" s="78"/>
      <c r="L1260" s="78"/>
      <c r="M1260" s="78"/>
      <c r="N1260" s="78"/>
      <c r="O1260" s="78"/>
      <c r="P1260" s="78"/>
      <c r="Q1260" s="78"/>
      <c r="R1260" s="78"/>
      <c r="S1260" s="78"/>
      <c r="T1260" s="78"/>
      <c r="U1260" s="78"/>
      <c r="V1260" s="78"/>
      <c r="W1260" s="78"/>
      <c r="X1260" s="78"/>
      <c r="Y1260" s="78"/>
      <c r="Z1260" s="78"/>
      <c r="AA1260" s="78"/>
      <c r="AB1260" s="78"/>
      <c r="AC1260" s="78"/>
      <c r="AD1260" s="78"/>
      <c r="AE1260" s="78"/>
      <c r="AF1260" s="78"/>
      <c r="AG1260" s="78"/>
      <c r="AH1260" s="78"/>
      <c r="AI1260" s="78"/>
      <c r="AJ1260" s="78"/>
      <c r="AK1260" s="78"/>
    </row>
    <row r="1261" spans="1:37">
      <c r="A1261" s="78"/>
      <c r="B1261" s="78"/>
      <c r="C1261" s="78"/>
      <c r="D1261" s="78"/>
      <c r="E1261" s="78"/>
      <c r="F1261" s="78"/>
      <c r="G1261" s="78"/>
      <c r="H1261" s="78"/>
      <c r="I1261" s="78"/>
      <c r="J1261" s="78"/>
      <c r="K1261" s="78"/>
      <c r="L1261" s="78"/>
      <c r="M1261" s="78"/>
      <c r="N1261" s="78"/>
      <c r="O1261" s="78"/>
      <c r="P1261" s="78"/>
      <c r="Q1261" s="78"/>
      <c r="R1261" s="78"/>
      <c r="S1261" s="78"/>
      <c r="T1261" s="78"/>
      <c r="U1261" s="78"/>
      <c r="V1261" s="78"/>
      <c r="W1261" s="78"/>
      <c r="X1261" s="78"/>
      <c r="Y1261" s="78"/>
      <c r="Z1261" s="78"/>
      <c r="AA1261" s="78"/>
      <c r="AB1261" s="78"/>
      <c r="AC1261" s="78"/>
      <c r="AD1261" s="78"/>
      <c r="AE1261" s="78"/>
      <c r="AF1261" s="78"/>
      <c r="AG1261" s="78"/>
      <c r="AH1261" s="78"/>
      <c r="AI1261" s="78"/>
      <c r="AJ1261" s="78"/>
      <c r="AK1261" s="78"/>
    </row>
    <row r="1262" spans="1:37">
      <c r="A1262" s="78"/>
      <c r="B1262" s="78"/>
      <c r="C1262" s="78"/>
      <c r="D1262" s="78"/>
      <c r="E1262" s="78"/>
      <c r="F1262" s="78"/>
      <c r="G1262" s="78"/>
      <c r="H1262" s="78"/>
      <c r="I1262" s="78"/>
      <c r="J1262" s="78"/>
      <c r="K1262" s="78"/>
      <c r="L1262" s="78"/>
      <c r="M1262" s="78"/>
      <c r="N1262" s="78"/>
      <c r="O1262" s="78"/>
      <c r="P1262" s="78"/>
      <c r="Q1262" s="78"/>
      <c r="R1262" s="78"/>
      <c r="S1262" s="78"/>
      <c r="T1262" s="78"/>
      <c r="U1262" s="78"/>
      <c r="V1262" s="78"/>
      <c r="W1262" s="78"/>
      <c r="X1262" s="78"/>
      <c r="Y1262" s="78"/>
      <c r="Z1262" s="78"/>
      <c r="AA1262" s="78"/>
      <c r="AB1262" s="78"/>
      <c r="AC1262" s="78"/>
      <c r="AD1262" s="78"/>
      <c r="AE1262" s="78"/>
      <c r="AF1262" s="78"/>
      <c r="AG1262" s="78"/>
      <c r="AH1262" s="78"/>
      <c r="AI1262" s="78"/>
      <c r="AJ1262" s="78"/>
      <c r="AK1262" s="78"/>
    </row>
    <row r="1263" spans="1:37">
      <c r="A1263" s="78"/>
      <c r="B1263" s="78"/>
      <c r="C1263" s="78"/>
      <c r="D1263" s="78"/>
      <c r="E1263" s="78"/>
      <c r="F1263" s="78"/>
      <c r="G1263" s="78"/>
      <c r="H1263" s="78"/>
      <c r="I1263" s="78"/>
      <c r="J1263" s="78"/>
      <c r="K1263" s="78"/>
      <c r="L1263" s="78"/>
      <c r="M1263" s="78"/>
      <c r="N1263" s="78"/>
      <c r="O1263" s="78"/>
      <c r="P1263" s="78"/>
      <c r="Q1263" s="78"/>
      <c r="R1263" s="78"/>
      <c r="S1263" s="78"/>
      <c r="T1263" s="78"/>
      <c r="U1263" s="78"/>
      <c r="V1263" s="78"/>
      <c r="W1263" s="78"/>
      <c r="X1263" s="78"/>
      <c r="Y1263" s="78"/>
      <c r="Z1263" s="78"/>
      <c r="AA1263" s="78"/>
      <c r="AB1263" s="78"/>
      <c r="AC1263" s="78"/>
      <c r="AD1263" s="78"/>
      <c r="AE1263" s="78"/>
      <c r="AF1263" s="78"/>
      <c r="AG1263" s="78"/>
      <c r="AH1263" s="78"/>
      <c r="AI1263" s="78"/>
      <c r="AJ1263" s="78"/>
      <c r="AK1263" s="78"/>
    </row>
    <row r="1264" spans="1:37">
      <c r="A1264" s="78"/>
      <c r="B1264" s="78"/>
      <c r="C1264" s="78"/>
      <c r="D1264" s="78"/>
      <c r="E1264" s="78"/>
      <c r="F1264" s="78"/>
      <c r="G1264" s="78"/>
      <c r="H1264" s="78"/>
      <c r="I1264" s="78"/>
      <c r="J1264" s="78"/>
      <c r="K1264" s="78"/>
      <c r="L1264" s="78"/>
      <c r="M1264" s="78"/>
      <c r="N1264" s="78"/>
      <c r="O1264" s="78"/>
      <c r="P1264" s="78"/>
      <c r="Q1264" s="78"/>
      <c r="R1264" s="78"/>
      <c r="S1264" s="78"/>
      <c r="T1264" s="78"/>
      <c r="U1264" s="78"/>
      <c r="V1264" s="78"/>
      <c r="W1264" s="78"/>
      <c r="X1264" s="78"/>
      <c r="Y1264" s="78"/>
      <c r="Z1264" s="78"/>
      <c r="AA1264" s="78"/>
      <c r="AB1264" s="78"/>
      <c r="AC1264" s="78"/>
      <c r="AD1264" s="78"/>
      <c r="AE1264" s="78"/>
      <c r="AF1264" s="78"/>
      <c r="AG1264" s="78"/>
      <c r="AH1264" s="78"/>
      <c r="AI1264" s="78"/>
      <c r="AJ1264" s="78"/>
      <c r="AK1264" s="78"/>
    </row>
    <row r="1265" spans="1:37">
      <c r="A1265" s="78"/>
      <c r="B1265" s="78"/>
      <c r="C1265" s="78"/>
      <c r="D1265" s="78"/>
      <c r="E1265" s="78"/>
      <c r="F1265" s="78"/>
      <c r="G1265" s="78"/>
      <c r="H1265" s="78"/>
      <c r="I1265" s="78"/>
      <c r="J1265" s="78"/>
      <c r="K1265" s="78"/>
      <c r="L1265" s="78"/>
      <c r="M1265" s="78"/>
      <c r="N1265" s="78"/>
      <c r="O1265" s="78"/>
      <c r="P1265" s="78"/>
      <c r="Q1265" s="78"/>
      <c r="R1265" s="78"/>
      <c r="S1265" s="78"/>
      <c r="T1265" s="78"/>
      <c r="U1265" s="78"/>
      <c r="V1265" s="78"/>
      <c r="W1265" s="78"/>
      <c r="X1265" s="78"/>
      <c r="Y1265" s="78"/>
      <c r="Z1265" s="78"/>
      <c r="AA1265" s="78"/>
      <c r="AB1265" s="78"/>
      <c r="AC1265" s="78"/>
      <c r="AD1265" s="78"/>
      <c r="AE1265" s="78"/>
      <c r="AF1265" s="78"/>
      <c r="AG1265" s="78"/>
      <c r="AH1265" s="78"/>
      <c r="AI1265" s="78"/>
      <c r="AJ1265" s="78"/>
      <c r="AK1265" s="78"/>
    </row>
    <row r="1266" spans="1:37">
      <c r="A1266" s="78"/>
      <c r="B1266" s="78"/>
      <c r="C1266" s="78"/>
      <c r="D1266" s="78"/>
      <c r="E1266" s="78"/>
      <c r="F1266" s="78"/>
      <c r="G1266" s="78"/>
      <c r="H1266" s="78"/>
      <c r="I1266" s="78"/>
      <c r="J1266" s="78"/>
      <c r="K1266" s="78"/>
      <c r="L1266" s="78"/>
      <c r="M1266" s="78"/>
      <c r="N1266" s="78"/>
      <c r="O1266" s="78"/>
      <c r="P1266" s="78"/>
      <c r="Q1266" s="78"/>
      <c r="R1266" s="78"/>
      <c r="S1266" s="78"/>
      <c r="T1266" s="78"/>
      <c r="U1266" s="78"/>
      <c r="V1266" s="78"/>
      <c r="W1266" s="78"/>
      <c r="X1266" s="78"/>
      <c r="Y1266" s="78"/>
      <c r="Z1266" s="78"/>
      <c r="AA1266" s="78"/>
      <c r="AB1266" s="78"/>
      <c r="AC1266" s="78"/>
      <c r="AD1266" s="78"/>
      <c r="AE1266" s="78"/>
      <c r="AF1266" s="78"/>
      <c r="AG1266" s="78"/>
      <c r="AH1266" s="78"/>
      <c r="AI1266" s="78"/>
      <c r="AJ1266" s="78"/>
      <c r="AK1266" s="78"/>
    </row>
    <row r="1267" spans="1:37">
      <c r="A1267" s="78"/>
      <c r="B1267" s="78"/>
      <c r="C1267" s="78"/>
      <c r="D1267" s="78"/>
      <c r="E1267" s="78"/>
      <c r="F1267" s="78"/>
      <c r="G1267" s="78"/>
      <c r="H1267" s="78"/>
      <c r="I1267" s="78"/>
      <c r="J1267" s="78"/>
      <c r="K1267" s="78"/>
      <c r="L1267" s="78"/>
      <c r="M1267" s="78"/>
      <c r="N1267" s="78"/>
      <c r="O1267" s="78"/>
      <c r="P1267" s="78"/>
      <c r="Q1267" s="78"/>
      <c r="R1267" s="78"/>
      <c r="S1267" s="78"/>
      <c r="T1267" s="78"/>
      <c r="U1267" s="78"/>
      <c r="V1267" s="78"/>
      <c r="W1267" s="78"/>
      <c r="X1267" s="78"/>
      <c r="Y1267" s="78"/>
      <c r="Z1267" s="78"/>
      <c r="AA1267" s="78"/>
      <c r="AB1267" s="78"/>
      <c r="AC1267" s="78"/>
      <c r="AD1267" s="78"/>
      <c r="AE1267" s="78"/>
      <c r="AF1267" s="78"/>
      <c r="AG1267" s="78"/>
      <c r="AH1267" s="78"/>
      <c r="AI1267" s="78"/>
      <c r="AJ1267" s="78"/>
      <c r="AK1267" s="78"/>
    </row>
    <row r="1268" spans="1:37">
      <c r="A1268" s="78"/>
      <c r="B1268" s="78"/>
      <c r="C1268" s="78"/>
      <c r="D1268" s="78"/>
      <c r="E1268" s="78"/>
      <c r="F1268" s="78"/>
      <c r="G1268" s="78"/>
      <c r="H1268" s="78"/>
      <c r="I1268" s="78"/>
      <c r="J1268" s="78"/>
      <c r="K1268" s="78"/>
      <c r="L1268" s="78"/>
      <c r="M1268" s="78"/>
      <c r="N1268" s="78"/>
      <c r="O1268" s="78"/>
      <c r="P1268" s="78"/>
      <c r="Q1268" s="78"/>
      <c r="R1268" s="78"/>
      <c r="S1268" s="78"/>
      <c r="T1268" s="78"/>
      <c r="U1268" s="78"/>
      <c r="V1268" s="78"/>
      <c r="W1268" s="78"/>
      <c r="X1268" s="78"/>
      <c r="Y1268" s="78"/>
      <c r="Z1268" s="78"/>
      <c r="AA1268" s="78"/>
      <c r="AB1268" s="78"/>
      <c r="AC1268" s="78"/>
      <c r="AD1268" s="78"/>
      <c r="AE1268" s="78"/>
      <c r="AF1268" s="78"/>
      <c r="AG1268" s="78"/>
      <c r="AH1268" s="78"/>
      <c r="AI1268" s="78"/>
      <c r="AJ1268" s="78"/>
      <c r="AK1268" s="78"/>
    </row>
    <row r="1269" spans="1:37">
      <c r="A1269" s="78"/>
      <c r="B1269" s="78"/>
      <c r="C1269" s="78"/>
      <c r="D1269" s="78"/>
      <c r="E1269" s="78"/>
      <c r="F1269" s="78"/>
      <c r="G1269" s="78"/>
      <c r="H1269" s="78"/>
      <c r="I1269" s="78"/>
      <c r="J1269" s="78"/>
      <c r="K1269" s="78"/>
      <c r="L1269" s="78"/>
      <c r="M1269" s="78"/>
      <c r="N1269" s="78"/>
      <c r="O1269" s="78"/>
      <c r="P1269" s="78"/>
      <c r="Q1269" s="78"/>
      <c r="R1269" s="78"/>
      <c r="S1269" s="78"/>
      <c r="T1269" s="78"/>
      <c r="U1269" s="78"/>
      <c r="V1269" s="78"/>
      <c r="W1269" s="78"/>
      <c r="X1269" s="78"/>
      <c r="Y1269" s="78"/>
      <c r="Z1269" s="78"/>
      <c r="AA1269" s="78"/>
      <c r="AB1269" s="78"/>
      <c r="AC1269" s="78"/>
      <c r="AD1269" s="78"/>
      <c r="AE1269" s="78"/>
      <c r="AF1269" s="78"/>
      <c r="AG1269" s="78"/>
      <c r="AH1269" s="78"/>
      <c r="AI1269" s="78"/>
      <c r="AJ1269" s="78"/>
      <c r="AK1269" s="78"/>
    </row>
    <row r="1270" spans="1:37">
      <c r="A1270" s="78"/>
      <c r="B1270" s="78"/>
      <c r="C1270" s="78"/>
      <c r="D1270" s="78"/>
      <c r="E1270" s="78"/>
      <c r="F1270" s="78"/>
      <c r="G1270" s="78"/>
      <c r="H1270" s="78"/>
      <c r="I1270" s="78"/>
      <c r="J1270" s="78"/>
      <c r="K1270" s="78"/>
      <c r="L1270" s="78"/>
      <c r="M1270" s="78"/>
      <c r="N1270" s="78"/>
      <c r="O1270" s="78"/>
      <c r="P1270" s="78"/>
      <c r="Q1270" s="78"/>
      <c r="R1270" s="78"/>
      <c r="S1270" s="78"/>
      <c r="T1270" s="78"/>
      <c r="U1270" s="78"/>
      <c r="V1270" s="78"/>
      <c r="W1270" s="78"/>
      <c r="X1270" s="78"/>
      <c r="Y1270" s="78"/>
      <c r="Z1270" s="78"/>
      <c r="AA1270" s="78"/>
      <c r="AB1270" s="78"/>
      <c r="AC1270" s="78"/>
      <c r="AD1270" s="78"/>
      <c r="AE1270" s="78"/>
      <c r="AF1270" s="78"/>
      <c r="AG1270" s="78"/>
      <c r="AH1270" s="78"/>
      <c r="AI1270" s="78"/>
      <c r="AJ1270" s="78"/>
      <c r="AK1270" s="78"/>
    </row>
    <row r="1271" spans="1:37">
      <c r="A1271" s="78"/>
      <c r="B1271" s="78"/>
      <c r="C1271" s="78"/>
      <c r="D1271" s="78"/>
      <c r="E1271" s="78"/>
      <c r="F1271" s="78"/>
      <c r="G1271" s="78"/>
      <c r="H1271" s="78"/>
      <c r="I1271" s="78"/>
      <c r="J1271" s="78"/>
      <c r="K1271" s="78"/>
      <c r="L1271" s="78"/>
      <c r="M1271" s="78"/>
      <c r="N1271" s="78"/>
      <c r="O1271" s="78"/>
      <c r="P1271" s="78"/>
      <c r="Q1271" s="78"/>
      <c r="R1271" s="78"/>
      <c r="S1271" s="78"/>
      <c r="T1271" s="78"/>
      <c r="U1271" s="78"/>
      <c r="V1271" s="78"/>
      <c r="W1271" s="78"/>
      <c r="X1271" s="78"/>
      <c r="Y1271" s="78"/>
      <c r="Z1271" s="78"/>
      <c r="AA1271" s="78"/>
      <c r="AB1271" s="78"/>
      <c r="AC1271" s="78"/>
      <c r="AD1271" s="78"/>
      <c r="AE1271" s="78"/>
      <c r="AF1271" s="78"/>
      <c r="AG1271" s="78"/>
      <c r="AH1271" s="78"/>
      <c r="AI1271" s="78"/>
      <c r="AJ1271" s="78"/>
      <c r="AK1271" s="78"/>
    </row>
    <row r="1272" spans="1:37">
      <c r="A1272" s="78"/>
      <c r="B1272" s="78"/>
      <c r="C1272" s="78"/>
      <c r="D1272" s="78"/>
      <c r="E1272" s="78"/>
      <c r="F1272" s="78"/>
      <c r="G1272" s="78"/>
      <c r="H1272" s="78"/>
      <c r="I1272" s="78"/>
      <c r="J1272" s="78"/>
      <c r="K1272" s="78"/>
      <c r="L1272" s="78"/>
      <c r="M1272" s="78"/>
      <c r="N1272" s="78"/>
      <c r="O1272" s="78"/>
      <c r="P1272" s="78"/>
      <c r="Q1272" s="78"/>
      <c r="R1272" s="78"/>
      <c r="S1272" s="78"/>
      <c r="T1272" s="78"/>
      <c r="U1272" s="78"/>
      <c r="V1272" s="78"/>
      <c r="W1272" s="78"/>
      <c r="X1272" s="78"/>
      <c r="Y1272" s="78"/>
      <c r="Z1272" s="78"/>
      <c r="AA1272" s="78"/>
      <c r="AB1272" s="78"/>
      <c r="AC1272" s="78"/>
      <c r="AD1272" s="78"/>
      <c r="AE1272" s="78"/>
      <c r="AF1272" s="78"/>
      <c r="AG1272" s="78"/>
      <c r="AH1272" s="78"/>
      <c r="AI1272" s="78"/>
      <c r="AJ1272" s="78"/>
      <c r="AK1272" s="78"/>
    </row>
    <row r="1273" spans="1:37">
      <c r="A1273" s="78"/>
      <c r="B1273" s="78"/>
      <c r="C1273" s="78"/>
      <c r="D1273" s="78"/>
      <c r="E1273" s="78"/>
      <c r="F1273" s="78"/>
      <c r="G1273" s="78"/>
      <c r="H1273" s="78"/>
      <c r="I1273" s="78"/>
      <c r="J1273" s="78"/>
      <c r="K1273" s="78"/>
      <c r="L1273" s="78"/>
      <c r="M1273" s="78"/>
      <c r="N1273" s="78"/>
      <c r="O1273" s="78"/>
      <c r="P1273" s="78"/>
      <c r="Q1273" s="78"/>
      <c r="R1273" s="78"/>
      <c r="S1273" s="78"/>
      <c r="T1273" s="78"/>
      <c r="U1273" s="78"/>
      <c r="V1273" s="78"/>
      <c r="W1273" s="78"/>
      <c r="X1273" s="78"/>
      <c r="Y1273" s="78"/>
      <c r="Z1273" s="78"/>
      <c r="AA1273" s="78"/>
      <c r="AB1273" s="78"/>
      <c r="AC1273" s="78"/>
      <c r="AD1273" s="78"/>
      <c r="AE1273" s="78"/>
      <c r="AF1273" s="78"/>
      <c r="AG1273" s="78"/>
      <c r="AH1273" s="78"/>
      <c r="AI1273" s="78"/>
      <c r="AJ1273" s="78"/>
      <c r="AK1273" s="78"/>
    </row>
    <row r="1274" spans="1:37">
      <c r="A1274" s="78"/>
      <c r="B1274" s="78"/>
      <c r="C1274" s="78"/>
      <c r="D1274" s="78"/>
      <c r="E1274" s="78"/>
      <c r="F1274" s="78"/>
      <c r="G1274" s="78"/>
      <c r="H1274" s="78"/>
      <c r="I1274" s="78"/>
      <c r="J1274" s="78"/>
      <c r="K1274" s="78"/>
      <c r="L1274" s="78"/>
      <c r="M1274" s="78"/>
      <c r="N1274" s="78"/>
      <c r="O1274" s="78"/>
      <c r="P1274" s="78"/>
      <c r="Q1274" s="78"/>
      <c r="R1274" s="78"/>
      <c r="S1274" s="78"/>
      <c r="T1274" s="78"/>
      <c r="U1274" s="78"/>
      <c r="V1274" s="78"/>
      <c r="W1274" s="78"/>
      <c r="X1274" s="78"/>
      <c r="Y1274" s="78"/>
      <c r="Z1274" s="78"/>
      <c r="AA1274" s="78"/>
      <c r="AB1274" s="78"/>
      <c r="AC1274" s="78"/>
      <c r="AD1274" s="78"/>
      <c r="AE1274" s="78"/>
      <c r="AF1274" s="78"/>
      <c r="AG1274" s="78"/>
      <c r="AH1274" s="78"/>
      <c r="AI1274" s="78"/>
      <c r="AJ1274" s="78"/>
      <c r="AK1274" s="78"/>
    </row>
    <row r="1275" spans="1:37">
      <c r="A1275" s="78"/>
      <c r="B1275" s="78"/>
      <c r="C1275" s="78"/>
      <c r="D1275" s="78"/>
      <c r="E1275" s="78"/>
      <c r="F1275" s="78"/>
      <c r="G1275" s="78"/>
      <c r="H1275" s="78"/>
      <c r="I1275" s="78"/>
      <c r="J1275" s="78"/>
      <c r="K1275" s="78"/>
      <c r="L1275" s="78"/>
      <c r="M1275" s="78"/>
      <c r="N1275" s="78"/>
      <c r="O1275" s="78"/>
      <c r="P1275" s="78"/>
      <c r="Q1275" s="78"/>
      <c r="R1275" s="78"/>
      <c r="S1275" s="78"/>
      <c r="T1275" s="78"/>
      <c r="U1275" s="78"/>
      <c r="V1275" s="78"/>
      <c r="W1275" s="78"/>
      <c r="X1275" s="78"/>
      <c r="Y1275" s="78"/>
      <c r="Z1275" s="78"/>
      <c r="AA1275" s="78"/>
      <c r="AB1275" s="78"/>
      <c r="AC1275" s="78"/>
      <c r="AD1275" s="78"/>
      <c r="AE1275" s="78"/>
      <c r="AF1275" s="78"/>
      <c r="AG1275" s="78"/>
      <c r="AH1275" s="78"/>
      <c r="AI1275" s="78"/>
      <c r="AJ1275" s="78"/>
      <c r="AK1275" s="78"/>
    </row>
    <row r="1276" spans="1:37">
      <c r="A1276" s="78"/>
      <c r="B1276" s="78"/>
      <c r="C1276" s="78"/>
      <c r="D1276" s="78"/>
      <c r="E1276" s="78"/>
      <c r="F1276" s="78"/>
      <c r="G1276" s="78"/>
      <c r="H1276" s="78"/>
      <c r="I1276" s="78"/>
      <c r="J1276" s="78"/>
      <c r="K1276" s="78"/>
      <c r="L1276" s="78"/>
      <c r="M1276" s="78"/>
      <c r="N1276" s="78"/>
      <c r="O1276" s="78"/>
      <c r="P1276" s="78"/>
      <c r="Q1276" s="78"/>
      <c r="R1276" s="78"/>
      <c r="S1276" s="78"/>
      <c r="T1276" s="78"/>
      <c r="U1276" s="78"/>
      <c r="V1276" s="78"/>
      <c r="W1276" s="78"/>
      <c r="X1276" s="78"/>
      <c r="Y1276" s="78"/>
      <c r="Z1276" s="78"/>
      <c r="AA1276" s="78"/>
      <c r="AB1276" s="78"/>
      <c r="AC1276" s="78"/>
      <c r="AD1276" s="78"/>
      <c r="AE1276" s="78"/>
      <c r="AF1276" s="78"/>
      <c r="AG1276" s="78"/>
      <c r="AH1276" s="78"/>
      <c r="AI1276" s="78"/>
      <c r="AJ1276" s="78"/>
      <c r="AK1276" s="78"/>
    </row>
    <row r="1277" spans="1:37">
      <c r="A1277" s="78"/>
      <c r="B1277" s="78"/>
      <c r="C1277" s="78"/>
      <c r="D1277" s="78"/>
      <c r="E1277" s="78"/>
      <c r="F1277" s="78"/>
      <c r="G1277" s="78"/>
      <c r="H1277" s="78"/>
      <c r="I1277" s="78"/>
      <c r="J1277" s="78"/>
      <c r="K1277" s="78"/>
      <c r="L1277" s="78"/>
      <c r="M1277" s="78"/>
      <c r="N1277" s="78"/>
      <c r="O1277" s="78"/>
      <c r="P1277" s="78"/>
      <c r="Q1277" s="78"/>
      <c r="R1277" s="78"/>
      <c r="S1277" s="78"/>
      <c r="T1277" s="78"/>
      <c r="U1277" s="78"/>
      <c r="V1277" s="78"/>
      <c r="W1277" s="78"/>
      <c r="X1277" s="78"/>
      <c r="Y1277" s="78"/>
      <c r="Z1277" s="78"/>
      <c r="AA1277" s="78"/>
      <c r="AB1277" s="78"/>
      <c r="AC1277" s="78"/>
      <c r="AD1277" s="78"/>
      <c r="AE1277" s="78"/>
      <c r="AF1277" s="78"/>
      <c r="AG1277" s="78"/>
      <c r="AH1277" s="78"/>
      <c r="AI1277" s="78"/>
      <c r="AJ1277" s="78"/>
      <c r="AK1277" s="78"/>
    </row>
    <row r="1278" spans="1:37">
      <c r="A1278" s="78"/>
      <c r="B1278" s="78"/>
      <c r="C1278" s="78"/>
      <c r="D1278" s="78"/>
      <c r="E1278" s="78"/>
      <c r="F1278" s="78"/>
      <c r="G1278" s="78"/>
      <c r="H1278" s="78"/>
      <c r="I1278" s="78"/>
      <c r="J1278" s="78"/>
      <c r="K1278" s="78"/>
      <c r="L1278" s="78"/>
      <c r="M1278" s="78"/>
      <c r="N1278" s="78"/>
      <c r="O1278" s="78"/>
      <c r="P1278" s="78"/>
      <c r="Q1278" s="78"/>
      <c r="R1278" s="78"/>
      <c r="S1278" s="78"/>
      <c r="T1278" s="78"/>
      <c r="U1278" s="78"/>
      <c r="V1278" s="78"/>
      <c r="W1278" s="78"/>
      <c r="X1278" s="78"/>
      <c r="Y1278" s="78"/>
      <c r="Z1278" s="78"/>
      <c r="AA1278" s="78"/>
      <c r="AB1278" s="78"/>
      <c r="AC1278" s="78"/>
      <c r="AD1278" s="78"/>
      <c r="AE1278" s="78"/>
      <c r="AF1278" s="78"/>
      <c r="AG1278" s="78"/>
      <c r="AH1278" s="78"/>
      <c r="AI1278" s="78"/>
      <c r="AJ1278" s="78"/>
      <c r="AK1278" s="78"/>
    </row>
    <row r="1279" spans="1:37">
      <c r="A1279" s="78"/>
      <c r="B1279" s="78"/>
      <c r="C1279" s="78"/>
      <c r="D1279" s="78"/>
      <c r="E1279" s="78"/>
      <c r="F1279" s="78"/>
      <c r="G1279" s="78"/>
      <c r="H1279" s="78"/>
      <c r="I1279" s="78"/>
      <c r="J1279" s="78"/>
      <c r="K1279" s="78"/>
      <c r="L1279" s="78"/>
      <c r="M1279" s="78"/>
      <c r="N1279" s="78"/>
      <c r="O1279" s="78"/>
      <c r="P1279" s="78"/>
      <c r="Q1279" s="78"/>
      <c r="R1279" s="78"/>
      <c r="S1279" s="78"/>
      <c r="T1279" s="78"/>
      <c r="U1279" s="78"/>
      <c r="V1279" s="78"/>
      <c r="W1279" s="78"/>
      <c r="X1279" s="78"/>
      <c r="Y1279" s="78"/>
      <c r="Z1279" s="78"/>
      <c r="AA1279" s="78"/>
      <c r="AB1279" s="78"/>
      <c r="AC1279" s="78"/>
      <c r="AD1279" s="78"/>
      <c r="AE1279" s="78"/>
      <c r="AF1279" s="78"/>
      <c r="AG1279" s="78"/>
      <c r="AH1279" s="78"/>
      <c r="AI1279" s="78"/>
      <c r="AJ1279" s="78"/>
      <c r="AK1279" s="78"/>
    </row>
    <row r="1280" spans="1:37">
      <c r="A1280" s="78"/>
      <c r="B1280" s="78"/>
      <c r="C1280" s="78"/>
      <c r="D1280" s="78"/>
      <c r="E1280" s="78"/>
      <c r="F1280" s="78"/>
      <c r="G1280" s="78"/>
      <c r="H1280" s="78"/>
      <c r="I1280" s="78"/>
      <c r="J1280" s="78"/>
      <c r="K1280" s="78"/>
      <c r="L1280" s="78"/>
      <c r="M1280" s="78"/>
      <c r="N1280" s="78"/>
      <c r="O1280" s="78"/>
      <c r="P1280" s="78"/>
      <c r="Q1280" s="78"/>
      <c r="R1280" s="78"/>
      <c r="S1280" s="78"/>
      <c r="T1280" s="78"/>
      <c r="U1280" s="78"/>
      <c r="V1280" s="78"/>
      <c r="W1280" s="78"/>
      <c r="X1280" s="78"/>
      <c r="Y1280" s="78"/>
      <c r="Z1280" s="78"/>
      <c r="AA1280" s="78"/>
      <c r="AB1280" s="78"/>
      <c r="AC1280" s="78"/>
      <c r="AD1280" s="78"/>
      <c r="AE1280" s="78"/>
      <c r="AF1280" s="78"/>
      <c r="AG1280" s="78"/>
      <c r="AH1280" s="78"/>
      <c r="AI1280" s="78"/>
      <c r="AJ1280" s="78"/>
      <c r="AK1280" s="78"/>
    </row>
    <row r="1281" spans="1:37">
      <c r="A1281" s="78"/>
      <c r="B1281" s="78"/>
      <c r="C1281" s="78"/>
      <c r="D1281" s="78"/>
      <c r="E1281" s="78"/>
      <c r="F1281" s="78"/>
      <c r="G1281" s="78"/>
      <c r="H1281" s="78"/>
      <c r="I1281" s="78"/>
      <c r="J1281" s="78"/>
      <c r="K1281" s="78"/>
      <c r="L1281" s="78"/>
      <c r="M1281" s="78"/>
      <c r="N1281" s="78"/>
      <c r="O1281" s="78"/>
      <c r="P1281" s="78"/>
      <c r="Q1281" s="78"/>
      <c r="R1281" s="78"/>
      <c r="S1281" s="78"/>
      <c r="T1281" s="78"/>
      <c r="U1281" s="78"/>
      <c r="V1281" s="78"/>
      <c r="W1281" s="78"/>
      <c r="X1281" s="78"/>
      <c r="Y1281" s="78"/>
      <c r="Z1281" s="78"/>
      <c r="AA1281" s="78"/>
      <c r="AB1281" s="78"/>
      <c r="AC1281" s="78"/>
      <c r="AD1281" s="78"/>
      <c r="AE1281" s="78"/>
      <c r="AF1281" s="78"/>
      <c r="AG1281" s="78"/>
      <c r="AH1281" s="78"/>
      <c r="AI1281" s="78"/>
      <c r="AJ1281" s="78"/>
      <c r="AK1281" s="78"/>
    </row>
    <row r="1282" spans="1:37">
      <c r="A1282" s="78"/>
      <c r="B1282" s="78"/>
      <c r="C1282" s="78"/>
      <c r="D1282" s="78"/>
      <c r="E1282" s="78"/>
      <c r="F1282" s="78"/>
      <c r="G1282" s="78"/>
      <c r="H1282" s="78"/>
      <c r="I1282" s="78"/>
      <c r="J1282" s="78"/>
      <c r="K1282" s="78"/>
      <c r="L1282" s="78"/>
      <c r="M1282" s="78"/>
      <c r="N1282" s="78"/>
      <c r="O1282" s="78"/>
      <c r="P1282" s="78"/>
      <c r="Q1282" s="78"/>
      <c r="R1282" s="78"/>
      <c r="S1282" s="78"/>
      <c r="T1282" s="78"/>
      <c r="U1282" s="78"/>
      <c r="V1282" s="78"/>
      <c r="W1282" s="78"/>
      <c r="X1282" s="78"/>
      <c r="Y1282" s="78"/>
      <c r="Z1282" s="78"/>
      <c r="AA1282" s="78"/>
      <c r="AB1282" s="78"/>
      <c r="AC1282" s="78"/>
      <c r="AD1282" s="78"/>
      <c r="AE1282" s="78"/>
      <c r="AF1282" s="78"/>
      <c r="AG1282" s="78"/>
      <c r="AH1282" s="78"/>
      <c r="AI1282" s="78"/>
      <c r="AJ1282" s="78"/>
      <c r="AK1282" s="78"/>
    </row>
    <row r="1283" spans="1:37">
      <c r="A1283" s="78"/>
      <c r="B1283" s="78"/>
      <c r="C1283" s="78"/>
      <c r="D1283" s="78"/>
      <c r="E1283" s="78"/>
      <c r="F1283" s="78"/>
      <c r="G1283" s="78"/>
      <c r="H1283" s="78"/>
      <c r="I1283" s="78"/>
      <c r="J1283" s="78"/>
      <c r="K1283" s="78"/>
      <c r="L1283" s="78"/>
      <c r="M1283" s="78"/>
      <c r="N1283" s="78"/>
      <c r="O1283" s="78"/>
      <c r="P1283" s="78"/>
      <c r="Q1283" s="78"/>
      <c r="R1283" s="78"/>
      <c r="S1283" s="78"/>
      <c r="T1283" s="78"/>
      <c r="U1283" s="78"/>
      <c r="V1283" s="78"/>
      <c r="W1283" s="78"/>
      <c r="X1283" s="78"/>
      <c r="Y1283" s="78"/>
      <c r="Z1283" s="78"/>
      <c r="AA1283" s="78"/>
      <c r="AB1283" s="78"/>
      <c r="AC1283" s="78"/>
      <c r="AD1283" s="78"/>
      <c r="AE1283" s="78"/>
      <c r="AF1283" s="78"/>
      <c r="AG1283" s="78"/>
      <c r="AH1283" s="78"/>
      <c r="AI1283" s="78"/>
      <c r="AJ1283" s="78"/>
      <c r="AK1283" s="78"/>
    </row>
    <row r="1284" spans="1:37">
      <c r="A1284" s="78"/>
      <c r="B1284" s="78"/>
      <c r="C1284" s="78"/>
      <c r="D1284" s="78"/>
      <c r="E1284" s="78"/>
      <c r="F1284" s="78"/>
      <c r="G1284" s="78"/>
      <c r="H1284" s="78"/>
      <c r="I1284" s="78"/>
      <c r="J1284" s="78"/>
      <c r="K1284" s="78"/>
      <c r="L1284" s="78"/>
      <c r="M1284" s="78"/>
      <c r="N1284" s="78"/>
      <c r="O1284" s="78"/>
      <c r="P1284" s="78"/>
      <c r="Q1284" s="78"/>
      <c r="R1284" s="78"/>
      <c r="S1284" s="78"/>
      <c r="T1284" s="78"/>
      <c r="U1284" s="78"/>
      <c r="V1284" s="78"/>
      <c r="W1284" s="78"/>
      <c r="X1284" s="78"/>
      <c r="Y1284" s="78"/>
      <c r="Z1284" s="78"/>
      <c r="AA1284" s="78"/>
      <c r="AB1284" s="78"/>
      <c r="AC1284" s="78"/>
      <c r="AD1284" s="78"/>
      <c r="AE1284" s="78"/>
      <c r="AF1284" s="78"/>
      <c r="AG1284" s="78"/>
      <c r="AH1284" s="78"/>
      <c r="AI1284" s="78"/>
      <c r="AJ1284" s="78"/>
      <c r="AK1284" s="78"/>
    </row>
    <row r="1285" spans="1:37">
      <c r="A1285" s="78"/>
      <c r="B1285" s="78"/>
      <c r="C1285" s="78"/>
      <c r="D1285" s="78"/>
      <c r="E1285" s="78"/>
      <c r="F1285" s="78"/>
      <c r="G1285" s="78"/>
      <c r="H1285" s="78"/>
      <c r="I1285" s="78"/>
      <c r="J1285" s="78"/>
      <c r="K1285" s="78"/>
      <c r="L1285" s="78"/>
      <c r="M1285" s="78"/>
      <c r="N1285" s="78"/>
      <c r="O1285" s="78"/>
      <c r="P1285" s="78"/>
      <c r="Q1285" s="78"/>
      <c r="R1285" s="78"/>
      <c r="S1285" s="78"/>
      <c r="T1285" s="78"/>
      <c r="U1285" s="78"/>
      <c r="V1285" s="78"/>
      <c r="W1285" s="78"/>
      <c r="X1285" s="78"/>
      <c r="Y1285" s="78"/>
      <c r="Z1285" s="78"/>
      <c r="AA1285" s="78"/>
      <c r="AB1285" s="78"/>
      <c r="AC1285" s="78"/>
      <c r="AD1285" s="78"/>
      <c r="AE1285" s="78"/>
      <c r="AF1285" s="78"/>
      <c r="AG1285" s="78"/>
      <c r="AH1285" s="78"/>
      <c r="AI1285" s="78"/>
      <c r="AJ1285" s="78"/>
      <c r="AK1285" s="78"/>
    </row>
    <row r="1286" spans="1:37">
      <c r="A1286" s="78"/>
      <c r="B1286" s="78"/>
      <c r="C1286" s="78"/>
      <c r="D1286" s="78"/>
      <c r="E1286" s="78"/>
      <c r="F1286" s="78"/>
      <c r="G1286" s="78"/>
      <c r="H1286" s="78"/>
      <c r="I1286" s="78"/>
      <c r="J1286" s="78"/>
      <c r="K1286" s="78"/>
      <c r="L1286" s="78"/>
      <c r="M1286" s="78"/>
      <c r="N1286" s="78"/>
      <c r="O1286" s="78"/>
      <c r="P1286" s="78"/>
      <c r="Q1286" s="78"/>
      <c r="R1286" s="78"/>
      <c r="S1286" s="78"/>
      <c r="T1286" s="78"/>
      <c r="U1286" s="78"/>
      <c r="V1286" s="78"/>
      <c r="W1286" s="78"/>
      <c r="X1286" s="78"/>
      <c r="Y1286" s="78"/>
      <c r="Z1286" s="78"/>
      <c r="AA1286" s="78"/>
      <c r="AB1286" s="78"/>
      <c r="AC1286" s="78"/>
      <c r="AD1286" s="78"/>
      <c r="AE1286" s="78"/>
      <c r="AF1286" s="78"/>
      <c r="AG1286" s="78"/>
      <c r="AH1286" s="78"/>
      <c r="AI1286" s="78"/>
      <c r="AJ1286" s="78"/>
      <c r="AK1286" s="78"/>
    </row>
    <row r="1287" spans="1:37">
      <c r="A1287" s="78"/>
      <c r="B1287" s="78"/>
      <c r="C1287" s="78"/>
      <c r="D1287" s="78"/>
      <c r="E1287" s="78"/>
      <c r="F1287" s="78"/>
      <c r="G1287" s="78"/>
      <c r="H1287" s="78"/>
      <c r="I1287" s="78"/>
      <c r="J1287" s="78"/>
      <c r="K1287" s="78"/>
      <c r="L1287" s="78"/>
      <c r="M1287" s="78"/>
      <c r="N1287" s="78"/>
      <c r="O1287" s="78"/>
      <c r="P1287" s="78"/>
      <c r="Q1287" s="78"/>
      <c r="R1287" s="78"/>
      <c r="S1287" s="78"/>
      <c r="T1287" s="78"/>
      <c r="U1287" s="78"/>
      <c r="V1287" s="78"/>
      <c r="W1287" s="78"/>
      <c r="X1287" s="78"/>
      <c r="Y1287" s="78"/>
      <c r="Z1287" s="78"/>
      <c r="AA1287" s="78"/>
      <c r="AB1287" s="78"/>
      <c r="AC1287" s="78"/>
      <c r="AD1287" s="78"/>
      <c r="AE1287" s="78"/>
      <c r="AF1287" s="78"/>
      <c r="AG1287" s="78"/>
      <c r="AH1287" s="78"/>
      <c r="AI1287" s="78"/>
      <c r="AJ1287" s="78"/>
      <c r="AK1287" s="78"/>
    </row>
    <row r="1288" spans="1:37">
      <c r="A1288" s="78"/>
      <c r="B1288" s="78"/>
      <c r="C1288" s="78"/>
      <c r="D1288" s="78"/>
      <c r="E1288" s="78"/>
      <c r="F1288" s="78"/>
      <c r="G1288" s="78"/>
      <c r="H1288" s="78"/>
      <c r="I1288" s="78"/>
      <c r="J1288" s="78"/>
      <c r="K1288" s="78"/>
      <c r="L1288" s="78"/>
      <c r="M1288" s="78"/>
      <c r="N1288" s="78"/>
      <c r="O1288" s="78"/>
      <c r="P1288" s="78"/>
      <c r="Q1288" s="78"/>
      <c r="R1288" s="78"/>
      <c r="S1288" s="78"/>
      <c r="T1288" s="78"/>
      <c r="U1288" s="78"/>
      <c r="V1288" s="78"/>
      <c r="W1288" s="78"/>
      <c r="X1288" s="78"/>
      <c r="Y1288" s="78"/>
      <c r="Z1288" s="78"/>
      <c r="AA1288" s="78"/>
      <c r="AB1288" s="78"/>
      <c r="AC1288" s="78"/>
      <c r="AD1288" s="78"/>
      <c r="AE1288" s="78"/>
      <c r="AF1288" s="78"/>
      <c r="AG1288" s="78"/>
      <c r="AH1288" s="78"/>
      <c r="AI1288" s="78"/>
      <c r="AJ1288" s="78"/>
      <c r="AK1288" s="78"/>
    </row>
    <row r="1289" spans="1:37">
      <c r="A1289" s="78"/>
      <c r="B1289" s="78"/>
      <c r="C1289" s="78"/>
      <c r="D1289" s="78"/>
      <c r="E1289" s="78"/>
      <c r="F1289" s="78"/>
      <c r="G1289" s="78"/>
      <c r="H1289" s="78"/>
      <c r="I1289" s="78"/>
      <c r="J1289" s="78"/>
      <c r="K1289" s="78"/>
      <c r="L1289" s="78"/>
      <c r="M1289" s="78"/>
      <c r="N1289" s="78"/>
      <c r="O1289" s="78"/>
      <c r="P1289" s="78"/>
      <c r="Q1289" s="78"/>
      <c r="R1289" s="78"/>
      <c r="S1289" s="78"/>
      <c r="T1289" s="78"/>
      <c r="U1289" s="78"/>
      <c r="V1289" s="78"/>
      <c r="W1289" s="78"/>
      <c r="X1289" s="78"/>
      <c r="Y1289" s="78"/>
      <c r="Z1289" s="78"/>
      <c r="AA1289" s="78"/>
      <c r="AB1289" s="78"/>
      <c r="AC1289" s="78"/>
      <c r="AD1289" s="78"/>
      <c r="AE1289" s="78"/>
      <c r="AF1289" s="78"/>
      <c r="AG1289" s="78"/>
      <c r="AH1289" s="78"/>
      <c r="AI1289" s="78"/>
      <c r="AJ1289" s="78"/>
      <c r="AK1289" s="78"/>
    </row>
    <row r="1290" spans="1:37">
      <c r="A1290" s="78"/>
      <c r="B1290" s="78"/>
      <c r="C1290" s="78"/>
      <c r="D1290" s="78"/>
      <c r="E1290" s="78"/>
      <c r="F1290" s="78"/>
      <c r="G1290" s="78"/>
      <c r="H1290" s="78"/>
      <c r="I1290" s="78"/>
      <c r="J1290" s="78"/>
      <c r="K1290" s="78"/>
      <c r="L1290" s="78"/>
      <c r="M1290" s="78"/>
      <c r="N1290" s="78"/>
      <c r="O1290" s="78"/>
      <c r="P1290" s="78"/>
      <c r="Q1290" s="78"/>
      <c r="R1290" s="78"/>
      <c r="S1290" s="78"/>
      <c r="T1290" s="78"/>
      <c r="U1290" s="78"/>
      <c r="V1290" s="78"/>
      <c r="W1290" s="78"/>
      <c r="X1290" s="78"/>
      <c r="Y1290" s="78"/>
      <c r="Z1290" s="78"/>
      <c r="AA1290" s="78"/>
      <c r="AB1290" s="78"/>
      <c r="AC1290" s="78"/>
      <c r="AD1290" s="78"/>
      <c r="AE1290" s="78"/>
      <c r="AF1290" s="78"/>
      <c r="AG1290" s="78"/>
      <c r="AH1290" s="78"/>
      <c r="AI1290" s="78"/>
      <c r="AJ1290" s="78"/>
      <c r="AK1290" s="78"/>
    </row>
    <row r="1291" spans="1:37">
      <c r="A1291" s="78"/>
      <c r="B1291" s="78"/>
      <c r="C1291" s="78"/>
      <c r="D1291" s="78"/>
      <c r="E1291" s="78"/>
      <c r="F1291" s="78"/>
      <c r="G1291" s="78"/>
      <c r="H1291" s="78"/>
      <c r="I1291" s="78"/>
      <c r="J1291" s="78"/>
      <c r="K1291" s="78"/>
      <c r="L1291" s="78"/>
      <c r="M1291" s="78"/>
      <c r="N1291" s="78"/>
      <c r="O1291" s="78"/>
      <c r="P1291" s="78"/>
      <c r="Q1291" s="78"/>
      <c r="R1291" s="78"/>
      <c r="S1291" s="78"/>
      <c r="T1291" s="78"/>
      <c r="U1291" s="78"/>
      <c r="V1291" s="78"/>
      <c r="W1291" s="78"/>
      <c r="X1291" s="78"/>
      <c r="Y1291" s="78"/>
      <c r="Z1291" s="78"/>
      <c r="AA1291" s="78"/>
      <c r="AB1291" s="78"/>
      <c r="AC1291" s="78"/>
      <c r="AD1291" s="78"/>
      <c r="AE1291" s="78"/>
      <c r="AF1291" s="78"/>
      <c r="AG1291" s="78"/>
      <c r="AH1291" s="78"/>
      <c r="AI1291" s="78"/>
      <c r="AJ1291" s="78"/>
      <c r="AK1291" s="78"/>
    </row>
    <row r="1292" spans="1:37">
      <c r="A1292" s="78"/>
      <c r="B1292" s="78"/>
      <c r="C1292" s="78"/>
      <c r="D1292" s="78"/>
      <c r="E1292" s="78"/>
      <c r="F1292" s="78"/>
      <c r="G1292" s="78"/>
      <c r="H1292" s="78"/>
      <c r="I1292" s="78"/>
      <c r="J1292" s="78"/>
      <c r="K1292" s="78"/>
      <c r="L1292" s="78"/>
      <c r="M1292" s="78"/>
      <c r="N1292" s="78"/>
      <c r="O1292" s="78"/>
      <c r="P1292" s="78"/>
      <c r="Q1292" s="78"/>
      <c r="R1292" s="78"/>
      <c r="S1292" s="78"/>
      <c r="T1292" s="78"/>
      <c r="U1292" s="78"/>
      <c r="V1292" s="78"/>
      <c r="W1292" s="78"/>
      <c r="X1292" s="78"/>
      <c r="Y1292" s="78"/>
      <c r="Z1292" s="78"/>
      <c r="AA1292" s="78"/>
      <c r="AB1292" s="78"/>
      <c r="AC1292" s="78"/>
      <c r="AD1292" s="78"/>
      <c r="AE1292" s="78"/>
      <c r="AF1292" s="78"/>
      <c r="AG1292" s="78"/>
      <c r="AH1292" s="78"/>
      <c r="AI1292" s="78"/>
      <c r="AJ1292" s="78"/>
      <c r="AK1292" s="78"/>
    </row>
    <row r="1293" spans="1:37">
      <c r="A1293" s="78"/>
      <c r="B1293" s="78"/>
      <c r="C1293" s="78"/>
      <c r="D1293" s="78"/>
      <c r="E1293" s="78"/>
      <c r="F1293" s="78"/>
      <c r="G1293" s="78"/>
      <c r="H1293" s="78"/>
      <c r="I1293" s="78"/>
      <c r="J1293" s="78"/>
      <c r="K1293" s="78"/>
      <c r="L1293" s="78"/>
      <c r="M1293" s="78"/>
      <c r="N1293" s="78"/>
      <c r="O1293" s="78"/>
      <c r="P1293" s="78"/>
      <c r="Q1293" s="78"/>
      <c r="R1293" s="78"/>
      <c r="S1293" s="78"/>
      <c r="T1293" s="78"/>
      <c r="U1293" s="78"/>
      <c r="V1293" s="78"/>
      <c r="W1293" s="78"/>
      <c r="X1293" s="78"/>
      <c r="Y1293" s="78"/>
      <c r="Z1293" s="78"/>
      <c r="AA1293" s="78"/>
      <c r="AB1293" s="78"/>
      <c r="AC1293" s="78"/>
      <c r="AD1293" s="78"/>
      <c r="AE1293" s="78"/>
      <c r="AF1293" s="78"/>
      <c r="AG1293" s="78"/>
      <c r="AH1293" s="78"/>
      <c r="AI1293" s="78"/>
      <c r="AJ1293" s="78"/>
      <c r="AK1293" s="78"/>
    </row>
    <row r="1294" spans="1:37">
      <c r="A1294" s="78"/>
      <c r="B1294" s="78"/>
      <c r="C1294" s="78"/>
      <c r="D1294" s="78"/>
      <c r="E1294" s="78"/>
      <c r="F1294" s="78"/>
      <c r="G1294" s="78"/>
      <c r="H1294" s="78"/>
      <c r="I1294" s="78"/>
      <c r="J1294" s="78"/>
      <c r="K1294" s="78"/>
      <c r="L1294" s="78"/>
      <c r="M1294" s="78"/>
      <c r="N1294" s="78"/>
      <c r="O1294" s="78"/>
      <c r="P1294" s="78"/>
      <c r="Q1294" s="78"/>
      <c r="R1294" s="78"/>
      <c r="S1294" s="78"/>
      <c r="T1294" s="78"/>
      <c r="U1294" s="78"/>
      <c r="V1294" s="78"/>
      <c r="W1294" s="78"/>
      <c r="X1294" s="78"/>
      <c r="Y1294" s="78"/>
      <c r="Z1294" s="78"/>
      <c r="AA1294" s="78"/>
      <c r="AB1294" s="78"/>
      <c r="AC1294" s="78"/>
      <c r="AD1294" s="78"/>
      <c r="AE1294" s="78"/>
      <c r="AF1294" s="78"/>
      <c r="AG1294" s="78"/>
      <c r="AH1294" s="78"/>
      <c r="AI1294" s="78"/>
      <c r="AJ1294" s="78"/>
      <c r="AK1294" s="78"/>
    </row>
    <row r="1295" spans="1:37">
      <c r="A1295" s="78"/>
      <c r="B1295" s="78"/>
      <c r="C1295" s="78"/>
      <c r="D1295" s="78"/>
      <c r="E1295" s="78"/>
      <c r="F1295" s="78"/>
      <c r="G1295" s="78"/>
      <c r="H1295" s="78"/>
      <c r="I1295" s="78"/>
      <c r="J1295" s="78"/>
      <c r="K1295" s="78"/>
      <c r="L1295" s="78"/>
      <c r="M1295" s="78"/>
      <c r="N1295" s="78"/>
      <c r="O1295" s="78"/>
      <c r="P1295" s="78"/>
      <c r="Q1295" s="78"/>
      <c r="R1295" s="78"/>
      <c r="S1295" s="78"/>
      <c r="T1295" s="78"/>
      <c r="U1295" s="78"/>
      <c r="V1295" s="78"/>
      <c r="W1295" s="78"/>
      <c r="X1295" s="78"/>
      <c r="Y1295" s="78"/>
      <c r="Z1295" s="78"/>
      <c r="AA1295" s="78"/>
      <c r="AB1295" s="78"/>
      <c r="AC1295" s="78"/>
      <c r="AD1295" s="78"/>
      <c r="AE1295" s="78"/>
      <c r="AF1295" s="78"/>
      <c r="AG1295" s="78"/>
      <c r="AH1295" s="78"/>
      <c r="AI1295" s="78"/>
      <c r="AJ1295" s="78"/>
      <c r="AK1295" s="78"/>
    </row>
    <row r="1296" spans="1:37">
      <c r="A1296" s="78"/>
      <c r="B1296" s="78"/>
      <c r="C1296" s="78"/>
      <c r="D1296" s="78"/>
      <c r="E1296" s="78"/>
      <c r="F1296" s="78"/>
      <c r="G1296" s="78"/>
      <c r="H1296" s="78"/>
      <c r="I1296" s="78"/>
      <c r="J1296" s="78"/>
      <c r="K1296" s="78"/>
      <c r="L1296" s="78"/>
      <c r="M1296" s="78"/>
      <c r="N1296" s="78"/>
      <c r="O1296" s="78"/>
      <c r="P1296" s="78"/>
      <c r="Q1296" s="78"/>
      <c r="R1296" s="78"/>
      <c r="S1296" s="78"/>
      <c r="T1296" s="78"/>
      <c r="U1296" s="78"/>
      <c r="V1296" s="78"/>
      <c r="W1296" s="78"/>
      <c r="X1296" s="78"/>
      <c r="Y1296" s="78"/>
      <c r="Z1296" s="78"/>
      <c r="AA1296" s="78"/>
      <c r="AB1296" s="78"/>
      <c r="AC1296" s="78"/>
      <c r="AD1296" s="78"/>
      <c r="AE1296" s="78"/>
      <c r="AF1296" s="78"/>
      <c r="AG1296" s="78"/>
      <c r="AH1296" s="78"/>
      <c r="AI1296" s="78"/>
      <c r="AJ1296" s="78"/>
      <c r="AK1296" s="78"/>
    </row>
    <row r="1297" spans="1:37">
      <c r="A1297" s="78"/>
      <c r="B1297" s="78"/>
      <c r="C1297" s="78"/>
      <c r="D1297" s="78"/>
      <c r="E1297" s="78"/>
      <c r="F1297" s="78"/>
      <c r="G1297" s="78"/>
      <c r="H1297" s="78"/>
      <c r="I1297" s="78"/>
      <c r="J1297" s="78"/>
      <c r="K1297" s="78"/>
      <c r="L1297" s="78"/>
      <c r="M1297" s="78"/>
      <c r="N1297" s="78"/>
      <c r="O1297" s="78"/>
      <c r="P1297" s="78"/>
      <c r="Q1297" s="78"/>
      <c r="R1297" s="78"/>
      <c r="S1297" s="78"/>
      <c r="T1297" s="78"/>
      <c r="U1297" s="78"/>
      <c r="V1297" s="78"/>
      <c r="W1297" s="78"/>
      <c r="X1297" s="78"/>
      <c r="Y1297" s="78"/>
      <c r="Z1297" s="78"/>
      <c r="AA1297" s="78"/>
      <c r="AB1297" s="78"/>
      <c r="AC1297" s="78"/>
      <c r="AD1297" s="78"/>
      <c r="AE1297" s="78"/>
      <c r="AF1297" s="78"/>
      <c r="AG1297" s="78"/>
      <c r="AH1297" s="78"/>
      <c r="AI1297" s="78"/>
      <c r="AJ1297" s="78"/>
      <c r="AK1297" s="78"/>
    </row>
    <row r="1298" spans="1:37">
      <c r="A1298" s="78"/>
      <c r="B1298" s="78"/>
      <c r="C1298" s="78"/>
      <c r="D1298" s="78"/>
      <c r="E1298" s="78"/>
      <c r="F1298" s="78"/>
      <c r="G1298" s="78"/>
      <c r="H1298" s="78"/>
      <c r="I1298" s="78"/>
      <c r="J1298" s="78"/>
      <c r="K1298" s="78"/>
      <c r="L1298" s="78"/>
      <c r="M1298" s="78"/>
      <c r="N1298" s="78"/>
      <c r="O1298" s="78"/>
      <c r="P1298" s="78"/>
      <c r="Q1298" s="78"/>
      <c r="R1298" s="78"/>
      <c r="S1298" s="78"/>
      <c r="T1298" s="78"/>
      <c r="U1298" s="78"/>
      <c r="V1298" s="78"/>
      <c r="W1298" s="78"/>
      <c r="X1298" s="78"/>
      <c r="Y1298" s="78"/>
      <c r="Z1298" s="78"/>
      <c r="AA1298" s="78"/>
      <c r="AB1298" s="78"/>
      <c r="AC1298" s="78"/>
      <c r="AD1298" s="78"/>
      <c r="AE1298" s="78"/>
      <c r="AF1298" s="78"/>
      <c r="AG1298" s="78"/>
      <c r="AH1298" s="78"/>
      <c r="AI1298" s="78"/>
      <c r="AJ1298" s="78"/>
      <c r="AK1298" s="78"/>
    </row>
    <row r="1299" spans="1:37">
      <c r="A1299" s="78"/>
      <c r="B1299" s="78"/>
      <c r="C1299" s="78"/>
      <c r="D1299" s="78"/>
      <c r="E1299" s="78"/>
      <c r="F1299" s="78"/>
      <c r="G1299" s="78"/>
      <c r="H1299" s="78"/>
      <c r="I1299" s="78"/>
      <c r="J1299" s="78"/>
      <c r="K1299" s="78"/>
      <c r="L1299" s="78"/>
      <c r="M1299" s="78"/>
      <c r="N1299" s="78"/>
      <c r="O1299" s="78"/>
      <c r="P1299" s="78"/>
      <c r="Q1299" s="78"/>
      <c r="R1299" s="78"/>
      <c r="S1299" s="78"/>
      <c r="T1299" s="78"/>
      <c r="U1299" s="78"/>
      <c r="V1299" s="78"/>
      <c r="W1299" s="78"/>
      <c r="X1299" s="78"/>
      <c r="Y1299" s="78"/>
      <c r="Z1299" s="78"/>
      <c r="AA1299" s="78"/>
      <c r="AB1299" s="78"/>
      <c r="AC1299" s="78"/>
      <c r="AD1299" s="78"/>
      <c r="AE1299" s="78"/>
      <c r="AF1299" s="78"/>
      <c r="AG1299" s="78"/>
      <c r="AH1299" s="78"/>
      <c r="AI1299" s="78"/>
      <c r="AJ1299" s="78"/>
      <c r="AK1299" s="78"/>
    </row>
    <row r="1300" spans="1:37">
      <c r="A1300" s="78"/>
      <c r="B1300" s="78"/>
      <c r="C1300" s="78"/>
      <c r="D1300" s="78"/>
      <c r="E1300" s="78"/>
      <c r="F1300" s="78"/>
      <c r="G1300" s="78"/>
      <c r="H1300" s="78"/>
      <c r="I1300" s="78"/>
      <c r="J1300" s="78"/>
      <c r="K1300" s="78"/>
      <c r="L1300" s="78"/>
      <c r="M1300" s="78"/>
      <c r="N1300" s="78"/>
      <c r="O1300" s="78"/>
      <c r="P1300" s="78"/>
      <c r="Q1300" s="78"/>
      <c r="R1300" s="78"/>
      <c r="S1300" s="78"/>
      <c r="T1300" s="78"/>
      <c r="U1300" s="78"/>
      <c r="V1300" s="78"/>
      <c r="W1300" s="78"/>
      <c r="X1300" s="78"/>
      <c r="Y1300" s="78"/>
      <c r="Z1300" s="78"/>
      <c r="AA1300" s="78"/>
      <c r="AB1300" s="78"/>
      <c r="AC1300" s="78"/>
      <c r="AD1300" s="78"/>
      <c r="AE1300" s="78"/>
      <c r="AF1300" s="78"/>
      <c r="AG1300" s="78"/>
      <c r="AH1300" s="78"/>
      <c r="AI1300" s="78"/>
      <c r="AJ1300" s="78"/>
      <c r="AK1300" s="78"/>
    </row>
    <row r="1301" spans="1:37">
      <c r="A1301" s="78"/>
      <c r="B1301" s="78"/>
      <c r="C1301" s="78"/>
      <c r="D1301" s="78"/>
      <c r="E1301" s="78"/>
      <c r="F1301" s="78"/>
      <c r="G1301" s="78"/>
      <c r="H1301" s="78"/>
      <c r="I1301" s="78"/>
      <c r="J1301" s="78"/>
      <c r="K1301" s="78"/>
      <c r="L1301" s="78"/>
      <c r="M1301" s="78"/>
      <c r="N1301" s="78"/>
      <c r="O1301" s="78"/>
      <c r="P1301" s="78"/>
      <c r="Q1301" s="78"/>
      <c r="R1301" s="78"/>
      <c r="S1301" s="78"/>
      <c r="T1301" s="78"/>
      <c r="U1301" s="78"/>
      <c r="V1301" s="78"/>
      <c r="W1301" s="78"/>
      <c r="X1301" s="78"/>
      <c r="Y1301" s="78"/>
      <c r="Z1301" s="78"/>
      <c r="AA1301" s="78"/>
      <c r="AB1301" s="78"/>
      <c r="AC1301" s="78"/>
      <c r="AD1301" s="78"/>
      <c r="AE1301" s="78"/>
      <c r="AF1301" s="78"/>
      <c r="AG1301" s="78"/>
      <c r="AH1301" s="78"/>
      <c r="AI1301" s="78"/>
      <c r="AJ1301" s="78"/>
      <c r="AK1301" s="78"/>
    </row>
    <row r="1302" spans="1:37">
      <c r="A1302" s="78"/>
      <c r="B1302" s="78"/>
      <c r="C1302" s="78"/>
      <c r="D1302" s="78"/>
      <c r="E1302" s="78"/>
      <c r="F1302" s="78"/>
      <c r="G1302" s="78"/>
      <c r="H1302" s="78"/>
      <c r="I1302" s="78"/>
      <c r="J1302" s="78"/>
      <c r="K1302" s="78"/>
      <c r="L1302" s="78"/>
      <c r="M1302" s="78"/>
      <c r="N1302" s="78"/>
      <c r="O1302" s="78"/>
      <c r="P1302" s="78"/>
      <c r="Q1302" s="78"/>
      <c r="R1302" s="78"/>
      <c r="S1302" s="78"/>
      <c r="T1302" s="78"/>
      <c r="U1302" s="78"/>
      <c r="V1302" s="78"/>
      <c r="W1302" s="78"/>
      <c r="X1302" s="78"/>
      <c r="Y1302" s="78"/>
      <c r="Z1302" s="78"/>
      <c r="AA1302" s="78"/>
      <c r="AB1302" s="78"/>
      <c r="AC1302" s="78"/>
      <c r="AD1302" s="78"/>
      <c r="AE1302" s="78"/>
      <c r="AF1302" s="78"/>
      <c r="AG1302" s="78"/>
      <c r="AH1302" s="78"/>
      <c r="AI1302" s="78"/>
      <c r="AJ1302" s="78"/>
      <c r="AK1302" s="78"/>
    </row>
    <row r="1303" spans="1:37">
      <c r="A1303" s="78"/>
      <c r="B1303" s="78"/>
      <c r="C1303" s="78"/>
      <c r="D1303" s="78"/>
      <c r="E1303" s="78"/>
      <c r="F1303" s="78"/>
      <c r="G1303" s="78"/>
      <c r="H1303" s="78"/>
      <c r="I1303" s="78"/>
      <c r="J1303" s="78"/>
      <c r="K1303" s="78"/>
      <c r="L1303" s="78"/>
      <c r="M1303" s="78"/>
      <c r="N1303" s="78"/>
      <c r="O1303" s="78"/>
      <c r="P1303" s="78"/>
      <c r="Q1303" s="78"/>
      <c r="R1303" s="78"/>
      <c r="S1303" s="78"/>
      <c r="T1303" s="78"/>
      <c r="U1303" s="78"/>
      <c r="V1303" s="78"/>
      <c r="W1303" s="78"/>
      <c r="X1303" s="78"/>
      <c r="Y1303" s="78"/>
      <c r="Z1303" s="78"/>
      <c r="AA1303" s="78"/>
      <c r="AB1303" s="78"/>
      <c r="AC1303" s="78"/>
      <c r="AD1303" s="78"/>
      <c r="AE1303" s="78"/>
      <c r="AF1303" s="78"/>
      <c r="AG1303" s="78"/>
      <c r="AH1303" s="78"/>
      <c r="AI1303" s="78"/>
      <c r="AJ1303" s="78"/>
      <c r="AK1303" s="78"/>
    </row>
    <row r="1304" spans="1:37">
      <c r="A1304" s="78"/>
      <c r="B1304" s="78"/>
      <c r="C1304" s="78"/>
      <c r="D1304" s="78"/>
      <c r="E1304" s="78"/>
      <c r="F1304" s="78"/>
      <c r="G1304" s="78"/>
      <c r="H1304" s="78"/>
      <c r="I1304" s="78"/>
      <c r="J1304" s="78"/>
      <c r="K1304" s="78"/>
      <c r="L1304" s="78"/>
      <c r="M1304" s="78"/>
      <c r="N1304" s="78"/>
      <c r="O1304" s="78"/>
      <c r="P1304" s="78"/>
      <c r="Q1304" s="78"/>
      <c r="R1304" s="78"/>
      <c r="S1304" s="78"/>
      <c r="T1304" s="78"/>
      <c r="U1304" s="78"/>
      <c r="V1304" s="78"/>
      <c r="W1304" s="78"/>
      <c r="X1304" s="78"/>
      <c r="Y1304" s="78"/>
      <c r="Z1304" s="78"/>
      <c r="AA1304" s="78"/>
      <c r="AB1304" s="78"/>
      <c r="AC1304" s="78"/>
      <c r="AD1304" s="78"/>
      <c r="AE1304" s="78"/>
      <c r="AF1304" s="78"/>
      <c r="AG1304" s="78"/>
      <c r="AH1304" s="78"/>
      <c r="AI1304" s="78"/>
      <c r="AJ1304" s="78"/>
      <c r="AK1304" s="78"/>
    </row>
    <row r="1305" spans="1:37">
      <c r="A1305" s="78"/>
      <c r="B1305" s="78"/>
      <c r="C1305" s="78"/>
      <c r="D1305" s="78"/>
      <c r="E1305" s="78"/>
      <c r="F1305" s="78"/>
      <c r="G1305" s="78"/>
      <c r="H1305" s="78"/>
      <c r="I1305" s="78"/>
      <c r="J1305" s="78"/>
      <c r="K1305" s="78"/>
      <c r="L1305" s="78"/>
      <c r="M1305" s="78"/>
      <c r="N1305" s="78"/>
      <c r="O1305" s="78"/>
      <c r="P1305" s="78"/>
      <c r="Q1305" s="78"/>
      <c r="R1305" s="78"/>
      <c r="S1305" s="78"/>
      <c r="T1305" s="78"/>
      <c r="U1305" s="78"/>
      <c r="V1305" s="78"/>
      <c r="W1305" s="78"/>
      <c r="X1305" s="78"/>
      <c r="Y1305" s="78"/>
      <c r="Z1305" s="78"/>
      <c r="AA1305" s="78"/>
      <c r="AB1305" s="78"/>
      <c r="AC1305" s="78"/>
      <c r="AD1305" s="78"/>
      <c r="AE1305" s="78"/>
      <c r="AF1305" s="78"/>
      <c r="AG1305" s="78"/>
      <c r="AH1305" s="78"/>
      <c r="AI1305" s="78"/>
      <c r="AJ1305" s="78"/>
      <c r="AK1305" s="78"/>
    </row>
    <row r="1306" spans="1:37">
      <c r="A1306" s="78"/>
      <c r="B1306" s="78"/>
      <c r="C1306" s="78"/>
      <c r="D1306" s="78"/>
      <c r="E1306" s="78"/>
      <c r="F1306" s="78"/>
      <c r="G1306" s="78"/>
      <c r="H1306" s="78"/>
      <c r="I1306" s="78"/>
      <c r="J1306" s="78"/>
      <c r="K1306" s="78"/>
      <c r="L1306" s="78"/>
      <c r="M1306" s="78"/>
      <c r="N1306" s="78"/>
      <c r="O1306" s="78"/>
      <c r="P1306" s="78"/>
      <c r="Q1306" s="78"/>
      <c r="R1306" s="78"/>
      <c r="S1306" s="78"/>
      <c r="T1306" s="78"/>
      <c r="U1306" s="78"/>
      <c r="V1306" s="78"/>
      <c r="W1306" s="78"/>
      <c r="X1306" s="78"/>
      <c r="Y1306" s="78"/>
      <c r="Z1306" s="78"/>
      <c r="AA1306" s="78"/>
      <c r="AB1306" s="78"/>
      <c r="AC1306" s="78"/>
      <c r="AD1306" s="78"/>
      <c r="AE1306" s="78"/>
      <c r="AF1306" s="78"/>
      <c r="AG1306" s="78"/>
      <c r="AH1306" s="78"/>
      <c r="AI1306" s="78"/>
      <c r="AJ1306" s="78"/>
      <c r="AK1306" s="78"/>
    </row>
    <row r="1307" spans="1:37">
      <c r="A1307" s="78"/>
      <c r="B1307" s="78"/>
      <c r="C1307" s="78"/>
      <c r="D1307" s="78"/>
      <c r="E1307" s="78"/>
      <c r="F1307" s="78"/>
      <c r="G1307" s="78"/>
      <c r="H1307" s="78"/>
      <c r="I1307" s="78"/>
      <c r="J1307" s="78"/>
      <c r="K1307" s="78"/>
      <c r="L1307" s="78"/>
      <c r="M1307" s="78"/>
      <c r="N1307" s="78"/>
      <c r="O1307" s="78"/>
      <c r="P1307" s="78"/>
      <c r="Q1307" s="78"/>
      <c r="R1307" s="78"/>
      <c r="S1307" s="78"/>
      <c r="T1307" s="78"/>
      <c r="U1307" s="78"/>
      <c r="V1307" s="78"/>
      <c r="W1307" s="78"/>
      <c r="X1307" s="78"/>
      <c r="Y1307" s="78"/>
      <c r="Z1307" s="78"/>
      <c r="AA1307" s="78"/>
      <c r="AB1307" s="78"/>
      <c r="AC1307" s="78"/>
      <c r="AD1307" s="78"/>
      <c r="AE1307" s="78"/>
      <c r="AF1307" s="78"/>
      <c r="AG1307" s="78"/>
      <c r="AH1307" s="78"/>
      <c r="AI1307" s="78"/>
      <c r="AJ1307" s="78"/>
      <c r="AK1307" s="78"/>
    </row>
    <row r="1308" spans="1:37">
      <c r="A1308" s="78"/>
      <c r="B1308" s="78"/>
      <c r="C1308" s="78"/>
      <c r="D1308" s="78"/>
      <c r="E1308" s="78"/>
      <c r="F1308" s="78"/>
      <c r="G1308" s="78"/>
      <c r="H1308" s="78"/>
      <c r="I1308" s="78"/>
      <c r="J1308" s="78"/>
      <c r="K1308" s="78"/>
      <c r="L1308" s="78"/>
      <c r="M1308" s="78"/>
      <c r="N1308" s="78"/>
      <c r="O1308" s="78"/>
      <c r="P1308" s="78"/>
      <c r="Q1308" s="78"/>
      <c r="R1308" s="78"/>
      <c r="S1308" s="78"/>
      <c r="T1308" s="78"/>
      <c r="U1308" s="78"/>
      <c r="V1308" s="78"/>
      <c r="W1308" s="78"/>
      <c r="X1308" s="78"/>
      <c r="Y1308" s="78"/>
      <c r="Z1308" s="78"/>
      <c r="AA1308" s="78"/>
      <c r="AB1308" s="78"/>
      <c r="AC1308" s="78"/>
      <c r="AD1308" s="78"/>
      <c r="AE1308" s="78"/>
      <c r="AF1308" s="78"/>
      <c r="AG1308" s="78"/>
      <c r="AH1308" s="78"/>
      <c r="AI1308" s="78"/>
      <c r="AJ1308" s="78"/>
      <c r="AK1308" s="78"/>
    </row>
    <row r="1309" spans="1:37">
      <c r="A1309" s="78"/>
      <c r="B1309" s="78"/>
      <c r="C1309" s="78"/>
      <c r="D1309" s="78"/>
      <c r="E1309" s="78"/>
      <c r="F1309" s="78"/>
      <c r="G1309" s="78"/>
      <c r="H1309" s="78"/>
      <c r="I1309" s="78"/>
      <c r="J1309" s="78"/>
      <c r="K1309" s="78"/>
      <c r="L1309" s="78"/>
      <c r="M1309" s="78"/>
      <c r="N1309" s="78"/>
      <c r="O1309" s="78"/>
      <c r="P1309" s="78"/>
      <c r="Q1309" s="78"/>
      <c r="R1309" s="78"/>
      <c r="S1309" s="78"/>
      <c r="T1309" s="78"/>
      <c r="U1309" s="78"/>
      <c r="V1309" s="78"/>
      <c r="W1309" s="78"/>
      <c r="X1309" s="78"/>
      <c r="Y1309" s="78"/>
      <c r="Z1309" s="78"/>
      <c r="AA1309" s="78"/>
      <c r="AB1309" s="78"/>
      <c r="AC1309" s="78"/>
      <c r="AD1309" s="78"/>
      <c r="AE1309" s="78"/>
      <c r="AF1309" s="78"/>
      <c r="AG1309" s="78"/>
      <c r="AH1309" s="78"/>
      <c r="AI1309" s="78"/>
      <c r="AJ1309" s="78"/>
      <c r="AK1309" s="78"/>
    </row>
    <row r="1310" spans="1:37">
      <c r="A1310" s="78"/>
      <c r="B1310" s="78"/>
      <c r="C1310" s="78"/>
      <c r="D1310" s="78"/>
      <c r="E1310" s="78"/>
      <c r="F1310" s="78"/>
      <c r="G1310" s="78"/>
      <c r="H1310" s="78"/>
      <c r="I1310" s="78"/>
      <c r="J1310" s="78"/>
      <c r="K1310" s="78"/>
      <c r="L1310" s="78"/>
      <c r="M1310" s="78"/>
      <c r="N1310" s="78"/>
      <c r="O1310" s="78"/>
      <c r="P1310" s="78"/>
      <c r="Q1310" s="78"/>
      <c r="R1310" s="78"/>
      <c r="S1310" s="78"/>
      <c r="T1310" s="78"/>
      <c r="U1310" s="78"/>
      <c r="V1310" s="78"/>
      <c r="W1310" s="78"/>
      <c r="X1310" s="78"/>
      <c r="Y1310" s="78"/>
      <c r="Z1310" s="78"/>
      <c r="AA1310" s="78"/>
      <c r="AB1310" s="78"/>
      <c r="AC1310" s="78"/>
      <c r="AD1310" s="78"/>
      <c r="AE1310" s="78"/>
      <c r="AF1310" s="78"/>
      <c r="AG1310" s="78"/>
      <c r="AH1310" s="78"/>
      <c r="AI1310" s="78"/>
      <c r="AJ1310" s="78"/>
      <c r="AK1310" s="78"/>
    </row>
    <row r="1311" spans="1:37">
      <c r="A1311" s="78"/>
      <c r="B1311" s="78"/>
      <c r="C1311" s="78"/>
      <c r="D1311" s="78"/>
      <c r="E1311" s="78"/>
      <c r="F1311" s="78"/>
      <c r="G1311" s="78"/>
      <c r="H1311" s="78"/>
      <c r="I1311" s="78"/>
      <c r="J1311" s="78"/>
      <c r="K1311" s="78"/>
      <c r="L1311" s="78"/>
      <c r="M1311" s="78"/>
      <c r="N1311" s="78"/>
      <c r="O1311" s="78"/>
      <c r="P1311" s="78"/>
      <c r="Q1311" s="78"/>
      <c r="R1311" s="78"/>
      <c r="S1311" s="78"/>
      <c r="T1311" s="78"/>
      <c r="U1311" s="78"/>
      <c r="V1311" s="78"/>
      <c r="W1311" s="78"/>
      <c r="X1311" s="78"/>
      <c r="Y1311" s="78"/>
      <c r="Z1311" s="78"/>
      <c r="AA1311" s="78"/>
      <c r="AB1311" s="78"/>
      <c r="AC1311" s="78"/>
      <c r="AD1311" s="78"/>
      <c r="AE1311" s="78"/>
      <c r="AF1311" s="78"/>
      <c r="AG1311" s="78"/>
      <c r="AH1311" s="78"/>
      <c r="AI1311" s="78"/>
      <c r="AJ1311" s="78"/>
      <c r="AK1311" s="78"/>
    </row>
    <row r="1312" spans="1:37">
      <c r="A1312" s="78"/>
      <c r="B1312" s="78"/>
      <c r="C1312" s="78"/>
      <c r="D1312" s="78"/>
      <c r="E1312" s="78"/>
      <c r="F1312" s="78"/>
      <c r="G1312" s="78"/>
      <c r="H1312" s="78"/>
      <c r="I1312" s="78"/>
      <c r="J1312" s="78"/>
      <c r="K1312" s="78"/>
      <c r="L1312" s="78"/>
      <c r="M1312" s="78"/>
      <c r="N1312" s="78"/>
      <c r="O1312" s="78"/>
      <c r="P1312" s="78"/>
      <c r="Q1312" s="78"/>
      <c r="R1312" s="78"/>
      <c r="S1312" s="78"/>
      <c r="T1312" s="78"/>
      <c r="U1312" s="78"/>
      <c r="V1312" s="78"/>
      <c r="W1312" s="78"/>
      <c r="X1312" s="78"/>
      <c r="Y1312" s="78"/>
      <c r="Z1312" s="78"/>
      <c r="AA1312" s="78"/>
      <c r="AB1312" s="78"/>
      <c r="AC1312" s="78"/>
      <c r="AD1312" s="78"/>
      <c r="AE1312" s="78"/>
      <c r="AF1312" s="78"/>
      <c r="AG1312" s="78"/>
      <c r="AH1312" s="78"/>
      <c r="AI1312" s="78"/>
      <c r="AJ1312" s="78"/>
      <c r="AK1312" s="78"/>
    </row>
    <row r="1313" spans="1:37">
      <c r="A1313" s="78"/>
      <c r="B1313" s="78"/>
      <c r="C1313" s="78"/>
      <c r="D1313" s="78"/>
      <c r="E1313" s="78"/>
      <c r="F1313" s="78"/>
      <c r="G1313" s="78"/>
      <c r="H1313" s="78"/>
      <c r="I1313" s="78"/>
      <c r="J1313" s="78"/>
      <c r="K1313" s="78"/>
      <c r="L1313" s="78"/>
      <c r="M1313" s="78"/>
      <c r="N1313" s="78"/>
      <c r="O1313" s="78"/>
      <c r="P1313" s="78"/>
      <c r="Q1313" s="78"/>
      <c r="R1313" s="78"/>
      <c r="S1313" s="78"/>
      <c r="T1313" s="78"/>
      <c r="U1313" s="78"/>
      <c r="V1313" s="78"/>
      <c r="W1313" s="78"/>
      <c r="X1313" s="78"/>
      <c r="Y1313" s="78"/>
      <c r="Z1313" s="78"/>
      <c r="AA1313" s="78"/>
      <c r="AB1313" s="78"/>
      <c r="AC1313" s="78"/>
      <c r="AD1313" s="78"/>
      <c r="AE1313" s="78"/>
      <c r="AF1313" s="78"/>
      <c r="AG1313" s="78"/>
      <c r="AH1313" s="78"/>
      <c r="AI1313" s="78"/>
      <c r="AJ1313" s="78"/>
      <c r="AK1313" s="78"/>
    </row>
    <row r="1314" spans="1:37">
      <c r="A1314" s="78"/>
      <c r="B1314" s="78"/>
      <c r="C1314" s="78"/>
      <c r="D1314" s="78"/>
      <c r="E1314" s="78"/>
      <c r="F1314" s="78"/>
      <c r="G1314" s="78"/>
      <c r="H1314" s="78"/>
      <c r="I1314" s="78"/>
      <c r="J1314" s="78"/>
      <c r="K1314" s="78"/>
      <c r="L1314" s="78"/>
      <c r="M1314" s="78"/>
      <c r="N1314" s="78"/>
      <c r="O1314" s="78"/>
      <c r="P1314" s="78"/>
      <c r="Q1314" s="78"/>
      <c r="R1314" s="78"/>
      <c r="S1314" s="78"/>
      <c r="T1314" s="78"/>
      <c r="U1314" s="78"/>
      <c r="V1314" s="78"/>
      <c r="W1314" s="78"/>
      <c r="X1314" s="78"/>
      <c r="Y1314" s="78"/>
      <c r="Z1314" s="78"/>
      <c r="AA1314" s="78"/>
      <c r="AB1314" s="78"/>
      <c r="AC1314" s="78"/>
      <c r="AD1314" s="78"/>
      <c r="AE1314" s="78"/>
      <c r="AF1314" s="78"/>
      <c r="AG1314" s="78"/>
      <c r="AH1314" s="78"/>
      <c r="AI1314" s="78"/>
      <c r="AJ1314" s="78"/>
      <c r="AK1314" s="78"/>
    </row>
    <row r="1315" spans="1:37">
      <c r="A1315" s="78"/>
      <c r="B1315" s="78"/>
      <c r="C1315" s="78"/>
      <c r="D1315" s="78"/>
      <c r="E1315" s="78"/>
      <c r="F1315" s="78"/>
      <c r="G1315" s="78"/>
      <c r="H1315" s="78"/>
      <c r="I1315" s="78"/>
      <c r="J1315" s="78"/>
      <c r="K1315" s="78"/>
      <c r="L1315" s="78"/>
      <c r="M1315" s="78"/>
      <c r="N1315" s="78"/>
      <c r="O1315" s="78"/>
      <c r="P1315" s="78"/>
      <c r="Q1315" s="78"/>
      <c r="R1315" s="78"/>
      <c r="S1315" s="78"/>
      <c r="T1315" s="78"/>
      <c r="U1315" s="78"/>
      <c r="V1315" s="78"/>
      <c r="W1315" s="78"/>
      <c r="X1315" s="78"/>
      <c r="Y1315" s="78"/>
      <c r="Z1315" s="78"/>
      <c r="AA1315" s="78"/>
      <c r="AB1315" s="78"/>
      <c r="AC1315" s="78"/>
      <c r="AD1315" s="78"/>
      <c r="AE1315" s="78"/>
      <c r="AF1315" s="78"/>
      <c r="AG1315" s="78"/>
      <c r="AH1315" s="78"/>
      <c r="AI1315" s="78"/>
      <c r="AJ1315" s="78"/>
      <c r="AK1315" s="78"/>
    </row>
    <row r="1316" spans="1:37">
      <c r="A1316" s="78"/>
      <c r="B1316" s="78"/>
      <c r="C1316" s="78"/>
      <c r="D1316" s="78"/>
      <c r="E1316" s="78"/>
      <c r="F1316" s="78"/>
      <c r="G1316" s="78"/>
      <c r="H1316" s="78"/>
      <c r="I1316" s="78"/>
      <c r="J1316" s="78"/>
      <c r="K1316" s="78"/>
      <c r="L1316" s="78"/>
      <c r="M1316" s="78"/>
      <c r="N1316" s="78"/>
      <c r="O1316" s="78"/>
      <c r="P1316" s="78"/>
      <c r="Q1316" s="78"/>
      <c r="R1316" s="78"/>
      <c r="S1316" s="78"/>
      <c r="T1316" s="78"/>
      <c r="U1316" s="78"/>
      <c r="V1316" s="78"/>
      <c r="W1316" s="78"/>
      <c r="X1316" s="78"/>
      <c r="Y1316" s="78"/>
      <c r="Z1316" s="78"/>
      <c r="AA1316" s="78"/>
      <c r="AB1316" s="78"/>
      <c r="AC1316" s="78"/>
      <c r="AD1316" s="78"/>
      <c r="AE1316" s="78"/>
      <c r="AF1316" s="78"/>
      <c r="AG1316" s="78"/>
      <c r="AH1316" s="78"/>
      <c r="AI1316" s="78"/>
      <c r="AJ1316" s="78"/>
      <c r="AK1316" s="78"/>
    </row>
    <row r="1317" spans="1:37">
      <c r="A1317" s="78"/>
      <c r="B1317" s="78"/>
      <c r="C1317" s="78"/>
      <c r="D1317" s="78"/>
      <c r="E1317" s="78"/>
      <c r="F1317" s="78"/>
      <c r="G1317" s="78"/>
      <c r="H1317" s="78"/>
      <c r="I1317" s="78"/>
      <c r="J1317" s="78"/>
      <c r="K1317" s="78"/>
      <c r="L1317" s="78"/>
      <c r="M1317" s="78"/>
      <c r="N1317" s="78"/>
      <c r="O1317" s="78"/>
      <c r="P1317" s="78"/>
      <c r="Q1317" s="78"/>
      <c r="R1317" s="78"/>
      <c r="S1317" s="78"/>
      <c r="T1317" s="78"/>
      <c r="U1317" s="78"/>
      <c r="V1317" s="78"/>
      <c r="W1317" s="78"/>
      <c r="X1317" s="78"/>
      <c r="Y1317" s="78"/>
      <c r="Z1317" s="78"/>
      <c r="AA1317" s="78"/>
      <c r="AB1317" s="78"/>
      <c r="AC1317" s="78"/>
      <c r="AD1317" s="78"/>
      <c r="AE1317" s="78"/>
      <c r="AF1317" s="78"/>
      <c r="AG1317" s="78"/>
      <c r="AH1317" s="78"/>
      <c r="AI1317" s="78"/>
      <c r="AJ1317" s="78"/>
      <c r="AK1317" s="78"/>
    </row>
    <row r="1318" spans="1:37">
      <c r="A1318" s="78"/>
      <c r="B1318" s="78"/>
      <c r="C1318" s="78"/>
      <c r="D1318" s="78"/>
      <c r="E1318" s="78"/>
      <c r="F1318" s="78"/>
      <c r="G1318" s="78"/>
      <c r="H1318" s="78"/>
      <c r="I1318" s="78"/>
      <c r="J1318" s="78"/>
      <c r="K1318" s="78"/>
      <c r="L1318" s="78"/>
      <c r="M1318" s="78"/>
      <c r="N1318" s="78"/>
      <c r="O1318" s="78"/>
      <c r="P1318" s="78"/>
      <c r="Q1318" s="78"/>
      <c r="R1318" s="78"/>
      <c r="S1318" s="78"/>
      <c r="T1318" s="78"/>
      <c r="U1318" s="78"/>
      <c r="V1318" s="78"/>
      <c r="W1318" s="78"/>
      <c r="X1318" s="78"/>
      <c r="Y1318" s="78"/>
      <c r="Z1318" s="78"/>
      <c r="AA1318" s="78"/>
      <c r="AB1318" s="78"/>
      <c r="AC1318" s="78"/>
      <c r="AD1318" s="78"/>
      <c r="AE1318" s="78"/>
      <c r="AF1318" s="78"/>
      <c r="AG1318" s="78"/>
      <c r="AH1318" s="78"/>
      <c r="AI1318" s="78"/>
      <c r="AJ1318" s="78"/>
      <c r="AK1318" s="78"/>
    </row>
    <row r="1319" spans="1:37">
      <c r="A1319" s="78"/>
      <c r="B1319" s="78"/>
      <c r="C1319" s="78"/>
      <c r="D1319" s="78"/>
      <c r="E1319" s="78"/>
      <c r="F1319" s="78"/>
      <c r="G1319" s="78"/>
      <c r="H1319" s="78"/>
      <c r="I1319" s="78"/>
      <c r="J1319" s="78"/>
      <c r="K1319" s="78"/>
      <c r="L1319" s="78"/>
      <c r="M1319" s="78"/>
      <c r="N1319" s="78"/>
      <c r="O1319" s="78"/>
      <c r="P1319" s="78"/>
      <c r="Q1319" s="78"/>
      <c r="R1319" s="78"/>
      <c r="S1319" s="78"/>
      <c r="T1319" s="78"/>
      <c r="U1319" s="78"/>
      <c r="V1319" s="78"/>
      <c r="W1319" s="78"/>
      <c r="X1319" s="78"/>
      <c r="Y1319" s="78"/>
      <c r="Z1319" s="78"/>
      <c r="AA1319" s="78"/>
      <c r="AB1319" s="78"/>
      <c r="AC1319" s="78"/>
      <c r="AD1319" s="78"/>
      <c r="AE1319" s="78"/>
      <c r="AF1319" s="78"/>
      <c r="AG1319" s="78"/>
      <c r="AH1319" s="78"/>
      <c r="AI1319" s="78"/>
      <c r="AJ1319" s="78"/>
      <c r="AK1319" s="78"/>
    </row>
    <row r="1320" spans="1:37">
      <c r="A1320" s="78"/>
      <c r="B1320" s="78"/>
      <c r="C1320" s="78"/>
      <c r="D1320" s="78"/>
      <c r="E1320" s="78"/>
      <c r="F1320" s="78"/>
      <c r="G1320" s="78"/>
      <c r="H1320" s="78"/>
      <c r="I1320" s="78"/>
      <c r="J1320" s="78"/>
      <c r="K1320" s="78"/>
      <c r="L1320" s="78"/>
      <c r="M1320" s="78"/>
      <c r="N1320" s="78"/>
      <c r="O1320" s="78"/>
      <c r="P1320" s="78"/>
      <c r="Q1320" s="78"/>
      <c r="R1320" s="78"/>
      <c r="S1320" s="78"/>
      <c r="T1320" s="78"/>
      <c r="U1320" s="78"/>
      <c r="V1320" s="78"/>
      <c r="W1320" s="78"/>
      <c r="X1320" s="78"/>
      <c r="Y1320" s="78"/>
      <c r="Z1320" s="78"/>
      <c r="AA1320" s="78"/>
      <c r="AB1320" s="78"/>
      <c r="AC1320" s="78"/>
      <c r="AD1320" s="78"/>
      <c r="AE1320" s="78"/>
      <c r="AF1320" s="78"/>
      <c r="AG1320" s="78"/>
      <c r="AH1320" s="78"/>
      <c r="AI1320" s="78"/>
      <c r="AJ1320" s="78"/>
      <c r="AK1320" s="78"/>
    </row>
    <row r="1321" spans="1:37">
      <c r="A1321" s="78"/>
      <c r="B1321" s="78"/>
      <c r="C1321" s="78"/>
      <c r="D1321" s="78"/>
      <c r="E1321" s="78"/>
      <c r="F1321" s="78"/>
      <c r="G1321" s="78"/>
      <c r="H1321" s="78"/>
      <c r="I1321" s="78"/>
      <c r="J1321" s="78"/>
      <c r="K1321" s="78"/>
      <c r="L1321" s="78"/>
      <c r="M1321" s="78"/>
      <c r="N1321" s="78"/>
      <c r="O1321" s="78"/>
      <c r="P1321" s="78"/>
      <c r="Q1321" s="78"/>
      <c r="R1321" s="78"/>
      <c r="S1321" s="78"/>
      <c r="T1321" s="78"/>
      <c r="U1321" s="78"/>
      <c r="V1321" s="78"/>
      <c r="W1321" s="78"/>
      <c r="X1321" s="78"/>
      <c r="Y1321" s="78"/>
      <c r="Z1321" s="78"/>
      <c r="AA1321" s="78"/>
      <c r="AB1321" s="78"/>
      <c r="AC1321" s="78"/>
      <c r="AD1321" s="78"/>
      <c r="AE1321" s="78"/>
      <c r="AF1321" s="78"/>
      <c r="AG1321" s="78"/>
      <c r="AH1321" s="78"/>
      <c r="AI1321" s="78"/>
      <c r="AJ1321" s="78"/>
      <c r="AK1321" s="78"/>
    </row>
    <row r="1322" spans="1:37">
      <c r="A1322" s="78"/>
      <c r="B1322" s="78"/>
      <c r="C1322" s="78"/>
      <c r="D1322" s="78"/>
      <c r="E1322" s="78"/>
      <c r="F1322" s="78"/>
      <c r="G1322" s="78"/>
      <c r="H1322" s="78"/>
      <c r="I1322" s="78"/>
      <c r="J1322" s="78"/>
      <c r="K1322" s="78"/>
      <c r="L1322" s="78"/>
      <c r="M1322" s="78"/>
      <c r="N1322" s="78"/>
      <c r="O1322" s="78"/>
      <c r="P1322" s="78"/>
      <c r="Q1322" s="78"/>
      <c r="R1322" s="78"/>
      <c r="S1322" s="78"/>
      <c r="T1322" s="78"/>
      <c r="U1322" s="78"/>
      <c r="V1322" s="78"/>
      <c r="W1322" s="78"/>
      <c r="X1322" s="78"/>
      <c r="Y1322" s="78"/>
      <c r="Z1322" s="78"/>
      <c r="AA1322" s="78"/>
      <c r="AB1322" s="78"/>
      <c r="AC1322" s="78"/>
      <c r="AD1322" s="78"/>
      <c r="AE1322" s="78"/>
      <c r="AF1322" s="78"/>
      <c r="AG1322" s="78"/>
      <c r="AH1322" s="78"/>
      <c r="AI1322" s="78"/>
      <c r="AJ1322" s="78"/>
      <c r="AK1322" s="78"/>
    </row>
    <row r="1323" spans="1:37">
      <c r="A1323" s="78"/>
      <c r="B1323" s="78"/>
      <c r="C1323" s="78"/>
      <c r="D1323" s="78"/>
      <c r="E1323" s="78"/>
      <c r="F1323" s="78"/>
      <c r="G1323" s="78"/>
      <c r="H1323" s="78"/>
      <c r="I1323" s="78"/>
      <c r="J1323" s="78"/>
      <c r="K1323" s="78"/>
      <c r="L1323" s="78"/>
      <c r="M1323" s="78"/>
      <c r="N1323" s="78"/>
      <c r="O1323" s="78"/>
      <c r="P1323" s="78"/>
      <c r="Q1323" s="78"/>
      <c r="R1323" s="78"/>
      <c r="S1323" s="78"/>
      <c r="T1323" s="78"/>
      <c r="U1323" s="78"/>
      <c r="V1323" s="78"/>
      <c r="W1323" s="78"/>
      <c r="X1323" s="78"/>
      <c r="Y1323" s="78"/>
      <c r="Z1323" s="78"/>
      <c r="AA1323" s="78"/>
      <c r="AB1323" s="78"/>
      <c r="AC1323" s="78"/>
      <c r="AD1323" s="78"/>
      <c r="AE1323" s="78"/>
      <c r="AF1323" s="78"/>
      <c r="AG1323" s="78"/>
      <c r="AH1323" s="78"/>
      <c r="AI1323" s="78"/>
      <c r="AJ1323" s="78"/>
      <c r="AK1323" s="78"/>
    </row>
    <row r="1324" spans="1:37">
      <c r="A1324" s="78"/>
      <c r="B1324" s="78"/>
      <c r="C1324" s="78"/>
      <c r="D1324" s="78"/>
      <c r="E1324" s="78"/>
      <c r="F1324" s="78"/>
      <c r="G1324" s="78"/>
      <c r="H1324" s="78"/>
      <c r="I1324" s="78"/>
      <c r="J1324" s="78"/>
      <c r="K1324" s="78"/>
      <c r="L1324" s="78"/>
      <c r="M1324" s="78"/>
      <c r="N1324" s="78"/>
      <c r="O1324" s="78"/>
      <c r="P1324" s="78"/>
      <c r="Q1324" s="78"/>
      <c r="R1324" s="78"/>
      <c r="S1324" s="78"/>
      <c r="T1324" s="78"/>
      <c r="U1324" s="78"/>
      <c r="V1324" s="78"/>
      <c r="W1324" s="78"/>
      <c r="X1324" s="78"/>
      <c r="Y1324" s="78"/>
      <c r="Z1324" s="78"/>
      <c r="AA1324" s="78"/>
      <c r="AB1324" s="78"/>
      <c r="AC1324" s="78"/>
      <c r="AD1324" s="78"/>
      <c r="AE1324" s="78"/>
      <c r="AF1324" s="78"/>
      <c r="AG1324" s="78"/>
      <c r="AH1324" s="78"/>
      <c r="AI1324" s="78"/>
      <c r="AJ1324" s="78"/>
      <c r="AK1324" s="78"/>
    </row>
    <row r="1325" spans="1:37">
      <c r="A1325" s="78"/>
      <c r="B1325" s="78"/>
      <c r="C1325" s="78"/>
      <c r="D1325" s="78"/>
      <c r="E1325" s="78"/>
      <c r="F1325" s="78"/>
      <c r="G1325" s="78"/>
      <c r="H1325" s="78"/>
      <c r="I1325" s="78"/>
      <c r="J1325" s="78"/>
      <c r="K1325" s="78"/>
      <c r="L1325" s="78"/>
      <c r="M1325" s="78"/>
      <c r="N1325" s="78"/>
      <c r="O1325" s="78"/>
      <c r="P1325" s="78"/>
      <c r="Q1325" s="78"/>
      <c r="R1325" s="78"/>
      <c r="S1325" s="78"/>
      <c r="T1325" s="78"/>
      <c r="U1325" s="78"/>
      <c r="V1325" s="78"/>
      <c r="W1325" s="78"/>
      <c r="X1325" s="78"/>
      <c r="Y1325" s="78"/>
      <c r="Z1325" s="78"/>
      <c r="AA1325" s="78"/>
      <c r="AB1325" s="78"/>
      <c r="AC1325" s="78"/>
      <c r="AD1325" s="78"/>
      <c r="AE1325" s="78"/>
      <c r="AF1325" s="78"/>
      <c r="AG1325" s="78"/>
      <c r="AH1325" s="78"/>
      <c r="AI1325" s="78"/>
      <c r="AJ1325" s="78"/>
      <c r="AK1325" s="78"/>
    </row>
    <row r="1326" spans="1:37">
      <c r="A1326" s="78"/>
      <c r="B1326" s="78"/>
      <c r="C1326" s="78"/>
      <c r="D1326" s="78"/>
      <c r="E1326" s="78"/>
      <c r="F1326" s="78"/>
      <c r="G1326" s="78"/>
      <c r="H1326" s="78"/>
      <c r="I1326" s="78"/>
      <c r="J1326" s="78"/>
      <c r="K1326" s="78"/>
      <c r="L1326" s="78"/>
      <c r="M1326" s="78"/>
      <c r="N1326" s="78"/>
      <c r="O1326" s="78"/>
      <c r="P1326" s="78"/>
      <c r="Q1326" s="78"/>
      <c r="R1326" s="78"/>
      <c r="S1326" s="78"/>
      <c r="T1326" s="78"/>
      <c r="U1326" s="78"/>
      <c r="V1326" s="78"/>
      <c r="W1326" s="78"/>
      <c r="X1326" s="78"/>
      <c r="Y1326" s="78"/>
      <c r="Z1326" s="78"/>
      <c r="AA1326" s="78"/>
      <c r="AB1326" s="78"/>
      <c r="AC1326" s="78"/>
      <c r="AD1326" s="78"/>
      <c r="AE1326" s="78"/>
      <c r="AF1326" s="78"/>
      <c r="AG1326" s="78"/>
      <c r="AH1326" s="78"/>
      <c r="AI1326" s="78"/>
      <c r="AJ1326" s="78"/>
      <c r="AK1326" s="78"/>
    </row>
    <row r="1327" spans="1:37">
      <c r="A1327" s="78"/>
      <c r="B1327" s="78"/>
      <c r="C1327" s="78"/>
      <c r="D1327" s="78"/>
      <c r="E1327" s="78"/>
      <c r="F1327" s="78"/>
      <c r="G1327" s="78"/>
      <c r="H1327" s="78"/>
      <c r="I1327" s="78"/>
      <c r="J1327" s="78"/>
      <c r="K1327" s="78"/>
      <c r="L1327" s="78"/>
      <c r="M1327" s="78"/>
      <c r="N1327" s="78"/>
      <c r="O1327" s="78"/>
      <c r="P1327" s="78"/>
      <c r="Q1327" s="78"/>
      <c r="R1327" s="78"/>
      <c r="S1327" s="78"/>
      <c r="T1327" s="78"/>
      <c r="U1327" s="78"/>
      <c r="V1327" s="78"/>
      <c r="W1327" s="78"/>
      <c r="X1327" s="78"/>
      <c r="Y1327" s="78"/>
      <c r="Z1327" s="78"/>
      <c r="AA1327" s="78"/>
      <c r="AB1327" s="78"/>
      <c r="AC1327" s="78"/>
      <c r="AD1327" s="78"/>
      <c r="AE1327" s="78"/>
      <c r="AF1327" s="78"/>
      <c r="AG1327" s="78"/>
      <c r="AH1327" s="78"/>
      <c r="AI1327" s="78"/>
      <c r="AJ1327" s="78"/>
      <c r="AK1327" s="78"/>
    </row>
    <row r="1328" spans="1:37">
      <c r="A1328" s="78"/>
      <c r="B1328" s="78"/>
      <c r="C1328" s="78"/>
      <c r="D1328" s="78"/>
      <c r="E1328" s="78"/>
      <c r="F1328" s="78"/>
      <c r="G1328" s="78"/>
      <c r="H1328" s="78"/>
      <c r="I1328" s="78"/>
      <c r="J1328" s="78"/>
      <c r="K1328" s="78"/>
      <c r="L1328" s="78"/>
      <c r="M1328" s="78"/>
      <c r="N1328" s="78"/>
      <c r="O1328" s="78"/>
      <c r="P1328" s="78"/>
      <c r="Q1328" s="78"/>
      <c r="R1328" s="78"/>
      <c r="S1328" s="78"/>
      <c r="T1328" s="78"/>
      <c r="U1328" s="78"/>
      <c r="V1328" s="78"/>
      <c r="W1328" s="78"/>
      <c r="X1328" s="78"/>
      <c r="Y1328" s="78"/>
      <c r="Z1328" s="78"/>
      <c r="AA1328" s="78"/>
      <c r="AB1328" s="78"/>
      <c r="AC1328" s="78"/>
      <c r="AD1328" s="78"/>
      <c r="AE1328" s="78"/>
      <c r="AF1328" s="78"/>
      <c r="AG1328" s="78"/>
      <c r="AH1328" s="78"/>
      <c r="AI1328" s="78"/>
      <c r="AJ1328" s="78"/>
      <c r="AK1328" s="78"/>
    </row>
    <row r="1329" spans="1:37">
      <c r="A1329" s="78"/>
      <c r="B1329" s="78"/>
      <c r="C1329" s="78"/>
      <c r="D1329" s="78"/>
      <c r="E1329" s="78"/>
      <c r="F1329" s="78"/>
      <c r="G1329" s="78"/>
      <c r="H1329" s="78"/>
      <c r="I1329" s="78"/>
      <c r="J1329" s="78"/>
      <c r="K1329" s="78"/>
      <c r="L1329" s="78"/>
      <c r="M1329" s="78"/>
      <c r="N1329" s="78"/>
      <c r="O1329" s="78"/>
      <c r="P1329" s="78"/>
      <c r="Q1329" s="78"/>
      <c r="R1329" s="78"/>
      <c r="S1329" s="78"/>
      <c r="T1329" s="78"/>
      <c r="U1329" s="78"/>
      <c r="V1329" s="78"/>
      <c r="W1329" s="78"/>
      <c r="X1329" s="78"/>
      <c r="Y1329" s="78"/>
      <c r="Z1329" s="78"/>
      <c r="AA1329" s="78"/>
      <c r="AB1329" s="78"/>
      <c r="AC1329" s="78"/>
      <c r="AD1329" s="78"/>
      <c r="AE1329" s="78"/>
      <c r="AF1329" s="78"/>
      <c r="AG1329" s="78"/>
      <c r="AH1329" s="78"/>
      <c r="AI1329" s="78"/>
      <c r="AJ1329" s="78"/>
      <c r="AK1329" s="78"/>
    </row>
    <row r="1330" spans="1:37">
      <c r="A1330" s="78"/>
      <c r="B1330" s="78"/>
      <c r="C1330" s="78"/>
      <c r="D1330" s="78"/>
      <c r="E1330" s="78"/>
      <c r="F1330" s="78"/>
      <c r="G1330" s="78"/>
      <c r="H1330" s="78"/>
      <c r="I1330" s="78"/>
      <c r="J1330" s="78"/>
      <c r="K1330" s="78"/>
      <c r="L1330" s="78"/>
      <c r="M1330" s="78"/>
      <c r="N1330" s="78"/>
      <c r="O1330" s="78"/>
      <c r="P1330" s="78"/>
      <c r="Q1330" s="78"/>
      <c r="R1330" s="78"/>
      <c r="S1330" s="78"/>
      <c r="T1330" s="78"/>
      <c r="U1330" s="78"/>
      <c r="V1330" s="78"/>
      <c r="W1330" s="78"/>
      <c r="X1330" s="78"/>
      <c r="Y1330" s="78"/>
      <c r="Z1330" s="78"/>
      <c r="AA1330" s="78"/>
      <c r="AB1330" s="78"/>
      <c r="AC1330" s="78"/>
      <c r="AD1330" s="78"/>
      <c r="AE1330" s="78"/>
      <c r="AF1330" s="78"/>
      <c r="AG1330" s="78"/>
      <c r="AH1330" s="78"/>
      <c r="AI1330" s="78"/>
      <c r="AJ1330" s="78"/>
      <c r="AK1330" s="78"/>
    </row>
    <row r="1331" spans="1:37">
      <c r="A1331" s="78"/>
      <c r="B1331" s="78"/>
      <c r="C1331" s="78"/>
      <c r="D1331" s="78"/>
      <c r="E1331" s="78"/>
      <c r="F1331" s="78"/>
      <c r="G1331" s="78"/>
      <c r="H1331" s="78"/>
      <c r="I1331" s="78"/>
      <c r="J1331" s="78"/>
      <c r="K1331" s="78"/>
      <c r="L1331" s="78"/>
      <c r="M1331" s="78"/>
      <c r="N1331" s="78"/>
      <c r="O1331" s="78"/>
      <c r="P1331" s="78"/>
      <c r="Q1331" s="78"/>
      <c r="R1331" s="78"/>
      <c r="S1331" s="78"/>
      <c r="T1331" s="78"/>
      <c r="U1331" s="78"/>
      <c r="V1331" s="78"/>
      <c r="W1331" s="78"/>
      <c r="X1331" s="78"/>
      <c r="Y1331" s="78"/>
      <c r="Z1331" s="78"/>
      <c r="AA1331" s="78"/>
      <c r="AB1331" s="78"/>
      <c r="AC1331" s="78"/>
      <c r="AD1331" s="78"/>
      <c r="AE1331" s="78"/>
      <c r="AF1331" s="78"/>
      <c r="AG1331" s="78"/>
      <c r="AH1331" s="78"/>
      <c r="AI1331" s="78"/>
      <c r="AJ1331" s="78"/>
      <c r="AK1331" s="78"/>
    </row>
    <row r="1332" spans="1:37">
      <c r="A1332" s="78"/>
      <c r="B1332" s="78"/>
      <c r="C1332" s="78"/>
      <c r="D1332" s="78"/>
      <c r="E1332" s="78"/>
      <c r="F1332" s="78"/>
      <c r="G1332" s="78"/>
      <c r="H1332" s="78"/>
      <c r="I1332" s="78"/>
      <c r="J1332" s="78"/>
      <c r="K1332" s="78"/>
      <c r="L1332" s="78"/>
      <c r="M1332" s="78"/>
      <c r="N1332" s="78"/>
      <c r="O1332" s="78"/>
      <c r="P1332" s="78"/>
      <c r="Q1332" s="78"/>
      <c r="R1332" s="78"/>
      <c r="S1332" s="78"/>
      <c r="T1332" s="78"/>
      <c r="U1332" s="78"/>
      <c r="V1332" s="78"/>
      <c r="W1332" s="78"/>
      <c r="X1332" s="78"/>
      <c r="Y1332" s="78"/>
      <c r="Z1332" s="78"/>
      <c r="AA1332" s="78"/>
      <c r="AB1332" s="78"/>
      <c r="AC1332" s="78"/>
      <c r="AD1332" s="78"/>
      <c r="AE1332" s="78"/>
      <c r="AF1332" s="78"/>
      <c r="AG1332" s="78"/>
      <c r="AH1332" s="78"/>
      <c r="AI1332" s="78"/>
      <c r="AJ1332" s="78"/>
      <c r="AK1332" s="78"/>
    </row>
    <row r="1333" spans="1:37">
      <c r="A1333" s="78"/>
      <c r="B1333" s="78"/>
      <c r="C1333" s="78"/>
      <c r="D1333" s="78"/>
      <c r="E1333" s="78"/>
      <c r="F1333" s="78"/>
      <c r="G1333" s="78"/>
      <c r="H1333" s="78"/>
      <c r="I1333" s="78"/>
      <c r="J1333" s="78"/>
      <c r="K1333" s="78"/>
      <c r="L1333" s="78"/>
      <c r="M1333" s="78"/>
      <c r="N1333" s="78"/>
      <c r="O1333" s="78"/>
      <c r="P1333" s="78"/>
      <c r="Q1333" s="78"/>
      <c r="R1333" s="78"/>
      <c r="S1333" s="78"/>
      <c r="T1333" s="78"/>
      <c r="U1333" s="78"/>
      <c r="V1333" s="78"/>
      <c r="W1333" s="78"/>
      <c r="X1333" s="78"/>
      <c r="Y1333" s="78"/>
      <c r="Z1333" s="78"/>
      <c r="AA1333" s="78"/>
      <c r="AB1333" s="78"/>
      <c r="AC1333" s="78"/>
      <c r="AD1333" s="78"/>
      <c r="AE1333" s="78"/>
      <c r="AF1333" s="78"/>
      <c r="AG1333" s="78"/>
      <c r="AH1333" s="78"/>
      <c r="AI1333" s="78"/>
      <c r="AJ1333" s="78"/>
      <c r="AK1333" s="78"/>
    </row>
    <row r="1334" spans="1:37">
      <c r="A1334" s="78"/>
      <c r="B1334" s="78"/>
      <c r="C1334" s="78"/>
      <c r="D1334" s="78"/>
      <c r="E1334" s="78"/>
      <c r="F1334" s="78"/>
      <c r="G1334" s="78"/>
      <c r="H1334" s="78"/>
      <c r="I1334" s="78"/>
      <c r="J1334" s="78"/>
      <c r="K1334" s="78"/>
      <c r="L1334" s="78"/>
      <c r="M1334" s="78"/>
      <c r="N1334" s="78"/>
      <c r="O1334" s="78"/>
      <c r="P1334" s="78"/>
      <c r="Q1334" s="78"/>
      <c r="R1334" s="78"/>
      <c r="S1334" s="78"/>
      <c r="T1334" s="78"/>
      <c r="U1334" s="78"/>
      <c r="V1334" s="78"/>
      <c r="W1334" s="78"/>
      <c r="X1334" s="78"/>
      <c r="Y1334" s="78"/>
      <c r="Z1334" s="78"/>
      <c r="AA1334" s="78"/>
      <c r="AB1334" s="78"/>
      <c r="AC1334" s="78"/>
      <c r="AD1334" s="78"/>
      <c r="AE1334" s="78"/>
      <c r="AF1334" s="78"/>
      <c r="AG1334" s="78"/>
      <c r="AH1334" s="78"/>
      <c r="AI1334" s="78"/>
      <c r="AJ1334" s="78"/>
      <c r="AK1334" s="78"/>
    </row>
    <row r="1335" spans="1:37">
      <c r="A1335" s="78"/>
      <c r="B1335" s="78"/>
      <c r="C1335" s="78"/>
      <c r="D1335" s="78"/>
      <c r="E1335" s="78"/>
      <c r="F1335" s="78"/>
      <c r="G1335" s="78"/>
      <c r="H1335" s="78"/>
      <c r="I1335" s="78"/>
      <c r="J1335" s="78"/>
      <c r="K1335" s="78"/>
      <c r="L1335" s="78"/>
      <c r="M1335" s="78"/>
      <c r="N1335" s="78"/>
      <c r="O1335" s="78"/>
      <c r="P1335" s="78"/>
      <c r="Q1335" s="78"/>
      <c r="R1335" s="78"/>
      <c r="S1335" s="78"/>
      <c r="T1335" s="78"/>
      <c r="U1335" s="78"/>
      <c r="V1335" s="78"/>
      <c r="W1335" s="78"/>
      <c r="X1335" s="78"/>
      <c r="Y1335" s="78"/>
      <c r="Z1335" s="78"/>
      <c r="AA1335" s="78"/>
      <c r="AB1335" s="78"/>
      <c r="AC1335" s="78"/>
      <c r="AD1335" s="78"/>
      <c r="AE1335" s="78"/>
      <c r="AF1335" s="78"/>
      <c r="AG1335" s="78"/>
      <c r="AH1335" s="78"/>
      <c r="AI1335" s="78"/>
      <c r="AJ1335" s="78"/>
      <c r="AK1335" s="78"/>
    </row>
    <row r="1336" spans="1:37">
      <c r="A1336" s="78"/>
      <c r="B1336" s="78"/>
      <c r="C1336" s="78"/>
      <c r="D1336" s="78"/>
      <c r="E1336" s="78"/>
      <c r="F1336" s="78"/>
      <c r="G1336" s="78"/>
      <c r="H1336" s="78"/>
      <c r="I1336" s="78"/>
      <c r="J1336" s="78"/>
      <c r="K1336" s="78"/>
      <c r="L1336" s="78"/>
      <c r="M1336" s="78"/>
      <c r="N1336" s="78"/>
      <c r="O1336" s="78"/>
      <c r="P1336" s="78"/>
      <c r="Q1336" s="78"/>
      <c r="R1336" s="78"/>
      <c r="S1336" s="78"/>
      <c r="T1336" s="78"/>
      <c r="U1336" s="78"/>
      <c r="V1336" s="78"/>
      <c r="W1336" s="78"/>
      <c r="X1336" s="78"/>
      <c r="Y1336" s="78"/>
      <c r="Z1336" s="78"/>
      <c r="AA1336" s="78"/>
      <c r="AB1336" s="78"/>
      <c r="AC1336" s="78"/>
      <c r="AD1336" s="78"/>
      <c r="AE1336" s="78"/>
      <c r="AF1336" s="78"/>
      <c r="AG1336" s="78"/>
      <c r="AH1336" s="78"/>
      <c r="AI1336" s="78"/>
      <c r="AJ1336" s="78"/>
      <c r="AK1336" s="78"/>
    </row>
    <row r="1337" spans="1:37">
      <c r="A1337" s="78"/>
      <c r="B1337" s="78"/>
      <c r="C1337" s="78"/>
      <c r="D1337" s="78"/>
      <c r="E1337" s="78"/>
      <c r="F1337" s="78"/>
      <c r="G1337" s="78"/>
      <c r="H1337" s="78"/>
      <c r="I1337" s="78"/>
      <c r="J1337" s="78"/>
      <c r="K1337" s="78"/>
      <c r="L1337" s="78"/>
      <c r="M1337" s="78"/>
      <c r="N1337" s="78"/>
      <c r="O1337" s="78"/>
      <c r="P1337" s="78"/>
      <c r="Q1337" s="78"/>
      <c r="R1337" s="78"/>
      <c r="S1337" s="78"/>
      <c r="T1337" s="78"/>
      <c r="U1337" s="78"/>
      <c r="V1337" s="78"/>
      <c r="W1337" s="78"/>
      <c r="X1337" s="78"/>
      <c r="Y1337" s="78"/>
      <c r="Z1337" s="78"/>
      <c r="AA1337" s="78"/>
      <c r="AB1337" s="78"/>
      <c r="AC1337" s="78"/>
      <c r="AD1337" s="78"/>
      <c r="AE1337" s="78"/>
      <c r="AF1337" s="78"/>
      <c r="AG1337" s="78"/>
      <c r="AH1337" s="78"/>
      <c r="AI1337" s="78"/>
      <c r="AJ1337" s="78"/>
      <c r="AK1337" s="78"/>
    </row>
    <row r="1338" spans="1:37">
      <c r="A1338" s="78"/>
      <c r="B1338" s="78"/>
      <c r="C1338" s="78"/>
      <c r="D1338" s="78"/>
      <c r="E1338" s="78"/>
      <c r="F1338" s="78"/>
      <c r="G1338" s="78"/>
      <c r="H1338" s="78"/>
      <c r="I1338" s="78"/>
      <c r="J1338" s="78"/>
      <c r="K1338" s="78"/>
      <c r="L1338" s="78"/>
      <c r="M1338" s="78"/>
      <c r="N1338" s="78"/>
      <c r="O1338" s="78"/>
      <c r="P1338" s="78"/>
      <c r="Q1338" s="78"/>
      <c r="R1338" s="78"/>
      <c r="S1338" s="78"/>
      <c r="T1338" s="78"/>
      <c r="U1338" s="78"/>
      <c r="V1338" s="78"/>
      <c r="W1338" s="78"/>
      <c r="X1338" s="78"/>
      <c r="Y1338" s="78"/>
      <c r="Z1338" s="78"/>
      <c r="AA1338" s="78"/>
      <c r="AB1338" s="78"/>
      <c r="AC1338" s="78"/>
      <c r="AD1338" s="78"/>
      <c r="AE1338" s="78"/>
      <c r="AF1338" s="78"/>
      <c r="AG1338" s="78"/>
      <c r="AH1338" s="78"/>
      <c r="AI1338" s="78"/>
      <c r="AJ1338" s="78"/>
      <c r="AK1338" s="78"/>
    </row>
    <row r="1339" spans="1:37">
      <c r="A1339" s="78"/>
      <c r="B1339" s="78"/>
      <c r="C1339" s="78"/>
      <c r="D1339" s="78"/>
      <c r="E1339" s="78"/>
      <c r="F1339" s="78"/>
      <c r="G1339" s="78"/>
      <c r="H1339" s="78"/>
      <c r="I1339" s="78"/>
      <c r="J1339" s="78"/>
      <c r="K1339" s="78"/>
      <c r="L1339" s="78"/>
      <c r="M1339" s="78"/>
      <c r="N1339" s="78"/>
      <c r="O1339" s="78"/>
      <c r="P1339" s="78"/>
      <c r="Q1339" s="78"/>
      <c r="R1339" s="78"/>
      <c r="S1339" s="78"/>
      <c r="T1339" s="78"/>
      <c r="U1339" s="78"/>
      <c r="V1339" s="78"/>
      <c r="W1339" s="78"/>
      <c r="X1339" s="78"/>
      <c r="Y1339" s="78"/>
      <c r="Z1339" s="78"/>
      <c r="AA1339" s="78"/>
      <c r="AB1339" s="78"/>
      <c r="AC1339" s="78"/>
      <c r="AD1339" s="78"/>
      <c r="AE1339" s="78"/>
      <c r="AF1339" s="78"/>
      <c r="AG1339" s="78"/>
      <c r="AH1339" s="78"/>
      <c r="AI1339" s="78"/>
      <c r="AJ1339" s="78"/>
      <c r="AK1339" s="78"/>
    </row>
    <row r="1340" spans="1:37">
      <c r="A1340" s="78"/>
      <c r="B1340" s="78"/>
      <c r="C1340" s="78"/>
      <c r="D1340" s="78"/>
      <c r="E1340" s="78"/>
      <c r="F1340" s="78"/>
      <c r="G1340" s="78"/>
      <c r="H1340" s="78"/>
      <c r="I1340" s="78"/>
      <c r="J1340" s="78"/>
      <c r="K1340" s="78"/>
      <c r="L1340" s="78"/>
      <c r="M1340" s="78"/>
      <c r="N1340" s="78"/>
      <c r="O1340" s="78"/>
      <c r="P1340" s="78"/>
      <c r="Q1340" s="78"/>
      <c r="R1340" s="78"/>
      <c r="S1340" s="78"/>
      <c r="T1340" s="78"/>
      <c r="U1340" s="78"/>
      <c r="V1340" s="78"/>
      <c r="W1340" s="78"/>
      <c r="X1340" s="78"/>
      <c r="Y1340" s="78"/>
      <c r="Z1340" s="78"/>
      <c r="AA1340" s="78"/>
      <c r="AB1340" s="78"/>
      <c r="AC1340" s="78"/>
      <c r="AD1340" s="78"/>
      <c r="AE1340" s="78"/>
      <c r="AF1340" s="78"/>
      <c r="AG1340" s="78"/>
      <c r="AH1340" s="78"/>
      <c r="AI1340" s="78"/>
      <c r="AJ1340" s="78"/>
      <c r="AK1340" s="78"/>
    </row>
    <row r="1341" spans="1:37">
      <c r="A1341" s="78"/>
      <c r="B1341" s="78"/>
      <c r="C1341" s="78"/>
      <c r="D1341" s="78"/>
      <c r="E1341" s="78"/>
      <c r="F1341" s="78"/>
      <c r="G1341" s="78"/>
      <c r="H1341" s="78"/>
      <c r="I1341" s="78"/>
      <c r="J1341" s="78"/>
      <c r="K1341" s="78"/>
      <c r="L1341" s="78"/>
      <c r="M1341" s="78"/>
      <c r="N1341" s="78"/>
      <c r="O1341" s="78"/>
      <c r="P1341" s="78"/>
      <c r="Q1341" s="78"/>
      <c r="R1341" s="78"/>
      <c r="S1341" s="78"/>
      <c r="T1341" s="78"/>
      <c r="U1341" s="78"/>
      <c r="V1341" s="78"/>
      <c r="W1341" s="78"/>
      <c r="X1341" s="78"/>
      <c r="Y1341" s="78"/>
      <c r="Z1341" s="78"/>
      <c r="AA1341" s="78"/>
      <c r="AB1341" s="78"/>
      <c r="AC1341" s="78"/>
      <c r="AD1341" s="78"/>
      <c r="AE1341" s="78"/>
      <c r="AF1341" s="78"/>
      <c r="AG1341" s="78"/>
      <c r="AH1341" s="78"/>
      <c r="AI1341" s="78"/>
      <c r="AJ1341" s="78"/>
      <c r="AK1341" s="78"/>
    </row>
    <row r="1342" spans="1:37">
      <c r="A1342" s="78"/>
      <c r="B1342" s="78"/>
      <c r="C1342" s="78"/>
      <c r="D1342" s="78"/>
      <c r="E1342" s="78"/>
      <c r="F1342" s="78"/>
      <c r="G1342" s="78"/>
      <c r="H1342" s="78"/>
      <c r="I1342" s="78"/>
      <c r="J1342" s="78"/>
      <c r="K1342" s="78"/>
      <c r="L1342" s="78"/>
      <c r="M1342" s="78"/>
      <c r="N1342" s="78"/>
      <c r="O1342" s="78"/>
      <c r="P1342" s="78"/>
      <c r="Q1342" s="78"/>
      <c r="R1342" s="78"/>
      <c r="S1342" s="78"/>
      <c r="T1342" s="78"/>
      <c r="U1342" s="78"/>
      <c r="V1342" s="78"/>
      <c r="W1342" s="78"/>
      <c r="X1342" s="78"/>
      <c r="Y1342" s="78"/>
      <c r="Z1342" s="78"/>
      <c r="AA1342" s="78"/>
      <c r="AB1342" s="78"/>
      <c r="AC1342" s="78"/>
      <c r="AD1342" s="78"/>
      <c r="AE1342" s="78"/>
      <c r="AF1342" s="78"/>
      <c r="AG1342" s="78"/>
      <c r="AH1342" s="78"/>
      <c r="AI1342" s="78"/>
      <c r="AJ1342" s="78"/>
      <c r="AK1342" s="78"/>
    </row>
    <row r="1343" spans="1:37">
      <c r="A1343" s="78"/>
      <c r="B1343" s="78"/>
      <c r="C1343" s="78"/>
      <c r="D1343" s="78"/>
      <c r="E1343" s="78"/>
      <c r="F1343" s="78"/>
      <c r="G1343" s="78"/>
      <c r="H1343" s="78"/>
      <c r="I1343" s="78"/>
      <c r="J1343" s="78"/>
      <c r="K1343" s="78"/>
      <c r="L1343" s="78"/>
      <c r="M1343" s="78"/>
      <c r="N1343" s="78"/>
      <c r="O1343" s="78"/>
      <c r="P1343" s="78"/>
      <c r="Q1343" s="78"/>
      <c r="R1343" s="78"/>
      <c r="S1343" s="78"/>
      <c r="T1343" s="78"/>
      <c r="U1343" s="78"/>
      <c r="V1343" s="78"/>
      <c r="W1343" s="78"/>
      <c r="X1343" s="78"/>
      <c r="Y1343" s="78"/>
      <c r="Z1343" s="78"/>
      <c r="AA1343" s="78"/>
      <c r="AB1343" s="78"/>
      <c r="AC1343" s="78"/>
      <c r="AD1343" s="78"/>
      <c r="AE1343" s="78"/>
      <c r="AF1343" s="78"/>
      <c r="AG1343" s="78"/>
      <c r="AH1343" s="78"/>
      <c r="AI1343" s="78"/>
      <c r="AJ1343" s="78"/>
      <c r="AK1343" s="78"/>
    </row>
    <row r="1344" spans="1:37">
      <c r="A1344" s="78"/>
      <c r="B1344" s="78"/>
      <c r="C1344" s="78"/>
      <c r="D1344" s="78"/>
      <c r="E1344" s="78"/>
      <c r="F1344" s="78"/>
      <c r="G1344" s="78"/>
      <c r="H1344" s="78"/>
      <c r="I1344" s="78"/>
      <c r="J1344" s="78"/>
      <c r="K1344" s="78"/>
      <c r="L1344" s="78"/>
      <c r="M1344" s="78"/>
      <c r="N1344" s="78"/>
      <c r="O1344" s="78"/>
      <c r="P1344" s="78"/>
      <c r="Q1344" s="78"/>
      <c r="R1344" s="78"/>
      <c r="S1344" s="78"/>
      <c r="T1344" s="78"/>
      <c r="U1344" s="78"/>
      <c r="V1344" s="78"/>
      <c r="W1344" s="78"/>
      <c r="X1344" s="78"/>
      <c r="Y1344" s="78"/>
      <c r="Z1344" s="78"/>
      <c r="AA1344" s="78"/>
      <c r="AB1344" s="78"/>
      <c r="AC1344" s="78"/>
      <c r="AD1344" s="78"/>
      <c r="AE1344" s="78"/>
      <c r="AF1344" s="78"/>
      <c r="AG1344" s="78"/>
      <c r="AH1344" s="78"/>
      <c r="AI1344" s="78"/>
      <c r="AJ1344" s="78"/>
      <c r="AK1344" s="78"/>
    </row>
    <row r="1345" spans="1:37">
      <c r="A1345" s="78"/>
      <c r="B1345" s="78"/>
      <c r="C1345" s="78"/>
      <c r="D1345" s="78"/>
      <c r="E1345" s="78"/>
      <c r="F1345" s="78"/>
      <c r="G1345" s="78"/>
      <c r="H1345" s="78"/>
      <c r="I1345" s="78"/>
      <c r="J1345" s="78"/>
      <c r="K1345" s="78"/>
      <c r="L1345" s="78"/>
      <c r="M1345" s="78"/>
      <c r="N1345" s="78"/>
      <c r="O1345" s="78"/>
      <c r="P1345" s="78"/>
      <c r="Q1345" s="78"/>
      <c r="R1345" s="78"/>
      <c r="S1345" s="78"/>
      <c r="T1345" s="78"/>
      <c r="U1345" s="78"/>
      <c r="V1345" s="78"/>
      <c r="W1345" s="78"/>
      <c r="X1345" s="78"/>
      <c r="Y1345" s="78"/>
      <c r="Z1345" s="78"/>
      <c r="AA1345" s="78"/>
      <c r="AB1345" s="78"/>
      <c r="AC1345" s="78"/>
      <c r="AD1345" s="78"/>
      <c r="AE1345" s="78"/>
      <c r="AF1345" s="78"/>
      <c r="AG1345" s="78"/>
      <c r="AH1345" s="78"/>
      <c r="AI1345" s="78"/>
      <c r="AJ1345" s="78"/>
      <c r="AK1345" s="78"/>
    </row>
    <row r="1346" spans="1:37">
      <c r="A1346" s="78"/>
      <c r="B1346" s="78"/>
      <c r="C1346" s="78"/>
      <c r="D1346" s="78"/>
      <c r="E1346" s="78"/>
      <c r="F1346" s="78"/>
      <c r="G1346" s="78"/>
      <c r="H1346" s="78"/>
      <c r="I1346" s="78"/>
      <c r="J1346" s="78"/>
      <c r="K1346" s="78"/>
      <c r="L1346" s="78"/>
      <c r="M1346" s="78"/>
      <c r="N1346" s="78"/>
      <c r="O1346" s="78"/>
      <c r="P1346" s="78"/>
      <c r="Q1346" s="78"/>
      <c r="R1346" s="78"/>
      <c r="S1346" s="78"/>
      <c r="T1346" s="78"/>
      <c r="U1346" s="78"/>
      <c r="V1346" s="78"/>
      <c r="W1346" s="78"/>
      <c r="X1346" s="78"/>
      <c r="Y1346" s="78"/>
      <c r="Z1346" s="78"/>
      <c r="AA1346" s="78"/>
      <c r="AB1346" s="78"/>
      <c r="AC1346" s="78"/>
      <c r="AD1346" s="78"/>
      <c r="AE1346" s="78"/>
      <c r="AF1346" s="78"/>
      <c r="AG1346" s="78"/>
      <c r="AH1346" s="78"/>
      <c r="AI1346" s="78"/>
      <c r="AJ1346" s="78"/>
      <c r="AK1346" s="78"/>
    </row>
    <row r="1347" spans="1:37">
      <c r="A1347" s="78"/>
      <c r="B1347" s="78"/>
      <c r="C1347" s="78"/>
      <c r="D1347" s="78"/>
      <c r="E1347" s="78"/>
      <c r="F1347" s="78"/>
      <c r="G1347" s="78"/>
      <c r="H1347" s="78"/>
      <c r="I1347" s="78"/>
      <c r="J1347" s="78"/>
      <c r="K1347" s="78"/>
      <c r="L1347" s="78"/>
      <c r="M1347" s="78"/>
      <c r="N1347" s="78"/>
      <c r="O1347" s="78"/>
      <c r="P1347" s="78"/>
      <c r="Q1347" s="78"/>
      <c r="R1347" s="78"/>
      <c r="S1347" s="78"/>
      <c r="T1347" s="78"/>
      <c r="U1347" s="78"/>
      <c r="V1347" s="78"/>
      <c r="W1347" s="78"/>
      <c r="X1347" s="78"/>
      <c r="Y1347" s="78"/>
      <c r="Z1347" s="78"/>
      <c r="AA1347" s="78"/>
      <c r="AB1347" s="78"/>
      <c r="AC1347" s="78"/>
      <c r="AD1347" s="78"/>
      <c r="AE1347" s="78"/>
      <c r="AF1347" s="78"/>
      <c r="AG1347" s="78"/>
      <c r="AH1347" s="78"/>
      <c r="AI1347" s="78"/>
      <c r="AJ1347" s="78"/>
      <c r="AK1347" s="78"/>
    </row>
    <row r="1348" spans="1:37">
      <c r="A1348" s="78"/>
      <c r="B1348" s="78"/>
      <c r="C1348" s="78"/>
      <c r="D1348" s="78"/>
      <c r="E1348" s="78"/>
      <c r="F1348" s="78"/>
      <c r="G1348" s="78"/>
      <c r="H1348" s="78"/>
      <c r="I1348" s="78"/>
      <c r="J1348" s="78"/>
      <c r="K1348" s="78"/>
      <c r="L1348" s="78"/>
      <c r="M1348" s="78"/>
      <c r="N1348" s="78"/>
      <c r="O1348" s="78"/>
      <c r="P1348" s="78"/>
      <c r="Q1348" s="78"/>
      <c r="R1348" s="78"/>
      <c r="S1348" s="78"/>
      <c r="T1348" s="78"/>
      <c r="U1348" s="78"/>
      <c r="V1348" s="78"/>
      <c r="W1348" s="78"/>
      <c r="X1348" s="78"/>
      <c r="Y1348" s="78"/>
      <c r="Z1348" s="78"/>
      <c r="AA1348" s="78"/>
      <c r="AB1348" s="78"/>
      <c r="AC1348" s="78"/>
      <c r="AD1348" s="78"/>
      <c r="AE1348" s="78"/>
      <c r="AF1348" s="78"/>
      <c r="AG1348" s="78"/>
      <c r="AH1348" s="78"/>
      <c r="AI1348" s="78"/>
      <c r="AJ1348" s="78"/>
      <c r="AK1348" s="78"/>
    </row>
    <row r="1349" spans="1:37">
      <c r="A1349" s="78"/>
      <c r="B1349" s="78"/>
      <c r="C1349" s="78"/>
      <c r="D1349" s="78"/>
      <c r="E1349" s="78"/>
      <c r="F1349" s="78"/>
      <c r="G1349" s="78"/>
      <c r="H1349" s="78"/>
      <c r="I1349" s="78"/>
      <c r="J1349" s="78"/>
      <c r="K1349" s="78"/>
      <c r="L1349" s="78"/>
      <c r="M1349" s="78"/>
      <c r="N1349" s="78"/>
      <c r="O1349" s="78"/>
      <c r="P1349" s="78"/>
      <c r="Q1349" s="78"/>
      <c r="R1349" s="78"/>
      <c r="S1349" s="78"/>
      <c r="T1349" s="78"/>
      <c r="U1349" s="78"/>
      <c r="V1349" s="78"/>
      <c r="W1349" s="78"/>
      <c r="X1349" s="78"/>
      <c r="Y1349" s="78"/>
      <c r="Z1349" s="78"/>
      <c r="AA1349" s="78"/>
      <c r="AB1349" s="78"/>
      <c r="AC1349" s="78"/>
      <c r="AD1349" s="78"/>
      <c r="AE1349" s="78"/>
      <c r="AF1349" s="78"/>
      <c r="AG1349" s="78"/>
      <c r="AH1349" s="78"/>
      <c r="AI1349" s="78"/>
      <c r="AJ1349" s="78"/>
      <c r="AK1349" s="78"/>
    </row>
    <row r="1350" spans="1:37">
      <c r="A1350" s="78"/>
      <c r="B1350" s="78"/>
      <c r="C1350" s="78"/>
      <c r="D1350" s="78"/>
      <c r="E1350" s="78"/>
      <c r="F1350" s="78"/>
      <c r="G1350" s="78"/>
      <c r="H1350" s="78"/>
      <c r="I1350" s="78"/>
      <c r="J1350" s="78"/>
      <c r="K1350" s="78"/>
      <c r="L1350" s="78"/>
      <c r="M1350" s="78"/>
      <c r="N1350" s="78"/>
      <c r="O1350" s="78"/>
      <c r="P1350" s="78"/>
      <c r="Q1350" s="78"/>
      <c r="R1350" s="78"/>
      <c r="S1350" s="78"/>
      <c r="T1350" s="78"/>
      <c r="U1350" s="78"/>
      <c r="V1350" s="78"/>
      <c r="W1350" s="78"/>
      <c r="X1350" s="78"/>
      <c r="Y1350" s="78"/>
      <c r="Z1350" s="78"/>
      <c r="AA1350" s="78"/>
      <c r="AB1350" s="78"/>
      <c r="AC1350" s="78"/>
      <c r="AD1350" s="78"/>
      <c r="AE1350" s="78"/>
      <c r="AF1350" s="78"/>
      <c r="AG1350" s="78"/>
      <c r="AH1350" s="78"/>
      <c r="AI1350" s="78"/>
      <c r="AJ1350" s="78"/>
      <c r="AK1350" s="78"/>
    </row>
    <row r="1351" spans="1:37">
      <c r="A1351" s="78"/>
      <c r="B1351" s="78"/>
      <c r="C1351" s="78"/>
      <c r="D1351" s="78"/>
      <c r="E1351" s="78"/>
      <c r="F1351" s="78"/>
      <c r="G1351" s="78"/>
      <c r="H1351" s="78"/>
      <c r="I1351" s="78"/>
      <c r="J1351" s="78"/>
      <c r="K1351" s="78"/>
      <c r="L1351" s="78"/>
      <c r="M1351" s="78"/>
      <c r="N1351" s="78"/>
      <c r="O1351" s="78"/>
      <c r="P1351" s="78"/>
      <c r="Q1351" s="78"/>
      <c r="R1351" s="78"/>
      <c r="S1351" s="78"/>
      <c r="T1351" s="78"/>
      <c r="U1351" s="78"/>
      <c r="V1351" s="78"/>
      <c r="W1351" s="78"/>
      <c r="X1351" s="78"/>
      <c r="Y1351" s="78"/>
      <c r="Z1351" s="78"/>
      <c r="AA1351" s="78"/>
      <c r="AB1351" s="78"/>
      <c r="AC1351" s="78"/>
      <c r="AD1351" s="78"/>
      <c r="AE1351" s="78"/>
      <c r="AF1351" s="78"/>
      <c r="AG1351" s="78"/>
      <c r="AH1351" s="78"/>
      <c r="AI1351" s="78"/>
      <c r="AJ1351" s="78"/>
      <c r="AK1351" s="78"/>
    </row>
    <row r="1352" spans="1:37">
      <c r="A1352" s="78"/>
      <c r="B1352" s="78"/>
      <c r="C1352" s="78"/>
      <c r="D1352" s="78"/>
      <c r="E1352" s="78"/>
      <c r="F1352" s="78"/>
      <c r="G1352" s="78"/>
      <c r="H1352" s="78"/>
      <c r="I1352" s="78"/>
      <c r="J1352" s="78"/>
      <c r="K1352" s="78"/>
      <c r="L1352" s="78"/>
      <c r="M1352" s="78"/>
      <c r="N1352" s="78"/>
      <c r="O1352" s="78"/>
      <c r="P1352" s="78"/>
      <c r="Q1352" s="78"/>
      <c r="R1352" s="78"/>
      <c r="S1352" s="78"/>
      <c r="T1352" s="78"/>
      <c r="U1352" s="78"/>
      <c r="V1352" s="78"/>
      <c r="W1352" s="78"/>
      <c r="X1352" s="78"/>
      <c r="Y1352" s="78"/>
      <c r="Z1352" s="78"/>
      <c r="AA1352" s="78"/>
      <c r="AB1352" s="78"/>
      <c r="AC1352" s="78"/>
      <c r="AD1352" s="78"/>
      <c r="AE1352" s="78"/>
      <c r="AF1352" s="78"/>
      <c r="AG1352" s="78"/>
      <c r="AH1352" s="78"/>
      <c r="AI1352" s="78"/>
      <c r="AJ1352" s="78"/>
      <c r="AK1352" s="78"/>
    </row>
    <row r="1353" spans="1:37">
      <c r="A1353" s="78"/>
      <c r="B1353" s="78"/>
      <c r="C1353" s="78"/>
      <c r="D1353" s="78"/>
      <c r="E1353" s="78"/>
      <c r="F1353" s="78"/>
      <c r="G1353" s="78"/>
      <c r="H1353" s="78"/>
      <c r="I1353" s="78"/>
      <c r="J1353" s="78"/>
      <c r="K1353" s="78"/>
      <c r="L1353" s="78"/>
      <c r="M1353" s="78"/>
      <c r="N1353" s="78"/>
      <c r="O1353" s="78"/>
      <c r="P1353" s="78"/>
      <c r="Q1353" s="78"/>
      <c r="R1353" s="78"/>
      <c r="S1353" s="78"/>
      <c r="T1353" s="78"/>
      <c r="U1353" s="78"/>
      <c r="V1353" s="78"/>
      <c r="W1353" s="78"/>
      <c r="X1353" s="78"/>
      <c r="Y1353" s="78"/>
      <c r="Z1353" s="78"/>
      <c r="AA1353" s="78"/>
      <c r="AB1353" s="78"/>
      <c r="AC1353" s="78"/>
      <c r="AD1353" s="78"/>
      <c r="AE1353" s="78"/>
      <c r="AF1353" s="78"/>
      <c r="AG1353" s="78"/>
      <c r="AH1353" s="78"/>
      <c r="AI1353" s="78"/>
      <c r="AJ1353" s="78"/>
      <c r="AK1353" s="78"/>
    </row>
    <row r="1354" spans="1:37">
      <c r="A1354" s="78"/>
      <c r="B1354" s="78"/>
      <c r="C1354" s="78"/>
      <c r="D1354" s="78"/>
      <c r="E1354" s="78"/>
      <c r="F1354" s="78"/>
      <c r="G1354" s="78"/>
      <c r="H1354" s="78"/>
      <c r="I1354" s="78"/>
      <c r="J1354" s="78"/>
      <c r="K1354" s="78"/>
      <c r="L1354" s="78"/>
      <c r="M1354" s="78"/>
      <c r="N1354" s="78"/>
      <c r="O1354" s="78"/>
      <c r="P1354" s="78"/>
      <c r="Q1354" s="78"/>
      <c r="R1354" s="78"/>
      <c r="S1354" s="78"/>
      <c r="T1354" s="78"/>
      <c r="U1354" s="78"/>
      <c r="V1354" s="78"/>
      <c r="W1354" s="78"/>
      <c r="X1354" s="78"/>
      <c r="Y1354" s="78"/>
      <c r="Z1354" s="78"/>
      <c r="AA1354" s="78"/>
      <c r="AB1354" s="78"/>
      <c r="AC1354" s="78"/>
      <c r="AD1354" s="78"/>
      <c r="AE1354" s="78"/>
      <c r="AF1354" s="78"/>
      <c r="AG1354" s="78"/>
      <c r="AH1354" s="78"/>
      <c r="AI1354" s="78"/>
      <c r="AJ1354" s="78"/>
      <c r="AK1354" s="78"/>
    </row>
    <row r="1355" spans="1:37">
      <c r="A1355" s="78"/>
      <c r="B1355" s="78"/>
      <c r="C1355" s="78"/>
      <c r="D1355" s="78"/>
      <c r="E1355" s="78"/>
      <c r="F1355" s="78"/>
      <c r="G1355" s="78"/>
      <c r="H1355" s="78"/>
      <c r="I1355" s="78"/>
      <c r="J1355" s="78"/>
      <c r="K1355" s="78"/>
      <c r="L1355" s="78"/>
      <c r="M1355" s="78"/>
      <c r="N1355" s="78"/>
      <c r="O1355" s="78"/>
      <c r="P1355" s="78"/>
      <c r="Q1355" s="78"/>
      <c r="R1355" s="78"/>
      <c r="S1355" s="78"/>
      <c r="T1355" s="78"/>
      <c r="U1355" s="78"/>
      <c r="V1355" s="78"/>
      <c r="W1355" s="78"/>
      <c r="X1355" s="78"/>
      <c r="Y1355" s="78"/>
      <c r="Z1355" s="78"/>
      <c r="AA1355" s="78"/>
      <c r="AB1355" s="78"/>
      <c r="AC1355" s="78"/>
      <c r="AD1355" s="78"/>
      <c r="AE1355" s="78"/>
      <c r="AF1355" s="78"/>
      <c r="AG1355" s="78"/>
      <c r="AH1355" s="78"/>
      <c r="AI1355" s="78"/>
      <c r="AJ1355" s="78"/>
      <c r="AK1355" s="78"/>
    </row>
    <row r="1356" spans="1:37">
      <c r="A1356" s="78"/>
      <c r="B1356" s="78"/>
      <c r="C1356" s="78"/>
      <c r="D1356" s="78"/>
      <c r="E1356" s="78"/>
      <c r="F1356" s="78"/>
      <c r="G1356" s="78"/>
      <c r="H1356" s="78"/>
      <c r="I1356" s="78"/>
      <c r="J1356" s="78"/>
      <c r="K1356" s="78"/>
      <c r="L1356" s="78"/>
      <c r="M1356" s="78"/>
      <c r="N1356" s="78"/>
      <c r="O1356" s="78"/>
      <c r="P1356" s="78"/>
      <c r="Q1356" s="78"/>
      <c r="R1356" s="78"/>
      <c r="S1356" s="78"/>
      <c r="T1356" s="78"/>
      <c r="U1356" s="78"/>
      <c r="V1356" s="78"/>
      <c r="W1356" s="78"/>
      <c r="X1356" s="78"/>
      <c r="Y1356" s="78"/>
      <c r="Z1356" s="78"/>
      <c r="AA1356" s="78"/>
      <c r="AB1356" s="78"/>
      <c r="AC1356" s="78"/>
      <c r="AD1356" s="78"/>
      <c r="AE1356" s="78"/>
      <c r="AF1356" s="78"/>
      <c r="AG1356" s="78"/>
      <c r="AH1356" s="78"/>
      <c r="AI1356" s="78"/>
      <c r="AJ1356" s="78"/>
      <c r="AK1356" s="78"/>
    </row>
    <row r="1357" spans="1:37">
      <c r="A1357" s="78"/>
      <c r="B1357" s="78"/>
      <c r="C1357" s="78"/>
      <c r="D1357" s="78"/>
      <c r="E1357" s="78"/>
      <c r="F1357" s="78"/>
      <c r="G1357" s="78"/>
      <c r="H1357" s="78"/>
      <c r="I1357" s="78"/>
      <c r="J1357" s="78"/>
      <c r="K1357" s="78"/>
      <c r="L1357" s="78"/>
      <c r="M1357" s="78"/>
      <c r="N1357" s="78"/>
      <c r="O1357" s="78"/>
      <c r="P1357" s="78"/>
      <c r="Q1357" s="78"/>
      <c r="R1357" s="78"/>
      <c r="S1357" s="78"/>
      <c r="T1357" s="78"/>
      <c r="U1357" s="78"/>
      <c r="V1357" s="78"/>
      <c r="W1357" s="78"/>
      <c r="X1357" s="78"/>
      <c r="Y1357" s="78"/>
      <c r="Z1357" s="78"/>
      <c r="AA1357" s="78"/>
      <c r="AB1357" s="78"/>
      <c r="AC1357" s="78"/>
      <c r="AD1357" s="78"/>
      <c r="AE1357" s="78"/>
      <c r="AF1357" s="78"/>
      <c r="AG1357" s="78"/>
      <c r="AH1357" s="78"/>
      <c r="AI1357" s="78"/>
      <c r="AJ1357" s="78"/>
      <c r="AK1357" s="78"/>
    </row>
    <row r="1358" spans="1:37">
      <c r="A1358" s="78"/>
      <c r="B1358" s="78"/>
      <c r="C1358" s="78"/>
      <c r="D1358" s="78"/>
      <c r="E1358" s="78"/>
      <c r="F1358" s="78"/>
      <c r="G1358" s="78"/>
      <c r="H1358" s="78"/>
      <c r="I1358" s="78"/>
      <c r="J1358" s="78"/>
      <c r="K1358" s="78"/>
      <c r="L1358" s="78"/>
      <c r="M1358" s="78"/>
      <c r="N1358" s="78"/>
      <c r="O1358" s="78"/>
      <c r="P1358" s="78"/>
      <c r="Q1358" s="78"/>
      <c r="R1358" s="78"/>
      <c r="S1358" s="78"/>
      <c r="T1358" s="78"/>
      <c r="U1358" s="78"/>
      <c r="V1358" s="78"/>
      <c r="W1358" s="78"/>
      <c r="X1358" s="78"/>
      <c r="Y1358" s="78"/>
      <c r="Z1358" s="78"/>
      <c r="AA1358" s="78"/>
      <c r="AB1358" s="78"/>
      <c r="AC1358" s="78"/>
      <c r="AD1358" s="78"/>
      <c r="AE1358" s="78"/>
      <c r="AF1358" s="78"/>
      <c r="AG1358" s="78"/>
      <c r="AH1358" s="78"/>
      <c r="AI1358" s="78"/>
      <c r="AJ1358" s="78"/>
      <c r="AK1358" s="78"/>
    </row>
    <row r="1359" spans="1:37">
      <c r="A1359" s="78"/>
      <c r="B1359" s="78"/>
      <c r="C1359" s="78"/>
      <c r="D1359" s="78"/>
      <c r="E1359" s="78"/>
      <c r="F1359" s="78"/>
      <c r="G1359" s="78"/>
      <c r="H1359" s="78"/>
      <c r="I1359" s="78"/>
      <c r="J1359" s="78"/>
      <c r="K1359" s="78"/>
      <c r="L1359" s="78"/>
      <c r="M1359" s="78"/>
      <c r="N1359" s="78"/>
      <c r="O1359" s="78"/>
      <c r="P1359" s="78"/>
      <c r="Q1359" s="78"/>
      <c r="R1359" s="78"/>
      <c r="S1359" s="78"/>
      <c r="T1359" s="78"/>
      <c r="U1359" s="78"/>
      <c r="V1359" s="78"/>
      <c r="W1359" s="78"/>
      <c r="X1359" s="78"/>
      <c r="Y1359" s="78"/>
      <c r="Z1359" s="78"/>
      <c r="AA1359" s="78"/>
      <c r="AB1359" s="78"/>
      <c r="AC1359" s="78"/>
      <c r="AD1359" s="78"/>
      <c r="AE1359" s="78"/>
      <c r="AF1359" s="78"/>
      <c r="AG1359" s="78"/>
      <c r="AH1359" s="78"/>
      <c r="AI1359" s="78"/>
      <c r="AJ1359" s="78"/>
      <c r="AK1359" s="78"/>
    </row>
    <row r="1360" spans="1:37">
      <c r="A1360" s="78"/>
      <c r="B1360" s="78"/>
      <c r="C1360" s="78"/>
      <c r="D1360" s="78"/>
      <c r="E1360" s="78"/>
      <c r="F1360" s="78"/>
      <c r="G1360" s="78"/>
      <c r="H1360" s="78"/>
      <c r="I1360" s="78"/>
      <c r="J1360" s="78"/>
      <c r="K1360" s="78"/>
      <c r="L1360" s="78"/>
      <c r="M1360" s="78"/>
      <c r="N1360" s="78"/>
      <c r="O1360" s="78"/>
      <c r="P1360" s="78"/>
      <c r="Q1360" s="78"/>
      <c r="R1360" s="78"/>
      <c r="S1360" s="78"/>
      <c r="T1360" s="78"/>
      <c r="U1360" s="78"/>
      <c r="V1360" s="78"/>
      <c r="W1360" s="78"/>
      <c r="X1360" s="78"/>
      <c r="Y1360" s="78"/>
      <c r="Z1360" s="78"/>
      <c r="AA1360" s="78"/>
      <c r="AB1360" s="78"/>
      <c r="AC1360" s="78"/>
      <c r="AD1360" s="78"/>
      <c r="AE1360" s="78"/>
      <c r="AF1360" s="78"/>
      <c r="AG1360" s="78"/>
      <c r="AH1360" s="78"/>
      <c r="AI1360" s="78"/>
      <c r="AJ1360" s="78"/>
      <c r="AK1360" s="78"/>
    </row>
    <row r="1361" spans="1:37">
      <c r="A1361" s="78"/>
      <c r="B1361" s="78"/>
      <c r="C1361" s="78"/>
      <c r="D1361" s="78"/>
      <c r="E1361" s="78"/>
      <c r="F1361" s="78"/>
      <c r="G1361" s="78"/>
      <c r="H1361" s="78"/>
      <c r="I1361" s="78"/>
      <c r="J1361" s="78"/>
      <c r="K1361" s="78"/>
      <c r="L1361" s="78"/>
      <c r="M1361" s="78"/>
      <c r="N1361" s="78"/>
      <c r="O1361" s="78"/>
      <c r="P1361" s="78"/>
      <c r="Q1361" s="78"/>
      <c r="R1361" s="78"/>
      <c r="S1361" s="78"/>
      <c r="T1361" s="78"/>
      <c r="U1361" s="78"/>
      <c r="V1361" s="78"/>
      <c r="W1361" s="78"/>
      <c r="X1361" s="78"/>
      <c r="Y1361" s="78"/>
      <c r="Z1361" s="78"/>
      <c r="AA1361" s="78"/>
      <c r="AB1361" s="78"/>
      <c r="AC1361" s="78"/>
      <c r="AD1361" s="78"/>
      <c r="AE1361" s="78"/>
      <c r="AF1361" s="78"/>
      <c r="AG1361" s="78"/>
      <c r="AH1361" s="78"/>
      <c r="AI1361" s="78"/>
      <c r="AJ1361" s="78"/>
      <c r="AK1361" s="78"/>
    </row>
    <row r="1362" spans="1:37">
      <c r="A1362" s="78"/>
      <c r="B1362" s="78"/>
      <c r="C1362" s="78"/>
      <c r="D1362" s="78"/>
      <c r="E1362" s="78"/>
      <c r="F1362" s="78"/>
      <c r="G1362" s="78"/>
      <c r="H1362" s="78"/>
      <c r="I1362" s="78"/>
      <c r="J1362" s="78"/>
      <c r="K1362" s="78"/>
      <c r="L1362" s="78"/>
      <c r="M1362" s="78"/>
      <c r="N1362" s="78"/>
      <c r="O1362" s="78"/>
      <c r="P1362" s="78"/>
      <c r="Q1362" s="78"/>
      <c r="R1362" s="78"/>
      <c r="S1362" s="78"/>
      <c r="T1362" s="78"/>
      <c r="U1362" s="78"/>
      <c r="V1362" s="78"/>
      <c r="W1362" s="78"/>
      <c r="X1362" s="78"/>
      <c r="Y1362" s="78"/>
      <c r="Z1362" s="78"/>
      <c r="AA1362" s="78"/>
      <c r="AB1362" s="78"/>
      <c r="AC1362" s="78"/>
      <c r="AD1362" s="78"/>
      <c r="AE1362" s="78"/>
      <c r="AF1362" s="78"/>
      <c r="AG1362" s="78"/>
      <c r="AH1362" s="78"/>
      <c r="AI1362" s="78"/>
      <c r="AJ1362" s="78"/>
      <c r="AK1362" s="78"/>
    </row>
    <row r="1363" spans="1:37">
      <c r="A1363" s="78"/>
      <c r="B1363" s="78"/>
      <c r="C1363" s="78"/>
      <c r="D1363" s="78"/>
      <c r="E1363" s="78"/>
      <c r="F1363" s="78"/>
      <c r="G1363" s="78"/>
      <c r="H1363" s="78"/>
      <c r="I1363" s="78"/>
      <c r="J1363" s="78"/>
      <c r="K1363" s="78"/>
      <c r="L1363" s="78"/>
      <c r="M1363" s="78"/>
      <c r="N1363" s="78"/>
      <c r="O1363" s="78"/>
      <c r="P1363" s="78"/>
      <c r="Q1363" s="78"/>
      <c r="R1363" s="78"/>
      <c r="S1363" s="78"/>
      <c r="T1363" s="78"/>
      <c r="U1363" s="78"/>
      <c r="V1363" s="78"/>
      <c r="W1363" s="78"/>
      <c r="X1363" s="78"/>
      <c r="Y1363" s="78"/>
      <c r="Z1363" s="78"/>
      <c r="AA1363" s="78"/>
      <c r="AB1363" s="78"/>
      <c r="AC1363" s="78"/>
      <c r="AD1363" s="78"/>
      <c r="AE1363" s="78"/>
      <c r="AF1363" s="78"/>
      <c r="AG1363" s="78"/>
      <c r="AH1363" s="78"/>
      <c r="AI1363" s="78"/>
      <c r="AJ1363" s="78"/>
      <c r="AK1363" s="78"/>
    </row>
    <row r="1364" spans="1:37">
      <c r="A1364" s="78"/>
      <c r="B1364" s="78"/>
      <c r="C1364" s="78"/>
      <c r="D1364" s="78"/>
      <c r="E1364" s="78"/>
      <c r="F1364" s="78"/>
      <c r="G1364" s="78"/>
      <c r="H1364" s="78"/>
      <c r="I1364" s="78"/>
      <c r="J1364" s="78"/>
      <c r="K1364" s="78"/>
      <c r="L1364" s="78"/>
      <c r="M1364" s="78"/>
      <c r="N1364" s="78"/>
      <c r="O1364" s="78"/>
      <c r="P1364" s="78"/>
      <c r="Q1364" s="78"/>
      <c r="R1364" s="78"/>
      <c r="S1364" s="78"/>
      <c r="T1364" s="78"/>
      <c r="U1364" s="78"/>
      <c r="V1364" s="78"/>
      <c r="W1364" s="78"/>
      <c r="X1364" s="78"/>
      <c r="Y1364" s="78"/>
      <c r="Z1364" s="78"/>
      <c r="AA1364" s="78"/>
      <c r="AB1364" s="78"/>
      <c r="AC1364" s="78"/>
      <c r="AD1364" s="78"/>
      <c r="AE1364" s="78"/>
      <c r="AF1364" s="78"/>
      <c r="AG1364" s="78"/>
      <c r="AH1364" s="78"/>
      <c r="AI1364" s="78"/>
      <c r="AJ1364" s="78"/>
      <c r="AK1364" s="78"/>
    </row>
    <row r="1365" spans="1:37">
      <c r="A1365" s="78"/>
      <c r="B1365" s="78"/>
      <c r="C1365" s="78"/>
      <c r="D1365" s="78"/>
      <c r="E1365" s="78"/>
      <c r="F1365" s="78"/>
      <c r="G1365" s="78"/>
      <c r="H1365" s="78"/>
      <c r="I1365" s="78"/>
      <c r="J1365" s="78"/>
      <c r="K1365" s="78"/>
      <c r="L1365" s="78"/>
      <c r="M1365" s="78"/>
      <c r="N1365" s="78"/>
      <c r="O1365" s="78"/>
      <c r="P1365" s="78"/>
      <c r="Q1365" s="78"/>
      <c r="R1365" s="78"/>
      <c r="S1365" s="78"/>
      <c r="T1365" s="78"/>
      <c r="U1365" s="78"/>
      <c r="V1365" s="78"/>
      <c r="W1365" s="78"/>
      <c r="X1365" s="78"/>
      <c r="Y1365" s="78"/>
      <c r="Z1365" s="78"/>
      <c r="AA1365" s="78"/>
      <c r="AB1365" s="78"/>
      <c r="AC1365" s="78"/>
      <c r="AD1365" s="78"/>
      <c r="AE1365" s="78"/>
      <c r="AF1365" s="78"/>
      <c r="AG1365" s="78"/>
      <c r="AH1365" s="78"/>
      <c r="AI1365" s="78"/>
      <c r="AJ1365" s="78"/>
      <c r="AK1365" s="78"/>
    </row>
    <row r="1366" spans="1:37">
      <c r="A1366" s="78"/>
      <c r="B1366" s="78"/>
      <c r="C1366" s="78"/>
      <c r="D1366" s="78"/>
      <c r="E1366" s="78"/>
      <c r="F1366" s="78"/>
      <c r="G1366" s="78"/>
      <c r="H1366" s="78"/>
      <c r="I1366" s="78"/>
      <c r="J1366" s="78"/>
      <c r="K1366" s="78"/>
      <c r="L1366" s="78"/>
      <c r="M1366" s="78"/>
      <c r="N1366" s="78"/>
      <c r="O1366" s="78"/>
      <c r="P1366" s="78"/>
      <c r="Q1366" s="78"/>
      <c r="R1366" s="78"/>
      <c r="S1366" s="78"/>
      <c r="T1366" s="78"/>
      <c r="U1366" s="78"/>
      <c r="V1366" s="78"/>
      <c r="W1366" s="78"/>
      <c r="X1366" s="78"/>
      <c r="Y1366" s="78"/>
      <c r="Z1366" s="78"/>
      <c r="AA1366" s="78"/>
      <c r="AB1366" s="78"/>
      <c r="AC1366" s="78"/>
      <c r="AD1366" s="78"/>
      <c r="AE1366" s="78"/>
      <c r="AF1366" s="78"/>
      <c r="AG1366" s="78"/>
      <c r="AH1366" s="78"/>
      <c r="AI1366" s="78"/>
      <c r="AJ1366" s="78"/>
      <c r="AK1366" s="78"/>
    </row>
    <row r="1367" spans="1:37">
      <c r="A1367" s="78"/>
      <c r="B1367" s="78"/>
      <c r="C1367" s="78"/>
      <c r="D1367" s="78"/>
      <c r="E1367" s="78"/>
      <c r="F1367" s="78"/>
      <c r="G1367" s="78"/>
      <c r="H1367" s="78"/>
      <c r="I1367" s="78"/>
      <c r="J1367" s="78"/>
      <c r="K1367" s="78"/>
      <c r="L1367" s="78"/>
      <c r="M1367" s="78"/>
      <c r="N1367" s="78"/>
      <c r="O1367" s="78"/>
      <c r="P1367" s="78"/>
      <c r="Q1367" s="78"/>
      <c r="R1367" s="78"/>
      <c r="S1367" s="78"/>
      <c r="T1367" s="78"/>
      <c r="U1367" s="78"/>
      <c r="V1367" s="78"/>
      <c r="W1367" s="78"/>
      <c r="X1367" s="78"/>
      <c r="Y1367" s="78"/>
      <c r="Z1367" s="78"/>
      <c r="AA1367" s="78"/>
      <c r="AB1367" s="78"/>
      <c r="AC1367" s="78"/>
      <c r="AD1367" s="78"/>
      <c r="AE1367" s="78"/>
      <c r="AF1367" s="78"/>
      <c r="AG1367" s="78"/>
      <c r="AH1367" s="78"/>
      <c r="AI1367" s="78"/>
      <c r="AJ1367" s="78"/>
      <c r="AK1367" s="78"/>
    </row>
    <row r="1368" spans="1:37">
      <c r="A1368" s="78"/>
      <c r="B1368" s="78"/>
      <c r="C1368" s="78"/>
      <c r="D1368" s="78"/>
      <c r="E1368" s="78"/>
      <c r="F1368" s="78"/>
      <c r="G1368" s="78"/>
      <c r="H1368" s="78"/>
      <c r="I1368" s="78"/>
      <c r="J1368" s="78"/>
      <c r="K1368" s="78"/>
      <c r="L1368" s="78"/>
      <c r="M1368" s="78"/>
      <c r="N1368" s="78"/>
      <c r="O1368" s="78"/>
      <c r="P1368" s="78"/>
      <c r="Q1368" s="78"/>
      <c r="R1368" s="78"/>
      <c r="S1368" s="78"/>
      <c r="T1368" s="78"/>
      <c r="U1368" s="78"/>
      <c r="V1368" s="78"/>
      <c r="W1368" s="78"/>
      <c r="X1368" s="78"/>
      <c r="Y1368" s="78"/>
      <c r="Z1368" s="78"/>
      <c r="AA1368" s="78"/>
      <c r="AB1368" s="78"/>
      <c r="AC1368" s="78"/>
      <c r="AD1368" s="78"/>
      <c r="AE1368" s="78"/>
      <c r="AF1368" s="78"/>
      <c r="AG1368" s="78"/>
      <c r="AH1368" s="78"/>
      <c r="AI1368" s="78"/>
      <c r="AJ1368" s="78"/>
      <c r="AK1368" s="78"/>
    </row>
    <row r="1369" spans="1:37">
      <c r="A1369" s="78"/>
      <c r="B1369" s="78"/>
      <c r="C1369" s="78"/>
      <c r="D1369" s="78"/>
      <c r="E1369" s="78"/>
      <c r="F1369" s="78"/>
      <c r="G1369" s="78"/>
      <c r="H1369" s="78"/>
      <c r="I1369" s="78"/>
      <c r="J1369" s="78"/>
      <c r="K1369" s="78"/>
      <c r="L1369" s="78"/>
      <c r="M1369" s="78"/>
      <c r="N1369" s="78"/>
      <c r="O1369" s="78"/>
      <c r="P1369" s="78"/>
      <c r="Q1369" s="78"/>
      <c r="R1369" s="78"/>
      <c r="S1369" s="78"/>
      <c r="T1369" s="78"/>
      <c r="U1369" s="78"/>
      <c r="V1369" s="78"/>
      <c r="W1369" s="78"/>
      <c r="X1369" s="78"/>
      <c r="Y1369" s="78"/>
      <c r="Z1369" s="78"/>
      <c r="AA1369" s="78"/>
      <c r="AB1369" s="78"/>
      <c r="AC1369" s="78"/>
      <c r="AD1369" s="78"/>
      <c r="AE1369" s="78"/>
      <c r="AF1369" s="78"/>
      <c r="AG1369" s="78"/>
      <c r="AH1369" s="78"/>
      <c r="AI1369" s="78"/>
      <c r="AJ1369" s="78"/>
      <c r="AK1369" s="78"/>
    </row>
    <row r="1370" spans="1:37">
      <c r="A1370" s="78"/>
      <c r="B1370" s="78"/>
      <c r="C1370" s="78"/>
      <c r="D1370" s="78"/>
      <c r="E1370" s="78"/>
      <c r="F1370" s="78"/>
      <c r="G1370" s="78"/>
      <c r="H1370" s="78"/>
      <c r="I1370" s="78"/>
      <c r="J1370" s="78"/>
      <c r="K1370" s="78"/>
      <c r="L1370" s="78"/>
      <c r="M1370" s="78"/>
      <c r="N1370" s="78"/>
      <c r="O1370" s="78"/>
      <c r="P1370" s="78"/>
      <c r="Q1370" s="78"/>
      <c r="R1370" s="78"/>
      <c r="S1370" s="78"/>
      <c r="T1370" s="78"/>
      <c r="U1370" s="78"/>
      <c r="V1370" s="78"/>
      <c r="W1370" s="78"/>
      <c r="X1370" s="78"/>
      <c r="Y1370" s="78"/>
      <c r="Z1370" s="78"/>
      <c r="AA1370" s="78"/>
      <c r="AB1370" s="78"/>
      <c r="AC1370" s="78"/>
      <c r="AD1370" s="78"/>
      <c r="AE1370" s="78"/>
      <c r="AF1370" s="78"/>
      <c r="AG1370" s="78"/>
      <c r="AH1370" s="78"/>
      <c r="AI1370" s="78"/>
      <c r="AJ1370" s="78"/>
      <c r="AK1370" s="78"/>
    </row>
    <row r="1371" spans="1:37">
      <c r="A1371" s="78"/>
      <c r="B1371" s="78"/>
      <c r="C1371" s="78"/>
      <c r="D1371" s="78"/>
      <c r="E1371" s="78"/>
      <c r="F1371" s="78"/>
      <c r="G1371" s="78"/>
      <c r="H1371" s="78"/>
      <c r="I1371" s="78"/>
      <c r="J1371" s="78"/>
      <c r="K1371" s="78"/>
      <c r="L1371" s="78"/>
      <c r="M1371" s="78"/>
      <c r="N1371" s="78"/>
      <c r="O1371" s="78"/>
      <c r="P1371" s="78"/>
      <c r="Q1371" s="78"/>
      <c r="R1371" s="78"/>
      <c r="S1371" s="78"/>
      <c r="T1371" s="78"/>
      <c r="U1371" s="78"/>
      <c r="V1371" s="78"/>
      <c r="W1371" s="78"/>
      <c r="X1371" s="78"/>
      <c r="Y1371" s="78"/>
      <c r="Z1371" s="78"/>
      <c r="AA1371" s="78"/>
      <c r="AB1371" s="78"/>
      <c r="AC1371" s="78"/>
      <c r="AD1371" s="78"/>
      <c r="AE1371" s="78"/>
      <c r="AF1371" s="78"/>
      <c r="AG1371" s="78"/>
      <c r="AH1371" s="78"/>
      <c r="AI1371" s="78"/>
      <c r="AJ1371" s="78"/>
      <c r="AK1371" s="78"/>
    </row>
    <row r="1372" spans="1:37">
      <c r="A1372" s="78"/>
      <c r="B1372" s="78"/>
      <c r="C1372" s="78"/>
      <c r="D1372" s="78"/>
      <c r="E1372" s="78"/>
      <c r="F1372" s="78"/>
      <c r="G1372" s="78"/>
      <c r="H1372" s="78"/>
      <c r="I1372" s="78"/>
      <c r="J1372" s="78"/>
      <c r="K1372" s="78"/>
      <c r="L1372" s="78"/>
      <c r="M1372" s="78"/>
      <c r="N1372" s="78"/>
      <c r="O1372" s="78"/>
      <c r="P1372" s="78"/>
      <c r="Q1372" s="78"/>
      <c r="R1372" s="78"/>
      <c r="S1372" s="78"/>
      <c r="T1372" s="78"/>
      <c r="U1372" s="78"/>
      <c r="V1372" s="78"/>
      <c r="W1372" s="78"/>
      <c r="X1372" s="78"/>
      <c r="Y1372" s="78"/>
      <c r="Z1372" s="78"/>
      <c r="AA1372" s="78"/>
      <c r="AB1372" s="78"/>
      <c r="AC1372" s="78"/>
      <c r="AD1372" s="78"/>
      <c r="AE1372" s="78"/>
      <c r="AF1372" s="78"/>
      <c r="AG1372" s="78"/>
      <c r="AH1372" s="78"/>
      <c r="AI1372" s="78"/>
      <c r="AJ1372" s="78"/>
      <c r="AK1372" s="78"/>
    </row>
    <row r="1373" spans="1:37">
      <c r="A1373" s="78"/>
      <c r="B1373" s="78"/>
      <c r="C1373" s="78"/>
      <c r="D1373" s="78"/>
      <c r="E1373" s="78"/>
      <c r="F1373" s="78"/>
      <c r="G1373" s="78"/>
      <c r="H1373" s="78"/>
      <c r="I1373" s="78"/>
      <c r="J1373" s="78"/>
      <c r="K1373" s="78"/>
      <c r="L1373" s="78"/>
      <c r="M1373" s="78"/>
      <c r="N1373" s="78"/>
      <c r="O1373" s="78"/>
      <c r="P1373" s="78"/>
      <c r="Q1373" s="78"/>
      <c r="R1373" s="78"/>
      <c r="S1373" s="78"/>
      <c r="T1373" s="78"/>
      <c r="U1373" s="78"/>
      <c r="V1373" s="78"/>
      <c r="W1373" s="78"/>
      <c r="X1373" s="78"/>
      <c r="Y1373" s="78"/>
      <c r="Z1373" s="78"/>
      <c r="AA1373" s="78"/>
      <c r="AB1373" s="78"/>
      <c r="AC1373" s="78"/>
      <c r="AD1373" s="78"/>
      <c r="AE1373" s="78"/>
      <c r="AF1373" s="78"/>
      <c r="AG1373" s="78"/>
      <c r="AH1373" s="78"/>
      <c r="AI1373" s="78"/>
      <c r="AJ1373" s="78"/>
      <c r="AK1373" s="78"/>
    </row>
    <row r="1374" spans="1:37">
      <c r="A1374" s="78"/>
      <c r="B1374" s="78"/>
      <c r="C1374" s="78"/>
      <c r="D1374" s="78"/>
      <c r="E1374" s="78"/>
      <c r="F1374" s="78"/>
      <c r="G1374" s="78"/>
      <c r="H1374" s="78"/>
      <c r="I1374" s="78"/>
      <c r="J1374" s="78"/>
      <c r="K1374" s="78"/>
      <c r="L1374" s="78"/>
      <c r="M1374" s="78"/>
      <c r="N1374" s="78"/>
      <c r="O1374" s="78"/>
      <c r="P1374" s="78"/>
      <c r="Q1374" s="78"/>
      <c r="R1374" s="78"/>
      <c r="S1374" s="78"/>
      <c r="T1374" s="78"/>
      <c r="U1374" s="78"/>
      <c r="V1374" s="78"/>
      <c r="W1374" s="78"/>
      <c r="X1374" s="78"/>
      <c r="Y1374" s="78"/>
      <c r="Z1374" s="78"/>
      <c r="AA1374" s="78"/>
      <c r="AB1374" s="78"/>
      <c r="AC1374" s="78"/>
      <c r="AD1374" s="78"/>
      <c r="AE1374" s="78"/>
      <c r="AF1374" s="78"/>
      <c r="AG1374" s="78"/>
      <c r="AH1374" s="78"/>
      <c r="AI1374" s="78"/>
      <c r="AJ1374" s="78"/>
      <c r="AK1374" s="78"/>
    </row>
    <row r="1375" spans="1:37">
      <c r="A1375" s="78"/>
      <c r="B1375" s="78"/>
      <c r="C1375" s="78"/>
      <c r="D1375" s="78"/>
      <c r="E1375" s="78"/>
      <c r="F1375" s="78"/>
      <c r="G1375" s="78"/>
      <c r="H1375" s="78"/>
      <c r="I1375" s="78"/>
      <c r="J1375" s="78"/>
      <c r="K1375" s="78"/>
      <c r="L1375" s="78"/>
      <c r="M1375" s="78"/>
      <c r="N1375" s="78"/>
      <c r="O1375" s="78"/>
      <c r="P1375" s="78"/>
      <c r="Q1375" s="78"/>
      <c r="R1375" s="78"/>
      <c r="S1375" s="78"/>
      <c r="T1375" s="78"/>
      <c r="U1375" s="78"/>
      <c r="V1375" s="78"/>
      <c r="W1375" s="78"/>
      <c r="X1375" s="78"/>
      <c r="Y1375" s="78"/>
      <c r="Z1375" s="78"/>
      <c r="AA1375" s="78"/>
      <c r="AB1375" s="78"/>
      <c r="AC1375" s="78"/>
      <c r="AD1375" s="78"/>
      <c r="AE1375" s="78"/>
      <c r="AF1375" s="78"/>
      <c r="AG1375" s="78"/>
      <c r="AH1375" s="78"/>
      <c r="AI1375" s="78"/>
      <c r="AJ1375" s="78"/>
      <c r="AK1375" s="78"/>
    </row>
    <row r="1376" spans="1:37">
      <c r="A1376" s="78"/>
      <c r="B1376" s="78"/>
      <c r="C1376" s="78"/>
      <c r="D1376" s="78"/>
      <c r="E1376" s="78"/>
      <c r="F1376" s="78"/>
      <c r="G1376" s="78"/>
      <c r="H1376" s="78"/>
      <c r="I1376" s="78"/>
      <c r="J1376" s="78"/>
      <c r="K1376" s="78"/>
      <c r="L1376" s="78"/>
      <c r="M1376" s="78"/>
      <c r="N1376" s="78"/>
      <c r="O1376" s="78"/>
      <c r="P1376" s="78"/>
      <c r="Q1376" s="78"/>
      <c r="R1376" s="78"/>
      <c r="S1376" s="78"/>
      <c r="T1376" s="78"/>
      <c r="U1376" s="78"/>
      <c r="V1376" s="78"/>
      <c r="W1376" s="78"/>
      <c r="X1376" s="78"/>
      <c r="Y1376" s="78"/>
      <c r="Z1376" s="78"/>
      <c r="AA1376" s="78"/>
      <c r="AB1376" s="78"/>
      <c r="AC1376" s="78"/>
      <c r="AD1376" s="78"/>
      <c r="AE1376" s="78"/>
      <c r="AF1376" s="78"/>
      <c r="AG1376" s="78"/>
      <c r="AH1376" s="78"/>
      <c r="AI1376" s="78"/>
      <c r="AJ1376" s="78"/>
      <c r="AK1376" s="78"/>
    </row>
    <row r="1377" spans="1:37">
      <c r="A1377" s="78"/>
      <c r="B1377" s="78"/>
      <c r="C1377" s="78"/>
      <c r="D1377" s="78"/>
      <c r="E1377" s="78"/>
      <c r="F1377" s="78"/>
      <c r="G1377" s="78"/>
      <c r="H1377" s="78"/>
      <c r="I1377" s="78"/>
      <c r="J1377" s="78"/>
      <c r="K1377" s="78"/>
      <c r="L1377" s="78"/>
      <c r="M1377" s="78"/>
      <c r="N1377" s="78"/>
      <c r="O1377" s="78"/>
      <c r="P1377" s="78"/>
      <c r="Q1377" s="78"/>
      <c r="R1377" s="78"/>
      <c r="S1377" s="78"/>
      <c r="T1377" s="78"/>
      <c r="U1377" s="78"/>
      <c r="V1377" s="78"/>
      <c r="W1377" s="78"/>
      <c r="X1377" s="78"/>
      <c r="Y1377" s="78"/>
      <c r="Z1377" s="78"/>
      <c r="AA1377" s="78"/>
      <c r="AB1377" s="78"/>
      <c r="AC1377" s="78"/>
      <c r="AD1377" s="78"/>
      <c r="AE1377" s="78"/>
      <c r="AF1377" s="78"/>
      <c r="AG1377" s="78"/>
      <c r="AH1377" s="78"/>
      <c r="AI1377" s="78"/>
      <c r="AJ1377" s="78"/>
      <c r="AK1377" s="78"/>
    </row>
    <row r="1378" spans="1:37">
      <c r="A1378" s="78"/>
      <c r="B1378" s="78"/>
      <c r="C1378" s="78"/>
      <c r="D1378" s="78"/>
      <c r="E1378" s="78"/>
      <c r="F1378" s="78"/>
      <c r="G1378" s="78"/>
      <c r="H1378" s="78"/>
      <c r="I1378" s="78"/>
      <c r="J1378" s="78"/>
      <c r="K1378" s="78"/>
      <c r="L1378" s="78"/>
      <c r="M1378" s="78"/>
      <c r="N1378" s="78"/>
      <c r="O1378" s="78"/>
      <c r="P1378" s="78"/>
      <c r="Q1378" s="78"/>
      <c r="R1378" s="78"/>
      <c r="S1378" s="78"/>
      <c r="T1378" s="78"/>
      <c r="U1378" s="78"/>
      <c r="V1378" s="78"/>
      <c r="W1378" s="78"/>
      <c r="X1378" s="78"/>
      <c r="Y1378" s="78"/>
      <c r="Z1378" s="78"/>
      <c r="AA1378" s="78"/>
      <c r="AB1378" s="78"/>
      <c r="AC1378" s="78"/>
      <c r="AD1378" s="78"/>
      <c r="AE1378" s="78"/>
      <c r="AF1378" s="78"/>
      <c r="AG1378" s="78"/>
      <c r="AH1378" s="78"/>
      <c r="AI1378" s="78"/>
      <c r="AJ1378" s="78"/>
      <c r="AK1378" s="78"/>
    </row>
    <row r="1379" spans="1:37">
      <c r="A1379" s="78"/>
      <c r="B1379" s="78"/>
      <c r="C1379" s="78"/>
      <c r="D1379" s="78"/>
      <c r="E1379" s="78"/>
      <c r="F1379" s="78"/>
      <c r="G1379" s="78"/>
      <c r="H1379" s="78"/>
      <c r="I1379" s="78"/>
      <c r="J1379" s="78"/>
      <c r="K1379" s="78"/>
      <c r="L1379" s="78"/>
      <c r="M1379" s="78"/>
      <c r="N1379" s="78"/>
      <c r="O1379" s="78"/>
      <c r="P1379" s="78"/>
      <c r="Q1379" s="78"/>
      <c r="R1379" s="78"/>
      <c r="S1379" s="78"/>
      <c r="T1379" s="78"/>
      <c r="U1379" s="78"/>
      <c r="V1379" s="78"/>
      <c r="W1379" s="78"/>
      <c r="X1379" s="78"/>
      <c r="Y1379" s="78"/>
      <c r="Z1379" s="78"/>
      <c r="AA1379" s="78"/>
      <c r="AB1379" s="78"/>
      <c r="AC1379" s="78"/>
      <c r="AD1379" s="78"/>
      <c r="AE1379" s="78"/>
      <c r="AF1379" s="78"/>
      <c r="AG1379" s="78"/>
      <c r="AH1379" s="78"/>
      <c r="AI1379" s="78"/>
      <c r="AJ1379" s="78"/>
      <c r="AK1379" s="78"/>
    </row>
    <row r="1380" spans="1:37">
      <c r="A1380" s="78"/>
      <c r="B1380" s="78"/>
      <c r="C1380" s="78"/>
      <c r="D1380" s="78"/>
      <c r="E1380" s="78"/>
      <c r="F1380" s="78"/>
      <c r="G1380" s="78"/>
      <c r="H1380" s="78"/>
      <c r="I1380" s="78"/>
      <c r="J1380" s="78"/>
      <c r="K1380" s="78"/>
      <c r="L1380" s="78"/>
      <c r="M1380" s="78"/>
      <c r="N1380" s="78"/>
      <c r="O1380" s="78"/>
      <c r="P1380" s="78"/>
      <c r="Q1380" s="78"/>
      <c r="R1380" s="78"/>
      <c r="S1380" s="78"/>
      <c r="T1380" s="78"/>
      <c r="U1380" s="78"/>
      <c r="V1380" s="78"/>
      <c r="W1380" s="78"/>
      <c r="X1380" s="78"/>
      <c r="Y1380" s="78"/>
      <c r="Z1380" s="78"/>
      <c r="AA1380" s="78"/>
      <c r="AB1380" s="78"/>
      <c r="AC1380" s="78"/>
      <c r="AD1380" s="78"/>
      <c r="AE1380" s="78"/>
      <c r="AF1380" s="78"/>
      <c r="AG1380" s="78"/>
      <c r="AH1380" s="78"/>
      <c r="AI1380" s="78"/>
      <c r="AJ1380" s="78"/>
      <c r="AK1380" s="78"/>
    </row>
    <row r="1381" spans="1:37">
      <c r="A1381" s="78"/>
      <c r="B1381" s="78"/>
      <c r="C1381" s="78"/>
      <c r="D1381" s="78"/>
      <c r="E1381" s="78"/>
      <c r="F1381" s="78"/>
      <c r="G1381" s="78"/>
      <c r="H1381" s="78"/>
      <c r="I1381" s="78"/>
      <c r="J1381" s="78"/>
      <c r="K1381" s="78"/>
      <c r="L1381" s="78"/>
      <c r="M1381" s="78"/>
      <c r="N1381" s="78"/>
      <c r="O1381" s="78"/>
      <c r="P1381" s="78"/>
      <c r="Q1381" s="78"/>
      <c r="R1381" s="78"/>
      <c r="S1381" s="78"/>
      <c r="T1381" s="78"/>
      <c r="U1381" s="78"/>
      <c r="V1381" s="78"/>
      <c r="W1381" s="78"/>
      <c r="X1381" s="78"/>
      <c r="Y1381" s="78"/>
      <c r="Z1381" s="78"/>
      <c r="AA1381" s="78"/>
      <c r="AB1381" s="78"/>
      <c r="AC1381" s="78"/>
      <c r="AD1381" s="78"/>
      <c r="AE1381" s="78"/>
      <c r="AF1381" s="78"/>
      <c r="AG1381" s="78"/>
      <c r="AH1381" s="78"/>
      <c r="AI1381" s="78"/>
      <c r="AJ1381" s="78"/>
      <c r="AK1381" s="78"/>
    </row>
    <row r="1382" spans="1:37">
      <c r="A1382" s="78"/>
      <c r="B1382" s="78"/>
      <c r="C1382" s="78"/>
      <c r="D1382" s="78"/>
      <c r="E1382" s="78"/>
      <c r="F1382" s="78"/>
      <c r="G1382" s="78"/>
      <c r="H1382" s="78"/>
      <c r="I1382" s="78"/>
      <c r="J1382" s="78"/>
      <c r="K1382" s="78"/>
      <c r="L1382" s="78"/>
      <c r="M1382" s="78"/>
      <c r="N1382" s="78"/>
      <c r="O1382" s="78"/>
      <c r="P1382" s="78"/>
      <c r="Q1382" s="78"/>
      <c r="R1382" s="78"/>
      <c r="S1382" s="78"/>
      <c r="T1382" s="78"/>
      <c r="U1382" s="78"/>
      <c r="V1382" s="78"/>
      <c r="W1382" s="78"/>
      <c r="X1382" s="78"/>
      <c r="Y1382" s="78"/>
      <c r="Z1382" s="78"/>
      <c r="AA1382" s="78"/>
      <c r="AB1382" s="78"/>
      <c r="AC1382" s="78"/>
      <c r="AD1382" s="78"/>
      <c r="AE1382" s="78"/>
      <c r="AF1382" s="78"/>
      <c r="AG1382" s="78"/>
      <c r="AH1382" s="78"/>
      <c r="AI1382" s="78"/>
      <c r="AJ1382" s="78"/>
      <c r="AK1382" s="78"/>
    </row>
    <row r="1383" spans="1:37">
      <c r="A1383" s="78"/>
      <c r="B1383" s="78"/>
      <c r="C1383" s="78"/>
      <c r="D1383" s="78"/>
      <c r="E1383" s="78"/>
      <c r="F1383" s="78"/>
      <c r="G1383" s="78"/>
      <c r="H1383" s="78"/>
      <c r="I1383" s="78"/>
      <c r="J1383" s="78"/>
      <c r="K1383" s="78"/>
      <c r="L1383" s="78"/>
      <c r="M1383" s="78"/>
      <c r="N1383" s="78"/>
      <c r="O1383" s="78"/>
      <c r="P1383" s="78"/>
      <c r="Q1383" s="78"/>
      <c r="R1383" s="78"/>
      <c r="S1383" s="78"/>
      <c r="T1383" s="78"/>
      <c r="U1383" s="78"/>
      <c r="V1383" s="78"/>
      <c r="W1383" s="78"/>
      <c r="X1383" s="78"/>
      <c r="Y1383" s="78"/>
      <c r="Z1383" s="78"/>
      <c r="AA1383" s="78"/>
      <c r="AB1383" s="78"/>
      <c r="AC1383" s="78"/>
      <c r="AD1383" s="78"/>
      <c r="AE1383" s="78"/>
      <c r="AF1383" s="78"/>
      <c r="AG1383" s="78"/>
      <c r="AH1383" s="78"/>
      <c r="AI1383" s="78"/>
      <c r="AJ1383" s="78"/>
      <c r="AK1383" s="78"/>
    </row>
    <row r="1384" spans="1:37">
      <c r="A1384" s="78"/>
      <c r="B1384" s="78"/>
      <c r="C1384" s="78"/>
      <c r="D1384" s="78"/>
      <c r="E1384" s="78"/>
      <c r="F1384" s="78"/>
      <c r="G1384" s="78"/>
      <c r="H1384" s="78"/>
      <c r="I1384" s="78"/>
      <c r="J1384" s="78"/>
      <c r="K1384" s="78"/>
      <c r="L1384" s="78"/>
      <c r="M1384" s="78"/>
      <c r="N1384" s="78"/>
      <c r="O1384" s="78"/>
      <c r="P1384" s="78"/>
      <c r="Q1384" s="78"/>
      <c r="R1384" s="78"/>
      <c r="S1384" s="78"/>
      <c r="T1384" s="78"/>
      <c r="U1384" s="78"/>
      <c r="V1384" s="78"/>
      <c r="W1384" s="78"/>
      <c r="X1384" s="78"/>
      <c r="Y1384" s="78"/>
      <c r="Z1384" s="78"/>
      <c r="AA1384" s="78"/>
      <c r="AB1384" s="78"/>
      <c r="AC1384" s="78"/>
      <c r="AD1384" s="78"/>
      <c r="AE1384" s="78"/>
      <c r="AF1384" s="78"/>
      <c r="AG1384" s="78"/>
      <c r="AH1384" s="78"/>
      <c r="AI1384" s="78"/>
      <c r="AJ1384" s="78"/>
      <c r="AK1384" s="78"/>
    </row>
    <row r="1385" spans="1:37">
      <c r="A1385" s="78"/>
      <c r="B1385" s="78"/>
      <c r="C1385" s="78"/>
      <c r="D1385" s="78"/>
      <c r="E1385" s="78"/>
      <c r="F1385" s="78"/>
      <c r="G1385" s="78"/>
      <c r="H1385" s="78"/>
      <c r="I1385" s="78"/>
      <c r="J1385" s="78"/>
      <c r="K1385" s="78"/>
      <c r="L1385" s="78"/>
      <c r="M1385" s="78"/>
      <c r="N1385" s="78"/>
      <c r="O1385" s="78"/>
      <c r="P1385" s="78"/>
      <c r="Q1385" s="78"/>
      <c r="R1385" s="78"/>
      <c r="S1385" s="78"/>
      <c r="T1385" s="78"/>
      <c r="U1385" s="78"/>
      <c r="V1385" s="78"/>
      <c r="W1385" s="78"/>
      <c r="X1385" s="78"/>
      <c r="Y1385" s="78"/>
      <c r="Z1385" s="78"/>
      <c r="AA1385" s="78"/>
      <c r="AB1385" s="78"/>
      <c r="AC1385" s="78"/>
      <c r="AD1385" s="78"/>
      <c r="AE1385" s="78"/>
      <c r="AF1385" s="78"/>
      <c r="AG1385" s="78"/>
      <c r="AH1385" s="78"/>
      <c r="AI1385" s="78"/>
      <c r="AJ1385" s="78"/>
      <c r="AK1385" s="78"/>
    </row>
    <row r="1386" spans="1:37">
      <c r="A1386" s="78"/>
      <c r="B1386" s="78"/>
      <c r="C1386" s="78"/>
      <c r="D1386" s="78"/>
      <c r="E1386" s="78"/>
      <c r="F1386" s="78"/>
      <c r="G1386" s="78"/>
      <c r="H1386" s="78"/>
      <c r="I1386" s="78"/>
      <c r="J1386" s="78"/>
      <c r="K1386" s="78"/>
      <c r="L1386" s="78"/>
      <c r="M1386" s="78"/>
      <c r="N1386" s="78"/>
      <c r="O1386" s="78"/>
      <c r="P1386" s="78"/>
      <c r="Q1386" s="78"/>
      <c r="R1386" s="78"/>
      <c r="S1386" s="78"/>
      <c r="T1386" s="78"/>
      <c r="U1386" s="78"/>
      <c r="V1386" s="78"/>
      <c r="W1386" s="78"/>
      <c r="X1386" s="78"/>
      <c r="Y1386" s="78"/>
      <c r="Z1386" s="78"/>
      <c r="AA1386" s="78"/>
      <c r="AB1386" s="78"/>
      <c r="AC1386" s="78"/>
      <c r="AD1386" s="78"/>
      <c r="AE1386" s="78"/>
      <c r="AF1386" s="78"/>
      <c r="AG1386" s="78"/>
      <c r="AH1386" s="78"/>
      <c r="AI1386" s="78"/>
      <c r="AJ1386" s="78"/>
      <c r="AK1386" s="78"/>
    </row>
    <row r="1387" spans="1:37">
      <c r="A1387" s="78"/>
      <c r="B1387" s="78"/>
      <c r="C1387" s="78"/>
      <c r="D1387" s="78"/>
      <c r="E1387" s="78"/>
      <c r="F1387" s="78"/>
      <c r="G1387" s="78"/>
      <c r="H1387" s="78"/>
      <c r="I1387" s="78"/>
      <c r="J1387" s="78"/>
      <c r="K1387" s="78"/>
      <c r="L1387" s="78"/>
      <c r="M1387" s="78"/>
      <c r="N1387" s="78"/>
      <c r="O1387" s="78"/>
      <c r="P1387" s="78"/>
      <c r="Q1387" s="78"/>
      <c r="R1387" s="78"/>
      <c r="S1387" s="78"/>
      <c r="T1387" s="78"/>
      <c r="U1387" s="78"/>
      <c r="V1387" s="78"/>
      <c r="W1387" s="78"/>
      <c r="X1387" s="78"/>
      <c r="Y1387" s="78"/>
      <c r="Z1387" s="78"/>
      <c r="AA1387" s="78"/>
      <c r="AB1387" s="78"/>
      <c r="AC1387" s="78"/>
      <c r="AD1387" s="78"/>
      <c r="AE1387" s="78"/>
      <c r="AF1387" s="78"/>
      <c r="AG1387" s="78"/>
      <c r="AH1387" s="78"/>
      <c r="AI1387" s="78"/>
      <c r="AJ1387" s="78"/>
      <c r="AK1387" s="78"/>
    </row>
    <row r="1388" spans="1:37">
      <c r="A1388" s="78"/>
      <c r="B1388" s="78"/>
      <c r="C1388" s="78"/>
      <c r="D1388" s="78"/>
      <c r="E1388" s="78"/>
      <c r="F1388" s="78"/>
      <c r="G1388" s="78"/>
      <c r="H1388" s="78"/>
      <c r="I1388" s="78"/>
      <c r="J1388" s="78"/>
      <c r="K1388" s="78"/>
      <c r="L1388" s="78"/>
      <c r="M1388" s="78"/>
      <c r="N1388" s="78"/>
      <c r="O1388" s="78"/>
      <c r="P1388" s="78"/>
      <c r="Q1388" s="78"/>
      <c r="R1388" s="78"/>
      <c r="S1388" s="78"/>
      <c r="T1388" s="78"/>
      <c r="U1388" s="78"/>
      <c r="V1388" s="78"/>
      <c r="W1388" s="78"/>
      <c r="X1388" s="78"/>
      <c r="Y1388" s="78"/>
      <c r="Z1388" s="78"/>
      <c r="AA1388" s="78"/>
      <c r="AB1388" s="78"/>
      <c r="AC1388" s="78"/>
      <c r="AD1388" s="78"/>
      <c r="AE1388" s="78"/>
      <c r="AF1388" s="78"/>
      <c r="AG1388" s="78"/>
      <c r="AH1388" s="78"/>
      <c r="AI1388" s="78"/>
      <c r="AJ1388" s="78"/>
      <c r="AK1388" s="78"/>
    </row>
    <row r="1389" spans="1:37">
      <c r="A1389" s="78"/>
      <c r="B1389" s="78"/>
      <c r="C1389" s="78"/>
      <c r="D1389" s="78"/>
      <c r="E1389" s="78"/>
      <c r="F1389" s="78"/>
      <c r="G1389" s="78"/>
      <c r="H1389" s="78"/>
      <c r="I1389" s="78"/>
      <c r="J1389" s="78"/>
      <c r="K1389" s="78"/>
      <c r="L1389" s="78"/>
      <c r="M1389" s="78"/>
      <c r="N1389" s="78"/>
      <c r="O1389" s="78"/>
      <c r="P1389" s="78"/>
      <c r="Q1389" s="78"/>
      <c r="R1389" s="78"/>
      <c r="S1389" s="78"/>
      <c r="T1389" s="78"/>
      <c r="U1389" s="78"/>
      <c r="V1389" s="78"/>
      <c r="W1389" s="78"/>
      <c r="X1389" s="78"/>
      <c r="Y1389" s="78"/>
      <c r="Z1389" s="78"/>
      <c r="AA1389" s="78"/>
      <c r="AB1389" s="78"/>
      <c r="AC1389" s="78"/>
      <c r="AD1389" s="78"/>
      <c r="AE1389" s="78"/>
      <c r="AF1389" s="78"/>
      <c r="AG1389" s="78"/>
      <c r="AH1389" s="78"/>
      <c r="AI1389" s="78"/>
      <c r="AJ1389" s="78"/>
      <c r="AK1389" s="78"/>
    </row>
    <row r="1390" spans="1:37">
      <c r="A1390" s="78"/>
      <c r="B1390" s="78"/>
      <c r="C1390" s="78"/>
      <c r="D1390" s="78"/>
      <c r="E1390" s="78"/>
      <c r="F1390" s="78"/>
      <c r="G1390" s="78"/>
      <c r="H1390" s="78"/>
      <c r="I1390" s="78"/>
      <c r="J1390" s="78"/>
      <c r="K1390" s="78"/>
      <c r="L1390" s="78"/>
      <c r="M1390" s="78"/>
      <c r="N1390" s="78"/>
      <c r="O1390" s="78"/>
      <c r="P1390" s="78"/>
      <c r="Q1390" s="78"/>
      <c r="R1390" s="78"/>
      <c r="S1390" s="78"/>
      <c r="T1390" s="78"/>
      <c r="U1390" s="78"/>
      <c r="V1390" s="78"/>
      <c r="W1390" s="78"/>
      <c r="X1390" s="78"/>
      <c r="Y1390" s="78"/>
      <c r="Z1390" s="78"/>
      <c r="AA1390" s="78"/>
      <c r="AB1390" s="78"/>
      <c r="AC1390" s="78"/>
      <c r="AD1390" s="78"/>
      <c r="AE1390" s="78"/>
      <c r="AF1390" s="78"/>
      <c r="AG1390" s="78"/>
      <c r="AH1390" s="78"/>
      <c r="AI1390" s="78"/>
      <c r="AJ1390" s="78"/>
      <c r="AK1390" s="78"/>
    </row>
    <row r="1391" spans="1:37">
      <c r="A1391" s="78"/>
      <c r="B1391" s="78"/>
      <c r="C1391" s="78"/>
      <c r="D1391" s="78"/>
      <c r="E1391" s="78"/>
      <c r="F1391" s="78"/>
      <c r="G1391" s="78"/>
      <c r="H1391" s="78"/>
      <c r="I1391" s="78"/>
      <c r="J1391" s="78"/>
      <c r="K1391" s="78"/>
      <c r="L1391" s="78"/>
      <c r="M1391" s="78"/>
      <c r="N1391" s="78"/>
      <c r="O1391" s="78"/>
      <c r="P1391" s="78"/>
      <c r="Q1391" s="78"/>
      <c r="R1391" s="78"/>
      <c r="S1391" s="78"/>
      <c r="T1391" s="78"/>
      <c r="U1391" s="78"/>
      <c r="V1391" s="78"/>
      <c r="W1391" s="78"/>
      <c r="X1391" s="78"/>
      <c r="Y1391" s="78"/>
      <c r="Z1391" s="78"/>
      <c r="AA1391" s="78"/>
      <c r="AB1391" s="78"/>
      <c r="AC1391" s="78"/>
      <c r="AD1391" s="78"/>
      <c r="AE1391" s="78"/>
      <c r="AF1391" s="78"/>
      <c r="AG1391" s="78"/>
      <c r="AH1391" s="78"/>
      <c r="AI1391" s="78"/>
      <c r="AJ1391" s="78"/>
      <c r="AK1391" s="78"/>
    </row>
    <row r="1392" spans="1:37">
      <c r="A1392" s="78"/>
      <c r="B1392" s="78"/>
      <c r="C1392" s="78"/>
      <c r="D1392" s="78"/>
      <c r="E1392" s="78"/>
      <c r="F1392" s="78"/>
      <c r="G1392" s="78"/>
      <c r="H1392" s="78"/>
      <c r="I1392" s="78"/>
      <c r="J1392" s="78"/>
      <c r="K1392" s="78"/>
      <c r="L1392" s="78"/>
      <c r="M1392" s="78"/>
      <c r="N1392" s="78"/>
      <c r="O1392" s="78"/>
      <c r="P1392" s="78"/>
      <c r="Q1392" s="78"/>
      <c r="R1392" s="78"/>
      <c r="S1392" s="78"/>
      <c r="T1392" s="78"/>
      <c r="U1392" s="78"/>
      <c r="V1392" s="78"/>
      <c r="W1392" s="78"/>
      <c r="X1392" s="78"/>
      <c r="Y1392" s="78"/>
      <c r="Z1392" s="78"/>
      <c r="AA1392" s="78"/>
      <c r="AB1392" s="78"/>
      <c r="AC1392" s="78"/>
      <c r="AD1392" s="78"/>
      <c r="AE1392" s="78"/>
      <c r="AF1392" s="78"/>
      <c r="AG1392" s="78"/>
      <c r="AH1392" s="78"/>
      <c r="AI1392" s="78"/>
      <c r="AJ1392" s="78"/>
      <c r="AK1392" s="78"/>
    </row>
    <row r="1393" spans="1:37">
      <c r="A1393" s="78"/>
      <c r="B1393" s="78"/>
      <c r="C1393" s="78"/>
      <c r="D1393" s="78"/>
      <c r="E1393" s="78"/>
      <c r="F1393" s="78"/>
      <c r="G1393" s="78"/>
      <c r="H1393" s="78"/>
      <c r="I1393" s="78"/>
      <c r="J1393" s="78"/>
      <c r="K1393" s="78"/>
      <c r="L1393" s="78"/>
      <c r="M1393" s="78"/>
      <c r="N1393" s="78"/>
      <c r="O1393" s="78"/>
      <c r="P1393" s="78"/>
      <c r="Q1393" s="78"/>
      <c r="R1393" s="78"/>
      <c r="S1393" s="78"/>
      <c r="T1393" s="78"/>
      <c r="U1393" s="78"/>
      <c r="V1393" s="78"/>
      <c r="W1393" s="78"/>
      <c r="X1393" s="78"/>
      <c r="Y1393" s="78"/>
      <c r="Z1393" s="78"/>
      <c r="AA1393" s="78"/>
      <c r="AB1393" s="78"/>
      <c r="AC1393" s="78"/>
      <c r="AD1393" s="78"/>
      <c r="AE1393" s="78"/>
      <c r="AF1393" s="78"/>
      <c r="AG1393" s="78"/>
      <c r="AH1393" s="78"/>
      <c r="AI1393" s="78"/>
      <c r="AJ1393" s="78"/>
      <c r="AK1393" s="78"/>
    </row>
    <row r="1394" spans="1:37">
      <c r="A1394" s="78"/>
      <c r="B1394" s="78"/>
      <c r="C1394" s="78"/>
      <c r="D1394" s="78"/>
      <c r="E1394" s="78"/>
      <c r="F1394" s="78"/>
      <c r="G1394" s="78"/>
      <c r="H1394" s="78"/>
      <c r="I1394" s="78"/>
      <c r="J1394" s="78"/>
      <c r="K1394" s="78"/>
      <c r="L1394" s="78"/>
      <c r="M1394" s="78"/>
      <c r="N1394" s="78"/>
      <c r="O1394" s="78"/>
      <c r="P1394" s="78"/>
      <c r="Q1394" s="78"/>
      <c r="R1394" s="78"/>
      <c r="S1394" s="78"/>
      <c r="T1394" s="78"/>
      <c r="U1394" s="78"/>
      <c r="V1394" s="78"/>
      <c r="W1394" s="78"/>
      <c r="X1394" s="78"/>
      <c r="Y1394" s="78"/>
      <c r="Z1394" s="78"/>
      <c r="AA1394" s="78"/>
      <c r="AB1394" s="78"/>
      <c r="AC1394" s="78"/>
      <c r="AD1394" s="78"/>
      <c r="AE1394" s="78"/>
      <c r="AF1394" s="78"/>
      <c r="AG1394" s="78"/>
      <c r="AH1394" s="78"/>
      <c r="AI1394" s="78"/>
      <c r="AJ1394" s="78"/>
      <c r="AK1394" s="78"/>
    </row>
    <row r="1395" spans="1:37">
      <c r="A1395" s="78"/>
      <c r="B1395" s="78"/>
      <c r="C1395" s="78"/>
      <c r="D1395" s="78"/>
      <c r="E1395" s="78"/>
      <c r="F1395" s="78"/>
      <c r="G1395" s="78"/>
      <c r="H1395" s="78"/>
      <c r="I1395" s="78"/>
      <c r="J1395" s="78"/>
      <c r="K1395" s="78"/>
      <c r="L1395" s="78"/>
      <c r="M1395" s="78"/>
      <c r="N1395" s="78"/>
      <c r="O1395" s="78"/>
      <c r="P1395" s="78"/>
      <c r="Q1395" s="78"/>
      <c r="R1395" s="78"/>
      <c r="S1395" s="78"/>
      <c r="T1395" s="78"/>
      <c r="U1395" s="78"/>
      <c r="V1395" s="78"/>
      <c r="W1395" s="78"/>
      <c r="X1395" s="78"/>
      <c r="Y1395" s="78"/>
      <c r="Z1395" s="78"/>
      <c r="AA1395" s="78"/>
      <c r="AB1395" s="78"/>
      <c r="AC1395" s="78"/>
      <c r="AD1395" s="78"/>
      <c r="AE1395" s="78"/>
      <c r="AF1395" s="78"/>
      <c r="AG1395" s="78"/>
      <c r="AH1395" s="78"/>
      <c r="AI1395" s="78"/>
      <c r="AJ1395" s="78"/>
      <c r="AK1395" s="78"/>
    </row>
    <row r="1396" spans="1:37">
      <c r="A1396" s="78"/>
      <c r="B1396" s="78"/>
      <c r="C1396" s="78"/>
      <c r="D1396" s="78"/>
      <c r="E1396" s="78"/>
      <c r="F1396" s="78"/>
      <c r="G1396" s="78"/>
      <c r="H1396" s="78"/>
      <c r="I1396" s="78"/>
      <c r="J1396" s="78"/>
      <c r="K1396" s="78"/>
      <c r="L1396" s="78"/>
      <c r="M1396" s="78"/>
      <c r="N1396" s="78"/>
      <c r="O1396" s="78"/>
      <c r="P1396" s="78"/>
      <c r="Q1396" s="78"/>
      <c r="R1396" s="78"/>
      <c r="S1396" s="78"/>
      <c r="T1396" s="78"/>
      <c r="U1396" s="78"/>
      <c r="V1396" s="78"/>
      <c r="W1396" s="78"/>
      <c r="X1396" s="78"/>
      <c r="Y1396" s="78"/>
      <c r="Z1396" s="78"/>
      <c r="AA1396" s="78"/>
      <c r="AB1396" s="78"/>
      <c r="AC1396" s="78"/>
      <c r="AD1396" s="78"/>
      <c r="AE1396" s="78"/>
      <c r="AF1396" s="78"/>
      <c r="AG1396" s="78"/>
      <c r="AH1396" s="78"/>
      <c r="AI1396" s="78"/>
      <c r="AJ1396" s="78"/>
      <c r="AK1396" s="78"/>
    </row>
    <row r="1397" spans="1:37">
      <c r="A1397" s="78"/>
      <c r="B1397" s="78"/>
      <c r="C1397" s="78"/>
      <c r="D1397" s="78"/>
      <c r="E1397" s="78"/>
      <c r="F1397" s="78"/>
      <c r="G1397" s="78"/>
      <c r="H1397" s="78"/>
      <c r="I1397" s="78"/>
      <c r="J1397" s="78"/>
      <c r="K1397" s="78"/>
      <c r="L1397" s="78"/>
      <c r="M1397" s="78"/>
      <c r="N1397" s="78"/>
      <c r="O1397" s="78"/>
      <c r="P1397" s="78"/>
      <c r="Q1397" s="78"/>
      <c r="R1397" s="78"/>
      <c r="S1397" s="78"/>
      <c r="T1397" s="78"/>
      <c r="U1397" s="78"/>
      <c r="V1397" s="78"/>
      <c r="W1397" s="78"/>
      <c r="X1397" s="78"/>
      <c r="Y1397" s="78"/>
      <c r="Z1397" s="78"/>
      <c r="AA1397" s="78"/>
      <c r="AB1397" s="78"/>
      <c r="AC1397" s="78"/>
      <c r="AD1397" s="78"/>
      <c r="AE1397" s="78"/>
      <c r="AF1397" s="78"/>
      <c r="AG1397" s="78"/>
      <c r="AH1397" s="78"/>
      <c r="AI1397" s="78"/>
      <c r="AJ1397" s="78"/>
      <c r="AK1397" s="78"/>
    </row>
    <row r="1398" spans="1:37">
      <c r="A1398" s="78"/>
      <c r="B1398" s="78"/>
      <c r="C1398" s="78"/>
      <c r="D1398" s="78"/>
      <c r="E1398" s="78"/>
      <c r="F1398" s="78"/>
      <c r="G1398" s="78"/>
      <c r="H1398" s="78"/>
      <c r="I1398" s="78"/>
      <c r="J1398" s="78"/>
      <c r="K1398" s="78"/>
      <c r="L1398" s="78"/>
      <c r="M1398" s="78"/>
      <c r="N1398" s="78"/>
      <c r="O1398" s="78"/>
      <c r="P1398" s="78"/>
      <c r="Q1398" s="78"/>
      <c r="R1398" s="78"/>
      <c r="S1398" s="78"/>
      <c r="T1398" s="78"/>
      <c r="U1398" s="78"/>
      <c r="V1398" s="78"/>
      <c r="W1398" s="78"/>
      <c r="X1398" s="78"/>
      <c r="Y1398" s="78"/>
      <c r="Z1398" s="78"/>
      <c r="AA1398" s="78"/>
      <c r="AB1398" s="78"/>
      <c r="AC1398" s="78"/>
      <c r="AD1398" s="78"/>
      <c r="AE1398" s="78"/>
      <c r="AF1398" s="78"/>
      <c r="AG1398" s="78"/>
      <c r="AH1398" s="78"/>
      <c r="AI1398" s="78"/>
      <c r="AJ1398" s="78"/>
      <c r="AK1398" s="78"/>
    </row>
    <row r="1399" spans="1:37">
      <c r="A1399" s="78"/>
      <c r="B1399" s="78"/>
      <c r="C1399" s="78"/>
      <c r="D1399" s="78"/>
      <c r="E1399" s="78"/>
      <c r="F1399" s="78"/>
      <c r="G1399" s="78"/>
      <c r="H1399" s="78"/>
      <c r="I1399" s="78"/>
      <c r="J1399" s="78"/>
      <c r="K1399" s="78"/>
      <c r="L1399" s="78"/>
      <c r="M1399" s="78"/>
      <c r="N1399" s="78"/>
      <c r="O1399" s="78"/>
      <c r="P1399" s="78"/>
      <c r="Q1399" s="78"/>
      <c r="R1399" s="78"/>
      <c r="S1399" s="78"/>
      <c r="T1399" s="78"/>
      <c r="U1399" s="78"/>
      <c r="V1399" s="78"/>
      <c r="W1399" s="78"/>
      <c r="X1399" s="78"/>
      <c r="Y1399" s="78"/>
      <c r="Z1399" s="78"/>
      <c r="AA1399" s="78"/>
      <c r="AB1399" s="78"/>
      <c r="AC1399" s="78"/>
      <c r="AD1399" s="78"/>
      <c r="AE1399" s="78"/>
      <c r="AF1399" s="78"/>
      <c r="AG1399" s="78"/>
      <c r="AH1399" s="78"/>
      <c r="AI1399" s="78"/>
      <c r="AJ1399" s="78"/>
      <c r="AK1399" s="78"/>
    </row>
    <row r="1400" spans="1:37">
      <c r="A1400" s="78"/>
      <c r="B1400" s="78"/>
      <c r="C1400" s="78"/>
      <c r="D1400" s="78"/>
      <c r="E1400" s="78"/>
      <c r="F1400" s="78"/>
      <c r="G1400" s="78"/>
      <c r="H1400" s="78"/>
      <c r="I1400" s="78"/>
      <c r="J1400" s="78"/>
      <c r="K1400" s="78"/>
      <c r="L1400" s="78"/>
      <c r="M1400" s="78"/>
      <c r="N1400" s="78"/>
      <c r="O1400" s="78"/>
      <c r="P1400" s="78"/>
      <c r="Q1400" s="78"/>
      <c r="R1400" s="78"/>
      <c r="S1400" s="78"/>
      <c r="T1400" s="78"/>
      <c r="U1400" s="78"/>
      <c r="V1400" s="78"/>
      <c r="W1400" s="78"/>
      <c r="X1400" s="78"/>
      <c r="Y1400" s="78"/>
      <c r="Z1400" s="78"/>
      <c r="AA1400" s="78"/>
      <c r="AB1400" s="78"/>
      <c r="AC1400" s="78"/>
      <c r="AD1400" s="78"/>
      <c r="AE1400" s="78"/>
      <c r="AF1400" s="78"/>
      <c r="AG1400" s="78"/>
      <c r="AH1400" s="78"/>
      <c r="AI1400" s="78"/>
      <c r="AJ1400" s="78"/>
      <c r="AK1400" s="78"/>
    </row>
    <row r="1401" spans="1:37">
      <c r="A1401" s="78"/>
      <c r="B1401" s="78"/>
      <c r="C1401" s="78"/>
      <c r="D1401" s="78"/>
      <c r="E1401" s="78"/>
      <c r="F1401" s="78"/>
      <c r="G1401" s="78"/>
      <c r="H1401" s="78"/>
      <c r="I1401" s="78"/>
      <c r="J1401" s="78"/>
      <c r="K1401" s="78"/>
      <c r="L1401" s="78"/>
      <c r="M1401" s="78"/>
      <c r="N1401" s="78"/>
      <c r="O1401" s="78"/>
      <c r="P1401" s="78"/>
      <c r="Q1401" s="78"/>
      <c r="R1401" s="78"/>
      <c r="S1401" s="78"/>
      <c r="T1401" s="78"/>
      <c r="U1401" s="78"/>
      <c r="V1401" s="78"/>
      <c r="W1401" s="78"/>
      <c r="X1401" s="78"/>
      <c r="Y1401" s="78"/>
      <c r="Z1401" s="78"/>
      <c r="AA1401" s="78"/>
      <c r="AB1401" s="78"/>
      <c r="AC1401" s="78"/>
      <c r="AD1401" s="78"/>
      <c r="AE1401" s="78"/>
      <c r="AF1401" s="78"/>
      <c r="AG1401" s="78"/>
      <c r="AH1401" s="78"/>
      <c r="AI1401" s="78"/>
      <c r="AJ1401" s="78"/>
      <c r="AK1401" s="78"/>
    </row>
    <row r="1402" spans="1:37">
      <c r="A1402" s="78"/>
      <c r="B1402" s="78"/>
      <c r="C1402" s="78"/>
      <c r="D1402" s="78"/>
      <c r="E1402" s="78"/>
      <c r="F1402" s="78"/>
      <c r="G1402" s="78"/>
      <c r="H1402" s="78"/>
      <c r="I1402" s="78"/>
      <c r="J1402" s="78"/>
      <c r="K1402" s="78"/>
      <c r="L1402" s="78"/>
      <c r="M1402" s="78"/>
      <c r="N1402" s="78"/>
      <c r="O1402" s="78"/>
      <c r="P1402" s="78"/>
      <c r="Q1402" s="78"/>
      <c r="R1402" s="78"/>
      <c r="S1402" s="78"/>
      <c r="T1402" s="78"/>
      <c r="U1402" s="78"/>
      <c r="V1402" s="78"/>
      <c r="W1402" s="78"/>
      <c r="X1402" s="78"/>
      <c r="Y1402" s="78"/>
      <c r="Z1402" s="78"/>
      <c r="AA1402" s="78"/>
      <c r="AB1402" s="78"/>
      <c r="AC1402" s="78"/>
      <c r="AD1402" s="78"/>
      <c r="AE1402" s="78"/>
      <c r="AF1402" s="78"/>
      <c r="AG1402" s="78"/>
      <c r="AH1402" s="78"/>
      <c r="AI1402" s="78"/>
      <c r="AJ1402" s="78"/>
      <c r="AK1402" s="78"/>
    </row>
    <row r="1403" spans="1:37">
      <c r="A1403" s="78"/>
      <c r="B1403" s="78"/>
      <c r="C1403" s="78"/>
      <c r="D1403" s="78"/>
      <c r="E1403" s="78"/>
      <c r="F1403" s="78"/>
      <c r="G1403" s="78"/>
      <c r="H1403" s="78"/>
      <c r="I1403" s="78"/>
      <c r="J1403" s="78"/>
      <c r="K1403" s="78"/>
      <c r="L1403" s="78"/>
      <c r="M1403" s="78"/>
      <c r="N1403" s="78"/>
      <c r="O1403" s="78"/>
      <c r="P1403" s="78"/>
      <c r="Q1403" s="78"/>
      <c r="R1403" s="78"/>
      <c r="S1403" s="78"/>
      <c r="T1403" s="78"/>
      <c r="U1403" s="78"/>
      <c r="V1403" s="78"/>
      <c r="W1403" s="78"/>
      <c r="X1403" s="78"/>
      <c r="Y1403" s="78"/>
      <c r="Z1403" s="78"/>
      <c r="AA1403" s="78"/>
      <c r="AB1403" s="78"/>
      <c r="AC1403" s="78"/>
      <c r="AD1403" s="78"/>
      <c r="AE1403" s="78"/>
      <c r="AF1403" s="78"/>
      <c r="AG1403" s="78"/>
      <c r="AH1403" s="78"/>
      <c r="AI1403" s="78"/>
      <c r="AJ1403" s="78"/>
      <c r="AK1403" s="78"/>
    </row>
    <row r="1404" spans="1:37">
      <c r="A1404" s="78"/>
      <c r="B1404" s="78"/>
      <c r="C1404" s="78"/>
      <c r="D1404" s="78"/>
      <c r="E1404" s="78"/>
      <c r="F1404" s="78"/>
      <c r="G1404" s="78"/>
      <c r="H1404" s="78"/>
      <c r="I1404" s="78"/>
      <c r="J1404" s="78"/>
      <c r="K1404" s="78"/>
      <c r="L1404" s="78"/>
      <c r="M1404" s="78"/>
      <c r="N1404" s="78"/>
      <c r="O1404" s="78"/>
      <c r="P1404" s="78"/>
      <c r="Q1404" s="78"/>
      <c r="R1404" s="78"/>
      <c r="S1404" s="78"/>
      <c r="T1404" s="78"/>
      <c r="U1404" s="78"/>
      <c r="V1404" s="78"/>
      <c r="W1404" s="78"/>
      <c r="X1404" s="78"/>
      <c r="Y1404" s="78"/>
      <c r="Z1404" s="78"/>
      <c r="AA1404" s="78"/>
      <c r="AB1404" s="78"/>
      <c r="AC1404" s="78"/>
      <c r="AD1404" s="78"/>
      <c r="AE1404" s="78"/>
      <c r="AF1404" s="78"/>
      <c r="AG1404" s="78"/>
      <c r="AH1404" s="78"/>
      <c r="AI1404" s="78"/>
      <c r="AJ1404" s="78"/>
      <c r="AK1404" s="78"/>
    </row>
    <row r="1405" spans="1:37">
      <c r="A1405" s="78"/>
      <c r="B1405" s="78"/>
      <c r="C1405" s="78"/>
      <c r="D1405" s="78"/>
      <c r="E1405" s="78"/>
      <c r="F1405" s="78"/>
      <c r="G1405" s="78"/>
      <c r="H1405" s="78"/>
      <c r="I1405" s="78"/>
      <c r="J1405" s="78"/>
      <c r="K1405" s="78"/>
      <c r="L1405" s="78"/>
      <c r="M1405" s="78"/>
      <c r="N1405" s="78"/>
      <c r="O1405" s="78"/>
      <c r="P1405" s="78"/>
      <c r="Q1405" s="78"/>
      <c r="R1405" s="78"/>
      <c r="S1405" s="78"/>
      <c r="T1405" s="78"/>
      <c r="U1405" s="78"/>
      <c r="V1405" s="78"/>
      <c r="W1405" s="78"/>
      <c r="X1405" s="78"/>
      <c r="Y1405" s="78"/>
      <c r="Z1405" s="78"/>
      <c r="AA1405" s="78"/>
      <c r="AB1405" s="78"/>
      <c r="AC1405" s="78"/>
      <c r="AD1405" s="78"/>
      <c r="AE1405" s="78"/>
      <c r="AF1405" s="78"/>
      <c r="AG1405" s="78"/>
      <c r="AH1405" s="78"/>
      <c r="AI1405" s="78"/>
      <c r="AJ1405" s="78"/>
      <c r="AK1405" s="78"/>
    </row>
    <row r="1406" spans="1:37">
      <c r="A1406" s="78"/>
      <c r="B1406" s="78"/>
      <c r="C1406" s="78"/>
      <c r="D1406" s="78"/>
      <c r="E1406" s="78"/>
      <c r="F1406" s="78"/>
      <c r="G1406" s="78"/>
      <c r="H1406" s="78"/>
      <c r="I1406" s="78"/>
      <c r="J1406" s="78"/>
      <c r="K1406" s="78"/>
      <c r="L1406" s="78"/>
      <c r="M1406" s="78"/>
      <c r="N1406" s="78"/>
      <c r="O1406" s="78"/>
      <c r="P1406" s="78"/>
      <c r="Q1406" s="78"/>
      <c r="R1406" s="78"/>
      <c r="S1406" s="78"/>
      <c r="T1406" s="78"/>
      <c r="U1406" s="78"/>
      <c r="V1406" s="78"/>
      <c r="W1406" s="78"/>
      <c r="X1406" s="78"/>
      <c r="Y1406" s="78"/>
      <c r="Z1406" s="78"/>
      <c r="AA1406" s="78"/>
      <c r="AB1406" s="78"/>
      <c r="AC1406" s="78"/>
      <c r="AD1406" s="78"/>
      <c r="AE1406" s="78"/>
      <c r="AF1406" s="78"/>
      <c r="AG1406" s="78"/>
      <c r="AH1406" s="78"/>
      <c r="AI1406" s="78"/>
      <c r="AJ1406" s="78"/>
      <c r="AK1406" s="78"/>
    </row>
    <row r="1407" spans="1:37">
      <c r="A1407" s="78"/>
      <c r="B1407" s="78"/>
      <c r="C1407" s="78"/>
      <c r="D1407" s="78"/>
      <c r="E1407" s="78"/>
      <c r="F1407" s="78"/>
      <c r="G1407" s="78"/>
      <c r="H1407" s="78"/>
      <c r="I1407" s="78"/>
      <c r="J1407" s="78"/>
      <c r="K1407" s="78"/>
      <c r="L1407" s="78"/>
      <c r="M1407" s="78"/>
      <c r="N1407" s="78"/>
      <c r="O1407" s="78"/>
      <c r="P1407" s="78"/>
      <c r="Q1407" s="78"/>
      <c r="R1407" s="78"/>
      <c r="S1407" s="78"/>
      <c r="T1407" s="78"/>
      <c r="U1407" s="78"/>
      <c r="V1407" s="78"/>
      <c r="W1407" s="78"/>
      <c r="X1407" s="78"/>
      <c r="Y1407" s="78"/>
      <c r="Z1407" s="78"/>
      <c r="AA1407" s="78"/>
      <c r="AB1407" s="78"/>
      <c r="AC1407" s="78"/>
      <c r="AD1407" s="78"/>
      <c r="AE1407" s="78"/>
      <c r="AF1407" s="78"/>
      <c r="AG1407" s="78"/>
      <c r="AH1407" s="78"/>
      <c r="AI1407" s="78"/>
      <c r="AJ1407" s="78"/>
      <c r="AK1407" s="78"/>
    </row>
    <row r="1408" spans="1:37">
      <c r="A1408" s="78"/>
      <c r="B1408" s="78"/>
      <c r="C1408" s="78"/>
      <c r="D1408" s="78"/>
      <c r="E1408" s="78"/>
      <c r="F1408" s="78"/>
      <c r="G1408" s="78"/>
      <c r="H1408" s="78"/>
      <c r="I1408" s="78"/>
      <c r="J1408" s="78"/>
      <c r="K1408" s="78"/>
      <c r="L1408" s="78"/>
      <c r="M1408" s="78"/>
      <c r="N1408" s="78"/>
      <c r="O1408" s="78"/>
      <c r="P1408" s="78"/>
      <c r="Q1408" s="78"/>
      <c r="R1408" s="78"/>
      <c r="S1408" s="78"/>
      <c r="T1408" s="78"/>
      <c r="U1408" s="78"/>
      <c r="V1408" s="78"/>
      <c r="W1408" s="78"/>
      <c r="X1408" s="78"/>
      <c r="Y1408" s="78"/>
      <c r="Z1408" s="78"/>
      <c r="AA1408" s="78"/>
      <c r="AB1408" s="78"/>
      <c r="AC1408" s="78"/>
      <c r="AD1408" s="78"/>
      <c r="AE1408" s="78"/>
      <c r="AF1408" s="78"/>
      <c r="AG1408" s="78"/>
      <c r="AH1408" s="78"/>
      <c r="AI1408" s="78"/>
      <c r="AJ1408" s="78"/>
      <c r="AK1408" s="78"/>
    </row>
    <row r="1409" spans="1:37">
      <c r="A1409" s="78"/>
      <c r="B1409" s="78"/>
      <c r="C1409" s="78"/>
      <c r="D1409" s="78"/>
      <c r="E1409" s="78"/>
      <c r="F1409" s="78"/>
      <c r="G1409" s="78"/>
      <c r="H1409" s="78"/>
      <c r="I1409" s="78"/>
      <c r="J1409" s="78"/>
      <c r="K1409" s="78"/>
      <c r="L1409" s="78"/>
      <c r="M1409" s="78"/>
      <c r="N1409" s="78"/>
      <c r="O1409" s="78"/>
      <c r="P1409" s="78"/>
      <c r="Q1409" s="78"/>
      <c r="R1409" s="78"/>
      <c r="S1409" s="78"/>
      <c r="T1409" s="78"/>
      <c r="U1409" s="78"/>
      <c r="V1409" s="78"/>
      <c r="W1409" s="78"/>
      <c r="X1409" s="78"/>
      <c r="Y1409" s="78"/>
      <c r="Z1409" s="78"/>
      <c r="AA1409" s="78"/>
      <c r="AB1409" s="78"/>
      <c r="AC1409" s="78"/>
      <c r="AD1409" s="78"/>
      <c r="AE1409" s="78"/>
      <c r="AF1409" s="78"/>
      <c r="AG1409" s="78"/>
      <c r="AH1409" s="78"/>
      <c r="AI1409" s="78"/>
      <c r="AJ1409" s="78"/>
      <c r="AK1409" s="78"/>
    </row>
    <row r="1410" spans="1:37">
      <c r="A1410" s="78"/>
      <c r="B1410" s="78"/>
      <c r="C1410" s="78"/>
      <c r="D1410" s="78"/>
      <c r="E1410" s="78"/>
      <c r="F1410" s="78"/>
      <c r="G1410" s="78"/>
      <c r="H1410" s="78"/>
      <c r="I1410" s="78"/>
      <c r="J1410" s="78"/>
      <c r="K1410" s="78"/>
      <c r="L1410" s="78"/>
      <c r="M1410" s="78"/>
      <c r="N1410" s="78"/>
      <c r="O1410" s="78"/>
      <c r="P1410" s="78"/>
      <c r="Q1410" s="78"/>
      <c r="R1410" s="78"/>
      <c r="S1410" s="78"/>
      <c r="T1410" s="78"/>
      <c r="U1410" s="78"/>
      <c r="V1410" s="78"/>
      <c r="W1410" s="78"/>
      <c r="X1410" s="78"/>
      <c r="Y1410" s="78"/>
      <c r="Z1410" s="78"/>
      <c r="AA1410" s="78"/>
      <c r="AB1410" s="78"/>
      <c r="AC1410" s="78"/>
      <c r="AD1410" s="78"/>
      <c r="AE1410" s="78"/>
      <c r="AF1410" s="78"/>
      <c r="AG1410" s="78"/>
      <c r="AH1410" s="78"/>
      <c r="AI1410" s="78"/>
      <c r="AJ1410" s="78"/>
      <c r="AK1410" s="78"/>
    </row>
    <row r="1411" spans="1:37">
      <c r="A1411" s="78"/>
      <c r="B1411" s="78"/>
      <c r="C1411" s="78"/>
      <c r="D1411" s="78"/>
      <c r="E1411" s="78"/>
      <c r="F1411" s="78"/>
      <c r="G1411" s="78"/>
      <c r="H1411" s="78"/>
      <c r="I1411" s="78"/>
      <c r="J1411" s="78"/>
      <c r="K1411" s="78"/>
      <c r="L1411" s="78"/>
      <c r="M1411" s="78"/>
      <c r="N1411" s="78"/>
      <c r="O1411" s="78"/>
      <c r="P1411" s="78"/>
      <c r="Q1411" s="78"/>
      <c r="R1411" s="78"/>
      <c r="S1411" s="78"/>
      <c r="T1411" s="78"/>
      <c r="U1411" s="78"/>
      <c r="V1411" s="78"/>
      <c r="W1411" s="78"/>
      <c r="X1411" s="78"/>
      <c r="Y1411" s="78"/>
      <c r="Z1411" s="78"/>
      <c r="AA1411" s="78"/>
      <c r="AB1411" s="78"/>
      <c r="AC1411" s="78"/>
      <c r="AD1411" s="78"/>
      <c r="AE1411" s="78"/>
      <c r="AF1411" s="78"/>
      <c r="AG1411" s="78"/>
      <c r="AH1411" s="78"/>
      <c r="AI1411" s="78"/>
      <c r="AJ1411" s="78"/>
      <c r="AK1411" s="78"/>
    </row>
    <row r="1412" spans="1:37">
      <c r="A1412" s="78"/>
      <c r="B1412" s="78"/>
      <c r="C1412" s="78"/>
      <c r="D1412" s="78"/>
      <c r="E1412" s="78"/>
      <c r="F1412" s="78"/>
      <c r="G1412" s="78"/>
      <c r="H1412" s="78"/>
      <c r="I1412" s="78"/>
      <c r="J1412" s="78"/>
      <c r="K1412" s="78"/>
      <c r="L1412" s="78"/>
      <c r="M1412" s="78"/>
      <c r="N1412" s="78"/>
      <c r="O1412" s="78"/>
      <c r="P1412" s="78"/>
      <c r="Q1412" s="78"/>
      <c r="R1412" s="78"/>
      <c r="S1412" s="78"/>
      <c r="T1412" s="78"/>
      <c r="U1412" s="78"/>
      <c r="V1412" s="78"/>
      <c r="W1412" s="78"/>
      <c r="X1412" s="78"/>
      <c r="Y1412" s="78"/>
      <c r="Z1412" s="78"/>
      <c r="AA1412" s="78"/>
      <c r="AB1412" s="78"/>
      <c r="AC1412" s="78"/>
      <c r="AD1412" s="78"/>
      <c r="AE1412" s="78"/>
      <c r="AF1412" s="78"/>
      <c r="AG1412" s="78"/>
      <c r="AH1412" s="78"/>
      <c r="AI1412" s="78"/>
      <c r="AJ1412" s="78"/>
      <c r="AK1412" s="78"/>
    </row>
    <row r="1413" spans="1:37">
      <c r="A1413" s="78"/>
      <c r="B1413" s="78"/>
      <c r="C1413" s="78"/>
      <c r="D1413" s="78"/>
      <c r="E1413" s="78"/>
      <c r="F1413" s="78"/>
      <c r="G1413" s="78"/>
      <c r="H1413" s="78"/>
      <c r="I1413" s="78"/>
      <c r="J1413" s="78"/>
      <c r="K1413" s="78"/>
      <c r="L1413" s="78"/>
      <c r="M1413" s="78"/>
      <c r="N1413" s="78"/>
      <c r="O1413" s="78"/>
      <c r="P1413" s="78"/>
      <c r="Q1413" s="78"/>
      <c r="R1413" s="78"/>
      <c r="S1413" s="78"/>
      <c r="T1413" s="78"/>
      <c r="U1413" s="78"/>
      <c r="V1413" s="78"/>
      <c r="W1413" s="78"/>
      <c r="X1413" s="78"/>
      <c r="Y1413" s="78"/>
      <c r="Z1413" s="78"/>
      <c r="AA1413" s="78"/>
      <c r="AB1413" s="78"/>
      <c r="AC1413" s="78"/>
      <c r="AD1413" s="78"/>
      <c r="AE1413" s="78"/>
      <c r="AF1413" s="78"/>
      <c r="AG1413" s="78"/>
      <c r="AH1413" s="78"/>
      <c r="AI1413" s="78"/>
      <c r="AJ1413" s="78"/>
      <c r="AK1413" s="78"/>
    </row>
    <row r="1414" spans="1:37">
      <c r="A1414" s="78"/>
      <c r="B1414" s="78"/>
      <c r="C1414" s="78"/>
      <c r="D1414" s="78"/>
      <c r="E1414" s="78"/>
      <c r="F1414" s="78"/>
      <c r="G1414" s="78"/>
      <c r="H1414" s="78"/>
      <c r="I1414" s="78"/>
      <c r="J1414" s="78"/>
      <c r="K1414" s="78"/>
      <c r="L1414" s="78"/>
      <c r="M1414" s="78"/>
      <c r="N1414" s="78"/>
      <c r="O1414" s="78"/>
      <c r="P1414" s="78"/>
      <c r="Q1414" s="78"/>
      <c r="R1414" s="78"/>
      <c r="S1414" s="78"/>
      <c r="T1414" s="78"/>
      <c r="U1414" s="78"/>
      <c r="V1414" s="78"/>
      <c r="W1414" s="78"/>
      <c r="X1414" s="78"/>
      <c r="Y1414" s="78"/>
      <c r="Z1414" s="78"/>
      <c r="AA1414" s="78"/>
      <c r="AB1414" s="78"/>
      <c r="AC1414" s="78"/>
      <c r="AD1414" s="78"/>
      <c r="AE1414" s="78"/>
      <c r="AF1414" s="78"/>
      <c r="AG1414" s="78"/>
      <c r="AH1414" s="78"/>
      <c r="AI1414" s="78"/>
      <c r="AJ1414" s="78"/>
      <c r="AK1414" s="78"/>
    </row>
    <row r="1415" spans="1:37">
      <c r="A1415" s="78"/>
      <c r="B1415" s="78"/>
      <c r="C1415" s="78"/>
      <c r="D1415" s="78"/>
      <c r="E1415" s="78"/>
      <c r="F1415" s="78"/>
      <c r="G1415" s="78"/>
      <c r="H1415" s="78"/>
      <c r="I1415" s="78"/>
      <c r="J1415" s="78"/>
      <c r="K1415" s="78"/>
      <c r="L1415" s="78"/>
      <c r="M1415" s="78"/>
      <c r="N1415" s="78"/>
      <c r="O1415" s="78"/>
      <c r="P1415" s="78"/>
      <c r="Q1415" s="78"/>
      <c r="R1415" s="78"/>
      <c r="S1415" s="78"/>
      <c r="T1415" s="78"/>
      <c r="U1415" s="78"/>
      <c r="V1415" s="78"/>
      <c r="W1415" s="78"/>
      <c r="X1415" s="78"/>
      <c r="Y1415" s="78"/>
      <c r="Z1415" s="78"/>
      <c r="AA1415" s="78"/>
      <c r="AB1415" s="78"/>
      <c r="AC1415" s="78"/>
      <c r="AD1415" s="78"/>
      <c r="AE1415" s="78"/>
      <c r="AF1415" s="78"/>
      <c r="AG1415" s="78"/>
      <c r="AH1415" s="78"/>
      <c r="AI1415" s="78"/>
      <c r="AJ1415" s="78"/>
      <c r="AK1415" s="78"/>
    </row>
    <row r="1416" spans="1:37">
      <c r="A1416" s="78"/>
      <c r="B1416" s="78"/>
      <c r="C1416" s="78"/>
      <c r="D1416" s="78"/>
      <c r="E1416" s="78"/>
      <c r="F1416" s="78"/>
      <c r="G1416" s="78"/>
      <c r="H1416" s="78"/>
      <c r="I1416" s="78"/>
      <c r="J1416" s="78"/>
      <c r="K1416" s="78"/>
      <c r="L1416" s="78"/>
      <c r="M1416" s="78"/>
      <c r="N1416" s="78"/>
      <c r="O1416" s="78"/>
      <c r="P1416" s="78"/>
      <c r="Q1416" s="78"/>
      <c r="R1416" s="78"/>
      <c r="S1416" s="78"/>
      <c r="T1416" s="78"/>
      <c r="U1416" s="78"/>
      <c r="V1416" s="78"/>
      <c r="W1416" s="78"/>
      <c r="X1416" s="78"/>
      <c r="Y1416" s="78"/>
      <c r="Z1416" s="78"/>
      <c r="AA1416" s="78"/>
      <c r="AB1416" s="78"/>
      <c r="AC1416" s="78"/>
      <c r="AD1416" s="78"/>
      <c r="AE1416" s="78"/>
      <c r="AF1416" s="78"/>
      <c r="AG1416" s="78"/>
      <c r="AH1416" s="78"/>
      <c r="AI1416" s="78"/>
      <c r="AJ1416" s="78"/>
      <c r="AK1416" s="78"/>
    </row>
    <row r="1417" spans="1:37">
      <c r="A1417" s="78"/>
      <c r="B1417" s="78"/>
      <c r="C1417" s="78"/>
      <c r="D1417" s="78"/>
      <c r="E1417" s="78"/>
      <c r="F1417" s="78"/>
      <c r="G1417" s="78"/>
      <c r="H1417" s="78"/>
      <c r="I1417" s="78"/>
      <c r="J1417" s="78"/>
      <c r="K1417" s="78"/>
      <c r="L1417" s="78"/>
      <c r="M1417" s="78"/>
      <c r="N1417" s="78"/>
      <c r="O1417" s="78"/>
      <c r="P1417" s="78"/>
      <c r="Q1417" s="78"/>
      <c r="R1417" s="78"/>
      <c r="S1417" s="78"/>
      <c r="T1417" s="78"/>
      <c r="U1417" s="78"/>
      <c r="V1417" s="78"/>
      <c r="W1417" s="78"/>
      <c r="X1417" s="78"/>
      <c r="Y1417" s="78"/>
      <c r="Z1417" s="78"/>
      <c r="AA1417" s="78"/>
      <c r="AB1417" s="78"/>
      <c r="AC1417" s="78"/>
      <c r="AD1417" s="78"/>
      <c r="AE1417" s="78"/>
      <c r="AF1417" s="78"/>
      <c r="AG1417" s="78"/>
      <c r="AH1417" s="78"/>
      <c r="AI1417" s="78"/>
      <c r="AJ1417" s="78"/>
      <c r="AK1417" s="78"/>
    </row>
    <row r="1418" spans="1:37">
      <c r="A1418" s="78"/>
      <c r="B1418" s="78"/>
      <c r="C1418" s="78"/>
      <c r="D1418" s="78"/>
      <c r="E1418" s="78"/>
      <c r="F1418" s="78"/>
      <c r="G1418" s="78"/>
      <c r="H1418" s="78"/>
      <c r="I1418" s="78"/>
      <c r="J1418" s="78"/>
      <c r="K1418" s="78"/>
      <c r="L1418" s="78"/>
      <c r="M1418" s="78"/>
      <c r="N1418" s="78"/>
      <c r="O1418" s="78"/>
      <c r="P1418" s="78"/>
      <c r="Q1418" s="78"/>
      <c r="R1418" s="78"/>
      <c r="S1418" s="78"/>
      <c r="T1418" s="78"/>
      <c r="U1418" s="78"/>
      <c r="V1418" s="78"/>
      <c r="W1418" s="78"/>
      <c r="X1418" s="78"/>
      <c r="Y1418" s="78"/>
      <c r="Z1418" s="78"/>
      <c r="AA1418" s="78"/>
      <c r="AB1418" s="78"/>
      <c r="AC1418" s="78"/>
      <c r="AD1418" s="78"/>
      <c r="AE1418" s="78"/>
      <c r="AF1418" s="78"/>
      <c r="AG1418" s="78"/>
      <c r="AH1418" s="78"/>
      <c r="AI1418" s="78"/>
      <c r="AJ1418" s="78"/>
      <c r="AK1418" s="78"/>
    </row>
    <row r="1419" spans="1:37">
      <c r="A1419" s="78"/>
      <c r="B1419" s="78"/>
      <c r="C1419" s="78"/>
      <c r="D1419" s="78"/>
      <c r="E1419" s="78"/>
      <c r="F1419" s="78"/>
      <c r="G1419" s="78"/>
      <c r="H1419" s="78"/>
      <c r="I1419" s="78"/>
      <c r="J1419" s="78"/>
      <c r="K1419" s="78"/>
      <c r="L1419" s="78"/>
      <c r="M1419" s="78"/>
      <c r="N1419" s="78"/>
      <c r="O1419" s="78"/>
      <c r="P1419" s="78"/>
      <c r="Q1419" s="78"/>
      <c r="R1419" s="78"/>
      <c r="S1419" s="78"/>
      <c r="T1419" s="78"/>
      <c r="U1419" s="78"/>
      <c r="V1419" s="78"/>
      <c r="W1419" s="78"/>
      <c r="X1419" s="78"/>
      <c r="Y1419" s="78"/>
      <c r="Z1419" s="78"/>
      <c r="AA1419" s="78"/>
      <c r="AB1419" s="78"/>
      <c r="AC1419" s="78"/>
      <c r="AD1419" s="78"/>
      <c r="AE1419" s="78"/>
      <c r="AF1419" s="78"/>
      <c r="AG1419" s="78"/>
      <c r="AH1419" s="78"/>
      <c r="AI1419" s="78"/>
      <c r="AJ1419" s="78"/>
      <c r="AK1419" s="78"/>
    </row>
    <row r="1420" spans="1:37">
      <c r="A1420" s="78"/>
      <c r="B1420" s="78"/>
      <c r="C1420" s="78"/>
      <c r="D1420" s="78"/>
      <c r="E1420" s="78"/>
      <c r="F1420" s="78"/>
      <c r="G1420" s="78"/>
      <c r="H1420" s="78"/>
      <c r="I1420" s="78"/>
      <c r="J1420" s="78"/>
      <c r="K1420" s="78"/>
      <c r="L1420" s="78"/>
      <c r="M1420" s="78"/>
      <c r="N1420" s="78"/>
      <c r="O1420" s="78"/>
      <c r="P1420" s="78"/>
      <c r="Q1420" s="78"/>
      <c r="R1420" s="78"/>
      <c r="S1420" s="78"/>
      <c r="T1420" s="78"/>
      <c r="U1420" s="78"/>
      <c r="V1420" s="78"/>
      <c r="W1420" s="78"/>
      <c r="X1420" s="78"/>
      <c r="Y1420" s="78"/>
      <c r="Z1420" s="78"/>
      <c r="AA1420" s="78"/>
      <c r="AB1420" s="78"/>
      <c r="AC1420" s="78"/>
      <c r="AD1420" s="78"/>
      <c r="AE1420" s="78"/>
      <c r="AF1420" s="78"/>
      <c r="AG1420" s="78"/>
      <c r="AH1420" s="78"/>
      <c r="AI1420" s="78"/>
      <c r="AJ1420" s="78"/>
      <c r="AK1420" s="78"/>
    </row>
    <row r="1421" spans="1:37">
      <c r="A1421" s="78"/>
      <c r="B1421" s="78"/>
      <c r="C1421" s="78"/>
      <c r="D1421" s="78"/>
      <c r="E1421" s="78"/>
      <c r="F1421" s="78"/>
      <c r="G1421" s="78"/>
      <c r="H1421" s="78"/>
      <c r="I1421" s="78"/>
      <c r="J1421" s="78"/>
      <c r="K1421" s="78"/>
      <c r="L1421" s="78"/>
      <c r="M1421" s="78"/>
      <c r="N1421" s="78"/>
      <c r="O1421" s="78"/>
      <c r="P1421" s="78"/>
      <c r="Q1421" s="78"/>
      <c r="R1421" s="78"/>
      <c r="S1421" s="78"/>
      <c r="T1421" s="78"/>
      <c r="U1421" s="78"/>
      <c r="V1421" s="78"/>
      <c r="W1421" s="78"/>
      <c r="X1421" s="78"/>
      <c r="Y1421" s="78"/>
      <c r="Z1421" s="78"/>
      <c r="AA1421" s="78"/>
      <c r="AB1421" s="78"/>
      <c r="AC1421" s="78"/>
      <c r="AD1421" s="78"/>
      <c r="AE1421" s="78"/>
      <c r="AF1421" s="78"/>
      <c r="AG1421" s="78"/>
      <c r="AH1421" s="78"/>
      <c r="AI1421" s="78"/>
      <c r="AJ1421" s="78"/>
      <c r="AK1421" s="78"/>
    </row>
    <row r="1422" spans="1:37">
      <c r="A1422" s="78"/>
      <c r="B1422" s="78"/>
      <c r="C1422" s="78"/>
      <c r="D1422" s="78"/>
      <c r="E1422" s="78"/>
      <c r="F1422" s="78"/>
      <c r="G1422" s="78"/>
      <c r="H1422" s="78"/>
      <c r="I1422" s="78"/>
      <c r="J1422" s="78"/>
      <c r="K1422" s="78"/>
      <c r="L1422" s="78"/>
      <c r="M1422" s="78"/>
      <c r="N1422" s="78"/>
      <c r="O1422" s="78"/>
      <c r="P1422" s="78"/>
      <c r="Q1422" s="78"/>
      <c r="R1422" s="78"/>
      <c r="S1422" s="78"/>
      <c r="T1422" s="78"/>
      <c r="U1422" s="78"/>
      <c r="V1422" s="78"/>
      <c r="W1422" s="78"/>
      <c r="X1422" s="78"/>
      <c r="Y1422" s="78"/>
      <c r="Z1422" s="78"/>
      <c r="AA1422" s="78"/>
      <c r="AB1422" s="78"/>
      <c r="AC1422" s="78"/>
      <c r="AD1422" s="78"/>
      <c r="AE1422" s="78"/>
      <c r="AF1422" s="78"/>
      <c r="AG1422" s="78"/>
      <c r="AH1422" s="78"/>
      <c r="AI1422" s="78"/>
      <c r="AJ1422" s="78"/>
      <c r="AK1422" s="78"/>
    </row>
    <row r="1423" spans="1:37">
      <c r="A1423" s="78"/>
      <c r="B1423" s="78"/>
      <c r="C1423" s="78"/>
      <c r="D1423" s="78"/>
      <c r="E1423" s="78"/>
      <c r="F1423" s="78"/>
      <c r="G1423" s="78"/>
      <c r="H1423" s="78"/>
      <c r="I1423" s="78"/>
      <c r="J1423" s="78"/>
      <c r="K1423" s="78"/>
      <c r="L1423" s="78"/>
      <c r="M1423" s="78"/>
      <c r="N1423" s="78"/>
      <c r="O1423" s="78"/>
      <c r="P1423" s="78"/>
      <c r="Q1423" s="78"/>
      <c r="R1423" s="78"/>
      <c r="S1423" s="78"/>
      <c r="T1423" s="78"/>
      <c r="U1423" s="78"/>
      <c r="V1423" s="78"/>
      <c r="W1423" s="78"/>
      <c r="X1423" s="78"/>
      <c r="Y1423" s="78"/>
      <c r="Z1423" s="78"/>
      <c r="AA1423" s="78"/>
      <c r="AB1423" s="78"/>
      <c r="AC1423" s="78"/>
      <c r="AD1423" s="78"/>
      <c r="AE1423" s="78"/>
      <c r="AF1423" s="78"/>
      <c r="AG1423" s="78"/>
      <c r="AH1423" s="78"/>
      <c r="AI1423" s="78"/>
      <c r="AJ1423" s="78"/>
      <c r="AK1423" s="78"/>
    </row>
    <row r="1424" spans="1:37">
      <c r="A1424" s="78"/>
      <c r="B1424" s="78"/>
      <c r="C1424" s="78"/>
      <c r="D1424" s="78"/>
      <c r="E1424" s="78"/>
      <c r="F1424" s="78"/>
      <c r="G1424" s="78"/>
      <c r="H1424" s="78"/>
      <c r="I1424" s="78"/>
      <c r="J1424" s="78"/>
      <c r="K1424" s="78"/>
      <c r="L1424" s="78"/>
      <c r="M1424" s="78"/>
      <c r="N1424" s="78"/>
      <c r="O1424" s="78"/>
      <c r="P1424" s="78"/>
      <c r="Q1424" s="78"/>
      <c r="R1424" s="78"/>
      <c r="S1424" s="78"/>
      <c r="T1424" s="78"/>
      <c r="U1424" s="78"/>
      <c r="V1424" s="78"/>
      <c r="W1424" s="78"/>
      <c r="X1424" s="78"/>
      <c r="Y1424" s="78"/>
      <c r="Z1424" s="78"/>
      <c r="AA1424" s="78"/>
      <c r="AB1424" s="78"/>
      <c r="AC1424" s="78"/>
      <c r="AD1424" s="78"/>
      <c r="AE1424" s="78"/>
      <c r="AF1424" s="78"/>
      <c r="AG1424" s="78"/>
      <c r="AH1424" s="78"/>
      <c r="AI1424" s="78"/>
      <c r="AJ1424" s="78"/>
      <c r="AK1424" s="78"/>
    </row>
    <row r="1425" spans="1:37">
      <c r="A1425" s="78"/>
      <c r="B1425" s="78"/>
      <c r="C1425" s="78"/>
      <c r="D1425" s="78"/>
      <c r="E1425" s="78"/>
      <c r="F1425" s="78"/>
      <c r="G1425" s="78"/>
      <c r="H1425" s="78"/>
      <c r="I1425" s="78"/>
      <c r="J1425" s="78"/>
      <c r="K1425" s="78"/>
      <c r="L1425" s="78"/>
      <c r="M1425" s="78"/>
      <c r="N1425" s="78"/>
      <c r="O1425" s="78"/>
      <c r="P1425" s="78"/>
      <c r="Q1425" s="78"/>
      <c r="R1425" s="78"/>
      <c r="S1425" s="78"/>
      <c r="T1425" s="78"/>
      <c r="U1425" s="78"/>
      <c r="V1425" s="78"/>
      <c r="W1425" s="78"/>
      <c r="X1425" s="78"/>
      <c r="Y1425" s="78"/>
      <c r="Z1425" s="78"/>
      <c r="AA1425" s="78"/>
      <c r="AB1425" s="78"/>
      <c r="AC1425" s="78"/>
      <c r="AD1425" s="78"/>
      <c r="AE1425" s="78"/>
      <c r="AF1425" s="78"/>
      <c r="AG1425" s="78"/>
      <c r="AH1425" s="78"/>
      <c r="AI1425" s="78"/>
      <c r="AJ1425" s="78"/>
      <c r="AK1425" s="78"/>
    </row>
    <row r="1426" spans="1:37">
      <c r="A1426" s="78"/>
      <c r="B1426" s="78"/>
      <c r="C1426" s="78"/>
      <c r="D1426" s="78"/>
      <c r="E1426" s="78"/>
      <c r="F1426" s="78"/>
      <c r="G1426" s="78"/>
      <c r="H1426" s="78"/>
      <c r="I1426" s="78"/>
      <c r="J1426" s="78"/>
      <c r="K1426" s="78"/>
      <c r="L1426" s="78"/>
      <c r="M1426" s="78"/>
      <c r="N1426" s="78"/>
      <c r="O1426" s="78"/>
      <c r="P1426" s="78"/>
      <c r="Q1426" s="78"/>
      <c r="R1426" s="78"/>
      <c r="S1426" s="78"/>
      <c r="T1426" s="78"/>
      <c r="U1426" s="78"/>
      <c r="V1426" s="78"/>
      <c r="W1426" s="78"/>
      <c r="X1426" s="78"/>
      <c r="Y1426" s="78"/>
      <c r="Z1426" s="78"/>
      <c r="AA1426" s="78"/>
      <c r="AB1426" s="78"/>
      <c r="AC1426" s="78"/>
      <c r="AD1426" s="78"/>
      <c r="AE1426" s="78"/>
      <c r="AF1426" s="78"/>
      <c r="AG1426" s="78"/>
      <c r="AH1426" s="78"/>
      <c r="AI1426" s="78"/>
      <c r="AJ1426" s="78"/>
      <c r="AK1426" s="78"/>
    </row>
    <row r="1427" spans="1:37">
      <c r="A1427" s="78"/>
      <c r="B1427" s="78"/>
      <c r="C1427" s="78"/>
      <c r="D1427" s="78"/>
      <c r="E1427" s="78"/>
      <c r="F1427" s="78"/>
      <c r="G1427" s="78"/>
      <c r="H1427" s="78"/>
      <c r="I1427" s="78"/>
      <c r="J1427" s="78"/>
      <c r="K1427" s="78"/>
      <c r="L1427" s="78"/>
      <c r="M1427" s="78"/>
      <c r="N1427" s="78"/>
      <c r="O1427" s="78"/>
      <c r="P1427" s="78"/>
      <c r="Q1427" s="78"/>
      <c r="R1427" s="78"/>
      <c r="S1427" s="78"/>
      <c r="T1427" s="78"/>
      <c r="U1427" s="78"/>
      <c r="V1427" s="78"/>
      <c r="W1427" s="78"/>
      <c r="X1427" s="78"/>
      <c r="Y1427" s="78"/>
      <c r="Z1427" s="78"/>
      <c r="AA1427" s="78"/>
      <c r="AB1427" s="78"/>
      <c r="AC1427" s="78"/>
      <c r="AD1427" s="78"/>
      <c r="AE1427" s="78"/>
      <c r="AF1427" s="78"/>
      <c r="AG1427" s="78"/>
      <c r="AH1427" s="78"/>
      <c r="AI1427" s="78"/>
      <c r="AJ1427" s="78"/>
      <c r="AK1427" s="78"/>
    </row>
    <row r="1428" spans="1:37">
      <c r="A1428" s="78"/>
      <c r="B1428" s="78"/>
      <c r="C1428" s="78"/>
      <c r="D1428" s="78"/>
      <c r="E1428" s="78"/>
      <c r="F1428" s="78"/>
      <c r="G1428" s="78"/>
      <c r="H1428" s="78"/>
      <c r="I1428" s="78"/>
      <c r="J1428" s="78"/>
      <c r="K1428" s="78"/>
      <c r="L1428" s="78"/>
      <c r="M1428" s="78"/>
      <c r="N1428" s="78"/>
      <c r="O1428" s="78"/>
      <c r="P1428" s="78"/>
      <c r="Q1428" s="78"/>
      <c r="R1428" s="78"/>
      <c r="S1428" s="78"/>
      <c r="T1428" s="78"/>
      <c r="U1428" s="78"/>
      <c r="V1428" s="78"/>
      <c r="W1428" s="78"/>
      <c r="X1428" s="78"/>
      <c r="Y1428" s="78"/>
      <c r="Z1428" s="78"/>
      <c r="AA1428" s="78"/>
      <c r="AB1428" s="78"/>
      <c r="AC1428" s="78"/>
      <c r="AD1428" s="78"/>
      <c r="AE1428" s="78"/>
      <c r="AF1428" s="78"/>
      <c r="AG1428" s="78"/>
      <c r="AH1428" s="78"/>
      <c r="AI1428" s="78"/>
      <c r="AJ1428" s="78"/>
      <c r="AK1428" s="78"/>
    </row>
    <row r="1429" spans="1:37">
      <c r="A1429" s="78"/>
      <c r="B1429" s="78"/>
      <c r="C1429" s="78"/>
      <c r="D1429" s="78"/>
      <c r="E1429" s="78"/>
      <c r="F1429" s="78"/>
      <c r="G1429" s="78"/>
      <c r="H1429" s="78"/>
      <c r="I1429" s="78"/>
      <c r="J1429" s="78"/>
      <c r="K1429" s="78"/>
      <c r="L1429" s="78"/>
      <c r="M1429" s="78"/>
      <c r="N1429" s="78"/>
      <c r="O1429" s="78"/>
      <c r="P1429" s="78"/>
      <c r="Q1429" s="78"/>
      <c r="R1429" s="78"/>
      <c r="S1429" s="78"/>
      <c r="T1429" s="78"/>
      <c r="U1429" s="78"/>
      <c r="V1429" s="78"/>
      <c r="W1429" s="78"/>
      <c r="X1429" s="78"/>
      <c r="Y1429" s="78"/>
      <c r="Z1429" s="78"/>
      <c r="AA1429" s="78"/>
      <c r="AB1429" s="78"/>
      <c r="AC1429" s="78"/>
      <c r="AD1429" s="78"/>
      <c r="AE1429" s="78"/>
      <c r="AF1429" s="78"/>
      <c r="AG1429" s="78"/>
      <c r="AH1429" s="78"/>
      <c r="AI1429" s="78"/>
      <c r="AJ1429" s="78"/>
      <c r="AK1429" s="78"/>
    </row>
    <row r="1430" spans="1:37">
      <c r="A1430" s="78"/>
      <c r="B1430" s="78"/>
      <c r="C1430" s="78"/>
      <c r="D1430" s="78"/>
      <c r="E1430" s="78"/>
      <c r="F1430" s="78"/>
      <c r="G1430" s="78"/>
      <c r="H1430" s="78"/>
      <c r="I1430" s="78"/>
      <c r="J1430" s="78"/>
      <c r="K1430" s="78"/>
      <c r="L1430" s="78"/>
      <c r="M1430" s="78"/>
      <c r="N1430" s="78"/>
      <c r="O1430" s="78"/>
      <c r="P1430" s="78"/>
      <c r="Q1430" s="78"/>
      <c r="R1430" s="78"/>
      <c r="S1430" s="78"/>
      <c r="T1430" s="78"/>
      <c r="U1430" s="78"/>
      <c r="V1430" s="78"/>
      <c r="W1430" s="78"/>
      <c r="X1430" s="78"/>
      <c r="Y1430" s="78"/>
      <c r="Z1430" s="78"/>
      <c r="AA1430" s="78"/>
      <c r="AB1430" s="78"/>
      <c r="AC1430" s="78"/>
      <c r="AD1430" s="78"/>
      <c r="AE1430" s="78"/>
      <c r="AF1430" s="78"/>
      <c r="AG1430" s="78"/>
      <c r="AH1430" s="78"/>
      <c r="AI1430" s="78"/>
      <c r="AJ1430" s="78"/>
      <c r="AK1430" s="78"/>
    </row>
    <row r="1431" spans="1:37">
      <c r="A1431" s="78"/>
      <c r="B1431" s="78"/>
      <c r="C1431" s="78"/>
      <c r="D1431" s="78"/>
      <c r="E1431" s="78"/>
      <c r="F1431" s="78"/>
      <c r="G1431" s="78"/>
      <c r="H1431" s="78"/>
      <c r="I1431" s="78"/>
      <c r="J1431" s="78"/>
      <c r="K1431" s="78"/>
      <c r="L1431" s="78"/>
      <c r="M1431" s="78"/>
      <c r="N1431" s="78"/>
      <c r="O1431" s="78"/>
      <c r="P1431" s="78"/>
      <c r="Q1431" s="78"/>
      <c r="R1431" s="78"/>
      <c r="S1431" s="78"/>
      <c r="T1431" s="78"/>
      <c r="U1431" s="78"/>
      <c r="V1431" s="78"/>
      <c r="W1431" s="78"/>
      <c r="X1431" s="78"/>
      <c r="Y1431" s="78"/>
      <c r="Z1431" s="78"/>
      <c r="AA1431" s="78"/>
      <c r="AB1431" s="78"/>
      <c r="AC1431" s="78"/>
      <c r="AD1431" s="78"/>
      <c r="AE1431" s="78"/>
      <c r="AF1431" s="78"/>
      <c r="AG1431" s="78"/>
      <c r="AH1431" s="78"/>
      <c r="AI1431" s="78"/>
      <c r="AJ1431" s="78"/>
      <c r="AK1431" s="78"/>
    </row>
    <row r="1432" spans="1:37">
      <c r="A1432" s="78"/>
      <c r="B1432" s="78"/>
      <c r="C1432" s="78"/>
      <c r="D1432" s="78"/>
      <c r="E1432" s="78"/>
      <c r="F1432" s="78"/>
      <c r="G1432" s="78"/>
      <c r="H1432" s="78"/>
      <c r="I1432" s="78"/>
      <c r="J1432" s="78"/>
      <c r="K1432" s="78"/>
      <c r="L1432" s="78"/>
      <c r="M1432" s="78"/>
      <c r="N1432" s="78"/>
      <c r="O1432" s="78"/>
      <c r="P1432" s="78"/>
      <c r="Q1432" s="78"/>
      <c r="R1432" s="78"/>
      <c r="S1432" s="78"/>
      <c r="T1432" s="78"/>
      <c r="U1432" s="78"/>
      <c r="V1432" s="78"/>
      <c r="W1432" s="78"/>
      <c r="X1432" s="78"/>
      <c r="Y1432" s="78"/>
      <c r="Z1432" s="78"/>
      <c r="AA1432" s="78"/>
      <c r="AB1432" s="78"/>
      <c r="AC1432" s="78"/>
      <c r="AD1432" s="78"/>
      <c r="AE1432" s="78"/>
      <c r="AF1432" s="78"/>
      <c r="AG1432" s="78"/>
      <c r="AH1432" s="78"/>
      <c r="AI1432" s="78"/>
      <c r="AJ1432" s="78"/>
      <c r="AK1432" s="78"/>
    </row>
    <row r="1433" spans="1:37">
      <c r="A1433" s="78"/>
      <c r="B1433" s="78"/>
      <c r="C1433" s="78"/>
      <c r="D1433" s="78"/>
      <c r="E1433" s="78"/>
      <c r="F1433" s="78"/>
      <c r="G1433" s="78"/>
      <c r="H1433" s="78"/>
      <c r="I1433" s="78"/>
      <c r="J1433" s="78"/>
      <c r="K1433" s="78"/>
      <c r="L1433" s="78"/>
      <c r="M1433" s="78"/>
      <c r="N1433" s="78"/>
      <c r="O1433" s="78"/>
      <c r="P1433" s="78"/>
      <c r="Q1433" s="78"/>
      <c r="R1433" s="78"/>
      <c r="S1433" s="78"/>
      <c r="T1433" s="78"/>
      <c r="U1433" s="78"/>
      <c r="V1433" s="78"/>
      <c r="W1433" s="78"/>
      <c r="X1433" s="78"/>
      <c r="Y1433" s="78"/>
      <c r="Z1433" s="78"/>
      <c r="AA1433" s="78"/>
      <c r="AB1433" s="78"/>
      <c r="AC1433" s="78"/>
      <c r="AD1433" s="78"/>
      <c r="AE1433" s="78"/>
      <c r="AF1433" s="78"/>
      <c r="AG1433" s="78"/>
      <c r="AH1433" s="78"/>
      <c r="AI1433" s="78"/>
      <c r="AJ1433" s="78"/>
      <c r="AK1433" s="78"/>
    </row>
    <row r="1434" spans="1:37">
      <c r="A1434" s="78"/>
      <c r="B1434" s="78"/>
      <c r="C1434" s="78"/>
      <c r="D1434" s="78"/>
      <c r="E1434" s="78"/>
      <c r="F1434" s="78"/>
      <c r="G1434" s="78"/>
      <c r="H1434" s="78"/>
      <c r="I1434" s="78"/>
      <c r="J1434" s="78"/>
      <c r="K1434" s="78"/>
      <c r="L1434" s="78"/>
      <c r="M1434" s="78"/>
      <c r="N1434" s="78"/>
      <c r="O1434" s="78"/>
      <c r="P1434" s="78"/>
      <c r="Q1434" s="78"/>
      <c r="R1434" s="78"/>
      <c r="S1434" s="78"/>
      <c r="T1434" s="78"/>
      <c r="U1434" s="78"/>
      <c r="V1434" s="78"/>
      <c r="W1434" s="78"/>
      <c r="X1434" s="78"/>
      <c r="Y1434" s="78"/>
      <c r="Z1434" s="78"/>
      <c r="AA1434" s="78"/>
      <c r="AB1434" s="78"/>
      <c r="AC1434" s="78"/>
      <c r="AD1434" s="78"/>
      <c r="AE1434" s="78"/>
      <c r="AF1434" s="78"/>
      <c r="AG1434" s="78"/>
      <c r="AH1434" s="78"/>
      <c r="AI1434" s="78"/>
      <c r="AJ1434" s="78"/>
      <c r="AK1434" s="78"/>
    </row>
    <row r="1435" spans="1:37">
      <c r="A1435" s="78"/>
      <c r="B1435" s="78"/>
      <c r="C1435" s="78"/>
      <c r="D1435" s="78"/>
      <c r="E1435" s="78"/>
      <c r="F1435" s="78"/>
      <c r="G1435" s="78"/>
      <c r="H1435" s="78"/>
      <c r="I1435" s="78"/>
      <c r="J1435" s="78"/>
      <c r="K1435" s="78"/>
      <c r="L1435" s="78"/>
      <c r="M1435" s="78"/>
      <c r="N1435" s="78"/>
      <c r="O1435" s="78"/>
      <c r="P1435" s="78"/>
      <c r="Q1435" s="78"/>
      <c r="R1435" s="78"/>
      <c r="S1435" s="78"/>
      <c r="T1435" s="78"/>
      <c r="U1435" s="78"/>
      <c r="V1435" s="78"/>
      <c r="W1435" s="78"/>
      <c r="X1435" s="78"/>
      <c r="Y1435" s="78"/>
      <c r="Z1435" s="78"/>
      <c r="AA1435" s="78"/>
      <c r="AB1435" s="78"/>
      <c r="AC1435" s="78"/>
      <c r="AD1435" s="78"/>
      <c r="AE1435" s="78"/>
      <c r="AF1435" s="78"/>
      <c r="AG1435" s="78"/>
      <c r="AH1435" s="78"/>
      <c r="AI1435" s="78"/>
      <c r="AJ1435" s="78"/>
      <c r="AK1435" s="78"/>
    </row>
    <row r="1436" spans="1:37">
      <c r="A1436" s="78"/>
      <c r="B1436" s="78"/>
      <c r="C1436" s="78"/>
      <c r="D1436" s="78"/>
      <c r="E1436" s="78"/>
      <c r="F1436" s="78"/>
      <c r="G1436" s="78"/>
      <c r="H1436" s="78"/>
      <c r="I1436" s="78"/>
      <c r="J1436" s="78"/>
      <c r="K1436" s="78"/>
      <c r="L1436" s="78"/>
      <c r="M1436" s="78"/>
      <c r="N1436" s="78"/>
      <c r="O1436" s="78"/>
      <c r="P1436" s="78"/>
      <c r="Q1436" s="78"/>
      <c r="R1436" s="78"/>
      <c r="S1436" s="78"/>
      <c r="T1436" s="78"/>
      <c r="U1436" s="78"/>
      <c r="V1436" s="78"/>
      <c r="W1436" s="78"/>
      <c r="X1436" s="78"/>
      <c r="Y1436" s="78"/>
      <c r="Z1436" s="78"/>
      <c r="AA1436" s="78"/>
      <c r="AB1436" s="78"/>
      <c r="AC1436" s="78"/>
      <c r="AD1436" s="78"/>
      <c r="AE1436" s="78"/>
      <c r="AF1436" s="78"/>
      <c r="AG1436" s="78"/>
      <c r="AH1436" s="78"/>
      <c r="AI1436" s="78"/>
      <c r="AJ1436" s="78"/>
      <c r="AK1436" s="78"/>
    </row>
    <row r="1437" spans="1:37">
      <c r="A1437" s="78"/>
      <c r="B1437" s="78"/>
      <c r="C1437" s="78"/>
      <c r="D1437" s="78"/>
      <c r="E1437" s="78"/>
      <c r="F1437" s="78"/>
      <c r="G1437" s="78"/>
      <c r="H1437" s="78"/>
      <c r="I1437" s="78"/>
      <c r="J1437" s="78"/>
      <c r="K1437" s="78"/>
      <c r="L1437" s="78"/>
      <c r="M1437" s="78"/>
      <c r="N1437" s="78"/>
      <c r="O1437" s="78"/>
      <c r="P1437" s="78"/>
      <c r="Q1437" s="78"/>
      <c r="R1437" s="78"/>
      <c r="S1437" s="78"/>
      <c r="T1437" s="78"/>
      <c r="U1437" s="78"/>
      <c r="V1437" s="78"/>
      <c r="W1437" s="78"/>
      <c r="X1437" s="78"/>
      <c r="Y1437" s="78"/>
      <c r="Z1437" s="78"/>
      <c r="AA1437" s="78"/>
      <c r="AB1437" s="78"/>
      <c r="AC1437" s="78"/>
      <c r="AD1437" s="78"/>
      <c r="AE1437" s="78"/>
      <c r="AF1437" s="78"/>
      <c r="AG1437" s="78"/>
      <c r="AH1437" s="78"/>
      <c r="AI1437" s="78"/>
      <c r="AJ1437" s="78"/>
      <c r="AK1437" s="78"/>
    </row>
    <row r="1438" spans="1:37">
      <c r="A1438" s="78"/>
      <c r="B1438" s="78"/>
      <c r="C1438" s="78"/>
      <c r="D1438" s="78"/>
      <c r="E1438" s="78"/>
      <c r="F1438" s="78"/>
      <c r="G1438" s="78"/>
      <c r="H1438" s="78"/>
      <c r="I1438" s="78"/>
      <c r="J1438" s="78"/>
      <c r="K1438" s="78"/>
      <c r="L1438" s="78"/>
      <c r="M1438" s="78"/>
      <c r="N1438" s="78"/>
      <c r="O1438" s="78"/>
      <c r="P1438" s="78"/>
      <c r="Q1438" s="78"/>
      <c r="R1438" s="78"/>
      <c r="S1438" s="78"/>
      <c r="T1438" s="78"/>
      <c r="U1438" s="78"/>
      <c r="V1438" s="78"/>
      <c r="W1438" s="78"/>
      <c r="X1438" s="78"/>
      <c r="Y1438" s="78"/>
      <c r="Z1438" s="78"/>
      <c r="AA1438" s="78"/>
      <c r="AB1438" s="78"/>
      <c r="AC1438" s="78"/>
      <c r="AD1438" s="78"/>
      <c r="AE1438" s="78"/>
      <c r="AF1438" s="78"/>
      <c r="AG1438" s="78"/>
      <c r="AH1438" s="78"/>
      <c r="AI1438" s="78"/>
      <c r="AJ1438" s="78"/>
      <c r="AK1438" s="78"/>
    </row>
    <row r="1439" spans="1:37">
      <c r="A1439" s="78"/>
      <c r="B1439" s="78"/>
      <c r="C1439" s="78"/>
      <c r="D1439" s="78"/>
      <c r="E1439" s="78"/>
      <c r="F1439" s="78"/>
      <c r="G1439" s="78"/>
      <c r="H1439" s="78"/>
      <c r="I1439" s="78"/>
      <c r="J1439" s="78"/>
      <c r="K1439" s="78"/>
      <c r="L1439" s="78"/>
      <c r="M1439" s="78"/>
      <c r="N1439" s="78"/>
      <c r="O1439" s="78"/>
      <c r="P1439" s="78"/>
      <c r="Q1439" s="78"/>
      <c r="R1439" s="78"/>
      <c r="S1439" s="78"/>
      <c r="T1439" s="78"/>
      <c r="U1439" s="78"/>
      <c r="V1439" s="78"/>
      <c r="W1439" s="78"/>
      <c r="X1439" s="78"/>
      <c r="Y1439" s="78"/>
      <c r="Z1439" s="78"/>
      <c r="AA1439" s="78"/>
      <c r="AB1439" s="78"/>
      <c r="AC1439" s="78"/>
      <c r="AD1439" s="78"/>
      <c r="AE1439" s="78"/>
      <c r="AF1439" s="78"/>
      <c r="AG1439" s="78"/>
      <c r="AH1439" s="78"/>
      <c r="AI1439" s="78"/>
      <c r="AJ1439" s="78"/>
      <c r="AK1439" s="78"/>
    </row>
    <row r="1440" spans="1:37">
      <c r="A1440" s="78"/>
      <c r="B1440" s="78"/>
      <c r="C1440" s="78"/>
      <c r="D1440" s="78"/>
      <c r="E1440" s="78"/>
      <c r="F1440" s="78"/>
      <c r="G1440" s="78"/>
      <c r="H1440" s="78"/>
      <c r="I1440" s="78"/>
      <c r="J1440" s="78"/>
      <c r="K1440" s="78"/>
      <c r="L1440" s="78"/>
      <c r="M1440" s="78"/>
      <c r="N1440" s="78"/>
      <c r="O1440" s="78"/>
      <c r="P1440" s="78"/>
      <c r="Q1440" s="78"/>
      <c r="R1440" s="78"/>
      <c r="S1440" s="78"/>
      <c r="T1440" s="78"/>
      <c r="U1440" s="78"/>
      <c r="V1440" s="78"/>
      <c r="W1440" s="78"/>
      <c r="X1440" s="78"/>
      <c r="Y1440" s="78"/>
      <c r="Z1440" s="78"/>
      <c r="AA1440" s="78"/>
      <c r="AB1440" s="78"/>
      <c r="AC1440" s="78"/>
      <c r="AD1440" s="78"/>
      <c r="AE1440" s="78"/>
      <c r="AF1440" s="78"/>
      <c r="AG1440" s="78"/>
      <c r="AH1440" s="78"/>
      <c r="AI1440" s="78"/>
      <c r="AJ1440" s="78"/>
      <c r="AK1440" s="78"/>
    </row>
    <row r="1441" spans="1:37">
      <c r="A1441" s="78"/>
      <c r="B1441" s="78"/>
      <c r="C1441" s="78"/>
      <c r="D1441" s="78"/>
      <c r="E1441" s="78"/>
      <c r="F1441" s="78"/>
      <c r="G1441" s="78"/>
      <c r="H1441" s="78"/>
      <c r="I1441" s="78"/>
      <c r="J1441" s="78"/>
      <c r="K1441" s="78"/>
      <c r="L1441" s="78"/>
      <c r="M1441" s="78"/>
      <c r="N1441" s="78"/>
      <c r="O1441" s="78"/>
      <c r="P1441" s="78"/>
      <c r="Q1441" s="78"/>
      <c r="R1441" s="78"/>
      <c r="S1441" s="78"/>
      <c r="T1441" s="78"/>
      <c r="U1441" s="78"/>
      <c r="V1441" s="78"/>
      <c r="W1441" s="78"/>
      <c r="X1441" s="78"/>
      <c r="Y1441" s="78"/>
      <c r="Z1441" s="78"/>
      <c r="AA1441" s="78"/>
      <c r="AB1441" s="78"/>
      <c r="AC1441" s="78"/>
      <c r="AD1441" s="78"/>
      <c r="AE1441" s="78"/>
      <c r="AF1441" s="78"/>
      <c r="AG1441" s="78"/>
      <c r="AH1441" s="78"/>
      <c r="AI1441" s="78"/>
      <c r="AJ1441" s="78"/>
      <c r="AK1441" s="78"/>
    </row>
    <row r="1442" spans="1:37">
      <c r="A1442" s="78"/>
      <c r="B1442" s="78"/>
      <c r="C1442" s="78"/>
      <c r="D1442" s="78"/>
      <c r="E1442" s="78"/>
      <c r="F1442" s="78"/>
      <c r="G1442" s="78"/>
      <c r="H1442" s="78"/>
      <c r="I1442" s="78"/>
      <c r="J1442" s="78"/>
      <c r="K1442" s="78"/>
      <c r="L1442" s="78"/>
      <c r="M1442" s="78"/>
      <c r="N1442" s="78"/>
      <c r="O1442" s="78"/>
      <c r="P1442" s="78"/>
      <c r="Q1442" s="78"/>
      <c r="R1442" s="78"/>
      <c r="S1442" s="78"/>
      <c r="T1442" s="78"/>
      <c r="U1442" s="78"/>
      <c r="V1442" s="78"/>
      <c r="W1442" s="78"/>
      <c r="X1442" s="78"/>
      <c r="Y1442" s="78"/>
      <c r="Z1442" s="78"/>
      <c r="AA1442" s="78"/>
      <c r="AB1442" s="78"/>
      <c r="AC1442" s="78"/>
      <c r="AD1442" s="78"/>
      <c r="AE1442" s="78"/>
      <c r="AF1442" s="78"/>
      <c r="AG1442" s="78"/>
      <c r="AH1442" s="78"/>
      <c r="AI1442" s="78"/>
      <c r="AJ1442" s="78"/>
      <c r="AK1442" s="78"/>
    </row>
    <row r="1443" spans="1:37">
      <c r="A1443" s="78"/>
      <c r="B1443" s="78"/>
      <c r="C1443" s="78"/>
      <c r="D1443" s="78"/>
      <c r="E1443" s="78"/>
      <c r="F1443" s="78"/>
      <c r="G1443" s="78"/>
      <c r="H1443" s="78"/>
      <c r="I1443" s="78"/>
      <c r="J1443" s="78"/>
      <c r="K1443" s="78"/>
      <c r="L1443" s="78"/>
      <c r="M1443" s="78"/>
      <c r="N1443" s="78"/>
      <c r="O1443" s="78"/>
      <c r="P1443" s="78"/>
      <c r="Q1443" s="78"/>
      <c r="R1443" s="78"/>
      <c r="S1443" s="78"/>
      <c r="T1443" s="78"/>
      <c r="U1443" s="78"/>
      <c r="V1443" s="78"/>
      <c r="W1443" s="78"/>
      <c r="X1443" s="78"/>
      <c r="Y1443" s="78"/>
      <c r="Z1443" s="78"/>
      <c r="AA1443" s="78"/>
      <c r="AB1443" s="78"/>
      <c r="AC1443" s="78"/>
      <c r="AD1443" s="78"/>
      <c r="AE1443" s="78"/>
      <c r="AF1443" s="78"/>
      <c r="AG1443" s="78"/>
      <c r="AH1443" s="78"/>
      <c r="AI1443" s="78"/>
      <c r="AJ1443" s="78"/>
      <c r="AK1443" s="78"/>
    </row>
    <row r="1444" spans="1:37">
      <c r="A1444" s="78"/>
      <c r="B1444" s="78"/>
      <c r="C1444" s="78"/>
      <c r="D1444" s="78"/>
      <c r="E1444" s="78"/>
      <c r="F1444" s="78"/>
      <c r="G1444" s="78"/>
      <c r="H1444" s="78"/>
      <c r="I1444" s="78"/>
      <c r="J1444" s="78"/>
      <c r="K1444" s="78"/>
      <c r="L1444" s="78"/>
      <c r="M1444" s="78"/>
      <c r="N1444" s="78"/>
      <c r="O1444" s="78"/>
      <c r="P1444" s="78"/>
      <c r="Q1444" s="78"/>
      <c r="R1444" s="78"/>
      <c r="S1444" s="78"/>
      <c r="T1444" s="78"/>
      <c r="U1444" s="78"/>
      <c r="V1444" s="78"/>
      <c r="W1444" s="78"/>
      <c r="X1444" s="78"/>
      <c r="Y1444" s="78"/>
      <c r="Z1444" s="78"/>
      <c r="AA1444" s="78"/>
      <c r="AB1444" s="78"/>
      <c r="AC1444" s="78"/>
      <c r="AD1444" s="78"/>
      <c r="AE1444" s="78"/>
      <c r="AF1444" s="78"/>
      <c r="AG1444" s="78"/>
      <c r="AH1444" s="78"/>
      <c r="AI1444" s="78"/>
      <c r="AJ1444" s="78"/>
      <c r="AK1444" s="78"/>
    </row>
    <row r="1445" spans="1:37">
      <c r="A1445" s="78"/>
      <c r="B1445" s="78"/>
      <c r="C1445" s="78"/>
      <c r="D1445" s="78"/>
      <c r="E1445" s="78"/>
      <c r="F1445" s="78"/>
      <c r="G1445" s="78"/>
      <c r="H1445" s="78"/>
      <c r="I1445" s="78"/>
      <c r="J1445" s="78"/>
      <c r="K1445" s="78"/>
      <c r="L1445" s="78"/>
      <c r="M1445" s="78"/>
      <c r="N1445" s="78"/>
      <c r="O1445" s="78"/>
      <c r="P1445" s="78"/>
      <c r="Q1445" s="78"/>
      <c r="R1445" s="78"/>
      <c r="S1445" s="78"/>
      <c r="T1445" s="78"/>
      <c r="U1445" s="78"/>
      <c r="V1445" s="78"/>
      <c r="W1445" s="78"/>
      <c r="X1445" s="78"/>
      <c r="Y1445" s="78"/>
      <c r="Z1445" s="78"/>
      <c r="AA1445" s="78"/>
      <c r="AB1445" s="78"/>
      <c r="AC1445" s="78"/>
      <c r="AD1445" s="78"/>
      <c r="AE1445" s="78"/>
      <c r="AF1445" s="78"/>
      <c r="AG1445" s="78"/>
      <c r="AH1445" s="78"/>
      <c r="AI1445" s="78"/>
      <c r="AJ1445" s="78"/>
      <c r="AK1445" s="78"/>
    </row>
    <row r="1446" spans="1:37">
      <c r="A1446" s="78"/>
      <c r="B1446" s="78"/>
      <c r="C1446" s="78"/>
      <c r="D1446" s="78"/>
      <c r="E1446" s="78"/>
      <c r="F1446" s="78"/>
      <c r="G1446" s="78"/>
      <c r="H1446" s="78"/>
      <c r="I1446" s="78"/>
      <c r="J1446" s="78"/>
      <c r="K1446" s="78"/>
      <c r="L1446" s="78"/>
      <c r="M1446" s="78"/>
      <c r="N1446" s="78"/>
      <c r="O1446" s="78"/>
      <c r="P1446" s="78"/>
      <c r="Q1446" s="78"/>
      <c r="R1446" s="78"/>
      <c r="S1446" s="78"/>
      <c r="T1446" s="78"/>
      <c r="U1446" s="78"/>
      <c r="V1446" s="78"/>
      <c r="W1446" s="78"/>
      <c r="X1446" s="78"/>
      <c r="Y1446" s="78"/>
      <c r="Z1446" s="78"/>
      <c r="AA1446" s="78"/>
      <c r="AB1446" s="78"/>
      <c r="AC1446" s="78"/>
      <c r="AD1446" s="78"/>
      <c r="AE1446" s="78"/>
      <c r="AF1446" s="78"/>
      <c r="AG1446" s="78"/>
      <c r="AH1446" s="78"/>
      <c r="AI1446" s="78"/>
      <c r="AJ1446" s="78"/>
      <c r="AK1446" s="78"/>
    </row>
    <row r="1447" spans="1:37">
      <c r="A1447" s="78"/>
      <c r="B1447" s="78"/>
      <c r="C1447" s="78"/>
      <c r="D1447" s="78"/>
      <c r="E1447" s="78"/>
      <c r="F1447" s="78"/>
      <c r="G1447" s="78"/>
      <c r="H1447" s="78"/>
      <c r="I1447" s="78"/>
      <c r="J1447" s="78"/>
      <c r="K1447" s="78"/>
      <c r="L1447" s="78"/>
      <c r="M1447" s="78"/>
      <c r="N1447" s="78"/>
      <c r="O1447" s="78"/>
      <c r="P1447" s="78"/>
      <c r="Q1447" s="78"/>
      <c r="R1447" s="78"/>
      <c r="S1447" s="78"/>
      <c r="T1447" s="78"/>
      <c r="U1447" s="78"/>
      <c r="V1447" s="78"/>
      <c r="W1447" s="78"/>
      <c r="X1447" s="78"/>
      <c r="Y1447" s="78"/>
      <c r="Z1447" s="78"/>
      <c r="AA1447" s="78"/>
      <c r="AB1447" s="78"/>
      <c r="AC1447" s="78"/>
      <c r="AD1447" s="78"/>
      <c r="AE1447" s="78"/>
      <c r="AF1447" s="78"/>
      <c r="AG1447" s="78"/>
      <c r="AH1447" s="78"/>
      <c r="AI1447" s="78"/>
      <c r="AJ1447" s="78"/>
      <c r="AK1447" s="78"/>
    </row>
    <row r="1448" spans="1:37">
      <c r="A1448" s="78"/>
      <c r="B1448" s="78"/>
      <c r="C1448" s="78"/>
      <c r="D1448" s="78"/>
      <c r="E1448" s="78"/>
      <c r="F1448" s="78"/>
      <c r="G1448" s="78"/>
      <c r="H1448" s="78"/>
      <c r="I1448" s="78"/>
      <c r="J1448" s="78"/>
      <c r="K1448" s="78"/>
      <c r="L1448" s="78"/>
      <c r="M1448" s="78"/>
      <c r="N1448" s="78"/>
      <c r="O1448" s="78"/>
      <c r="P1448" s="78"/>
      <c r="Q1448" s="78"/>
      <c r="R1448" s="78"/>
      <c r="S1448" s="78"/>
      <c r="T1448" s="78"/>
      <c r="U1448" s="78"/>
      <c r="V1448" s="78"/>
      <c r="W1448" s="78"/>
      <c r="X1448" s="78"/>
      <c r="Y1448" s="78"/>
      <c r="Z1448" s="78"/>
      <c r="AA1448" s="78"/>
      <c r="AB1448" s="78"/>
      <c r="AC1448" s="78"/>
      <c r="AD1448" s="78"/>
      <c r="AE1448" s="78"/>
      <c r="AF1448" s="78"/>
      <c r="AG1448" s="78"/>
      <c r="AH1448" s="78"/>
      <c r="AI1448" s="78"/>
      <c r="AJ1448" s="78"/>
      <c r="AK1448" s="78"/>
    </row>
    <row r="1449" spans="1:37">
      <c r="A1449" s="78"/>
      <c r="B1449" s="78"/>
      <c r="C1449" s="78"/>
      <c r="D1449" s="78"/>
      <c r="E1449" s="78"/>
      <c r="F1449" s="78"/>
      <c r="G1449" s="78"/>
      <c r="H1449" s="78"/>
      <c r="I1449" s="78"/>
      <c r="J1449" s="78"/>
      <c r="K1449" s="78"/>
      <c r="L1449" s="78"/>
      <c r="M1449" s="78"/>
      <c r="N1449" s="78"/>
      <c r="O1449" s="78"/>
      <c r="P1449" s="78"/>
      <c r="Q1449" s="78"/>
      <c r="R1449" s="78"/>
      <c r="S1449" s="78"/>
      <c r="T1449" s="78"/>
      <c r="U1449" s="78"/>
      <c r="V1449" s="78"/>
      <c r="W1449" s="78"/>
      <c r="X1449" s="78"/>
      <c r="Y1449" s="78"/>
      <c r="Z1449" s="78"/>
      <c r="AA1449" s="78"/>
      <c r="AB1449" s="78"/>
      <c r="AC1449" s="78"/>
      <c r="AD1449" s="78"/>
      <c r="AE1449" s="78"/>
      <c r="AF1449" s="78"/>
      <c r="AG1449" s="78"/>
      <c r="AH1449" s="78"/>
      <c r="AI1449" s="78"/>
      <c r="AJ1449" s="78"/>
      <c r="AK1449" s="78"/>
    </row>
    <row r="1450" spans="1:37">
      <c r="A1450" s="78"/>
      <c r="B1450" s="78"/>
      <c r="C1450" s="78"/>
      <c r="D1450" s="78"/>
      <c r="E1450" s="78"/>
      <c r="F1450" s="78"/>
      <c r="G1450" s="78"/>
      <c r="H1450" s="78"/>
      <c r="I1450" s="78"/>
      <c r="J1450" s="78"/>
      <c r="K1450" s="78"/>
      <c r="L1450" s="78"/>
      <c r="M1450" s="78"/>
      <c r="N1450" s="78"/>
      <c r="O1450" s="78"/>
      <c r="P1450" s="78"/>
      <c r="Q1450" s="78"/>
      <c r="R1450" s="78"/>
      <c r="S1450" s="78"/>
      <c r="T1450" s="78"/>
      <c r="U1450" s="78"/>
      <c r="V1450" s="78"/>
      <c r="W1450" s="78"/>
      <c r="X1450" s="78"/>
      <c r="Y1450" s="78"/>
      <c r="Z1450" s="78"/>
      <c r="AA1450" s="78"/>
      <c r="AB1450" s="78"/>
      <c r="AC1450" s="78"/>
      <c r="AD1450" s="78"/>
      <c r="AE1450" s="78"/>
      <c r="AF1450" s="78"/>
      <c r="AG1450" s="78"/>
      <c r="AH1450" s="78"/>
      <c r="AI1450" s="78"/>
      <c r="AJ1450" s="78"/>
      <c r="AK1450" s="78"/>
    </row>
    <row r="1451" spans="1:37">
      <c r="A1451" s="78"/>
      <c r="B1451" s="78"/>
      <c r="C1451" s="78"/>
      <c r="D1451" s="78"/>
      <c r="E1451" s="78"/>
      <c r="F1451" s="78"/>
      <c r="G1451" s="78"/>
      <c r="H1451" s="78"/>
      <c r="I1451" s="78"/>
      <c r="J1451" s="78"/>
      <c r="K1451" s="78"/>
      <c r="L1451" s="78"/>
      <c r="M1451" s="78"/>
      <c r="N1451" s="78"/>
      <c r="O1451" s="78"/>
      <c r="P1451" s="78"/>
      <c r="Q1451" s="78"/>
      <c r="R1451" s="78"/>
      <c r="S1451" s="78"/>
      <c r="T1451" s="78"/>
      <c r="U1451" s="78"/>
      <c r="V1451" s="78"/>
      <c r="W1451" s="78"/>
      <c r="X1451" s="78"/>
      <c r="Y1451" s="78"/>
      <c r="Z1451" s="78"/>
      <c r="AA1451" s="78"/>
      <c r="AB1451" s="78"/>
      <c r="AC1451" s="78"/>
      <c r="AD1451" s="78"/>
      <c r="AE1451" s="78"/>
      <c r="AF1451" s="78"/>
      <c r="AG1451" s="78"/>
      <c r="AH1451" s="78"/>
      <c r="AI1451" s="78"/>
      <c r="AJ1451" s="78"/>
      <c r="AK1451" s="78"/>
    </row>
    <row r="1452" spans="1:37">
      <c r="A1452" s="78"/>
      <c r="B1452" s="78"/>
      <c r="C1452" s="78"/>
      <c r="D1452" s="78"/>
      <c r="E1452" s="78"/>
      <c r="F1452" s="78"/>
      <c r="G1452" s="78"/>
      <c r="H1452" s="78"/>
      <c r="I1452" s="78"/>
      <c r="J1452" s="78"/>
      <c r="K1452" s="78"/>
      <c r="L1452" s="78"/>
      <c r="M1452" s="78"/>
      <c r="N1452" s="78"/>
      <c r="O1452" s="78"/>
      <c r="P1452" s="78"/>
      <c r="Q1452" s="78"/>
      <c r="R1452" s="78"/>
      <c r="S1452" s="78"/>
      <c r="T1452" s="78"/>
      <c r="U1452" s="78"/>
      <c r="V1452" s="78"/>
      <c r="W1452" s="78"/>
      <c r="X1452" s="78"/>
      <c r="Y1452" s="78"/>
      <c r="Z1452" s="78"/>
      <c r="AA1452" s="78"/>
      <c r="AB1452" s="78"/>
      <c r="AC1452" s="78"/>
      <c r="AD1452" s="78"/>
      <c r="AE1452" s="78"/>
      <c r="AF1452" s="78"/>
      <c r="AG1452" s="78"/>
      <c r="AH1452" s="78"/>
      <c r="AI1452" s="78"/>
      <c r="AJ1452" s="78"/>
      <c r="AK1452" s="78"/>
    </row>
    <row r="1453" spans="1:37">
      <c r="A1453" s="78"/>
      <c r="B1453" s="78"/>
      <c r="C1453" s="78"/>
      <c r="D1453" s="78"/>
      <c r="E1453" s="78"/>
      <c r="F1453" s="78"/>
      <c r="G1453" s="78"/>
      <c r="H1453" s="78"/>
      <c r="I1453" s="78"/>
      <c r="J1453" s="78"/>
      <c r="K1453" s="78"/>
      <c r="L1453" s="78"/>
      <c r="M1453" s="78"/>
      <c r="N1453" s="78"/>
      <c r="O1453" s="78"/>
      <c r="P1453" s="78"/>
      <c r="Q1453" s="78"/>
      <c r="R1453" s="78"/>
      <c r="S1453" s="78"/>
      <c r="T1453" s="78"/>
      <c r="U1453" s="78"/>
      <c r="V1453" s="78"/>
      <c r="W1453" s="78"/>
      <c r="X1453" s="78"/>
      <c r="Y1453" s="78"/>
      <c r="Z1453" s="78"/>
      <c r="AA1453" s="78"/>
      <c r="AB1453" s="78"/>
      <c r="AC1453" s="78"/>
      <c r="AD1453" s="78"/>
      <c r="AE1453" s="78"/>
      <c r="AF1453" s="78"/>
      <c r="AG1453" s="78"/>
      <c r="AH1453" s="78"/>
      <c r="AI1453" s="78"/>
      <c r="AJ1453" s="78"/>
      <c r="AK1453" s="78"/>
    </row>
    <row r="1454" spans="1:37">
      <c r="A1454" s="78"/>
      <c r="B1454" s="78"/>
      <c r="C1454" s="78"/>
      <c r="D1454" s="78"/>
      <c r="E1454" s="78"/>
      <c r="F1454" s="78"/>
      <c r="G1454" s="78"/>
      <c r="H1454" s="78"/>
      <c r="I1454" s="78"/>
      <c r="J1454" s="78"/>
      <c r="K1454" s="78"/>
      <c r="L1454" s="78"/>
      <c r="M1454" s="78"/>
      <c r="N1454" s="78"/>
      <c r="O1454" s="78"/>
      <c r="P1454" s="78"/>
      <c r="Q1454" s="78"/>
      <c r="R1454" s="78"/>
      <c r="S1454" s="78"/>
      <c r="T1454" s="78"/>
      <c r="U1454" s="78"/>
      <c r="V1454" s="78"/>
      <c r="W1454" s="78"/>
      <c r="X1454" s="78"/>
      <c r="Y1454" s="78"/>
      <c r="Z1454" s="78"/>
      <c r="AA1454" s="78"/>
      <c r="AB1454" s="78"/>
      <c r="AC1454" s="78"/>
      <c r="AD1454" s="78"/>
      <c r="AE1454" s="78"/>
      <c r="AF1454" s="78"/>
      <c r="AG1454" s="78"/>
      <c r="AH1454" s="78"/>
      <c r="AI1454" s="78"/>
      <c r="AJ1454" s="78"/>
      <c r="AK1454" s="78"/>
    </row>
    <row r="1455" spans="1:37">
      <c r="A1455" s="78"/>
      <c r="B1455" s="78"/>
      <c r="C1455" s="78"/>
      <c r="D1455" s="78"/>
      <c r="E1455" s="78"/>
      <c r="F1455" s="78"/>
      <c r="G1455" s="78"/>
      <c r="H1455" s="78"/>
      <c r="I1455" s="78"/>
      <c r="J1455" s="78"/>
      <c r="K1455" s="78"/>
      <c r="L1455" s="78"/>
      <c r="M1455" s="78"/>
      <c r="N1455" s="78"/>
      <c r="O1455" s="78"/>
      <c r="P1455" s="78"/>
      <c r="Q1455" s="78"/>
      <c r="R1455" s="78"/>
      <c r="S1455" s="78"/>
      <c r="T1455" s="78"/>
      <c r="U1455" s="78"/>
      <c r="V1455" s="78"/>
      <c r="W1455" s="78"/>
      <c r="X1455" s="78"/>
      <c r="Y1455" s="78"/>
      <c r="Z1455" s="78"/>
      <c r="AA1455" s="78"/>
      <c r="AB1455" s="78"/>
      <c r="AC1455" s="78"/>
      <c r="AD1455" s="78"/>
      <c r="AE1455" s="78"/>
      <c r="AF1455" s="78"/>
      <c r="AG1455" s="78"/>
      <c r="AH1455" s="78"/>
      <c r="AI1455" s="78"/>
      <c r="AJ1455" s="78"/>
      <c r="AK1455" s="78"/>
    </row>
    <row r="1456" spans="1:37">
      <c r="A1456" s="78"/>
      <c r="B1456" s="78"/>
      <c r="C1456" s="78"/>
      <c r="D1456" s="78"/>
      <c r="E1456" s="78"/>
      <c r="F1456" s="78"/>
      <c r="G1456" s="78"/>
      <c r="H1456" s="78"/>
      <c r="I1456" s="78"/>
      <c r="J1456" s="78"/>
      <c r="K1456" s="78"/>
      <c r="L1456" s="78"/>
      <c r="M1456" s="78"/>
      <c r="N1456" s="78"/>
      <c r="O1456" s="78"/>
      <c r="P1456" s="78"/>
      <c r="Q1456" s="78"/>
      <c r="R1456" s="78"/>
      <c r="S1456" s="78"/>
      <c r="T1456" s="78"/>
      <c r="U1456" s="78"/>
      <c r="V1456" s="78"/>
      <c r="W1456" s="78"/>
      <c r="X1456" s="78"/>
      <c r="Y1456" s="78"/>
      <c r="Z1456" s="78"/>
      <c r="AA1456" s="78"/>
      <c r="AB1456" s="78"/>
      <c r="AC1456" s="78"/>
      <c r="AD1456" s="78"/>
      <c r="AE1456" s="78"/>
      <c r="AF1456" s="78"/>
      <c r="AG1456" s="78"/>
      <c r="AH1456" s="78"/>
      <c r="AI1456" s="78"/>
      <c r="AJ1456" s="78"/>
      <c r="AK1456" s="78"/>
    </row>
    <row r="1457" spans="1:37">
      <c r="A1457" s="78"/>
      <c r="B1457" s="78"/>
      <c r="C1457" s="78"/>
      <c r="D1457" s="78"/>
      <c r="E1457" s="78"/>
      <c r="F1457" s="78"/>
      <c r="G1457" s="78"/>
      <c r="H1457" s="78"/>
      <c r="I1457" s="78"/>
      <c r="J1457" s="78"/>
      <c r="K1457" s="78"/>
      <c r="L1457" s="78"/>
      <c r="M1457" s="78"/>
      <c r="N1457" s="78"/>
      <c r="O1457" s="78"/>
      <c r="P1457" s="78"/>
      <c r="Q1457" s="78"/>
      <c r="R1457" s="78"/>
      <c r="S1457" s="78"/>
      <c r="T1457" s="78"/>
      <c r="U1457" s="78"/>
      <c r="V1457" s="78"/>
      <c r="W1457" s="78"/>
      <c r="X1457" s="78"/>
      <c r="Y1457" s="78"/>
      <c r="Z1457" s="78"/>
      <c r="AA1457" s="78"/>
      <c r="AB1457" s="78"/>
      <c r="AC1457" s="78"/>
      <c r="AD1457" s="78"/>
      <c r="AE1457" s="78"/>
      <c r="AF1457" s="78"/>
      <c r="AG1457" s="78"/>
      <c r="AH1457" s="78"/>
      <c r="AI1457" s="78"/>
      <c r="AJ1457" s="78"/>
      <c r="AK1457" s="78"/>
    </row>
    <row r="1458" spans="1:37">
      <c r="A1458" s="78"/>
      <c r="B1458" s="78"/>
      <c r="C1458" s="78"/>
      <c r="D1458" s="78"/>
      <c r="E1458" s="78"/>
      <c r="F1458" s="78"/>
      <c r="G1458" s="78"/>
      <c r="H1458" s="78"/>
      <c r="I1458" s="78"/>
      <c r="J1458" s="78"/>
      <c r="K1458" s="78"/>
      <c r="L1458" s="78"/>
      <c r="M1458" s="78"/>
      <c r="N1458" s="78"/>
      <c r="O1458" s="78"/>
      <c r="P1458" s="78"/>
      <c r="Q1458" s="78"/>
      <c r="R1458" s="78"/>
      <c r="S1458" s="78"/>
      <c r="T1458" s="78"/>
      <c r="U1458" s="78"/>
      <c r="V1458" s="78"/>
      <c r="W1458" s="78"/>
      <c r="X1458" s="78"/>
      <c r="Y1458" s="78"/>
      <c r="Z1458" s="78"/>
      <c r="AA1458" s="78"/>
      <c r="AB1458" s="78"/>
      <c r="AC1458" s="78"/>
      <c r="AD1458" s="78"/>
      <c r="AE1458" s="78"/>
      <c r="AF1458" s="78"/>
      <c r="AG1458" s="78"/>
      <c r="AH1458" s="78"/>
      <c r="AI1458" s="78"/>
      <c r="AJ1458" s="78"/>
      <c r="AK1458" s="78"/>
    </row>
    <row r="1459" spans="1:37">
      <c r="A1459" s="78"/>
      <c r="B1459" s="78"/>
      <c r="C1459" s="78"/>
      <c r="D1459" s="78"/>
      <c r="E1459" s="78"/>
      <c r="F1459" s="78"/>
      <c r="G1459" s="78"/>
      <c r="H1459" s="78"/>
      <c r="I1459" s="78"/>
      <c r="J1459" s="78"/>
      <c r="K1459" s="78"/>
      <c r="L1459" s="78"/>
      <c r="M1459" s="78"/>
      <c r="N1459" s="78"/>
      <c r="O1459" s="78"/>
      <c r="P1459" s="78"/>
      <c r="Q1459" s="78"/>
      <c r="R1459" s="78"/>
      <c r="S1459" s="78"/>
      <c r="T1459" s="78"/>
      <c r="U1459" s="78"/>
      <c r="V1459" s="78"/>
      <c r="W1459" s="78"/>
      <c r="X1459" s="78"/>
      <c r="Y1459" s="78"/>
      <c r="Z1459" s="78"/>
      <c r="AA1459" s="78"/>
      <c r="AB1459" s="78"/>
      <c r="AC1459" s="78"/>
      <c r="AD1459" s="78"/>
      <c r="AE1459" s="78"/>
      <c r="AF1459" s="78"/>
      <c r="AG1459" s="78"/>
      <c r="AH1459" s="78"/>
      <c r="AI1459" s="78"/>
      <c r="AJ1459" s="78"/>
      <c r="AK1459" s="78"/>
    </row>
    <row r="1460" spans="1:37">
      <c r="A1460" s="78"/>
      <c r="B1460" s="78"/>
      <c r="C1460" s="78"/>
      <c r="D1460" s="78"/>
      <c r="E1460" s="78"/>
      <c r="F1460" s="78"/>
      <c r="G1460" s="78"/>
      <c r="H1460" s="78"/>
      <c r="I1460" s="78"/>
      <c r="J1460" s="78"/>
      <c r="K1460" s="78"/>
      <c r="L1460" s="78"/>
      <c r="M1460" s="78"/>
      <c r="N1460" s="78"/>
      <c r="O1460" s="78"/>
      <c r="P1460" s="78"/>
      <c r="Q1460" s="78"/>
      <c r="R1460" s="78"/>
      <c r="S1460" s="78"/>
      <c r="T1460" s="78"/>
      <c r="U1460" s="78"/>
      <c r="V1460" s="78"/>
      <c r="W1460" s="78"/>
      <c r="X1460" s="78"/>
      <c r="Y1460" s="78"/>
      <c r="Z1460" s="78"/>
      <c r="AA1460" s="78"/>
      <c r="AB1460" s="78"/>
      <c r="AC1460" s="78"/>
      <c r="AD1460" s="78"/>
      <c r="AE1460" s="78"/>
      <c r="AF1460" s="78"/>
      <c r="AG1460" s="78"/>
      <c r="AH1460" s="78"/>
      <c r="AI1460" s="78"/>
      <c r="AJ1460" s="78"/>
      <c r="AK1460" s="78"/>
    </row>
    <row r="1461" spans="1:37">
      <c r="A1461" s="78"/>
      <c r="B1461" s="78"/>
      <c r="C1461" s="78"/>
      <c r="D1461" s="78"/>
      <c r="E1461" s="78"/>
      <c r="F1461" s="78"/>
      <c r="G1461" s="78"/>
      <c r="H1461" s="78"/>
      <c r="I1461" s="78"/>
      <c r="J1461" s="78"/>
      <c r="K1461" s="78"/>
      <c r="L1461" s="78"/>
      <c r="M1461" s="78"/>
      <c r="N1461" s="78"/>
      <c r="O1461" s="78"/>
      <c r="P1461" s="78"/>
      <c r="Q1461" s="78"/>
      <c r="R1461" s="78"/>
      <c r="S1461" s="78"/>
      <c r="T1461" s="78"/>
      <c r="U1461" s="78"/>
      <c r="V1461" s="78"/>
      <c r="W1461" s="78"/>
      <c r="X1461" s="78"/>
      <c r="Y1461" s="78"/>
      <c r="Z1461" s="78"/>
      <c r="AA1461" s="78"/>
      <c r="AB1461" s="78"/>
      <c r="AC1461" s="78"/>
      <c r="AD1461" s="78"/>
      <c r="AE1461" s="78"/>
      <c r="AF1461" s="78"/>
      <c r="AG1461" s="78"/>
      <c r="AH1461" s="78"/>
      <c r="AI1461" s="78"/>
      <c r="AJ1461" s="78"/>
      <c r="AK1461" s="78"/>
    </row>
    <row r="1462" spans="1:37">
      <c r="A1462" s="78"/>
      <c r="B1462" s="78"/>
      <c r="C1462" s="78"/>
      <c r="D1462" s="78"/>
      <c r="E1462" s="78"/>
      <c r="F1462" s="78"/>
      <c r="G1462" s="78"/>
      <c r="H1462" s="78"/>
      <c r="I1462" s="78"/>
      <c r="J1462" s="78"/>
      <c r="K1462" s="78"/>
      <c r="L1462" s="78"/>
      <c r="M1462" s="78"/>
      <c r="N1462" s="78"/>
      <c r="O1462" s="78"/>
      <c r="P1462" s="78"/>
      <c r="Q1462" s="78"/>
      <c r="R1462" s="78"/>
      <c r="S1462" s="78"/>
      <c r="T1462" s="78"/>
      <c r="U1462" s="78"/>
      <c r="V1462" s="78"/>
      <c r="W1462" s="78"/>
      <c r="X1462" s="78"/>
      <c r="Y1462" s="78"/>
      <c r="Z1462" s="78"/>
      <c r="AA1462" s="78"/>
      <c r="AB1462" s="78"/>
      <c r="AC1462" s="78"/>
      <c r="AD1462" s="78"/>
      <c r="AE1462" s="78"/>
      <c r="AF1462" s="78"/>
      <c r="AG1462" s="78"/>
      <c r="AH1462" s="78"/>
      <c r="AI1462" s="78"/>
      <c r="AJ1462" s="78"/>
      <c r="AK1462" s="78"/>
    </row>
    <row r="1463" spans="1:37">
      <c r="A1463" s="78"/>
      <c r="B1463" s="78"/>
      <c r="C1463" s="78"/>
      <c r="D1463" s="78"/>
      <c r="E1463" s="78"/>
      <c r="F1463" s="78"/>
      <c r="G1463" s="78"/>
      <c r="H1463" s="78"/>
      <c r="I1463" s="78"/>
      <c r="J1463" s="78"/>
      <c r="K1463" s="78"/>
      <c r="L1463" s="78"/>
      <c r="M1463" s="78"/>
      <c r="N1463" s="78"/>
      <c r="O1463" s="78"/>
      <c r="P1463" s="78"/>
      <c r="Q1463" s="78"/>
      <c r="R1463" s="78"/>
      <c r="S1463" s="78"/>
      <c r="T1463" s="78"/>
      <c r="U1463" s="78"/>
      <c r="V1463" s="78"/>
      <c r="W1463" s="78"/>
      <c r="X1463" s="78"/>
      <c r="Y1463" s="78"/>
      <c r="Z1463" s="78"/>
      <c r="AA1463" s="78"/>
      <c r="AB1463" s="78"/>
      <c r="AC1463" s="78"/>
      <c r="AD1463" s="78"/>
      <c r="AE1463" s="78"/>
      <c r="AF1463" s="78"/>
      <c r="AG1463" s="78"/>
      <c r="AH1463" s="78"/>
      <c r="AI1463" s="78"/>
      <c r="AJ1463" s="78"/>
      <c r="AK1463" s="78"/>
    </row>
    <row r="1464" spans="1:37">
      <c r="A1464" s="78"/>
      <c r="B1464" s="78"/>
      <c r="C1464" s="78"/>
      <c r="D1464" s="78"/>
      <c r="E1464" s="78"/>
      <c r="F1464" s="78"/>
      <c r="G1464" s="78"/>
      <c r="H1464" s="78"/>
      <c r="I1464" s="78"/>
      <c r="J1464" s="78"/>
      <c r="K1464" s="78"/>
      <c r="L1464" s="78"/>
      <c r="M1464" s="78"/>
      <c r="N1464" s="78"/>
      <c r="O1464" s="78"/>
      <c r="P1464" s="78"/>
      <c r="Q1464" s="78"/>
      <c r="R1464" s="78"/>
      <c r="S1464" s="78"/>
      <c r="T1464" s="78"/>
      <c r="U1464" s="78"/>
      <c r="V1464" s="78"/>
      <c r="W1464" s="78"/>
      <c r="X1464" s="78"/>
      <c r="Y1464" s="78"/>
      <c r="Z1464" s="78"/>
      <c r="AA1464" s="78"/>
      <c r="AB1464" s="78"/>
      <c r="AC1464" s="78"/>
      <c r="AD1464" s="78"/>
      <c r="AE1464" s="78"/>
      <c r="AF1464" s="78"/>
      <c r="AG1464" s="78"/>
      <c r="AH1464" s="78"/>
      <c r="AI1464" s="78"/>
      <c r="AJ1464" s="78"/>
      <c r="AK1464" s="78"/>
    </row>
    <row r="1465" spans="1:37">
      <c r="A1465" s="78"/>
      <c r="B1465" s="78"/>
      <c r="C1465" s="78"/>
      <c r="D1465" s="78"/>
      <c r="E1465" s="78"/>
      <c r="F1465" s="78"/>
      <c r="G1465" s="78"/>
      <c r="H1465" s="78"/>
      <c r="I1465" s="78"/>
      <c r="J1465" s="78"/>
      <c r="K1465" s="78"/>
      <c r="L1465" s="78"/>
      <c r="M1465" s="78"/>
      <c r="N1465" s="78"/>
      <c r="O1465" s="78"/>
      <c r="P1465" s="78"/>
      <c r="Q1465" s="78"/>
      <c r="R1465" s="78"/>
      <c r="S1465" s="78"/>
      <c r="T1465" s="78"/>
      <c r="U1465" s="78"/>
      <c r="V1465" s="78"/>
      <c r="W1465" s="78"/>
      <c r="X1465" s="78"/>
      <c r="Y1465" s="78"/>
      <c r="Z1465" s="78"/>
      <c r="AA1465" s="78"/>
      <c r="AB1465" s="78"/>
      <c r="AC1465" s="78"/>
      <c r="AD1465" s="78"/>
      <c r="AE1465" s="78"/>
      <c r="AF1465" s="78"/>
      <c r="AG1465" s="78"/>
      <c r="AH1465" s="78"/>
      <c r="AI1465" s="78"/>
      <c r="AJ1465" s="78"/>
      <c r="AK1465" s="78"/>
    </row>
    <row r="1466" spans="1:37">
      <c r="A1466" s="78"/>
      <c r="B1466" s="78"/>
      <c r="C1466" s="78"/>
      <c r="D1466" s="78"/>
      <c r="E1466" s="78"/>
      <c r="F1466" s="78"/>
      <c r="G1466" s="78"/>
      <c r="H1466" s="78"/>
      <c r="I1466" s="78"/>
      <c r="J1466" s="78"/>
      <c r="K1466" s="78"/>
      <c r="L1466" s="78"/>
      <c r="M1466" s="78"/>
      <c r="N1466" s="78"/>
      <c r="O1466" s="78"/>
      <c r="P1466" s="78"/>
      <c r="Q1466" s="78"/>
      <c r="R1466" s="78"/>
      <c r="S1466" s="78"/>
      <c r="T1466" s="78"/>
      <c r="U1466" s="78"/>
      <c r="V1466" s="78"/>
      <c r="W1466" s="78"/>
      <c r="X1466" s="78"/>
      <c r="Y1466" s="78"/>
      <c r="Z1466" s="78"/>
      <c r="AA1466" s="78"/>
      <c r="AB1466" s="78"/>
      <c r="AC1466" s="78"/>
      <c r="AD1466" s="78"/>
      <c r="AE1466" s="78"/>
      <c r="AF1466" s="78"/>
      <c r="AG1466" s="78"/>
      <c r="AH1466" s="78"/>
      <c r="AI1466" s="78"/>
      <c r="AJ1466" s="78"/>
      <c r="AK1466" s="78"/>
    </row>
    <row r="1467" spans="1:37">
      <c r="A1467" s="78"/>
      <c r="B1467" s="78"/>
      <c r="C1467" s="78"/>
      <c r="D1467" s="78"/>
      <c r="E1467" s="78"/>
      <c r="F1467" s="78"/>
      <c r="G1467" s="78"/>
      <c r="H1467" s="78"/>
      <c r="I1467" s="78"/>
      <c r="J1467" s="78"/>
      <c r="K1467" s="78"/>
      <c r="L1467" s="78"/>
      <c r="M1467" s="78"/>
      <c r="N1467" s="78"/>
      <c r="O1467" s="78"/>
      <c r="P1467" s="78"/>
      <c r="Q1467" s="78"/>
      <c r="R1467" s="78"/>
      <c r="S1467" s="78"/>
      <c r="T1467" s="78"/>
      <c r="U1467" s="78"/>
      <c r="V1467" s="78"/>
      <c r="W1467" s="78"/>
      <c r="X1467" s="78"/>
      <c r="Y1467" s="78"/>
      <c r="Z1467" s="78"/>
      <c r="AA1467" s="78"/>
      <c r="AB1467" s="78"/>
      <c r="AC1467" s="78"/>
      <c r="AD1467" s="78"/>
      <c r="AE1467" s="78"/>
      <c r="AF1467" s="78"/>
      <c r="AG1467" s="78"/>
      <c r="AH1467" s="78"/>
      <c r="AI1467" s="78"/>
      <c r="AJ1467" s="78"/>
      <c r="AK1467" s="78"/>
    </row>
    <row r="1468" spans="1:37">
      <c r="A1468" s="78"/>
      <c r="B1468" s="78"/>
      <c r="C1468" s="78"/>
      <c r="D1468" s="78"/>
      <c r="E1468" s="78"/>
      <c r="F1468" s="78"/>
      <c r="G1468" s="78"/>
      <c r="H1468" s="78"/>
      <c r="I1468" s="78"/>
      <c r="J1468" s="78"/>
      <c r="K1468" s="78"/>
      <c r="L1468" s="78"/>
      <c r="M1468" s="78"/>
      <c r="N1468" s="78"/>
      <c r="O1468" s="78"/>
      <c r="P1468" s="78"/>
      <c r="Q1468" s="78"/>
      <c r="R1468" s="78"/>
      <c r="S1468" s="78"/>
      <c r="T1468" s="78"/>
      <c r="U1468" s="78"/>
      <c r="V1468" s="78"/>
      <c r="W1468" s="78"/>
      <c r="X1468" s="78"/>
      <c r="Y1468" s="78"/>
      <c r="Z1468" s="78"/>
      <c r="AA1468" s="78"/>
      <c r="AB1468" s="78"/>
      <c r="AC1468" s="78"/>
      <c r="AD1468" s="78"/>
      <c r="AE1468" s="78"/>
      <c r="AF1468" s="78"/>
      <c r="AG1468" s="78"/>
      <c r="AH1468" s="78"/>
      <c r="AI1468" s="78"/>
      <c r="AJ1468" s="78"/>
      <c r="AK1468" s="78"/>
    </row>
    <row r="1469" spans="1:37">
      <c r="A1469" s="78"/>
      <c r="B1469" s="78"/>
      <c r="C1469" s="78"/>
      <c r="D1469" s="78"/>
      <c r="E1469" s="78"/>
      <c r="F1469" s="78"/>
      <c r="G1469" s="78"/>
      <c r="H1469" s="78"/>
      <c r="I1469" s="78"/>
      <c r="J1469" s="78"/>
      <c r="K1469" s="78"/>
      <c r="L1469" s="78"/>
      <c r="M1469" s="78"/>
      <c r="N1469" s="78"/>
      <c r="O1469" s="78"/>
      <c r="P1469" s="78"/>
      <c r="Q1469" s="78"/>
      <c r="R1469" s="78"/>
      <c r="S1469" s="78"/>
      <c r="T1469" s="78"/>
      <c r="U1469" s="78"/>
      <c r="V1469" s="78"/>
      <c r="W1469" s="78"/>
      <c r="X1469" s="78"/>
      <c r="Y1469" s="78"/>
      <c r="Z1469" s="78"/>
      <c r="AA1469" s="78"/>
      <c r="AB1469" s="78"/>
      <c r="AC1469" s="78"/>
      <c r="AD1469" s="78"/>
      <c r="AE1469" s="78"/>
      <c r="AF1469" s="78"/>
      <c r="AG1469" s="78"/>
      <c r="AH1469" s="78"/>
      <c r="AI1469" s="78"/>
      <c r="AJ1469" s="78"/>
      <c r="AK1469" s="78"/>
    </row>
    <row r="1470" spans="1:37">
      <c r="A1470" s="78"/>
      <c r="B1470" s="78"/>
      <c r="C1470" s="78"/>
      <c r="D1470" s="78"/>
      <c r="E1470" s="78"/>
      <c r="F1470" s="78"/>
      <c r="G1470" s="78"/>
      <c r="H1470" s="78"/>
      <c r="I1470" s="78"/>
      <c r="J1470" s="78"/>
      <c r="K1470" s="78"/>
      <c r="L1470" s="78"/>
      <c r="M1470" s="78"/>
      <c r="N1470" s="78"/>
      <c r="O1470" s="78"/>
      <c r="P1470" s="78"/>
      <c r="Q1470" s="78"/>
      <c r="R1470" s="78"/>
      <c r="S1470" s="78"/>
      <c r="T1470" s="78"/>
      <c r="U1470" s="78"/>
      <c r="V1470" s="78"/>
      <c r="W1470" s="78"/>
      <c r="X1470" s="78"/>
      <c r="Y1470" s="78"/>
      <c r="Z1470" s="78"/>
      <c r="AA1470" s="78"/>
      <c r="AB1470" s="78"/>
      <c r="AC1470" s="78"/>
      <c r="AD1470" s="78"/>
      <c r="AE1470" s="78"/>
      <c r="AF1470" s="78"/>
      <c r="AG1470" s="78"/>
      <c r="AH1470" s="78"/>
      <c r="AI1470" s="78"/>
      <c r="AJ1470" s="78"/>
      <c r="AK1470" s="78"/>
    </row>
    <row r="1471" spans="1:37">
      <c r="A1471" s="78"/>
      <c r="B1471" s="78"/>
      <c r="C1471" s="78"/>
      <c r="D1471" s="78"/>
      <c r="E1471" s="78"/>
      <c r="F1471" s="78"/>
      <c r="G1471" s="78"/>
      <c r="H1471" s="78"/>
      <c r="I1471" s="78"/>
      <c r="J1471" s="78"/>
      <c r="K1471" s="78"/>
      <c r="L1471" s="78"/>
      <c r="M1471" s="78"/>
      <c r="N1471" s="78"/>
      <c r="O1471" s="78"/>
      <c r="P1471" s="78"/>
      <c r="Q1471" s="78"/>
      <c r="R1471" s="78"/>
      <c r="S1471" s="78"/>
      <c r="T1471" s="78"/>
      <c r="U1471" s="78"/>
      <c r="V1471" s="78"/>
      <c r="W1471" s="78"/>
      <c r="X1471" s="78"/>
      <c r="Y1471" s="78"/>
      <c r="Z1471" s="78"/>
      <c r="AA1471" s="78"/>
      <c r="AB1471" s="78"/>
      <c r="AC1471" s="78"/>
      <c r="AD1471" s="78"/>
      <c r="AE1471" s="78"/>
      <c r="AF1471" s="78"/>
      <c r="AG1471" s="78"/>
      <c r="AH1471" s="78"/>
      <c r="AI1471" s="78"/>
      <c r="AJ1471" s="78"/>
      <c r="AK1471" s="78"/>
    </row>
    <row r="1472" spans="1:37">
      <c r="A1472" s="78"/>
      <c r="B1472" s="78"/>
      <c r="C1472" s="78"/>
      <c r="D1472" s="78"/>
      <c r="E1472" s="78"/>
      <c r="F1472" s="78"/>
      <c r="G1472" s="78"/>
      <c r="H1472" s="78"/>
      <c r="I1472" s="78"/>
      <c r="J1472" s="78"/>
      <c r="K1472" s="78"/>
      <c r="L1472" s="78"/>
      <c r="M1472" s="78"/>
      <c r="N1472" s="78"/>
      <c r="O1472" s="78"/>
      <c r="P1472" s="78"/>
      <c r="Q1472" s="78"/>
      <c r="R1472" s="78"/>
      <c r="S1472" s="78"/>
      <c r="T1472" s="78"/>
      <c r="U1472" s="78"/>
      <c r="V1472" s="78"/>
      <c r="W1472" s="78"/>
      <c r="X1472" s="78"/>
      <c r="Y1472" s="78"/>
      <c r="Z1472" s="78"/>
      <c r="AA1472" s="78"/>
      <c r="AB1472" s="78"/>
      <c r="AC1472" s="78"/>
      <c r="AD1472" s="78"/>
      <c r="AE1472" s="78"/>
      <c r="AF1472" s="78"/>
      <c r="AG1472" s="78"/>
      <c r="AH1472" s="78"/>
      <c r="AI1472" s="78"/>
      <c r="AJ1472" s="78"/>
      <c r="AK1472" s="78"/>
    </row>
    <row r="1473" spans="1:37">
      <c r="A1473" s="78"/>
      <c r="B1473" s="78"/>
      <c r="C1473" s="78"/>
      <c r="D1473" s="78"/>
      <c r="E1473" s="78"/>
      <c r="F1473" s="78"/>
      <c r="G1473" s="78"/>
      <c r="H1473" s="78"/>
      <c r="I1473" s="78"/>
      <c r="J1473" s="78"/>
      <c r="K1473" s="78"/>
      <c r="L1473" s="78"/>
      <c r="M1473" s="78"/>
      <c r="N1473" s="78"/>
      <c r="O1473" s="78"/>
      <c r="P1473" s="78"/>
      <c r="Q1473" s="78"/>
      <c r="R1473" s="78"/>
      <c r="S1473" s="78"/>
      <c r="T1473" s="78"/>
      <c r="U1473" s="78"/>
      <c r="V1473" s="78"/>
      <c r="W1473" s="78"/>
      <c r="X1473" s="78"/>
      <c r="Y1473" s="78"/>
      <c r="Z1473" s="78"/>
      <c r="AA1473" s="78"/>
      <c r="AB1473" s="78"/>
      <c r="AC1473" s="78"/>
      <c r="AD1473" s="78"/>
      <c r="AE1473" s="78"/>
      <c r="AF1473" s="78"/>
      <c r="AG1473" s="78"/>
      <c r="AH1473" s="78"/>
      <c r="AI1473" s="78"/>
      <c r="AJ1473" s="78"/>
      <c r="AK1473" s="78"/>
    </row>
    <row r="1474" spans="1:37">
      <c r="A1474" s="78"/>
      <c r="B1474" s="78"/>
      <c r="C1474" s="78"/>
      <c r="D1474" s="78"/>
      <c r="E1474" s="78"/>
      <c r="F1474" s="78"/>
      <c r="G1474" s="78"/>
      <c r="H1474" s="78"/>
      <c r="I1474" s="78"/>
      <c r="J1474" s="78"/>
      <c r="K1474" s="78"/>
      <c r="L1474" s="78"/>
      <c r="M1474" s="78"/>
      <c r="N1474" s="78"/>
      <c r="O1474" s="78"/>
      <c r="P1474" s="78"/>
      <c r="Q1474" s="78"/>
      <c r="R1474" s="78"/>
      <c r="S1474" s="78"/>
      <c r="T1474" s="78"/>
      <c r="U1474" s="78"/>
      <c r="V1474" s="78"/>
      <c r="W1474" s="78"/>
      <c r="X1474" s="78"/>
      <c r="Y1474" s="78"/>
      <c r="Z1474" s="78"/>
      <c r="AA1474" s="78"/>
      <c r="AB1474" s="78"/>
      <c r="AC1474" s="78"/>
      <c r="AD1474" s="78"/>
      <c r="AE1474" s="78"/>
      <c r="AF1474" s="78"/>
      <c r="AG1474" s="78"/>
      <c r="AH1474" s="78"/>
      <c r="AI1474" s="78"/>
      <c r="AJ1474" s="78"/>
      <c r="AK1474" s="78"/>
    </row>
    <row r="1475" spans="1:37">
      <c r="A1475" s="78"/>
      <c r="B1475" s="78"/>
      <c r="C1475" s="78"/>
      <c r="D1475" s="78"/>
      <c r="E1475" s="78"/>
      <c r="F1475" s="78"/>
      <c r="G1475" s="78"/>
      <c r="H1475" s="78"/>
      <c r="I1475" s="78"/>
      <c r="J1475" s="78"/>
      <c r="K1475" s="78"/>
      <c r="L1475" s="78"/>
      <c r="M1475" s="78"/>
      <c r="N1475" s="78"/>
      <c r="O1475" s="78"/>
      <c r="P1475" s="78"/>
      <c r="Q1475" s="78"/>
      <c r="R1475" s="78"/>
      <c r="S1475" s="78"/>
      <c r="T1475" s="78"/>
      <c r="U1475" s="78"/>
      <c r="V1475" s="78"/>
      <c r="W1475" s="78"/>
      <c r="X1475" s="78"/>
      <c r="Y1475" s="78"/>
      <c r="Z1475" s="78"/>
      <c r="AA1475" s="78"/>
      <c r="AB1475" s="78"/>
      <c r="AC1475" s="78"/>
      <c r="AD1475" s="78"/>
      <c r="AE1475" s="78"/>
      <c r="AF1475" s="78"/>
      <c r="AG1475" s="78"/>
      <c r="AH1475" s="78"/>
      <c r="AI1475" s="78"/>
      <c r="AJ1475" s="78"/>
      <c r="AK1475" s="78"/>
    </row>
    <row r="1476" spans="1:37">
      <c r="A1476" s="78"/>
      <c r="B1476" s="78"/>
      <c r="C1476" s="78"/>
      <c r="D1476" s="78"/>
      <c r="E1476" s="78"/>
      <c r="F1476" s="78"/>
      <c r="G1476" s="78"/>
      <c r="H1476" s="78"/>
      <c r="I1476" s="78"/>
      <c r="J1476" s="78"/>
      <c r="K1476" s="78"/>
      <c r="L1476" s="78"/>
      <c r="M1476" s="78"/>
      <c r="N1476" s="78"/>
      <c r="O1476" s="78"/>
      <c r="P1476" s="78"/>
      <c r="Q1476" s="78"/>
      <c r="R1476" s="78"/>
      <c r="S1476" s="78"/>
      <c r="T1476" s="78"/>
      <c r="U1476" s="78"/>
      <c r="V1476" s="78"/>
      <c r="W1476" s="78"/>
      <c r="X1476" s="78"/>
      <c r="Y1476" s="78"/>
      <c r="Z1476" s="78"/>
      <c r="AA1476" s="78"/>
      <c r="AB1476" s="78"/>
      <c r="AC1476" s="78"/>
      <c r="AD1476" s="78"/>
      <c r="AE1476" s="78"/>
      <c r="AF1476" s="78"/>
      <c r="AG1476" s="78"/>
      <c r="AH1476" s="78"/>
      <c r="AI1476" s="78"/>
      <c r="AJ1476" s="78"/>
      <c r="AK1476" s="78"/>
    </row>
    <row r="1477" spans="1:37">
      <c r="A1477" s="78"/>
      <c r="B1477" s="78"/>
      <c r="C1477" s="78"/>
      <c r="D1477" s="78"/>
      <c r="E1477" s="78"/>
      <c r="F1477" s="78"/>
      <c r="G1477" s="78"/>
      <c r="H1477" s="78"/>
      <c r="I1477" s="78"/>
      <c r="J1477" s="78"/>
      <c r="K1477" s="78"/>
      <c r="L1477" s="78"/>
      <c r="M1477" s="78"/>
      <c r="N1477" s="78"/>
      <c r="O1477" s="78"/>
      <c r="P1477" s="78"/>
      <c r="Q1477" s="78"/>
      <c r="R1477" s="78"/>
      <c r="S1477" s="78"/>
      <c r="T1477" s="78"/>
      <c r="U1477" s="78"/>
      <c r="V1477" s="78"/>
      <c r="W1477" s="78"/>
      <c r="X1477" s="78"/>
      <c r="Y1477" s="78"/>
      <c r="Z1477" s="78"/>
      <c r="AA1477" s="78"/>
      <c r="AB1477" s="78"/>
      <c r="AC1477" s="78"/>
      <c r="AD1477" s="78"/>
      <c r="AE1477" s="78"/>
      <c r="AF1477" s="78"/>
      <c r="AG1477" s="78"/>
      <c r="AH1477" s="78"/>
      <c r="AI1477" s="78"/>
      <c r="AJ1477" s="78"/>
      <c r="AK1477" s="78"/>
    </row>
    <row r="1478" spans="1:37">
      <c r="A1478" s="78"/>
      <c r="B1478" s="78"/>
      <c r="C1478" s="78"/>
      <c r="D1478" s="78"/>
      <c r="E1478" s="78"/>
      <c r="F1478" s="78"/>
      <c r="G1478" s="78"/>
      <c r="H1478" s="78"/>
      <c r="I1478" s="78"/>
      <c r="J1478" s="78"/>
      <c r="K1478" s="78"/>
      <c r="L1478" s="78"/>
      <c r="M1478" s="78"/>
      <c r="N1478" s="78"/>
      <c r="O1478" s="78"/>
      <c r="P1478" s="78"/>
      <c r="Q1478" s="78"/>
      <c r="R1478" s="78"/>
      <c r="S1478" s="78"/>
      <c r="T1478" s="78"/>
      <c r="U1478" s="78"/>
      <c r="V1478" s="78"/>
      <c r="W1478" s="78"/>
      <c r="X1478" s="78"/>
      <c r="Y1478" s="78"/>
      <c r="Z1478" s="78"/>
      <c r="AA1478" s="78"/>
      <c r="AB1478" s="78"/>
      <c r="AC1478" s="78"/>
      <c r="AD1478" s="78"/>
      <c r="AE1478" s="78"/>
      <c r="AF1478" s="78"/>
      <c r="AG1478" s="78"/>
      <c r="AH1478" s="78"/>
      <c r="AI1478" s="78"/>
      <c r="AJ1478" s="78"/>
      <c r="AK1478" s="78"/>
    </row>
    <row r="1479" spans="1:37">
      <c r="A1479" s="78"/>
      <c r="B1479" s="78"/>
      <c r="C1479" s="78"/>
      <c r="D1479" s="78"/>
      <c r="E1479" s="78"/>
      <c r="F1479" s="78"/>
      <c r="G1479" s="78"/>
      <c r="H1479" s="78"/>
      <c r="I1479" s="78"/>
      <c r="J1479" s="78"/>
      <c r="K1479" s="78"/>
      <c r="L1479" s="78"/>
      <c r="M1479" s="78"/>
      <c r="N1479" s="78"/>
      <c r="O1479" s="78"/>
      <c r="P1479" s="78"/>
      <c r="Q1479" s="78"/>
      <c r="R1479" s="78"/>
      <c r="S1479" s="78"/>
      <c r="T1479" s="78"/>
      <c r="U1479" s="78"/>
      <c r="V1479" s="78"/>
      <c r="W1479" s="78"/>
      <c r="X1479" s="78"/>
      <c r="Y1479" s="78"/>
      <c r="Z1479" s="78"/>
      <c r="AA1479" s="78"/>
      <c r="AB1479" s="78"/>
      <c r="AC1479" s="78"/>
      <c r="AD1479" s="78"/>
      <c r="AE1479" s="78"/>
      <c r="AF1479" s="78"/>
      <c r="AG1479" s="78"/>
      <c r="AH1479" s="78"/>
      <c r="AI1479" s="78"/>
      <c r="AJ1479" s="78"/>
      <c r="AK1479" s="78"/>
    </row>
    <row r="1480" spans="1:37">
      <c r="A1480" s="78"/>
      <c r="B1480" s="78"/>
      <c r="C1480" s="78"/>
      <c r="D1480" s="78"/>
      <c r="E1480" s="78"/>
      <c r="F1480" s="78"/>
      <c r="G1480" s="78"/>
      <c r="H1480" s="78"/>
      <c r="I1480" s="78"/>
      <c r="J1480" s="78"/>
      <c r="K1480" s="78"/>
      <c r="L1480" s="78"/>
      <c r="M1480" s="78"/>
      <c r="N1480" s="78"/>
      <c r="O1480" s="78"/>
      <c r="P1480" s="78"/>
      <c r="Q1480" s="78"/>
      <c r="R1480" s="78"/>
      <c r="S1480" s="78"/>
      <c r="T1480" s="78"/>
      <c r="U1480" s="78"/>
      <c r="V1480" s="78"/>
      <c r="W1480" s="78"/>
      <c r="X1480" s="78"/>
      <c r="Y1480" s="78"/>
      <c r="Z1480" s="78"/>
      <c r="AA1480" s="78"/>
      <c r="AB1480" s="78"/>
      <c r="AC1480" s="78"/>
      <c r="AD1480" s="78"/>
      <c r="AE1480" s="78"/>
      <c r="AF1480" s="78"/>
      <c r="AG1480" s="78"/>
      <c r="AH1480" s="78"/>
      <c r="AI1480" s="78"/>
      <c r="AJ1480" s="78"/>
      <c r="AK1480" s="78"/>
    </row>
    <row r="1481" spans="1:37">
      <c r="A1481" s="78"/>
      <c r="B1481" s="78"/>
      <c r="C1481" s="78"/>
      <c r="D1481" s="78"/>
      <c r="E1481" s="78"/>
      <c r="F1481" s="78"/>
      <c r="G1481" s="78"/>
      <c r="H1481" s="78"/>
      <c r="I1481" s="78"/>
      <c r="J1481" s="78"/>
      <c r="K1481" s="78"/>
      <c r="L1481" s="78"/>
      <c r="M1481" s="78"/>
      <c r="N1481" s="78"/>
      <c r="O1481" s="78"/>
      <c r="P1481" s="78"/>
      <c r="Q1481" s="78"/>
      <c r="R1481" s="78"/>
      <c r="S1481" s="78"/>
      <c r="T1481" s="78"/>
      <c r="U1481" s="78"/>
      <c r="V1481" s="78"/>
      <c r="W1481" s="78"/>
      <c r="X1481" s="78"/>
      <c r="Y1481" s="78"/>
      <c r="Z1481" s="78"/>
      <c r="AA1481" s="78"/>
      <c r="AB1481" s="78"/>
      <c r="AC1481" s="78"/>
      <c r="AD1481" s="78"/>
      <c r="AE1481" s="78"/>
      <c r="AF1481" s="78"/>
      <c r="AG1481" s="78"/>
      <c r="AH1481" s="78"/>
      <c r="AI1481" s="78"/>
      <c r="AJ1481" s="78"/>
      <c r="AK1481" s="78"/>
    </row>
    <row r="1482" spans="1:37">
      <c r="A1482" s="78"/>
      <c r="B1482" s="78"/>
      <c r="C1482" s="78"/>
      <c r="D1482" s="78"/>
      <c r="E1482" s="78"/>
      <c r="F1482" s="78"/>
      <c r="G1482" s="78"/>
      <c r="H1482" s="78"/>
      <c r="I1482" s="78"/>
      <c r="J1482" s="78"/>
      <c r="K1482" s="78"/>
      <c r="L1482" s="78"/>
      <c r="M1482" s="78"/>
      <c r="N1482" s="78"/>
      <c r="O1482" s="78"/>
      <c r="P1482" s="78"/>
      <c r="Q1482" s="78"/>
      <c r="R1482" s="78"/>
      <c r="S1482" s="78"/>
      <c r="T1482" s="78"/>
      <c r="U1482" s="78"/>
      <c r="V1482" s="78"/>
      <c r="W1482" s="78"/>
      <c r="X1482" s="78"/>
      <c r="Y1482" s="78"/>
      <c r="Z1482" s="78"/>
      <c r="AA1482" s="78"/>
      <c r="AB1482" s="78"/>
      <c r="AC1482" s="78"/>
      <c r="AD1482" s="78"/>
      <c r="AE1482" s="78"/>
      <c r="AF1482" s="78"/>
      <c r="AG1482" s="78"/>
      <c r="AH1482" s="78"/>
      <c r="AI1482" s="78"/>
      <c r="AJ1482" s="78"/>
      <c r="AK1482" s="78"/>
    </row>
    <row r="1483" spans="1:37">
      <c r="A1483" s="78"/>
      <c r="B1483" s="78"/>
      <c r="C1483" s="78"/>
      <c r="D1483" s="78"/>
      <c r="E1483" s="78"/>
      <c r="F1483" s="78"/>
      <c r="G1483" s="78"/>
      <c r="H1483" s="78"/>
      <c r="I1483" s="78"/>
      <c r="J1483" s="78"/>
      <c r="K1483" s="78"/>
      <c r="L1483" s="78"/>
      <c r="M1483" s="78"/>
      <c r="N1483" s="78"/>
      <c r="O1483" s="78"/>
      <c r="P1483" s="78"/>
      <c r="Q1483" s="78"/>
      <c r="R1483" s="78"/>
      <c r="S1483" s="78"/>
      <c r="T1483" s="78"/>
      <c r="U1483" s="78"/>
      <c r="V1483" s="78"/>
      <c r="W1483" s="78"/>
      <c r="X1483" s="78"/>
      <c r="Y1483" s="78"/>
      <c r="Z1483" s="78"/>
      <c r="AA1483" s="78"/>
      <c r="AB1483" s="78"/>
      <c r="AC1483" s="78"/>
      <c r="AD1483" s="78"/>
      <c r="AE1483" s="78"/>
      <c r="AF1483" s="78"/>
      <c r="AG1483" s="78"/>
      <c r="AH1483" s="78"/>
      <c r="AI1483" s="78"/>
      <c r="AJ1483" s="78"/>
      <c r="AK1483" s="78"/>
    </row>
    <row r="1484" spans="1:37">
      <c r="A1484" s="78"/>
      <c r="B1484" s="78"/>
      <c r="C1484" s="78"/>
      <c r="D1484" s="78"/>
      <c r="E1484" s="78"/>
      <c r="F1484" s="78"/>
      <c r="G1484" s="78"/>
      <c r="H1484" s="78"/>
      <c r="I1484" s="78"/>
      <c r="J1484" s="78"/>
      <c r="K1484" s="78"/>
      <c r="L1484" s="78"/>
      <c r="M1484" s="78"/>
      <c r="N1484" s="78"/>
      <c r="O1484" s="78"/>
      <c r="P1484" s="78"/>
      <c r="Q1484" s="78"/>
      <c r="R1484" s="78"/>
      <c r="S1484" s="78"/>
      <c r="T1484" s="78"/>
      <c r="U1484" s="78"/>
      <c r="V1484" s="78"/>
      <c r="W1484" s="78"/>
      <c r="X1484" s="78"/>
      <c r="Y1484" s="78"/>
      <c r="Z1484" s="78"/>
      <c r="AA1484" s="78"/>
      <c r="AB1484" s="78"/>
      <c r="AC1484" s="78"/>
      <c r="AD1484" s="78"/>
      <c r="AE1484" s="78"/>
      <c r="AF1484" s="78"/>
      <c r="AG1484" s="78"/>
      <c r="AH1484" s="78"/>
      <c r="AI1484" s="78"/>
      <c r="AJ1484" s="78"/>
      <c r="AK1484" s="78"/>
    </row>
    <row r="1485" spans="1:37">
      <c r="A1485" s="78"/>
      <c r="B1485" s="78"/>
      <c r="C1485" s="78"/>
      <c r="D1485" s="78"/>
      <c r="E1485" s="78"/>
      <c r="F1485" s="78"/>
      <c r="G1485" s="78"/>
      <c r="H1485" s="78"/>
      <c r="I1485" s="78"/>
      <c r="J1485" s="78"/>
      <c r="K1485" s="78"/>
      <c r="L1485" s="78"/>
      <c r="M1485" s="78"/>
      <c r="N1485" s="78"/>
      <c r="O1485" s="78"/>
      <c r="P1485" s="78"/>
      <c r="Q1485" s="78"/>
      <c r="R1485" s="78"/>
      <c r="S1485" s="78"/>
      <c r="T1485" s="78"/>
      <c r="U1485" s="78"/>
      <c r="V1485" s="78"/>
      <c r="W1485" s="78"/>
      <c r="X1485" s="78"/>
      <c r="Y1485" s="78"/>
      <c r="Z1485" s="78"/>
      <c r="AA1485" s="78"/>
      <c r="AB1485" s="78"/>
      <c r="AC1485" s="78"/>
      <c r="AD1485" s="78"/>
      <c r="AE1485" s="78"/>
      <c r="AF1485" s="78"/>
      <c r="AG1485" s="78"/>
      <c r="AH1485" s="78"/>
      <c r="AI1485" s="78"/>
      <c r="AJ1485" s="78"/>
      <c r="AK1485" s="78"/>
    </row>
    <row r="1486" spans="1:37">
      <c r="A1486" s="78"/>
      <c r="B1486" s="78"/>
      <c r="C1486" s="78"/>
      <c r="D1486" s="78"/>
      <c r="E1486" s="78"/>
      <c r="F1486" s="78"/>
      <c r="G1486" s="78"/>
      <c r="H1486" s="78"/>
      <c r="I1486" s="78"/>
      <c r="J1486" s="78"/>
      <c r="K1486" s="78"/>
      <c r="L1486" s="78"/>
      <c r="M1486" s="78"/>
      <c r="N1486" s="78"/>
      <c r="O1486" s="78"/>
      <c r="P1486" s="78"/>
      <c r="Q1486" s="78"/>
      <c r="R1486" s="78"/>
      <c r="S1486" s="78"/>
      <c r="T1486" s="78"/>
      <c r="U1486" s="78"/>
      <c r="V1486" s="78"/>
      <c r="W1486" s="78"/>
      <c r="X1486" s="78"/>
      <c r="Y1486" s="78"/>
      <c r="Z1486" s="78"/>
      <c r="AA1486" s="78"/>
      <c r="AB1486" s="78"/>
      <c r="AC1486" s="78"/>
      <c r="AD1486" s="78"/>
      <c r="AE1486" s="78"/>
      <c r="AF1486" s="78"/>
      <c r="AG1486" s="78"/>
      <c r="AH1486" s="78"/>
      <c r="AI1486" s="78"/>
      <c r="AJ1486" s="78"/>
      <c r="AK1486" s="78"/>
    </row>
    <row r="1487" spans="1:37">
      <c r="A1487" s="78"/>
      <c r="B1487" s="78"/>
      <c r="C1487" s="78"/>
      <c r="D1487" s="78"/>
      <c r="E1487" s="78"/>
      <c r="F1487" s="78"/>
      <c r="G1487" s="78"/>
      <c r="H1487" s="78"/>
      <c r="I1487" s="78"/>
      <c r="J1487" s="78"/>
      <c r="K1487" s="78"/>
      <c r="L1487" s="78"/>
      <c r="M1487" s="78"/>
      <c r="N1487" s="78"/>
      <c r="O1487" s="78"/>
      <c r="P1487" s="78"/>
      <c r="Q1487" s="78"/>
      <c r="R1487" s="78"/>
      <c r="S1487" s="78"/>
      <c r="T1487" s="78"/>
      <c r="U1487" s="78"/>
      <c r="V1487" s="78"/>
      <c r="W1487" s="78"/>
      <c r="X1487" s="78"/>
      <c r="Y1487" s="78"/>
      <c r="Z1487" s="78"/>
      <c r="AA1487" s="78"/>
      <c r="AB1487" s="78"/>
      <c r="AC1487" s="78"/>
      <c r="AD1487" s="78"/>
      <c r="AE1487" s="78"/>
      <c r="AF1487" s="78"/>
      <c r="AG1487" s="78"/>
      <c r="AH1487" s="78"/>
      <c r="AI1487" s="78"/>
      <c r="AJ1487" s="78"/>
      <c r="AK1487" s="78"/>
    </row>
    <row r="1488" spans="1:37">
      <c r="A1488" s="78"/>
      <c r="B1488" s="78"/>
      <c r="C1488" s="78"/>
      <c r="D1488" s="78"/>
      <c r="E1488" s="78"/>
      <c r="F1488" s="78"/>
      <c r="G1488" s="78"/>
      <c r="H1488" s="78"/>
      <c r="I1488" s="78"/>
      <c r="J1488" s="78"/>
      <c r="K1488" s="78"/>
      <c r="L1488" s="78"/>
      <c r="M1488" s="78"/>
      <c r="N1488" s="78"/>
      <c r="O1488" s="78"/>
      <c r="P1488" s="78"/>
      <c r="Q1488" s="78"/>
      <c r="R1488" s="78"/>
      <c r="S1488" s="78"/>
      <c r="T1488" s="78"/>
      <c r="U1488" s="78"/>
      <c r="V1488" s="78"/>
      <c r="W1488" s="78"/>
      <c r="X1488" s="78"/>
      <c r="Y1488" s="78"/>
      <c r="Z1488" s="78"/>
      <c r="AA1488" s="78"/>
      <c r="AB1488" s="78"/>
      <c r="AC1488" s="78"/>
      <c r="AD1488" s="78"/>
      <c r="AE1488" s="78"/>
      <c r="AF1488" s="78"/>
      <c r="AG1488" s="78"/>
      <c r="AH1488" s="78"/>
      <c r="AI1488" s="78"/>
      <c r="AJ1488" s="78"/>
      <c r="AK1488" s="78"/>
    </row>
    <row r="1489" spans="1:37">
      <c r="A1489" s="78"/>
      <c r="B1489" s="78"/>
      <c r="C1489" s="78"/>
      <c r="D1489" s="78"/>
      <c r="E1489" s="78"/>
      <c r="F1489" s="78"/>
      <c r="G1489" s="78"/>
      <c r="H1489" s="78"/>
      <c r="I1489" s="78"/>
      <c r="J1489" s="78"/>
      <c r="K1489" s="78"/>
      <c r="L1489" s="78"/>
      <c r="M1489" s="78"/>
      <c r="N1489" s="78"/>
      <c r="O1489" s="78"/>
      <c r="P1489" s="78"/>
      <c r="Q1489" s="78"/>
      <c r="R1489" s="78"/>
      <c r="S1489" s="78"/>
      <c r="T1489" s="78"/>
      <c r="U1489" s="78"/>
      <c r="V1489" s="78"/>
      <c r="W1489" s="78"/>
      <c r="X1489" s="78"/>
      <c r="Y1489" s="78"/>
      <c r="Z1489" s="78"/>
      <c r="AA1489" s="78"/>
      <c r="AB1489" s="78"/>
      <c r="AC1489" s="78"/>
      <c r="AD1489" s="78"/>
      <c r="AE1489" s="78"/>
      <c r="AF1489" s="78"/>
      <c r="AG1489" s="78"/>
      <c r="AH1489" s="78"/>
      <c r="AI1489" s="78"/>
      <c r="AJ1489" s="78"/>
      <c r="AK1489" s="78"/>
    </row>
    <row r="1490" spans="1:37">
      <c r="A1490" s="78"/>
      <c r="B1490" s="78"/>
      <c r="C1490" s="78"/>
      <c r="D1490" s="78"/>
      <c r="E1490" s="78"/>
      <c r="F1490" s="78"/>
      <c r="G1490" s="78"/>
      <c r="H1490" s="78"/>
      <c r="I1490" s="78"/>
      <c r="J1490" s="78"/>
      <c r="K1490" s="78"/>
      <c r="L1490" s="78"/>
      <c r="M1490" s="78"/>
      <c r="N1490" s="78"/>
      <c r="O1490" s="78"/>
      <c r="P1490" s="78"/>
      <c r="Q1490" s="78"/>
      <c r="R1490" s="78"/>
      <c r="S1490" s="78"/>
      <c r="T1490" s="78"/>
      <c r="U1490" s="78"/>
      <c r="V1490" s="78"/>
      <c r="W1490" s="78"/>
      <c r="X1490" s="78"/>
      <c r="Y1490" s="78"/>
      <c r="Z1490" s="78"/>
      <c r="AA1490" s="78"/>
      <c r="AB1490" s="78"/>
      <c r="AC1490" s="78"/>
      <c r="AD1490" s="78"/>
      <c r="AE1490" s="78"/>
      <c r="AF1490" s="78"/>
      <c r="AG1490" s="78"/>
      <c r="AH1490" s="78"/>
      <c r="AI1490" s="78"/>
      <c r="AJ1490" s="78"/>
      <c r="AK1490" s="78"/>
    </row>
    <row r="1491" spans="1:37">
      <c r="A1491" s="78"/>
      <c r="B1491" s="78"/>
      <c r="C1491" s="78"/>
      <c r="D1491" s="78"/>
      <c r="E1491" s="78"/>
      <c r="F1491" s="78"/>
      <c r="G1491" s="78"/>
      <c r="H1491" s="78"/>
      <c r="I1491" s="78"/>
      <c r="J1491" s="78"/>
      <c r="K1491" s="78"/>
      <c r="L1491" s="78"/>
      <c r="M1491" s="78"/>
      <c r="N1491" s="78"/>
      <c r="O1491" s="78"/>
      <c r="P1491" s="78"/>
      <c r="Q1491" s="78"/>
      <c r="R1491" s="78"/>
      <c r="S1491" s="78"/>
      <c r="T1491" s="78"/>
      <c r="U1491" s="78"/>
      <c r="V1491" s="78"/>
      <c r="W1491" s="78"/>
      <c r="X1491" s="78"/>
      <c r="Y1491" s="78"/>
      <c r="Z1491" s="78"/>
      <c r="AA1491" s="78"/>
      <c r="AB1491" s="78"/>
      <c r="AC1491" s="78"/>
      <c r="AD1491" s="78"/>
      <c r="AE1491" s="78"/>
      <c r="AF1491" s="78"/>
      <c r="AG1491" s="78"/>
      <c r="AH1491" s="78"/>
      <c r="AI1491" s="78"/>
      <c r="AJ1491" s="78"/>
      <c r="AK1491" s="78"/>
    </row>
    <row r="1492" spans="1:37">
      <c r="A1492" s="78"/>
      <c r="B1492" s="78"/>
      <c r="C1492" s="78"/>
      <c r="D1492" s="78"/>
      <c r="E1492" s="78"/>
      <c r="F1492" s="78"/>
      <c r="G1492" s="78"/>
      <c r="H1492" s="78"/>
      <c r="I1492" s="78"/>
      <c r="J1492" s="78"/>
      <c r="K1492" s="78"/>
      <c r="L1492" s="78"/>
      <c r="M1492" s="78"/>
      <c r="N1492" s="78"/>
      <c r="O1492" s="78"/>
      <c r="P1492" s="78"/>
      <c r="Q1492" s="78"/>
      <c r="R1492" s="78"/>
      <c r="S1492" s="78"/>
      <c r="T1492" s="78"/>
      <c r="U1492" s="78"/>
      <c r="V1492" s="78"/>
      <c r="W1492" s="78"/>
      <c r="X1492" s="78"/>
      <c r="Y1492" s="78"/>
      <c r="Z1492" s="78"/>
      <c r="AA1492" s="78"/>
      <c r="AB1492" s="78"/>
      <c r="AC1492" s="78"/>
      <c r="AD1492" s="78"/>
      <c r="AE1492" s="78"/>
      <c r="AF1492" s="78"/>
      <c r="AG1492" s="78"/>
      <c r="AH1492" s="78"/>
      <c r="AI1492" s="78"/>
      <c r="AJ1492" s="78"/>
      <c r="AK1492" s="78"/>
    </row>
    <row r="1493" spans="1:37">
      <c r="A1493" s="78"/>
      <c r="B1493" s="78"/>
      <c r="C1493" s="78"/>
      <c r="D1493" s="78"/>
      <c r="E1493" s="78"/>
      <c r="F1493" s="78"/>
      <c r="G1493" s="78"/>
      <c r="H1493" s="78"/>
      <c r="I1493" s="78"/>
      <c r="J1493" s="78"/>
      <c r="K1493" s="78"/>
      <c r="L1493" s="78"/>
      <c r="M1493" s="78"/>
      <c r="N1493" s="78"/>
      <c r="O1493" s="78"/>
      <c r="P1493" s="78"/>
      <c r="Q1493" s="78"/>
      <c r="R1493" s="78"/>
      <c r="S1493" s="78"/>
      <c r="T1493" s="78"/>
      <c r="U1493" s="78"/>
      <c r="V1493" s="78"/>
      <c r="W1493" s="78"/>
      <c r="X1493" s="78"/>
      <c r="Y1493" s="78"/>
      <c r="Z1493" s="78"/>
      <c r="AA1493" s="78"/>
      <c r="AB1493" s="78"/>
      <c r="AC1493" s="78"/>
      <c r="AD1493" s="78"/>
      <c r="AE1493" s="78"/>
      <c r="AF1493" s="78"/>
      <c r="AG1493" s="78"/>
      <c r="AH1493" s="78"/>
      <c r="AI1493" s="78"/>
      <c r="AJ1493" s="78"/>
      <c r="AK1493" s="78"/>
    </row>
    <row r="1494" spans="1:37">
      <c r="A1494" s="78"/>
      <c r="B1494" s="78"/>
      <c r="C1494" s="78"/>
      <c r="D1494" s="78"/>
      <c r="E1494" s="78"/>
      <c r="F1494" s="78"/>
      <c r="G1494" s="78"/>
      <c r="H1494" s="78"/>
      <c r="I1494" s="78"/>
      <c r="J1494" s="78"/>
      <c r="K1494" s="78"/>
      <c r="L1494" s="78"/>
      <c r="M1494" s="78"/>
      <c r="N1494" s="78"/>
      <c r="O1494" s="78"/>
      <c r="P1494" s="78"/>
      <c r="Q1494" s="78"/>
      <c r="R1494" s="78"/>
      <c r="S1494" s="78"/>
      <c r="T1494" s="78"/>
      <c r="U1494" s="78"/>
      <c r="V1494" s="78"/>
      <c r="W1494" s="78"/>
      <c r="X1494" s="78"/>
      <c r="Y1494" s="78"/>
      <c r="Z1494" s="78"/>
      <c r="AA1494" s="78"/>
      <c r="AB1494" s="78"/>
      <c r="AC1494" s="78"/>
      <c r="AD1494" s="78"/>
      <c r="AE1494" s="78"/>
      <c r="AF1494" s="78"/>
      <c r="AG1494" s="78"/>
      <c r="AH1494" s="78"/>
      <c r="AI1494" s="78"/>
      <c r="AJ1494" s="78"/>
      <c r="AK1494" s="78"/>
    </row>
    <row r="1495" spans="1:37">
      <c r="A1495" s="78"/>
      <c r="B1495" s="78"/>
      <c r="C1495" s="78"/>
      <c r="D1495" s="78"/>
      <c r="E1495" s="78"/>
      <c r="F1495" s="78"/>
      <c r="G1495" s="78"/>
      <c r="H1495" s="78"/>
      <c r="I1495" s="78"/>
      <c r="J1495" s="78"/>
      <c r="K1495" s="78"/>
      <c r="L1495" s="78"/>
      <c r="M1495" s="78"/>
      <c r="N1495" s="78"/>
      <c r="O1495" s="78"/>
      <c r="P1495" s="78"/>
      <c r="Q1495" s="78"/>
      <c r="R1495" s="78"/>
      <c r="S1495" s="78"/>
      <c r="T1495" s="78"/>
      <c r="U1495" s="78"/>
      <c r="V1495" s="78"/>
      <c r="W1495" s="78"/>
      <c r="X1495" s="78"/>
      <c r="Y1495" s="78"/>
      <c r="Z1495" s="78"/>
      <c r="AA1495" s="78"/>
      <c r="AB1495" s="78"/>
      <c r="AC1495" s="78"/>
      <c r="AD1495" s="78"/>
      <c r="AE1495" s="78"/>
      <c r="AF1495" s="78"/>
      <c r="AG1495" s="78"/>
      <c r="AH1495" s="78"/>
      <c r="AI1495" s="78"/>
      <c r="AJ1495" s="78"/>
      <c r="AK1495" s="78"/>
    </row>
    <row r="1496" spans="1:37">
      <c r="A1496" s="78"/>
      <c r="B1496" s="78"/>
      <c r="C1496" s="78"/>
      <c r="D1496" s="78"/>
      <c r="E1496" s="78"/>
      <c r="F1496" s="78"/>
      <c r="G1496" s="78"/>
      <c r="H1496" s="78"/>
      <c r="I1496" s="78"/>
      <c r="J1496" s="78"/>
      <c r="K1496" s="78"/>
      <c r="L1496" s="78"/>
      <c r="M1496" s="78"/>
      <c r="N1496" s="78"/>
      <c r="O1496" s="78"/>
      <c r="P1496" s="78"/>
      <c r="Q1496" s="78"/>
      <c r="R1496" s="78"/>
      <c r="S1496" s="78"/>
      <c r="T1496" s="78"/>
      <c r="U1496" s="78"/>
      <c r="V1496" s="78"/>
      <c r="W1496" s="78"/>
      <c r="X1496" s="78"/>
      <c r="Y1496" s="78"/>
      <c r="Z1496" s="78"/>
      <c r="AA1496" s="78"/>
      <c r="AB1496" s="78"/>
      <c r="AC1496" s="78"/>
      <c r="AD1496" s="78"/>
      <c r="AE1496" s="78"/>
      <c r="AF1496" s="78"/>
      <c r="AG1496" s="78"/>
      <c r="AH1496" s="78"/>
      <c r="AI1496" s="78"/>
      <c r="AJ1496" s="78"/>
      <c r="AK1496" s="78"/>
    </row>
    <row r="1497" spans="1:37">
      <c r="A1497" s="78"/>
      <c r="B1497" s="78"/>
      <c r="C1497" s="78"/>
      <c r="D1497" s="78"/>
      <c r="E1497" s="78"/>
      <c r="F1497" s="78"/>
      <c r="G1497" s="78"/>
      <c r="H1497" s="78"/>
      <c r="I1497" s="78"/>
      <c r="J1497" s="78"/>
      <c r="K1497" s="78"/>
      <c r="L1497" s="78"/>
      <c r="M1497" s="78"/>
      <c r="N1497" s="78"/>
      <c r="O1497" s="78"/>
      <c r="P1497" s="78"/>
      <c r="Q1497" s="78"/>
      <c r="R1497" s="78"/>
      <c r="S1497" s="78"/>
      <c r="T1497" s="78"/>
      <c r="U1497" s="78"/>
      <c r="V1497" s="78"/>
      <c r="W1497" s="78"/>
      <c r="X1497" s="78"/>
      <c r="Y1497" s="78"/>
      <c r="Z1497" s="78"/>
      <c r="AA1497" s="78"/>
      <c r="AB1497" s="78"/>
      <c r="AC1497" s="78"/>
      <c r="AD1497" s="78"/>
      <c r="AE1497" s="78"/>
      <c r="AF1497" s="78"/>
      <c r="AG1497" s="78"/>
      <c r="AH1497" s="78"/>
      <c r="AI1497" s="78"/>
      <c r="AJ1497" s="78"/>
      <c r="AK1497" s="78"/>
    </row>
    <row r="1498" spans="1:37">
      <c r="A1498" s="78"/>
      <c r="B1498" s="78"/>
      <c r="C1498" s="78"/>
      <c r="D1498" s="78"/>
      <c r="E1498" s="78"/>
      <c r="F1498" s="78"/>
      <c r="G1498" s="78"/>
      <c r="H1498" s="78"/>
      <c r="I1498" s="78"/>
      <c r="J1498" s="78"/>
      <c r="K1498" s="78"/>
      <c r="L1498" s="78"/>
      <c r="M1498" s="78"/>
      <c r="N1498" s="78"/>
      <c r="O1498" s="78"/>
      <c r="P1498" s="78"/>
      <c r="Q1498" s="78"/>
      <c r="R1498" s="78"/>
      <c r="S1498" s="78"/>
      <c r="T1498" s="78"/>
      <c r="U1498" s="78"/>
      <c r="V1498" s="78"/>
      <c r="W1498" s="78"/>
      <c r="X1498" s="78"/>
      <c r="Y1498" s="78"/>
      <c r="Z1498" s="78"/>
      <c r="AA1498" s="78"/>
      <c r="AB1498" s="78"/>
      <c r="AC1498" s="78"/>
      <c r="AD1498" s="78"/>
      <c r="AE1498" s="78"/>
      <c r="AF1498" s="78"/>
      <c r="AG1498" s="78"/>
      <c r="AH1498" s="78"/>
      <c r="AI1498" s="78"/>
      <c r="AJ1498" s="78"/>
      <c r="AK1498" s="78"/>
    </row>
    <row r="1499" spans="1:37">
      <c r="A1499" s="78"/>
      <c r="B1499" s="78"/>
      <c r="C1499" s="78"/>
      <c r="D1499" s="78"/>
      <c r="E1499" s="78"/>
      <c r="F1499" s="78"/>
      <c r="G1499" s="78"/>
      <c r="H1499" s="78"/>
      <c r="I1499" s="78"/>
      <c r="J1499" s="78"/>
      <c r="K1499" s="78"/>
      <c r="L1499" s="78"/>
      <c r="M1499" s="78"/>
      <c r="N1499" s="78"/>
      <c r="O1499" s="78"/>
      <c r="P1499" s="78"/>
      <c r="Q1499" s="78"/>
      <c r="R1499" s="78"/>
      <c r="S1499" s="78"/>
      <c r="T1499" s="78"/>
      <c r="U1499" s="78"/>
      <c r="V1499" s="78"/>
      <c r="W1499" s="78"/>
      <c r="X1499" s="78"/>
      <c r="Y1499" s="78"/>
      <c r="Z1499" s="78"/>
      <c r="AA1499" s="78"/>
      <c r="AB1499" s="78"/>
      <c r="AC1499" s="78"/>
      <c r="AD1499" s="78"/>
      <c r="AE1499" s="78"/>
      <c r="AF1499" s="78"/>
      <c r="AG1499" s="78"/>
      <c r="AH1499" s="78"/>
      <c r="AI1499" s="78"/>
      <c r="AJ1499" s="78"/>
      <c r="AK1499" s="78"/>
    </row>
    <row r="1500" spans="1:37">
      <c r="A1500" s="78"/>
      <c r="B1500" s="78"/>
      <c r="C1500" s="78"/>
      <c r="D1500" s="78"/>
      <c r="E1500" s="78"/>
      <c r="F1500" s="78"/>
      <c r="G1500" s="78"/>
      <c r="H1500" s="78"/>
      <c r="I1500" s="78"/>
      <c r="J1500" s="78"/>
      <c r="K1500" s="78"/>
      <c r="L1500" s="78"/>
      <c r="M1500" s="78"/>
      <c r="N1500" s="78"/>
      <c r="O1500" s="78"/>
      <c r="P1500" s="78"/>
      <c r="Q1500" s="78"/>
      <c r="R1500" s="78"/>
      <c r="S1500" s="78"/>
      <c r="T1500" s="78"/>
      <c r="U1500" s="78"/>
      <c r="V1500" s="78"/>
      <c r="W1500" s="78"/>
      <c r="X1500" s="78"/>
      <c r="Y1500" s="78"/>
      <c r="Z1500" s="78"/>
      <c r="AA1500" s="78"/>
      <c r="AB1500" s="78"/>
      <c r="AC1500" s="78"/>
      <c r="AD1500" s="78"/>
      <c r="AE1500" s="78"/>
      <c r="AF1500" s="78"/>
      <c r="AG1500" s="78"/>
      <c r="AH1500" s="78"/>
      <c r="AI1500" s="78"/>
      <c r="AJ1500" s="78"/>
      <c r="AK1500" s="78"/>
    </row>
    <row r="1501" spans="1:37">
      <c r="A1501" s="78"/>
      <c r="B1501" s="78"/>
      <c r="C1501" s="78"/>
      <c r="D1501" s="78"/>
      <c r="E1501" s="78"/>
      <c r="F1501" s="78"/>
      <c r="G1501" s="78"/>
      <c r="H1501" s="78"/>
      <c r="I1501" s="78"/>
      <c r="J1501" s="78"/>
      <c r="K1501" s="78"/>
      <c r="L1501" s="78"/>
      <c r="M1501" s="78"/>
      <c r="N1501" s="78"/>
      <c r="O1501" s="78"/>
      <c r="P1501" s="78"/>
      <c r="Q1501" s="78"/>
      <c r="R1501" s="78"/>
      <c r="S1501" s="78"/>
      <c r="T1501" s="78"/>
      <c r="U1501" s="78"/>
      <c r="V1501" s="78"/>
      <c r="W1501" s="78"/>
      <c r="X1501" s="78"/>
      <c r="Y1501" s="78"/>
      <c r="Z1501" s="78"/>
      <c r="AA1501" s="78"/>
      <c r="AB1501" s="78"/>
      <c r="AC1501" s="78"/>
      <c r="AD1501" s="78"/>
      <c r="AE1501" s="78"/>
      <c r="AF1501" s="78"/>
      <c r="AG1501" s="78"/>
      <c r="AH1501" s="78"/>
      <c r="AI1501" s="78"/>
      <c r="AJ1501" s="78"/>
      <c r="AK1501" s="78"/>
    </row>
    <row r="1502" spans="1:37">
      <c r="A1502" s="78"/>
      <c r="B1502" s="78"/>
      <c r="C1502" s="78"/>
      <c r="D1502" s="78"/>
      <c r="E1502" s="78"/>
      <c r="F1502" s="78"/>
      <c r="G1502" s="78"/>
      <c r="H1502" s="78"/>
      <c r="I1502" s="78"/>
      <c r="J1502" s="78"/>
      <c r="K1502" s="78"/>
      <c r="L1502" s="78"/>
      <c r="M1502" s="78"/>
      <c r="N1502" s="78"/>
      <c r="O1502" s="78"/>
      <c r="P1502" s="78"/>
      <c r="Q1502" s="78"/>
      <c r="R1502" s="78"/>
      <c r="S1502" s="78"/>
      <c r="T1502" s="78"/>
      <c r="U1502" s="78"/>
      <c r="V1502" s="78"/>
      <c r="W1502" s="78"/>
      <c r="X1502" s="78"/>
      <c r="Y1502" s="78"/>
      <c r="Z1502" s="78"/>
      <c r="AA1502" s="78"/>
      <c r="AB1502" s="78"/>
      <c r="AC1502" s="78"/>
      <c r="AD1502" s="78"/>
      <c r="AE1502" s="78"/>
      <c r="AF1502" s="78"/>
      <c r="AG1502" s="78"/>
      <c r="AH1502" s="78"/>
      <c r="AI1502" s="78"/>
      <c r="AJ1502" s="78"/>
      <c r="AK1502" s="78"/>
    </row>
    <row r="1503" spans="1:37">
      <c r="A1503" s="78"/>
      <c r="B1503" s="78"/>
      <c r="C1503" s="78"/>
      <c r="D1503" s="78"/>
      <c r="E1503" s="78"/>
      <c r="F1503" s="78"/>
      <c r="G1503" s="78"/>
      <c r="H1503" s="78"/>
      <c r="I1503" s="78"/>
      <c r="J1503" s="78"/>
      <c r="K1503" s="78"/>
      <c r="L1503" s="78"/>
      <c r="M1503" s="78"/>
      <c r="N1503" s="78"/>
      <c r="O1503" s="78"/>
      <c r="P1503" s="78"/>
      <c r="Q1503" s="78"/>
      <c r="R1503" s="78"/>
      <c r="S1503" s="78"/>
      <c r="T1503" s="78"/>
      <c r="U1503" s="78"/>
      <c r="V1503" s="78"/>
      <c r="W1503" s="78"/>
      <c r="X1503" s="78"/>
      <c r="Y1503" s="78"/>
      <c r="Z1503" s="78"/>
      <c r="AA1503" s="78"/>
      <c r="AB1503" s="78"/>
      <c r="AC1503" s="78"/>
      <c r="AD1503" s="78"/>
      <c r="AE1503" s="78"/>
      <c r="AF1503" s="78"/>
      <c r="AG1503" s="78"/>
      <c r="AH1503" s="78"/>
      <c r="AI1503" s="78"/>
      <c r="AJ1503" s="78"/>
      <c r="AK1503" s="78"/>
    </row>
    <row r="1504" spans="1:37">
      <c r="A1504" s="78"/>
      <c r="B1504" s="78"/>
      <c r="C1504" s="78"/>
      <c r="D1504" s="78"/>
      <c r="E1504" s="78"/>
      <c r="F1504" s="78"/>
      <c r="G1504" s="78"/>
      <c r="H1504" s="78"/>
      <c r="I1504" s="78"/>
      <c r="J1504" s="78"/>
      <c r="K1504" s="78"/>
      <c r="L1504" s="78"/>
      <c r="M1504" s="78"/>
      <c r="N1504" s="78"/>
      <c r="O1504" s="78"/>
      <c r="P1504" s="78"/>
      <c r="Q1504" s="78"/>
      <c r="R1504" s="78"/>
      <c r="S1504" s="78"/>
      <c r="T1504" s="78"/>
      <c r="U1504" s="78"/>
      <c r="V1504" s="78"/>
      <c r="W1504" s="78"/>
      <c r="X1504" s="78"/>
      <c r="Y1504" s="78"/>
      <c r="Z1504" s="78"/>
      <c r="AA1504" s="78"/>
      <c r="AB1504" s="78"/>
      <c r="AC1504" s="78"/>
      <c r="AD1504" s="78"/>
      <c r="AE1504" s="78"/>
      <c r="AF1504" s="78"/>
      <c r="AG1504" s="78"/>
      <c r="AH1504" s="78"/>
      <c r="AI1504" s="78"/>
      <c r="AJ1504" s="78"/>
      <c r="AK1504" s="78"/>
    </row>
    <row r="1505" spans="1:37">
      <c r="A1505" s="78"/>
      <c r="B1505" s="78"/>
      <c r="C1505" s="78"/>
      <c r="D1505" s="78"/>
      <c r="E1505" s="78"/>
      <c r="F1505" s="78"/>
      <c r="G1505" s="78"/>
      <c r="H1505" s="78"/>
      <c r="I1505" s="78"/>
      <c r="J1505" s="78"/>
      <c r="K1505" s="78"/>
      <c r="L1505" s="78"/>
      <c r="M1505" s="78"/>
      <c r="N1505" s="78"/>
      <c r="O1505" s="78"/>
      <c r="P1505" s="78"/>
      <c r="Q1505" s="78"/>
      <c r="R1505" s="78"/>
      <c r="S1505" s="78"/>
      <c r="T1505" s="78"/>
      <c r="U1505" s="78"/>
      <c r="V1505" s="78"/>
      <c r="W1505" s="78"/>
      <c r="X1505" s="78"/>
      <c r="Y1505" s="78"/>
      <c r="Z1505" s="78"/>
      <c r="AA1505" s="78"/>
      <c r="AB1505" s="78"/>
      <c r="AC1505" s="78"/>
      <c r="AD1505" s="78"/>
      <c r="AE1505" s="78"/>
      <c r="AF1505" s="78"/>
      <c r="AG1505" s="78"/>
      <c r="AH1505" s="78"/>
      <c r="AI1505" s="78"/>
      <c r="AJ1505" s="78"/>
      <c r="AK1505" s="78"/>
    </row>
    <row r="1506" spans="1:37">
      <c r="A1506" s="78"/>
      <c r="B1506" s="78"/>
      <c r="C1506" s="78"/>
      <c r="D1506" s="78"/>
      <c r="E1506" s="78"/>
      <c r="F1506" s="78"/>
      <c r="G1506" s="78"/>
      <c r="H1506" s="78"/>
      <c r="I1506" s="78"/>
      <c r="J1506" s="78"/>
      <c r="K1506" s="78"/>
      <c r="L1506" s="78"/>
      <c r="M1506" s="78"/>
      <c r="N1506" s="78"/>
      <c r="O1506" s="78"/>
      <c r="P1506" s="78"/>
      <c r="Q1506" s="78"/>
      <c r="R1506" s="78"/>
      <c r="S1506" s="78"/>
      <c r="T1506" s="78"/>
      <c r="U1506" s="78"/>
      <c r="V1506" s="78"/>
      <c r="W1506" s="78"/>
      <c r="X1506" s="78"/>
      <c r="Y1506" s="78"/>
      <c r="Z1506" s="78"/>
      <c r="AA1506" s="78"/>
      <c r="AB1506" s="78"/>
      <c r="AC1506" s="78"/>
      <c r="AD1506" s="78"/>
      <c r="AE1506" s="78"/>
      <c r="AF1506" s="78"/>
      <c r="AG1506" s="78"/>
      <c r="AH1506" s="78"/>
      <c r="AI1506" s="78"/>
      <c r="AJ1506" s="78"/>
      <c r="AK1506" s="78"/>
    </row>
    <row r="1507" spans="1:37">
      <c r="A1507" s="78"/>
      <c r="B1507" s="78"/>
      <c r="C1507" s="78"/>
      <c r="D1507" s="78"/>
      <c r="E1507" s="78"/>
      <c r="F1507" s="78"/>
      <c r="G1507" s="78"/>
      <c r="H1507" s="78"/>
      <c r="I1507" s="78"/>
      <c r="J1507" s="78"/>
      <c r="K1507" s="78"/>
      <c r="L1507" s="78"/>
      <c r="M1507" s="78"/>
      <c r="N1507" s="78"/>
      <c r="O1507" s="78"/>
      <c r="P1507" s="78"/>
      <c r="Q1507" s="78"/>
      <c r="R1507" s="78"/>
      <c r="S1507" s="78"/>
      <c r="T1507" s="78"/>
      <c r="U1507" s="78"/>
      <c r="V1507" s="78"/>
      <c r="W1507" s="78"/>
      <c r="X1507" s="78"/>
      <c r="Y1507" s="78"/>
      <c r="Z1507" s="78"/>
      <c r="AA1507" s="78"/>
      <c r="AB1507" s="78"/>
      <c r="AC1507" s="78"/>
      <c r="AD1507" s="78"/>
      <c r="AE1507" s="78"/>
      <c r="AF1507" s="78"/>
      <c r="AG1507" s="78"/>
      <c r="AH1507" s="78"/>
      <c r="AI1507" s="78"/>
      <c r="AJ1507" s="78"/>
      <c r="AK1507" s="78"/>
    </row>
    <row r="1508" spans="1:37">
      <c r="A1508" s="78"/>
      <c r="B1508" s="78"/>
      <c r="C1508" s="78"/>
      <c r="D1508" s="78"/>
      <c r="E1508" s="78"/>
      <c r="F1508" s="78"/>
      <c r="G1508" s="78"/>
      <c r="H1508" s="78"/>
      <c r="I1508" s="78"/>
      <c r="J1508" s="78"/>
      <c r="K1508" s="78"/>
      <c r="L1508" s="78"/>
      <c r="M1508" s="78"/>
      <c r="N1508" s="78"/>
      <c r="O1508" s="78"/>
      <c r="P1508" s="78"/>
      <c r="Q1508" s="78"/>
      <c r="R1508" s="78"/>
      <c r="S1508" s="78"/>
      <c r="T1508" s="78"/>
      <c r="U1508" s="78"/>
      <c r="V1508" s="78"/>
      <c r="W1508" s="78"/>
      <c r="X1508" s="78"/>
      <c r="Y1508" s="78"/>
      <c r="Z1508" s="78"/>
      <c r="AA1508" s="78"/>
      <c r="AB1508" s="78"/>
      <c r="AC1508" s="78"/>
      <c r="AD1508" s="78"/>
      <c r="AE1508" s="78"/>
      <c r="AF1508" s="78"/>
      <c r="AG1508" s="78"/>
      <c r="AH1508" s="78"/>
      <c r="AI1508" s="78"/>
      <c r="AJ1508" s="78"/>
      <c r="AK1508" s="78"/>
    </row>
    <row r="1509" spans="1:37">
      <c r="A1509" s="78"/>
      <c r="B1509" s="78"/>
      <c r="C1509" s="78"/>
      <c r="D1509" s="78"/>
      <c r="E1509" s="78"/>
      <c r="F1509" s="78"/>
      <c r="G1509" s="78"/>
      <c r="H1509" s="78"/>
      <c r="I1509" s="78"/>
      <c r="J1509" s="78"/>
      <c r="K1509" s="78"/>
      <c r="L1509" s="78"/>
      <c r="M1509" s="78"/>
      <c r="N1509" s="78"/>
      <c r="O1509" s="78"/>
      <c r="P1509" s="78"/>
      <c r="Q1509" s="78"/>
      <c r="R1509" s="78"/>
      <c r="S1509" s="78"/>
      <c r="T1509" s="78"/>
      <c r="U1509" s="78"/>
      <c r="V1509" s="78"/>
      <c r="W1509" s="78"/>
      <c r="X1509" s="78"/>
      <c r="Y1509" s="78"/>
      <c r="Z1509" s="78"/>
      <c r="AA1509" s="78"/>
      <c r="AB1509" s="78"/>
      <c r="AC1509" s="78"/>
      <c r="AD1509" s="78"/>
      <c r="AE1509" s="78"/>
      <c r="AF1509" s="78"/>
      <c r="AG1509" s="78"/>
      <c r="AH1509" s="78"/>
      <c r="AI1509" s="78"/>
      <c r="AJ1509" s="78"/>
      <c r="AK1509" s="78"/>
    </row>
    <row r="1510" spans="1:37">
      <c r="A1510" s="78"/>
      <c r="B1510" s="78"/>
      <c r="C1510" s="78"/>
      <c r="D1510" s="78"/>
      <c r="E1510" s="78"/>
      <c r="F1510" s="78"/>
      <c r="G1510" s="78"/>
      <c r="H1510" s="78"/>
      <c r="I1510" s="78"/>
      <c r="J1510" s="78"/>
      <c r="K1510" s="78"/>
      <c r="L1510" s="78"/>
      <c r="M1510" s="78"/>
      <c r="N1510" s="78"/>
      <c r="O1510" s="78"/>
      <c r="P1510" s="78"/>
      <c r="Q1510" s="78"/>
      <c r="R1510" s="78"/>
      <c r="S1510" s="78"/>
      <c r="T1510" s="78"/>
      <c r="U1510" s="78"/>
      <c r="V1510" s="78"/>
      <c r="W1510" s="78"/>
      <c r="X1510" s="78"/>
      <c r="Y1510" s="78"/>
      <c r="Z1510" s="78"/>
      <c r="AA1510" s="78"/>
      <c r="AB1510" s="78"/>
      <c r="AC1510" s="78"/>
      <c r="AD1510" s="78"/>
      <c r="AE1510" s="78"/>
      <c r="AF1510" s="78"/>
      <c r="AG1510" s="78"/>
      <c r="AH1510" s="78"/>
      <c r="AI1510" s="78"/>
      <c r="AJ1510" s="78"/>
      <c r="AK1510" s="78"/>
    </row>
    <row r="1511" spans="1:37">
      <c r="A1511" s="78"/>
      <c r="B1511" s="78"/>
      <c r="C1511" s="78"/>
      <c r="D1511" s="78"/>
      <c r="E1511" s="78"/>
      <c r="F1511" s="78"/>
      <c r="G1511" s="78"/>
      <c r="H1511" s="78"/>
      <c r="I1511" s="78"/>
      <c r="J1511" s="78"/>
      <c r="K1511" s="78"/>
      <c r="L1511" s="78"/>
      <c r="M1511" s="78"/>
      <c r="N1511" s="78"/>
      <c r="O1511" s="78"/>
      <c r="P1511" s="78"/>
      <c r="Q1511" s="78"/>
      <c r="R1511" s="78"/>
      <c r="S1511" s="78"/>
      <c r="T1511" s="78"/>
      <c r="U1511" s="78"/>
      <c r="V1511" s="78"/>
      <c r="W1511" s="78"/>
      <c r="X1511" s="78"/>
      <c r="Y1511" s="78"/>
      <c r="Z1511" s="78"/>
      <c r="AA1511" s="78"/>
      <c r="AB1511" s="78"/>
      <c r="AC1511" s="78"/>
      <c r="AD1511" s="78"/>
      <c r="AE1511" s="78"/>
      <c r="AF1511" s="78"/>
      <c r="AG1511" s="78"/>
      <c r="AH1511" s="78"/>
      <c r="AI1511" s="78"/>
      <c r="AJ1511" s="78"/>
      <c r="AK1511" s="78"/>
    </row>
    <row r="1512" spans="1:37">
      <c r="A1512" s="78"/>
      <c r="B1512" s="78"/>
      <c r="C1512" s="78"/>
      <c r="D1512" s="78"/>
      <c r="E1512" s="78"/>
      <c r="F1512" s="78"/>
      <c r="G1512" s="78"/>
      <c r="H1512" s="78"/>
      <c r="I1512" s="78"/>
      <c r="J1512" s="78"/>
      <c r="K1512" s="78"/>
      <c r="L1512" s="78"/>
      <c r="M1512" s="78"/>
      <c r="N1512" s="78"/>
      <c r="O1512" s="78"/>
      <c r="P1512" s="78"/>
      <c r="Q1512" s="78"/>
      <c r="R1512" s="78"/>
      <c r="S1512" s="78"/>
      <c r="T1512" s="78"/>
      <c r="U1512" s="78"/>
      <c r="V1512" s="78"/>
      <c r="W1512" s="78"/>
      <c r="X1512" s="78"/>
      <c r="Y1512" s="78"/>
      <c r="Z1512" s="78"/>
      <c r="AA1512" s="78"/>
      <c r="AB1512" s="78"/>
      <c r="AC1512" s="78"/>
      <c r="AD1512" s="78"/>
      <c r="AE1512" s="78"/>
      <c r="AF1512" s="78"/>
      <c r="AG1512" s="78"/>
      <c r="AH1512" s="78"/>
      <c r="AI1512" s="78"/>
      <c r="AJ1512" s="78"/>
      <c r="AK1512" s="78"/>
    </row>
    <row r="1513" spans="1:37">
      <c r="A1513" s="78"/>
      <c r="B1513" s="78"/>
      <c r="C1513" s="78"/>
      <c r="D1513" s="78"/>
      <c r="E1513" s="78"/>
      <c r="F1513" s="78"/>
      <c r="G1513" s="78"/>
      <c r="H1513" s="78"/>
      <c r="I1513" s="78"/>
      <c r="J1513" s="78"/>
      <c r="K1513" s="78"/>
      <c r="L1513" s="78"/>
      <c r="M1513" s="78"/>
      <c r="N1513" s="78"/>
      <c r="O1513" s="78"/>
      <c r="P1513" s="78"/>
      <c r="Q1513" s="78"/>
      <c r="R1513" s="78"/>
      <c r="S1513" s="78"/>
      <c r="T1513" s="78"/>
      <c r="U1513" s="78"/>
      <c r="V1513" s="78"/>
      <c r="W1513" s="78"/>
      <c r="X1513" s="78"/>
      <c r="Y1513" s="78"/>
      <c r="Z1513" s="78"/>
      <c r="AA1513" s="78"/>
      <c r="AB1513" s="78"/>
      <c r="AC1513" s="78"/>
      <c r="AD1513" s="78"/>
      <c r="AE1513" s="78"/>
      <c r="AF1513" s="78"/>
      <c r="AG1513" s="78"/>
      <c r="AH1513" s="78"/>
      <c r="AI1513" s="78"/>
      <c r="AJ1513" s="78"/>
      <c r="AK1513" s="78"/>
    </row>
    <row r="1514" spans="1:37">
      <c r="A1514" s="78"/>
      <c r="B1514" s="78"/>
      <c r="C1514" s="78"/>
      <c r="D1514" s="78"/>
      <c r="E1514" s="78"/>
      <c r="F1514" s="78"/>
      <c r="G1514" s="78"/>
      <c r="H1514" s="78"/>
      <c r="I1514" s="78"/>
      <c r="J1514" s="78"/>
      <c r="K1514" s="78"/>
      <c r="L1514" s="78"/>
      <c r="M1514" s="78"/>
      <c r="N1514" s="78"/>
      <c r="O1514" s="78"/>
      <c r="P1514" s="78"/>
      <c r="Q1514" s="78"/>
      <c r="R1514" s="78"/>
      <c r="S1514" s="78"/>
      <c r="T1514" s="78"/>
      <c r="U1514" s="78"/>
      <c r="V1514" s="78"/>
      <c r="W1514" s="78"/>
      <c r="X1514" s="78"/>
      <c r="Y1514" s="78"/>
      <c r="Z1514" s="78"/>
      <c r="AA1514" s="78"/>
      <c r="AB1514" s="78"/>
      <c r="AC1514" s="78"/>
      <c r="AD1514" s="78"/>
      <c r="AE1514" s="78"/>
      <c r="AF1514" s="78"/>
      <c r="AG1514" s="78"/>
      <c r="AH1514" s="78"/>
      <c r="AI1514" s="78"/>
      <c r="AJ1514" s="78"/>
      <c r="AK1514" s="78"/>
    </row>
    <row r="1515" spans="1:37">
      <c r="A1515" s="78"/>
      <c r="B1515" s="78"/>
      <c r="C1515" s="78"/>
      <c r="D1515" s="78"/>
      <c r="E1515" s="78"/>
      <c r="F1515" s="78"/>
      <c r="G1515" s="78"/>
      <c r="H1515" s="78"/>
      <c r="I1515" s="78"/>
      <c r="J1515" s="78"/>
      <c r="K1515" s="78"/>
      <c r="L1515" s="78"/>
      <c r="M1515" s="78"/>
      <c r="N1515" s="78"/>
      <c r="O1515" s="78"/>
      <c r="P1515" s="78"/>
      <c r="Q1515" s="78"/>
      <c r="R1515" s="78"/>
      <c r="S1515" s="78"/>
      <c r="T1515" s="78"/>
      <c r="U1515" s="78"/>
      <c r="V1515" s="78"/>
      <c r="W1515" s="78"/>
      <c r="X1515" s="78"/>
      <c r="Y1515" s="78"/>
      <c r="Z1515" s="78"/>
      <c r="AA1515" s="78"/>
      <c r="AB1515" s="78"/>
      <c r="AC1515" s="78"/>
      <c r="AD1515" s="78"/>
      <c r="AE1515" s="78"/>
      <c r="AF1515" s="78"/>
      <c r="AG1515" s="78"/>
      <c r="AH1515" s="78"/>
      <c r="AI1515" s="78"/>
      <c r="AJ1515" s="78"/>
      <c r="AK1515" s="78"/>
    </row>
    <row r="1516" spans="1:37">
      <c r="A1516" s="78"/>
      <c r="B1516" s="78"/>
      <c r="C1516" s="78"/>
      <c r="D1516" s="78"/>
      <c r="E1516" s="78"/>
      <c r="F1516" s="78"/>
      <c r="G1516" s="78"/>
      <c r="H1516" s="78"/>
      <c r="I1516" s="78"/>
      <c r="J1516" s="78"/>
      <c r="K1516" s="78"/>
      <c r="L1516" s="78"/>
      <c r="M1516" s="78"/>
      <c r="N1516" s="78"/>
      <c r="O1516" s="78"/>
      <c r="P1516" s="78"/>
      <c r="Q1516" s="78"/>
      <c r="R1516" s="78"/>
      <c r="S1516" s="78"/>
      <c r="T1516" s="78"/>
      <c r="U1516" s="78"/>
      <c r="V1516" s="78"/>
      <c r="W1516" s="78"/>
      <c r="X1516" s="78"/>
      <c r="Y1516" s="78"/>
      <c r="Z1516" s="78"/>
      <c r="AA1516" s="78"/>
      <c r="AB1516" s="78"/>
      <c r="AC1516" s="78"/>
      <c r="AD1516" s="78"/>
      <c r="AE1516" s="78"/>
      <c r="AF1516" s="78"/>
      <c r="AG1516" s="78"/>
      <c r="AH1516" s="78"/>
      <c r="AI1516" s="78"/>
      <c r="AJ1516" s="78"/>
      <c r="AK1516" s="78"/>
    </row>
    <row r="1517" spans="1:37">
      <c r="A1517" s="78"/>
      <c r="B1517" s="78"/>
      <c r="C1517" s="78"/>
      <c r="D1517" s="78"/>
      <c r="E1517" s="78"/>
      <c r="F1517" s="78"/>
      <c r="G1517" s="78"/>
      <c r="H1517" s="78"/>
      <c r="I1517" s="78"/>
      <c r="J1517" s="78"/>
      <c r="K1517" s="78"/>
      <c r="L1517" s="78"/>
      <c r="M1517" s="78"/>
      <c r="N1517" s="78"/>
      <c r="O1517" s="78"/>
      <c r="P1517" s="78"/>
      <c r="Q1517" s="78"/>
      <c r="R1517" s="78"/>
      <c r="S1517" s="78"/>
      <c r="T1517" s="78"/>
      <c r="U1517" s="78"/>
      <c r="V1517" s="78"/>
      <c r="W1517" s="78"/>
      <c r="X1517" s="78"/>
      <c r="Y1517" s="78"/>
      <c r="Z1517" s="78"/>
      <c r="AA1517" s="78"/>
      <c r="AB1517" s="78"/>
      <c r="AC1517" s="78"/>
      <c r="AD1517" s="78"/>
      <c r="AE1517" s="78"/>
      <c r="AF1517" s="78"/>
      <c r="AG1517" s="78"/>
      <c r="AH1517" s="78"/>
      <c r="AI1517" s="78"/>
      <c r="AJ1517" s="78"/>
      <c r="AK1517" s="78"/>
    </row>
    <row r="1518" spans="1:37">
      <c r="A1518" s="78"/>
      <c r="B1518" s="78"/>
      <c r="C1518" s="78"/>
      <c r="D1518" s="78"/>
      <c r="E1518" s="78"/>
      <c r="F1518" s="78"/>
      <c r="G1518" s="78"/>
      <c r="H1518" s="78"/>
      <c r="I1518" s="78"/>
      <c r="J1518" s="78"/>
      <c r="K1518" s="78"/>
      <c r="L1518" s="78"/>
      <c r="M1518" s="78"/>
      <c r="N1518" s="78"/>
      <c r="O1518" s="78"/>
      <c r="P1518" s="78"/>
      <c r="Q1518" s="78"/>
      <c r="R1518" s="78"/>
      <c r="S1518" s="78"/>
      <c r="T1518" s="78"/>
      <c r="U1518" s="78"/>
      <c r="V1518" s="78"/>
      <c r="W1518" s="78"/>
      <c r="X1518" s="78"/>
      <c r="Y1518" s="78"/>
      <c r="Z1518" s="78"/>
      <c r="AA1518" s="78"/>
      <c r="AB1518" s="78"/>
      <c r="AC1518" s="78"/>
      <c r="AD1518" s="78"/>
      <c r="AE1518" s="78"/>
      <c r="AF1518" s="78"/>
      <c r="AG1518" s="78"/>
      <c r="AH1518" s="78"/>
      <c r="AI1518" s="78"/>
      <c r="AJ1518" s="78"/>
      <c r="AK1518" s="78"/>
    </row>
    <row r="1519" spans="1:37">
      <c r="A1519" s="78"/>
      <c r="B1519" s="78"/>
      <c r="C1519" s="78"/>
      <c r="D1519" s="78"/>
      <c r="E1519" s="78"/>
      <c r="F1519" s="78"/>
      <c r="G1519" s="78"/>
      <c r="H1519" s="78"/>
      <c r="I1519" s="78"/>
      <c r="J1519" s="78"/>
      <c r="K1519" s="78"/>
      <c r="L1519" s="78"/>
      <c r="M1519" s="78"/>
      <c r="N1519" s="78"/>
      <c r="O1519" s="78"/>
      <c r="P1519" s="78"/>
      <c r="Q1519" s="78"/>
      <c r="R1519" s="78"/>
      <c r="S1519" s="78"/>
      <c r="T1519" s="78"/>
      <c r="U1519" s="78"/>
      <c r="V1519" s="78"/>
      <c r="W1519" s="78"/>
      <c r="X1519" s="78"/>
      <c r="Y1519" s="78"/>
      <c r="Z1519" s="78"/>
      <c r="AA1519" s="78"/>
      <c r="AB1519" s="78"/>
      <c r="AC1519" s="78"/>
      <c r="AD1519" s="78"/>
      <c r="AE1519" s="78"/>
      <c r="AF1519" s="78"/>
      <c r="AG1519" s="78"/>
      <c r="AH1519" s="78"/>
      <c r="AI1519" s="78"/>
      <c r="AJ1519" s="78"/>
      <c r="AK1519" s="78"/>
    </row>
    <row r="1520" spans="1:37">
      <c r="A1520" s="78"/>
      <c r="B1520" s="78"/>
      <c r="C1520" s="78"/>
      <c r="D1520" s="78"/>
      <c r="E1520" s="78"/>
      <c r="F1520" s="78"/>
      <c r="G1520" s="78"/>
      <c r="H1520" s="78"/>
      <c r="I1520" s="78"/>
      <c r="J1520" s="78"/>
      <c r="K1520" s="78"/>
      <c r="L1520" s="78"/>
      <c r="M1520" s="78"/>
      <c r="N1520" s="78"/>
      <c r="O1520" s="78"/>
      <c r="P1520" s="78"/>
      <c r="Q1520" s="78"/>
      <c r="R1520" s="78"/>
      <c r="S1520" s="78"/>
      <c r="T1520" s="78"/>
      <c r="U1520" s="78"/>
      <c r="V1520" s="78"/>
      <c r="W1520" s="78"/>
      <c r="X1520" s="78"/>
      <c r="Y1520" s="78"/>
      <c r="Z1520" s="78"/>
      <c r="AA1520" s="78"/>
      <c r="AB1520" s="78"/>
      <c r="AC1520" s="78"/>
      <c r="AD1520" s="78"/>
      <c r="AE1520" s="78"/>
      <c r="AF1520" s="78"/>
      <c r="AG1520" s="78"/>
      <c r="AH1520" s="78"/>
      <c r="AI1520" s="78"/>
      <c r="AJ1520" s="78"/>
      <c r="AK1520" s="78"/>
    </row>
    <row r="1521" spans="1:37">
      <c r="A1521" s="78"/>
      <c r="B1521" s="78"/>
      <c r="C1521" s="78"/>
      <c r="D1521" s="78"/>
      <c r="E1521" s="78"/>
      <c r="F1521" s="78"/>
      <c r="G1521" s="78"/>
      <c r="H1521" s="78"/>
      <c r="I1521" s="78"/>
      <c r="J1521" s="78"/>
      <c r="K1521" s="78"/>
      <c r="L1521" s="78"/>
      <c r="M1521" s="78"/>
      <c r="N1521" s="78"/>
      <c r="O1521" s="78"/>
      <c r="P1521" s="78"/>
      <c r="Q1521" s="78"/>
      <c r="R1521" s="78"/>
      <c r="S1521" s="78"/>
      <c r="T1521" s="78"/>
      <c r="U1521" s="78"/>
      <c r="V1521" s="78"/>
      <c r="W1521" s="78"/>
      <c r="X1521" s="78"/>
      <c r="Y1521" s="78"/>
      <c r="Z1521" s="78"/>
      <c r="AA1521" s="78"/>
      <c r="AB1521" s="78"/>
      <c r="AC1521" s="78"/>
      <c r="AD1521" s="78"/>
      <c r="AE1521" s="78"/>
      <c r="AF1521" s="78"/>
      <c r="AG1521" s="78"/>
      <c r="AH1521" s="78"/>
      <c r="AI1521" s="78"/>
      <c r="AJ1521" s="78"/>
      <c r="AK1521" s="78"/>
    </row>
    <row r="1522" spans="1:37">
      <c r="A1522" s="78"/>
      <c r="B1522" s="78"/>
      <c r="C1522" s="78"/>
      <c r="D1522" s="78"/>
      <c r="E1522" s="78"/>
      <c r="F1522" s="78"/>
      <c r="G1522" s="78"/>
      <c r="H1522" s="78"/>
      <c r="I1522" s="78"/>
      <c r="J1522" s="78"/>
      <c r="K1522" s="78"/>
      <c r="L1522" s="78"/>
      <c r="M1522" s="78"/>
      <c r="N1522" s="78"/>
      <c r="O1522" s="78"/>
      <c r="P1522" s="78"/>
      <c r="Q1522" s="78"/>
      <c r="R1522" s="78"/>
      <c r="S1522" s="78"/>
      <c r="T1522" s="78"/>
      <c r="U1522" s="78"/>
      <c r="V1522" s="78"/>
      <c r="W1522" s="78"/>
      <c r="X1522" s="78"/>
      <c r="Y1522" s="78"/>
      <c r="Z1522" s="78"/>
      <c r="AA1522" s="78"/>
      <c r="AB1522" s="78"/>
      <c r="AC1522" s="78"/>
      <c r="AD1522" s="78"/>
      <c r="AE1522" s="78"/>
      <c r="AF1522" s="78"/>
      <c r="AG1522" s="78"/>
      <c r="AH1522" s="78"/>
      <c r="AI1522" s="78"/>
      <c r="AJ1522" s="78"/>
      <c r="AK1522" s="78"/>
    </row>
    <row r="1523" spans="1:37">
      <c r="A1523" s="78"/>
      <c r="B1523" s="78"/>
      <c r="C1523" s="78"/>
      <c r="D1523" s="78"/>
      <c r="E1523" s="78"/>
      <c r="F1523" s="78"/>
      <c r="G1523" s="78"/>
      <c r="H1523" s="78"/>
      <c r="I1523" s="78"/>
      <c r="J1523" s="78"/>
      <c r="K1523" s="78"/>
      <c r="L1523" s="78"/>
      <c r="M1523" s="78"/>
      <c r="N1523" s="78"/>
      <c r="O1523" s="78"/>
      <c r="P1523" s="78"/>
      <c r="Q1523" s="78"/>
      <c r="R1523" s="78"/>
      <c r="S1523" s="78"/>
      <c r="T1523" s="78"/>
      <c r="U1523" s="78"/>
      <c r="V1523" s="78"/>
      <c r="W1523" s="78"/>
      <c r="X1523" s="78"/>
      <c r="Y1523" s="78"/>
      <c r="Z1523" s="78"/>
      <c r="AA1523" s="78"/>
      <c r="AB1523" s="78"/>
      <c r="AC1523" s="78"/>
      <c r="AD1523" s="78"/>
      <c r="AE1523" s="78"/>
      <c r="AF1523" s="78"/>
      <c r="AG1523" s="78"/>
      <c r="AH1523" s="78"/>
      <c r="AI1523" s="78"/>
      <c r="AJ1523" s="78"/>
      <c r="AK1523" s="78"/>
    </row>
    <row r="1524" spans="1:37">
      <c r="A1524" s="78"/>
      <c r="B1524" s="78"/>
      <c r="C1524" s="78"/>
      <c r="D1524" s="78"/>
      <c r="E1524" s="78"/>
      <c r="F1524" s="78"/>
      <c r="G1524" s="78"/>
      <c r="H1524" s="78"/>
      <c r="I1524" s="78"/>
      <c r="J1524" s="78"/>
      <c r="K1524" s="78"/>
      <c r="L1524" s="78"/>
      <c r="M1524" s="78"/>
      <c r="N1524" s="78"/>
      <c r="O1524" s="78"/>
      <c r="P1524" s="78"/>
      <c r="Q1524" s="78"/>
      <c r="R1524" s="78"/>
      <c r="S1524" s="78"/>
      <c r="T1524" s="78"/>
      <c r="U1524" s="78"/>
      <c r="V1524" s="78"/>
      <c r="W1524" s="78"/>
      <c r="X1524" s="78"/>
      <c r="Y1524" s="78"/>
      <c r="Z1524" s="78"/>
      <c r="AA1524" s="78"/>
      <c r="AB1524" s="78"/>
      <c r="AC1524" s="78"/>
      <c r="AD1524" s="78"/>
      <c r="AE1524" s="78"/>
      <c r="AF1524" s="78"/>
      <c r="AG1524" s="78"/>
      <c r="AH1524" s="78"/>
      <c r="AI1524" s="78"/>
      <c r="AJ1524" s="78"/>
      <c r="AK1524" s="78"/>
    </row>
    <row r="1525" spans="1:37">
      <c r="A1525" s="78"/>
      <c r="B1525" s="78"/>
      <c r="C1525" s="78"/>
      <c r="D1525" s="78"/>
      <c r="E1525" s="78"/>
      <c r="F1525" s="78"/>
      <c r="G1525" s="78"/>
      <c r="H1525" s="78"/>
      <c r="I1525" s="78"/>
      <c r="J1525" s="78"/>
      <c r="K1525" s="78"/>
      <c r="L1525" s="78"/>
      <c r="M1525" s="78"/>
      <c r="N1525" s="78"/>
      <c r="O1525" s="78"/>
      <c r="P1525" s="78"/>
      <c r="Q1525" s="78"/>
      <c r="R1525" s="78"/>
      <c r="S1525" s="78"/>
      <c r="T1525" s="78"/>
      <c r="U1525" s="78"/>
      <c r="V1525" s="78"/>
      <c r="W1525" s="78"/>
      <c r="X1525" s="78"/>
      <c r="Y1525" s="78"/>
      <c r="Z1525" s="78"/>
      <c r="AA1525" s="78"/>
      <c r="AB1525" s="78"/>
      <c r="AC1525" s="78"/>
      <c r="AD1525" s="78"/>
      <c r="AE1525" s="78"/>
      <c r="AF1525" s="78"/>
      <c r="AG1525" s="78"/>
      <c r="AH1525" s="78"/>
      <c r="AI1525" s="78"/>
      <c r="AJ1525" s="78"/>
      <c r="AK1525" s="78"/>
    </row>
    <row r="1526" spans="1:37">
      <c r="A1526" s="78"/>
      <c r="B1526" s="78"/>
      <c r="C1526" s="78"/>
      <c r="D1526" s="78"/>
      <c r="E1526" s="78"/>
      <c r="F1526" s="78"/>
      <c r="G1526" s="78"/>
      <c r="H1526" s="78"/>
      <c r="I1526" s="78"/>
      <c r="J1526" s="78"/>
      <c r="K1526" s="78"/>
      <c r="L1526" s="78"/>
      <c r="M1526" s="78"/>
      <c r="N1526" s="78"/>
      <c r="O1526" s="78"/>
      <c r="P1526" s="78"/>
      <c r="Q1526" s="78"/>
      <c r="R1526" s="78"/>
      <c r="S1526" s="78"/>
      <c r="T1526" s="78"/>
      <c r="U1526" s="78"/>
      <c r="V1526" s="78"/>
      <c r="W1526" s="78"/>
      <c r="X1526" s="78"/>
      <c r="Y1526" s="78"/>
      <c r="Z1526" s="78"/>
      <c r="AA1526" s="78"/>
      <c r="AB1526" s="78"/>
      <c r="AC1526" s="78"/>
      <c r="AD1526" s="78"/>
      <c r="AE1526" s="78"/>
      <c r="AF1526" s="78"/>
      <c r="AG1526" s="78"/>
      <c r="AH1526" s="78"/>
      <c r="AI1526" s="78"/>
      <c r="AJ1526" s="78"/>
      <c r="AK1526" s="78"/>
    </row>
    <row r="1527" spans="1:37">
      <c r="A1527" s="78"/>
      <c r="B1527" s="78"/>
      <c r="C1527" s="78"/>
      <c r="D1527" s="78"/>
      <c r="E1527" s="78"/>
      <c r="F1527" s="78"/>
      <c r="G1527" s="78"/>
      <c r="H1527" s="78"/>
      <c r="I1527" s="78"/>
      <c r="J1527" s="78"/>
      <c r="K1527" s="78"/>
      <c r="L1527" s="78"/>
      <c r="M1527" s="78"/>
      <c r="N1527" s="78"/>
      <c r="O1527" s="78"/>
      <c r="P1527" s="78"/>
      <c r="Q1527" s="78"/>
      <c r="R1527" s="78"/>
      <c r="S1527" s="78"/>
      <c r="T1527" s="78"/>
      <c r="U1527" s="78"/>
      <c r="V1527" s="78"/>
      <c r="W1527" s="78"/>
      <c r="X1527" s="78"/>
      <c r="Y1527" s="78"/>
      <c r="Z1527" s="78"/>
      <c r="AA1527" s="78"/>
      <c r="AB1527" s="78"/>
      <c r="AC1527" s="78"/>
      <c r="AD1527" s="78"/>
      <c r="AE1527" s="78"/>
      <c r="AF1527" s="78"/>
      <c r="AG1527" s="78"/>
      <c r="AH1527" s="78"/>
      <c r="AI1527" s="78"/>
      <c r="AJ1527" s="78"/>
      <c r="AK1527" s="78"/>
    </row>
    <row r="1528" spans="1:37">
      <c r="A1528" s="78"/>
      <c r="B1528" s="78"/>
      <c r="C1528" s="78"/>
      <c r="D1528" s="78"/>
      <c r="E1528" s="78"/>
      <c r="F1528" s="78"/>
      <c r="G1528" s="78"/>
      <c r="H1528" s="78"/>
      <c r="I1528" s="78"/>
      <c r="J1528" s="78"/>
      <c r="K1528" s="78"/>
      <c r="L1528" s="78"/>
      <c r="M1528" s="78"/>
      <c r="N1528" s="78"/>
      <c r="O1528" s="78"/>
      <c r="P1528" s="78"/>
      <c r="Q1528" s="78"/>
      <c r="R1528" s="78"/>
      <c r="S1528" s="78"/>
      <c r="T1528" s="78"/>
      <c r="U1528" s="78"/>
      <c r="V1528" s="78"/>
      <c r="W1528" s="78"/>
      <c r="X1528" s="78"/>
      <c r="Y1528" s="78"/>
      <c r="Z1528" s="78"/>
      <c r="AA1528" s="78"/>
      <c r="AB1528" s="78"/>
      <c r="AC1528" s="78"/>
      <c r="AD1528" s="78"/>
      <c r="AE1528" s="78"/>
      <c r="AF1528" s="78"/>
      <c r="AG1528" s="78"/>
      <c r="AH1528" s="78"/>
      <c r="AI1528" s="78"/>
      <c r="AJ1528" s="78"/>
      <c r="AK1528" s="78"/>
    </row>
    <row r="1529" spans="1:37">
      <c r="A1529" s="78"/>
      <c r="B1529" s="78"/>
      <c r="C1529" s="78"/>
      <c r="D1529" s="78"/>
      <c r="E1529" s="78"/>
      <c r="F1529" s="78"/>
      <c r="G1529" s="78"/>
      <c r="H1529" s="78"/>
      <c r="I1529" s="78"/>
      <c r="J1529" s="78"/>
      <c r="K1529" s="78"/>
      <c r="L1529" s="78"/>
      <c r="M1529" s="78"/>
      <c r="N1529" s="78"/>
      <c r="O1529" s="78"/>
      <c r="P1529" s="78"/>
      <c r="Q1529" s="78"/>
      <c r="R1529" s="78"/>
      <c r="S1529" s="78"/>
      <c r="T1529" s="78"/>
      <c r="U1529" s="78"/>
      <c r="V1529" s="78"/>
      <c r="W1529" s="78"/>
      <c r="X1529" s="78"/>
      <c r="Y1529" s="78"/>
      <c r="Z1529" s="78"/>
      <c r="AA1529" s="78"/>
      <c r="AB1529" s="78"/>
      <c r="AC1529" s="78"/>
      <c r="AD1529" s="78"/>
      <c r="AE1529" s="78"/>
      <c r="AF1529" s="78"/>
      <c r="AG1529" s="78"/>
      <c r="AH1529" s="78"/>
      <c r="AI1529" s="78"/>
      <c r="AJ1529" s="78"/>
      <c r="AK1529" s="78"/>
    </row>
    <row r="1530" spans="1:37">
      <c r="A1530" s="78"/>
      <c r="B1530" s="78"/>
      <c r="C1530" s="78"/>
      <c r="D1530" s="78"/>
      <c r="E1530" s="78"/>
      <c r="F1530" s="78"/>
      <c r="G1530" s="78"/>
      <c r="H1530" s="78"/>
      <c r="I1530" s="78"/>
      <c r="J1530" s="78"/>
      <c r="K1530" s="78"/>
      <c r="L1530" s="78"/>
      <c r="M1530" s="78"/>
      <c r="N1530" s="78"/>
      <c r="O1530" s="78"/>
      <c r="P1530" s="78"/>
      <c r="Q1530" s="78"/>
      <c r="R1530" s="78"/>
      <c r="S1530" s="78"/>
      <c r="T1530" s="78"/>
      <c r="U1530" s="78"/>
      <c r="V1530" s="78"/>
      <c r="W1530" s="78"/>
      <c r="X1530" s="78"/>
      <c r="Y1530" s="78"/>
      <c r="Z1530" s="78"/>
      <c r="AA1530" s="78"/>
      <c r="AB1530" s="78"/>
      <c r="AC1530" s="78"/>
      <c r="AD1530" s="78"/>
      <c r="AE1530" s="78"/>
      <c r="AF1530" s="78"/>
      <c r="AG1530" s="78"/>
      <c r="AH1530" s="78"/>
      <c r="AI1530" s="78"/>
      <c r="AJ1530" s="78"/>
      <c r="AK1530" s="78"/>
    </row>
    <row r="1531" spans="1:37">
      <c r="A1531" s="78"/>
      <c r="B1531" s="78"/>
      <c r="C1531" s="78"/>
      <c r="D1531" s="78"/>
      <c r="E1531" s="78"/>
      <c r="F1531" s="78"/>
      <c r="G1531" s="78"/>
      <c r="H1531" s="78"/>
      <c r="I1531" s="78"/>
      <c r="J1531" s="78"/>
      <c r="K1531" s="78"/>
      <c r="L1531" s="78"/>
      <c r="M1531" s="78"/>
      <c r="N1531" s="78"/>
      <c r="O1531" s="78"/>
      <c r="P1531" s="78"/>
      <c r="Q1531" s="78"/>
      <c r="R1531" s="78"/>
      <c r="S1531" s="78"/>
      <c r="T1531" s="78"/>
      <c r="U1531" s="78"/>
      <c r="V1531" s="78"/>
      <c r="W1531" s="78"/>
      <c r="X1531" s="78"/>
      <c r="Y1531" s="78"/>
      <c r="Z1531" s="78"/>
      <c r="AA1531" s="78"/>
      <c r="AB1531" s="78"/>
      <c r="AC1531" s="78"/>
      <c r="AD1531" s="78"/>
      <c r="AE1531" s="78"/>
      <c r="AF1531" s="78"/>
      <c r="AG1531" s="78"/>
      <c r="AH1531" s="78"/>
      <c r="AI1531" s="78"/>
      <c r="AJ1531" s="78"/>
      <c r="AK1531" s="78"/>
    </row>
    <row r="1532" spans="1:37">
      <c r="A1532" s="78"/>
      <c r="B1532" s="78"/>
      <c r="C1532" s="78"/>
      <c r="D1532" s="78"/>
      <c r="E1532" s="78"/>
      <c r="F1532" s="78"/>
      <c r="G1532" s="78"/>
      <c r="H1532" s="78"/>
      <c r="I1532" s="78"/>
      <c r="J1532" s="78"/>
      <c r="K1532" s="78"/>
      <c r="L1532" s="78"/>
      <c r="M1532" s="78"/>
      <c r="N1532" s="78"/>
      <c r="O1532" s="78"/>
      <c r="P1532" s="78"/>
      <c r="Q1532" s="78"/>
      <c r="R1532" s="78"/>
      <c r="S1532" s="78"/>
      <c r="T1532" s="78"/>
      <c r="U1532" s="78"/>
      <c r="V1532" s="78"/>
      <c r="W1532" s="78"/>
      <c r="X1532" s="78"/>
      <c r="Y1532" s="78"/>
      <c r="Z1532" s="78"/>
      <c r="AA1532" s="78"/>
      <c r="AB1532" s="78"/>
      <c r="AC1532" s="78"/>
      <c r="AD1532" s="78"/>
      <c r="AE1532" s="78"/>
      <c r="AF1532" s="78"/>
      <c r="AG1532" s="78"/>
      <c r="AH1532" s="78"/>
      <c r="AI1532" s="78"/>
      <c r="AJ1532" s="78"/>
      <c r="AK1532" s="78"/>
    </row>
    <row r="1533" spans="1:37">
      <c r="A1533" s="78"/>
      <c r="B1533" s="78"/>
      <c r="C1533" s="78"/>
      <c r="D1533" s="78"/>
      <c r="E1533" s="78"/>
      <c r="F1533" s="78"/>
      <c r="G1533" s="78"/>
      <c r="H1533" s="78"/>
      <c r="I1533" s="78"/>
      <c r="J1533" s="78"/>
      <c r="K1533" s="78"/>
      <c r="L1533" s="78"/>
      <c r="M1533" s="78"/>
      <c r="N1533" s="78"/>
      <c r="O1533" s="78"/>
      <c r="P1533" s="78"/>
      <c r="Q1533" s="78"/>
      <c r="R1533" s="78"/>
      <c r="S1533" s="78"/>
      <c r="T1533" s="78"/>
      <c r="U1533" s="78"/>
      <c r="V1533" s="78"/>
      <c r="W1533" s="78"/>
      <c r="X1533" s="78"/>
      <c r="Y1533" s="78"/>
      <c r="Z1533" s="78"/>
      <c r="AA1533" s="78"/>
      <c r="AB1533" s="78"/>
      <c r="AC1533" s="78"/>
      <c r="AD1533" s="78"/>
      <c r="AE1533" s="78"/>
      <c r="AF1533" s="78"/>
      <c r="AG1533" s="78"/>
      <c r="AH1533" s="78"/>
      <c r="AI1533" s="78"/>
      <c r="AJ1533" s="78"/>
      <c r="AK1533" s="78"/>
    </row>
    <row r="1534" spans="1:37">
      <c r="A1534" s="78"/>
      <c r="B1534" s="78"/>
      <c r="C1534" s="78"/>
      <c r="D1534" s="78"/>
      <c r="E1534" s="78"/>
      <c r="F1534" s="78"/>
      <c r="G1534" s="78"/>
      <c r="H1534" s="78"/>
      <c r="I1534" s="78"/>
      <c r="J1534" s="78"/>
      <c r="K1534" s="78"/>
      <c r="L1534" s="78"/>
      <c r="M1534" s="78"/>
      <c r="N1534" s="78"/>
      <c r="O1534" s="78"/>
      <c r="P1534" s="78"/>
      <c r="Q1534" s="78"/>
      <c r="R1534" s="78"/>
      <c r="S1534" s="78"/>
      <c r="T1534" s="78"/>
      <c r="U1534" s="78"/>
      <c r="V1534" s="78"/>
      <c r="W1534" s="78"/>
      <c r="X1534" s="78"/>
      <c r="Y1534" s="78"/>
      <c r="Z1534" s="78"/>
      <c r="AA1534" s="78"/>
      <c r="AB1534" s="78"/>
      <c r="AC1534" s="78"/>
      <c r="AD1534" s="78"/>
      <c r="AE1534" s="78"/>
      <c r="AF1534" s="78"/>
      <c r="AG1534" s="78"/>
      <c r="AH1534" s="78"/>
      <c r="AI1534" s="78"/>
      <c r="AJ1534" s="78"/>
      <c r="AK1534" s="78"/>
    </row>
    <row r="1535" spans="1:37">
      <c r="A1535" s="78"/>
      <c r="B1535" s="78"/>
      <c r="C1535" s="78"/>
      <c r="D1535" s="78"/>
      <c r="E1535" s="78"/>
      <c r="F1535" s="78"/>
      <c r="G1535" s="78"/>
      <c r="H1535" s="78"/>
      <c r="I1535" s="78"/>
      <c r="J1535" s="78"/>
      <c r="K1535" s="78"/>
      <c r="L1535" s="78"/>
      <c r="M1535" s="78"/>
      <c r="N1535" s="78"/>
      <c r="O1535" s="78"/>
      <c r="P1535" s="78"/>
      <c r="Q1535" s="78"/>
      <c r="R1535" s="78"/>
      <c r="S1535" s="78"/>
      <c r="T1535" s="78"/>
      <c r="U1535" s="78"/>
      <c r="V1535" s="78"/>
      <c r="W1535" s="78"/>
      <c r="X1535" s="78"/>
      <c r="Y1535" s="78"/>
      <c r="Z1535" s="78"/>
      <c r="AA1535" s="78"/>
      <c r="AB1535" s="78"/>
      <c r="AC1535" s="78"/>
      <c r="AD1535" s="78"/>
      <c r="AE1535" s="78"/>
      <c r="AF1535" s="78"/>
      <c r="AG1535" s="78"/>
      <c r="AH1535" s="78"/>
      <c r="AI1535" s="78"/>
      <c r="AJ1535" s="78"/>
      <c r="AK1535" s="78"/>
    </row>
    <row r="1536" spans="1:37">
      <c r="A1536" s="78"/>
      <c r="B1536" s="78"/>
      <c r="C1536" s="78"/>
      <c r="D1536" s="78"/>
      <c r="E1536" s="78"/>
      <c r="F1536" s="78"/>
      <c r="G1536" s="78"/>
      <c r="H1536" s="78"/>
      <c r="I1536" s="78"/>
      <c r="J1536" s="78"/>
      <c r="K1536" s="78"/>
      <c r="L1536" s="78"/>
      <c r="M1536" s="78"/>
      <c r="N1536" s="78"/>
      <c r="O1536" s="78"/>
      <c r="P1536" s="78"/>
      <c r="Q1536" s="78"/>
      <c r="R1536" s="78"/>
      <c r="S1536" s="78"/>
      <c r="T1536" s="78"/>
      <c r="U1536" s="78"/>
      <c r="V1536" s="78"/>
      <c r="W1536" s="78"/>
      <c r="X1536" s="78"/>
      <c r="Y1536" s="78"/>
      <c r="Z1536" s="78"/>
      <c r="AA1536" s="78"/>
      <c r="AB1536" s="78"/>
      <c r="AC1536" s="78"/>
      <c r="AD1536" s="78"/>
      <c r="AE1536" s="78"/>
      <c r="AF1536" s="78"/>
      <c r="AG1536" s="78"/>
      <c r="AH1536" s="78"/>
      <c r="AI1536" s="78"/>
      <c r="AJ1536" s="78"/>
      <c r="AK1536" s="78"/>
    </row>
    <row r="1537" spans="1:37">
      <c r="A1537" s="78"/>
      <c r="B1537" s="78"/>
      <c r="C1537" s="78"/>
      <c r="D1537" s="78"/>
      <c r="E1537" s="78"/>
      <c r="F1537" s="78"/>
      <c r="G1537" s="78"/>
      <c r="H1537" s="78"/>
      <c r="I1537" s="78"/>
      <c r="J1537" s="78"/>
      <c r="K1537" s="78"/>
      <c r="L1537" s="78"/>
      <c r="M1537" s="78"/>
      <c r="N1537" s="78"/>
      <c r="O1537" s="78"/>
      <c r="P1537" s="78"/>
      <c r="Q1537" s="78"/>
      <c r="R1537" s="78"/>
      <c r="S1537" s="78"/>
      <c r="T1537" s="78"/>
      <c r="U1537" s="78"/>
      <c r="V1537" s="78"/>
      <c r="W1537" s="78"/>
      <c r="X1537" s="78"/>
      <c r="Y1537" s="78"/>
      <c r="Z1537" s="78"/>
      <c r="AA1537" s="78"/>
      <c r="AB1537" s="78"/>
      <c r="AC1537" s="78"/>
      <c r="AD1537" s="78"/>
      <c r="AE1537" s="78"/>
      <c r="AF1537" s="78"/>
      <c r="AG1537" s="78"/>
      <c r="AH1537" s="78"/>
      <c r="AI1537" s="78"/>
      <c r="AJ1537" s="78"/>
      <c r="AK1537" s="78"/>
    </row>
    <row r="1538" spans="1:37">
      <c r="A1538" s="78"/>
      <c r="B1538" s="78"/>
      <c r="C1538" s="78"/>
      <c r="D1538" s="78"/>
      <c r="E1538" s="78"/>
      <c r="F1538" s="78"/>
      <c r="G1538" s="78"/>
      <c r="H1538" s="78"/>
      <c r="I1538" s="78"/>
      <c r="J1538" s="78"/>
      <c r="K1538" s="78"/>
      <c r="L1538" s="78"/>
      <c r="M1538" s="78"/>
      <c r="N1538" s="78"/>
      <c r="O1538" s="78"/>
      <c r="P1538" s="78"/>
      <c r="Q1538" s="78"/>
      <c r="R1538" s="78"/>
      <c r="S1538" s="78"/>
      <c r="T1538" s="78"/>
      <c r="U1538" s="78"/>
      <c r="V1538" s="78"/>
      <c r="W1538" s="78"/>
      <c r="X1538" s="78"/>
      <c r="Y1538" s="78"/>
      <c r="Z1538" s="78"/>
      <c r="AA1538" s="78"/>
      <c r="AB1538" s="78"/>
      <c r="AC1538" s="78"/>
      <c r="AD1538" s="78"/>
      <c r="AE1538" s="78"/>
      <c r="AF1538" s="78"/>
      <c r="AG1538" s="78"/>
      <c r="AH1538" s="78"/>
      <c r="AI1538" s="78"/>
      <c r="AJ1538" s="78"/>
      <c r="AK1538" s="78"/>
    </row>
    <row r="1539" spans="1:37">
      <c r="A1539" s="78"/>
      <c r="B1539" s="78"/>
      <c r="C1539" s="78"/>
      <c r="D1539" s="78"/>
      <c r="E1539" s="78"/>
      <c r="F1539" s="78"/>
      <c r="G1539" s="78"/>
      <c r="H1539" s="78"/>
      <c r="I1539" s="78"/>
      <c r="J1539" s="78"/>
      <c r="K1539" s="78"/>
      <c r="L1539" s="78"/>
      <c r="M1539" s="78"/>
      <c r="N1539" s="78"/>
      <c r="O1539" s="78"/>
      <c r="P1539" s="78"/>
      <c r="Q1539" s="78"/>
      <c r="R1539" s="78"/>
      <c r="S1539" s="78"/>
      <c r="T1539" s="78"/>
      <c r="U1539" s="78"/>
      <c r="V1539" s="78"/>
      <c r="W1539" s="78"/>
      <c r="X1539" s="78"/>
      <c r="Y1539" s="78"/>
      <c r="Z1539" s="78"/>
      <c r="AA1539" s="78"/>
      <c r="AB1539" s="78"/>
      <c r="AC1539" s="78"/>
      <c r="AD1539" s="78"/>
      <c r="AE1539" s="78"/>
      <c r="AF1539" s="78"/>
      <c r="AG1539" s="78"/>
      <c r="AH1539" s="78"/>
      <c r="AI1539" s="78"/>
      <c r="AJ1539" s="78"/>
      <c r="AK1539" s="78"/>
    </row>
    <row r="1540" spans="1:37">
      <c r="A1540" s="78"/>
      <c r="B1540" s="78"/>
      <c r="C1540" s="78"/>
      <c r="D1540" s="78"/>
      <c r="E1540" s="78"/>
      <c r="F1540" s="78"/>
      <c r="G1540" s="78"/>
      <c r="H1540" s="78"/>
      <c r="I1540" s="78"/>
      <c r="J1540" s="78"/>
      <c r="K1540" s="78"/>
      <c r="L1540" s="78"/>
      <c r="M1540" s="78"/>
      <c r="N1540" s="78"/>
      <c r="O1540" s="78"/>
      <c r="P1540" s="78"/>
      <c r="Q1540" s="78"/>
      <c r="R1540" s="78"/>
      <c r="S1540" s="78"/>
      <c r="T1540" s="78"/>
      <c r="U1540" s="78"/>
      <c r="V1540" s="78"/>
      <c r="W1540" s="78"/>
      <c r="X1540" s="78"/>
      <c r="Y1540" s="78"/>
      <c r="Z1540" s="78"/>
      <c r="AA1540" s="78"/>
      <c r="AB1540" s="78"/>
      <c r="AC1540" s="78"/>
      <c r="AD1540" s="78"/>
      <c r="AE1540" s="78"/>
      <c r="AF1540" s="78"/>
      <c r="AG1540" s="78"/>
      <c r="AH1540" s="78"/>
      <c r="AI1540" s="78"/>
      <c r="AJ1540" s="78"/>
      <c r="AK1540" s="78"/>
    </row>
    <row r="1541" spans="1:37">
      <c r="A1541" s="78"/>
      <c r="B1541" s="78"/>
      <c r="C1541" s="78"/>
      <c r="D1541" s="78"/>
      <c r="E1541" s="78"/>
      <c r="F1541" s="78"/>
      <c r="G1541" s="78"/>
      <c r="H1541" s="78"/>
      <c r="I1541" s="78"/>
      <c r="J1541" s="78"/>
      <c r="K1541" s="78"/>
      <c r="L1541" s="78"/>
      <c r="M1541" s="78"/>
      <c r="N1541" s="78"/>
      <c r="O1541" s="78"/>
      <c r="P1541" s="78"/>
      <c r="Q1541" s="78"/>
      <c r="R1541" s="78"/>
      <c r="S1541" s="78"/>
      <c r="T1541" s="78"/>
      <c r="U1541" s="78"/>
      <c r="V1541" s="78"/>
      <c r="W1541" s="78"/>
      <c r="X1541" s="78"/>
      <c r="Y1541" s="78"/>
      <c r="Z1541" s="78"/>
      <c r="AA1541" s="78"/>
      <c r="AB1541" s="78"/>
      <c r="AC1541" s="78"/>
      <c r="AD1541" s="78"/>
      <c r="AE1541" s="78"/>
      <c r="AF1541" s="78"/>
      <c r="AG1541" s="78"/>
      <c r="AH1541" s="78"/>
      <c r="AI1541" s="78"/>
      <c r="AJ1541" s="78"/>
      <c r="AK1541" s="78"/>
    </row>
    <row r="1542" spans="1:37">
      <c r="A1542" s="78"/>
      <c r="B1542" s="78"/>
      <c r="C1542" s="78"/>
      <c r="D1542" s="78"/>
      <c r="E1542" s="78"/>
      <c r="F1542" s="78"/>
      <c r="G1542" s="78"/>
      <c r="H1542" s="78"/>
      <c r="I1542" s="78"/>
      <c r="J1542" s="78"/>
      <c r="K1542" s="78"/>
      <c r="L1542" s="78"/>
      <c r="M1542" s="78"/>
      <c r="N1542" s="78"/>
      <c r="O1542" s="78"/>
      <c r="P1542" s="78"/>
      <c r="Q1542" s="78"/>
      <c r="R1542" s="78"/>
      <c r="S1542" s="78"/>
      <c r="T1542" s="78"/>
      <c r="U1542" s="78"/>
      <c r="V1542" s="78"/>
      <c r="W1542" s="78"/>
      <c r="X1542" s="78"/>
      <c r="Y1542" s="78"/>
      <c r="Z1542" s="78"/>
      <c r="AA1542" s="78"/>
      <c r="AB1542" s="78"/>
      <c r="AC1542" s="78"/>
      <c r="AD1542" s="78"/>
      <c r="AE1542" s="78"/>
      <c r="AF1542" s="78"/>
      <c r="AG1542" s="78"/>
      <c r="AH1542" s="78"/>
      <c r="AI1542" s="78"/>
      <c r="AJ1542" s="78"/>
      <c r="AK1542" s="78"/>
    </row>
    <row r="1543" spans="1:37">
      <c r="A1543" s="78"/>
      <c r="B1543" s="78"/>
      <c r="C1543" s="78"/>
      <c r="D1543" s="78"/>
      <c r="E1543" s="78"/>
      <c r="F1543" s="78"/>
      <c r="G1543" s="78"/>
      <c r="H1543" s="78"/>
      <c r="I1543" s="78"/>
      <c r="J1543" s="78"/>
      <c r="K1543" s="78"/>
      <c r="L1543" s="78"/>
      <c r="M1543" s="78"/>
      <c r="N1543" s="78"/>
      <c r="O1543" s="78"/>
      <c r="P1543" s="78"/>
      <c r="Q1543" s="78"/>
      <c r="R1543" s="78"/>
      <c r="S1543" s="78"/>
      <c r="T1543" s="78"/>
      <c r="U1543" s="78"/>
      <c r="V1543" s="78"/>
      <c r="W1543" s="78"/>
      <c r="X1543" s="78"/>
      <c r="Y1543" s="78"/>
      <c r="Z1543" s="78"/>
      <c r="AA1543" s="78"/>
      <c r="AB1543" s="78"/>
      <c r="AC1543" s="78"/>
      <c r="AD1543" s="78"/>
      <c r="AE1543" s="78"/>
      <c r="AF1543" s="78"/>
      <c r="AG1543" s="78"/>
      <c r="AH1543" s="78"/>
      <c r="AI1543" s="78"/>
      <c r="AJ1543" s="78"/>
      <c r="AK1543" s="78"/>
    </row>
    <row r="1544" spans="1:37">
      <c r="A1544" s="78"/>
      <c r="B1544" s="78"/>
      <c r="C1544" s="78"/>
      <c r="D1544" s="78"/>
      <c r="E1544" s="78"/>
      <c r="F1544" s="78"/>
      <c r="G1544" s="78"/>
      <c r="H1544" s="78"/>
      <c r="I1544" s="78"/>
      <c r="J1544" s="78"/>
      <c r="K1544" s="78"/>
      <c r="L1544" s="78"/>
      <c r="M1544" s="78"/>
      <c r="N1544" s="78"/>
      <c r="O1544" s="78"/>
      <c r="P1544" s="78"/>
      <c r="Q1544" s="78"/>
      <c r="R1544" s="78"/>
      <c r="S1544" s="78"/>
      <c r="T1544" s="78"/>
      <c r="U1544" s="78"/>
      <c r="V1544" s="78"/>
      <c r="W1544" s="78"/>
      <c r="X1544" s="78"/>
      <c r="Y1544" s="78"/>
      <c r="Z1544" s="78"/>
      <c r="AA1544" s="78"/>
      <c r="AB1544" s="78"/>
      <c r="AC1544" s="78"/>
      <c r="AD1544" s="78"/>
      <c r="AE1544" s="78"/>
      <c r="AF1544" s="78"/>
      <c r="AG1544" s="78"/>
      <c r="AH1544" s="78"/>
      <c r="AI1544" s="78"/>
      <c r="AJ1544" s="78"/>
      <c r="AK1544" s="78"/>
    </row>
    <row r="1545" spans="1:37">
      <c r="A1545" s="78"/>
      <c r="B1545" s="78"/>
      <c r="C1545" s="78"/>
      <c r="D1545" s="78"/>
      <c r="E1545" s="78"/>
      <c r="F1545" s="78"/>
      <c r="G1545" s="78"/>
      <c r="H1545" s="78"/>
      <c r="I1545" s="78"/>
      <c r="J1545" s="78"/>
      <c r="K1545" s="78"/>
      <c r="L1545" s="78"/>
      <c r="M1545" s="78"/>
      <c r="N1545" s="78"/>
      <c r="O1545" s="78"/>
      <c r="P1545" s="78"/>
      <c r="Q1545" s="78"/>
      <c r="R1545" s="78"/>
      <c r="S1545" s="78"/>
      <c r="T1545" s="78"/>
      <c r="U1545" s="78"/>
      <c r="V1545" s="78"/>
      <c r="W1545" s="78"/>
      <c r="X1545" s="78"/>
      <c r="Y1545" s="78"/>
      <c r="Z1545" s="78"/>
      <c r="AA1545" s="78"/>
      <c r="AB1545" s="78"/>
      <c r="AC1545" s="78"/>
      <c r="AD1545" s="78"/>
      <c r="AE1545" s="78"/>
      <c r="AF1545" s="78"/>
      <c r="AG1545" s="78"/>
      <c r="AH1545" s="78"/>
      <c r="AI1545" s="78"/>
      <c r="AJ1545" s="78"/>
      <c r="AK1545" s="78"/>
    </row>
    <row r="1546" spans="1:37">
      <c r="A1546" s="78"/>
      <c r="B1546" s="78"/>
      <c r="C1546" s="78"/>
      <c r="D1546" s="78"/>
      <c r="E1546" s="78"/>
      <c r="F1546" s="78"/>
      <c r="G1546" s="78"/>
      <c r="H1546" s="78"/>
      <c r="I1546" s="78"/>
      <c r="J1546" s="78"/>
      <c r="K1546" s="78"/>
      <c r="L1546" s="78"/>
      <c r="M1546" s="78"/>
      <c r="N1546" s="78"/>
      <c r="O1546" s="78"/>
      <c r="P1546" s="78"/>
      <c r="Q1546" s="78"/>
      <c r="R1546" s="78"/>
      <c r="S1546" s="78"/>
      <c r="T1546" s="78"/>
      <c r="U1546" s="78"/>
      <c r="V1546" s="78"/>
      <c r="W1546" s="78"/>
      <c r="X1546" s="78"/>
      <c r="Y1546" s="78"/>
      <c r="Z1546" s="78"/>
      <c r="AA1546" s="78"/>
      <c r="AB1546" s="78"/>
      <c r="AC1546" s="78"/>
      <c r="AD1546" s="78"/>
      <c r="AE1546" s="78"/>
      <c r="AF1546" s="78"/>
      <c r="AG1546" s="78"/>
      <c r="AH1546" s="78"/>
      <c r="AI1546" s="78"/>
      <c r="AJ1546" s="78"/>
      <c r="AK1546" s="78"/>
    </row>
    <row r="1547" spans="1:37">
      <c r="A1547" s="78"/>
      <c r="B1547" s="78"/>
      <c r="C1547" s="78"/>
      <c r="D1547" s="78"/>
      <c r="E1547" s="78"/>
      <c r="F1547" s="78"/>
      <c r="G1547" s="78"/>
      <c r="H1547" s="78"/>
      <c r="I1547" s="78"/>
      <c r="J1547" s="78"/>
      <c r="K1547" s="78"/>
      <c r="L1547" s="78"/>
      <c r="M1547" s="78"/>
      <c r="N1547" s="78"/>
      <c r="O1547" s="78"/>
      <c r="P1547" s="78"/>
      <c r="Q1547" s="78"/>
      <c r="R1547" s="78"/>
      <c r="S1547" s="78"/>
      <c r="T1547" s="78"/>
      <c r="U1547" s="78"/>
      <c r="V1547" s="78"/>
      <c r="W1547" s="78"/>
      <c r="X1547" s="78"/>
      <c r="Y1547" s="78"/>
      <c r="Z1547" s="78"/>
      <c r="AA1547" s="78"/>
      <c r="AB1547" s="78"/>
      <c r="AC1547" s="78"/>
      <c r="AD1547" s="78"/>
      <c r="AE1547" s="78"/>
      <c r="AF1547" s="78"/>
      <c r="AG1547" s="78"/>
      <c r="AH1547" s="78"/>
      <c r="AI1547" s="78"/>
      <c r="AJ1547" s="78"/>
      <c r="AK1547" s="78"/>
    </row>
    <row r="1548" spans="1:37">
      <c r="A1548" s="78"/>
      <c r="B1548" s="78"/>
      <c r="C1548" s="78"/>
      <c r="D1548" s="78"/>
      <c r="E1548" s="78"/>
      <c r="F1548" s="78"/>
      <c r="G1548" s="78"/>
      <c r="H1548" s="78"/>
      <c r="I1548" s="78"/>
      <c r="J1548" s="78"/>
      <c r="K1548" s="78"/>
      <c r="L1548" s="78"/>
      <c r="M1548" s="78"/>
      <c r="N1548" s="78"/>
      <c r="O1548" s="78"/>
      <c r="P1548" s="78"/>
      <c r="Q1548" s="78"/>
      <c r="R1548" s="78"/>
      <c r="S1548" s="78"/>
      <c r="T1548" s="78"/>
      <c r="U1548" s="78"/>
      <c r="V1548" s="78"/>
      <c r="W1548" s="78"/>
      <c r="X1548" s="78"/>
      <c r="Y1548" s="78"/>
      <c r="Z1548" s="78"/>
      <c r="AA1548" s="78"/>
      <c r="AB1548" s="78"/>
      <c r="AC1548" s="78"/>
      <c r="AD1548" s="78"/>
      <c r="AE1548" s="78"/>
      <c r="AF1548" s="78"/>
      <c r="AG1548" s="78"/>
      <c r="AH1548" s="78"/>
      <c r="AI1548" s="78"/>
      <c r="AJ1548" s="78"/>
      <c r="AK1548" s="78"/>
    </row>
    <row r="1549" spans="1:37">
      <c r="A1549" s="78"/>
      <c r="B1549" s="78"/>
      <c r="C1549" s="78"/>
      <c r="D1549" s="78"/>
      <c r="E1549" s="78"/>
      <c r="F1549" s="78"/>
      <c r="G1549" s="78"/>
      <c r="H1549" s="78"/>
      <c r="I1549" s="78"/>
      <c r="J1549" s="78"/>
      <c r="K1549" s="78"/>
      <c r="L1549" s="78"/>
      <c r="M1549" s="78"/>
      <c r="N1549" s="78"/>
      <c r="O1549" s="78"/>
      <c r="P1549" s="78"/>
      <c r="Q1549" s="78"/>
      <c r="R1549" s="78"/>
      <c r="S1549" s="78"/>
      <c r="T1549" s="78"/>
      <c r="U1549" s="78"/>
      <c r="V1549" s="78"/>
      <c r="W1549" s="78"/>
      <c r="X1549" s="78"/>
      <c r="Y1549" s="78"/>
      <c r="Z1549" s="78"/>
      <c r="AA1549" s="78"/>
      <c r="AB1549" s="78"/>
      <c r="AC1549" s="78"/>
      <c r="AD1549" s="78"/>
      <c r="AE1549" s="78"/>
      <c r="AF1549" s="78"/>
      <c r="AG1549" s="78"/>
      <c r="AH1549" s="78"/>
      <c r="AI1549" s="78"/>
      <c r="AJ1549" s="78"/>
      <c r="AK1549" s="78"/>
    </row>
    <row r="1550" spans="1:37">
      <c r="A1550" s="78"/>
      <c r="B1550" s="78"/>
      <c r="C1550" s="78"/>
      <c r="D1550" s="78"/>
      <c r="E1550" s="78"/>
      <c r="F1550" s="78"/>
      <c r="G1550" s="78"/>
      <c r="H1550" s="78"/>
      <c r="I1550" s="78"/>
      <c r="J1550" s="78"/>
      <c r="K1550" s="78"/>
      <c r="L1550" s="78"/>
      <c r="M1550" s="78"/>
      <c r="N1550" s="78"/>
      <c r="O1550" s="78"/>
      <c r="P1550" s="78"/>
      <c r="Q1550" s="78"/>
      <c r="R1550" s="78"/>
      <c r="S1550" s="78"/>
      <c r="T1550" s="78"/>
      <c r="U1550" s="78"/>
      <c r="V1550" s="78"/>
      <c r="W1550" s="78"/>
      <c r="X1550" s="78"/>
      <c r="Y1550" s="78"/>
      <c r="Z1550" s="78"/>
      <c r="AA1550" s="78"/>
      <c r="AB1550" s="78"/>
      <c r="AC1550" s="78"/>
      <c r="AD1550" s="78"/>
      <c r="AE1550" s="78"/>
      <c r="AF1550" s="78"/>
      <c r="AG1550" s="78"/>
      <c r="AH1550" s="78"/>
      <c r="AI1550" s="78"/>
      <c r="AJ1550" s="78"/>
      <c r="AK1550" s="78"/>
    </row>
    <row r="1551" spans="1:37">
      <c r="A1551" s="78"/>
      <c r="B1551" s="78"/>
      <c r="C1551" s="78"/>
      <c r="D1551" s="78"/>
      <c r="E1551" s="78"/>
      <c r="F1551" s="78"/>
      <c r="G1551" s="78"/>
      <c r="H1551" s="78"/>
      <c r="I1551" s="78"/>
      <c r="J1551" s="78"/>
      <c r="K1551" s="78"/>
      <c r="L1551" s="78"/>
      <c r="M1551" s="78"/>
      <c r="N1551" s="78"/>
      <c r="O1551" s="78"/>
      <c r="P1551" s="78"/>
      <c r="Q1551" s="78"/>
      <c r="R1551" s="78"/>
      <c r="S1551" s="78"/>
      <c r="T1551" s="78"/>
      <c r="U1551" s="78"/>
      <c r="V1551" s="78"/>
      <c r="W1551" s="78"/>
      <c r="X1551" s="78"/>
      <c r="Y1551" s="78"/>
      <c r="Z1551" s="78"/>
      <c r="AA1551" s="78"/>
      <c r="AB1551" s="78"/>
      <c r="AC1551" s="78"/>
      <c r="AD1551" s="78"/>
      <c r="AE1551" s="78"/>
      <c r="AF1551" s="78"/>
      <c r="AG1551" s="78"/>
      <c r="AH1551" s="78"/>
      <c r="AI1551" s="78"/>
      <c r="AJ1551" s="78"/>
      <c r="AK1551" s="78"/>
    </row>
    <row r="1552" spans="1:37">
      <c r="A1552" s="78"/>
      <c r="B1552" s="78"/>
      <c r="C1552" s="78"/>
      <c r="D1552" s="78"/>
      <c r="E1552" s="78"/>
      <c r="F1552" s="78"/>
      <c r="G1552" s="78"/>
      <c r="H1552" s="78"/>
      <c r="I1552" s="78"/>
      <c r="J1552" s="78"/>
      <c r="K1552" s="78"/>
      <c r="L1552" s="78"/>
      <c r="M1552" s="78"/>
      <c r="N1552" s="78"/>
      <c r="O1552" s="78"/>
      <c r="P1552" s="78"/>
      <c r="Q1552" s="78"/>
      <c r="R1552" s="78"/>
      <c r="S1552" s="78"/>
      <c r="T1552" s="78"/>
      <c r="U1552" s="78"/>
      <c r="V1552" s="78"/>
      <c r="W1552" s="78"/>
      <c r="X1552" s="78"/>
      <c r="Y1552" s="78"/>
      <c r="Z1552" s="78"/>
      <c r="AA1552" s="78"/>
      <c r="AB1552" s="78"/>
      <c r="AC1552" s="78"/>
      <c r="AD1552" s="78"/>
      <c r="AE1552" s="78"/>
      <c r="AF1552" s="78"/>
      <c r="AG1552" s="78"/>
      <c r="AH1552" s="78"/>
      <c r="AI1552" s="78"/>
      <c r="AJ1552" s="78"/>
      <c r="AK1552" s="78"/>
    </row>
    <row r="1553" spans="1:37">
      <c r="A1553" s="78"/>
      <c r="B1553" s="78"/>
      <c r="C1553" s="78"/>
      <c r="D1553" s="78"/>
      <c r="E1553" s="78"/>
      <c r="F1553" s="78"/>
      <c r="G1553" s="78"/>
      <c r="H1553" s="78"/>
      <c r="I1553" s="78"/>
      <c r="J1553" s="78"/>
      <c r="K1553" s="78"/>
      <c r="L1553" s="78"/>
      <c r="M1553" s="78"/>
      <c r="N1553" s="78"/>
      <c r="O1553" s="78"/>
      <c r="P1553" s="78"/>
      <c r="Q1553" s="78"/>
      <c r="R1553" s="78"/>
      <c r="S1553" s="78"/>
      <c r="T1553" s="78"/>
      <c r="U1553" s="78"/>
      <c r="V1553" s="78"/>
      <c r="W1553" s="78"/>
      <c r="X1553" s="78"/>
      <c r="Y1553" s="78"/>
      <c r="Z1553" s="78"/>
      <c r="AA1553" s="78"/>
      <c r="AB1553" s="78"/>
      <c r="AC1553" s="78"/>
      <c r="AD1553" s="78"/>
      <c r="AE1553" s="78"/>
      <c r="AF1553" s="78"/>
      <c r="AG1553" s="78"/>
      <c r="AH1553" s="78"/>
      <c r="AI1553" s="78"/>
      <c r="AJ1553" s="78"/>
      <c r="AK1553" s="78"/>
    </row>
    <row r="1554" spans="1:37">
      <c r="A1554" s="78"/>
      <c r="B1554" s="78"/>
      <c r="C1554" s="78"/>
      <c r="D1554" s="78"/>
      <c r="E1554" s="78"/>
      <c r="F1554" s="78"/>
      <c r="G1554" s="78"/>
      <c r="H1554" s="78"/>
      <c r="I1554" s="78"/>
      <c r="J1554" s="78"/>
      <c r="K1554" s="78"/>
      <c r="L1554" s="78"/>
      <c r="M1554" s="78"/>
      <c r="N1554" s="78"/>
      <c r="O1554" s="78"/>
      <c r="P1554" s="78"/>
      <c r="Q1554" s="78"/>
      <c r="R1554" s="78"/>
      <c r="S1554" s="78"/>
      <c r="T1554" s="78"/>
      <c r="U1554" s="78"/>
      <c r="V1554" s="78"/>
      <c r="W1554" s="78"/>
      <c r="X1554" s="78"/>
      <c r="Y1554" s="78"/>
      <c r="Z1554" s="78"/>
      <c r="AA1554" s="78"/>
      <c r="AB1554" s="78"/>
      <c r="AC1554" s="78"/>
      <c r="AD1554" s="78"/>
      <c r="AE1554" s="78"/>
      <c r="AF1554" s="78"/>
      <c r="AG1554" s="78"/>
      <c r="AH1554" s="78"/>
      <c r="AI1554" s="78"/>
      <c r="AJ1554" s="78"/>
      <c r="AK1554" s="78"/>
    </row>
    <row r="1555" spans="1:37">
      <c r="A1555" s="78"/>
      <c r="B1555" s="78"/>
      <c r="C1555" s="78"/>
      <c r="D1555" s="78"/>
      <c r="E1555" s="78"/>
      <c r="F1555" s="78"/>
      <c r="G1555" s="78"/>
      <c r="H1555" s="78"/>
      <c r="I1555" s="78"/>
      <c r="J1555" s="78"/>
      <c r="K1555" s="78"/>
      <c r="L1555" s="78"/>
      <c r="M1555" s="78"/>
      <c r="N1555" s="78"/>
      <c r="O1555" s="78"/>
      <c r="P1555" s="78"/>
      <c r="Q1555" s="78"/>
      <c r="R1555" s="78"/>
      <c r="S1555" s="78"/>
      <c r="T1555" s="78"/>
      <c r="U1555" s="78"/>
      <c r="V1555" s="78"/>
      <c r="W1555" s="78"/>
      <c r="X1555" s="78"/>
      <c r="Y1555" s="78"/>
      <c r="Z1555" s="78"/>
      <c r="AA1555" s="78"/>
      <c r="AB1555" s="78"/>
      <c r="AC1555" s="78"/>
      <c r="AD1555" s="78"/>
      <c r="AE1555" s="78"/>
      <c r="AF1555" s="78"/>
      <c r="AG1555" s="78"/>
      <c r="AH1555" s="78"/>
      <c r="AI1555" s="78"/>
      <c r="AJ1555" s="78"/>
      <c r="AK1555" s="78"/>
    </row>
    <row r="1556" spans="1:37">
      <c r="A1556" s="78"/>
      <c r="B1556" s="78"/>
      <c r="C1556" s="78"/>
      <c r="D1556" s="78"/>
      <c r="E1556" s="78"/>
      <c r="F1556" s="78"/>
      <c r="G1556" s="78"/>
      <c r="H1556" s="78"/>
      <c r="I1556" s="78"/>
      <c r="J1556" s="78"/>
      <c r="K1556" s="78"/>
      <c r="L1556" s="78"/>
      <c r="M1556" s="78"/>
      <c r="N1556" s="78"/>
      <c r="O1556" s="78"/>
      <c r="P1556" s="78"/>
      <c r="Q1556" s="78"/>
      <c r="R1556" s="78"/>
      <c r="S1556" s="78"/>
      <c r="T1556" s="78"/>
      <c r="U1556" s="78"/>
      <c r="V1556" s="78"/>
      <c r="W1556" s="78"/>
      <c r="X1556" s="78"/>
      <c r="Y1556" s="78"/>
      <c r="Z1556" s="78"/>
      <c r="AA1556" s="78"/>
      <c r="AB1556" s="78"/>
      <c r="AC1556" s="78"/>
      <c r="AD1556" s="78"/>
      <c r="AE1556" s="78"/>
      <c r="AF1556" s="78"/>
      <c r="AG1556" s="78"/>
      <c r="AH1556" s="78"/>
      <c r="AI1556" s="78"/>
      <c r="AJ1556" s="78"/>
      <c r="AK1556" s="78"/>
    </row>
    <row r="1557" spans="1:37">
      <c r="A1557" s="78"/>
      <c r="B1557" s="78"/>
      <c r="C1557" s="78"/>
      <c r="D1557" s="78"/>
      <c r="E1557" s="78"/>
      <c r="F1557" s="78"/>
      <c r="G1557" s="78"/>
      <c r="H1557" s="78"/>
      <c r="I1557" s="78"/>
      <c r="J1557" s="78"/>
      <c r="K1557" s="78"/>
      <c r="L1557" s="78"/>
      <c r="M1557" s="78"/>
      <c r="N1557" s="78"/>
      <c r="O1557" s="78"/>
      <c r="P1557" s="78"/>
      <c r="Q1557" s="78"/>
      <c r="R1557" s="78"/>
      <c r="S1557" s="78"/>
      <c r="T1557" s="78"/>
      <c r="U1557" s="78"/>
      <c r="V1557" s="78"/>
      <c r="W1557" s="78"/>
      <c r="X1557" s="78"/>
      <c r="Y1557" s="78"/>
      <c r="Z1557" s="78"/>
      <c r="AA1557" s="78"/>
      <c r="AB1557" s="78"/>
      <c r="AC1557" s="78"/>
      <c r="AD1557" s="78"/>
      <c r="AE1557" s="78"/>
      <c r="AF1557" s="78"/>
      <c r="AG1557" s="78"/>
      <c r="AH1557" s="78"/>
      <c r="AI1557" s="78"/>
      <c r="AJ1557" s="78"/>
      <c r="AK1557" s="78"/>
    </row>
    <row r="1558" spans="1:37">
      <c r="A1558" s="78"/>
      <c r="B1558" s="78"/>
      <c r="C1558" s="78"/>
      <c r="D1558" s="78"/>
      <c r="E1558" s="78"/>
      <c r="F1558" s="78"/>
      <c r="G1558" s="78"/>
      <c r="H1558" s="78"/>
      <c r="I1558" s="78"/>
      <c r="J1558" s="78"/>
      <c r="K1558" s="78"/>
      <c r="L1558" s="78"/>
      <c r="M1558" s="78"/>
      <c r="N1558" s="78"/>
      <c r="O1558" s="78"/>
      <c r="P1558" s="78"/>
      <c r="Q1558" s="78"/>
      <c r="R1558" s="78"/>
      <c r="S1558" s="78"/>
      <c r="T1558" s="78"/>
      <c r="U1558" s="78"/>
      <c r="V1558" s="78"/>
      <c r="W1558" s="78"/>
      <c r="X1558" s="78"/>
      <c r="Y1558" s="78"/>
      <c r="Z1558" s="78"/>
      <c r="AA1558" s="78"/>
      <c r="AB1558" s="78"/>
      <c r="AC1558" s="78"/>
      <c r="AD1558" s="78"/>
      <c r="AE1558" s="78"/>
      <c r="AF1558" s="78"/>
      <c r="AG1558" s="78"/>
      <c r="AH1558" s="78"/>
      <c r="AI1558" s="78"/>
      <c r="AJ1558" s="78"/>
      <c r="AK1558" s="78"/>
    </row>
    <row r="1559" spans="1:37">
      <c r="A1559" s="78"/>
      <c r="B1559" s="78"/>
      <c r="C1559" s="78"/>
      <c r="D1559" s="78"/>
      <c r="E1559" s="78"/>
      <c r="F1559" s="78"/>
      <c r="G1559" s="78"/>
      <c r="H1559" s="78"/>
      <c r="I1559" s="78"/>
      <c r="J1559" s="78"/>
      <c r="K1559" s="78"/>
      <c r="L1559" s="78"/>
      <c r="M1559" s="78"/>
      <c r="N1559" s="78"/>
      <c r="O1559" s="78"/>
      <c r="P1559" s="78"/>
      <c r="Q1559" s="78"/>
      <c r="R1559" s="78"/>
      <c r="S1559" s="78"/>
      <c r="T1559" s="78"/>
      <c r="U1559" s="78"/>
      <c r="V1559" s="78"/>
      <c r="W1559" s="78"/>
      <c r="X1559" s="78"/>
      <c r="Y1559" s="78"/>
      <c r="Z1559" s="78"/>
      <c r="AA1559" s="78"/>
      <c r="AB1559" s="78"/>
      <c r="AC1559" s="78"/>
      <c r="AD1559" s="78"/>
      <c r="AE1559" s="78"/>
      <c r="AF1559" s="78"/>
      <c r="AG1559" s="78"/>
      <c r="AH1559" s="78"/>
      <c r="AI1559" s="78"/>
      <c r="AJ1559" s="78"/>
      <c r="AK1559" s="78"/>
    </row>
    <row r="1560" spans="1:37">
      <c r="A1560" s="78"/>
      <c r="B1560" s="78"/>
      <c r="C1560" s="78"/>
      <c r="D1560" s="78"/>
      <c r="E1560" s="78"/>
      <c r="F1560" s="78"/>
      <c r="G1560" s="78"/>
      <c r="H1560" s="78"/>
      <c r="I1560" s="78"/>
      <c r="J1560" s="78"/>
      <c r="K1560" s="78"/>
      <c r="L1560" s="78"/>
      <c r="M1560" s="78"/>
      <c r="N1560" s="78"/>
      <c r="O1560" s="78"/>
      <c r="P1560" s="78"/>
      <c r="Q1560" s="78"/>
      <c r="R1560" s="78"/>
      <c r="S1560" s="78"/>
      <c r="T1560" s="78"/>
      <c r="U1560" s="78"/>
      <c r="V1560" s="78"/>
      <c r="W1560" s="78"/>
      <c r="X1560" s="78"/>
      <c r="Y1560" s="78"/>
      <c r="Z1560" s="78"/>
      <c r="AA1560" s="78"/>
      <c r="AB1560" s="78"/>
      <c r="AC1560" s="78"/>
      <c r="AD1560" s="78"/>
      <c r="AE1560" s="78"/>
      <c r="AF1560" s="78"/>
      <c r="AG1560" s="78"/>
      <c r="AH1560" s="78"/>
      <c r="AI1560" s="78"/>
      <c r="AJ1560" s="78"/>
      <c r="AK1560" s="78"/>
    </row>
    <row r="1561" spans="1:37">
      <c r="A1561" s="78"/>
      <c r="B1561" s="78"/>
      <c r="C1561" s="78"/>
      <c r="D1561" s="78"/>
      <c r="E1561" s="78"/>
      <c r="F1561" s="78"/>
      <c r="G1561" s="78"/>
      <c r="H1561" s="78"/>
      <c r="I1561" s="78"/>
      <c r="J1561" s="78"/>
      <c r="K1561" s="78"/>
      <c r="L1561" s="78"/>
      <c r="M1561" s="78"/>
      <c r="N1561" s="78"/>
      <c r="O1561" s="78"/>
      <c r="P1561" s="78"/>
      <c r="Q1561" s="78"/>
      <c r="R1561" s="78"/>
      <c r="S1561" s="78"/>
      <c r="T1561" s="78"/>
      <c r="U1561" s="78"/>
      <c r="V1561" s="78"/>
      <c r="W1561" s="78"/>
      <c r="X1561" s="78"/>
      <c r="Y1561" s="78"/>
      <c r="Z1561" s="78"/>
      <c r="AA1561" s="78"/>
      <c r="AB1561" s="78"/>
      <c r="AC1561" s="78"/>
      <c r="AD1561" s="78"/>
      <c r="AE1561" s="78"/>
      <c r="AF1561" s="78"/>
      <c r="AG1561" s="78"/>
      <c r="AH1561" s="78"/>
      <c r="AI1561" s="78"/>
      <c r="AJ1561" s="78"/>
      <c r="AK1561" s="78"/>
    </row>
    <row r="1562" spans="1:37">
      <c r="A1562" s="78"/>
      <c r="B1562" s="78"/>
      <c r="C1562" s="78"/>
      <c r="D1562" s="78"/>
      <c r="E1562" s="78"/>
      <c r="F1562" s="78"/>
      <c r="G1562" s="78"/>
      <c r="H1562" s="78"/>
      <c r="I1562" s="78"/>
      <c r="J1562" s="78"/>
      <c r="K1562" s="78"/>
      <c r="L1562" s="78"/>
      <c r="M1562" s="78"/>
      <c r="N1562" s="78"/>
      <c r="O1562" s="78"/>
      <c r="P1562" s="78"/>
      <c r="Q1562" s="78"/>
      <c r="R1562" s="78"/>
      <c r="S1562" s="78"/>
      <c r="T1562" s="78"/>
      <c r="U1562" s="78"/>
      <c r="V1562" s="78"/>
      <c r="W1562" s="78"/>
      <c r="X1562" s="78"/>
      <c r="Y1562" s="78"/>
      <c r="Z1562" s="78"/>
      <c r="AA1562" s="78"/>
      <c r="AB1562" s="78"/>
      <c r="AC1562" s="78"/>
      <c r="AD1562" s="78"/>
      <c r="AE1562" s="78"/>
      <c r="AF1562" s="78"/>
      <c r="AG1562" s="78"/>
      <c r="AH1562" s="78"/>
      <c r="AI1562" s="78"/>
      <c r="AJ1562" s="78"/>
      <c r="AK1562" s="78"/>
    </row>
    <row r="1563" spans="1:37">
      <c r="A1563" s="78"/>
      <c r="B1563" s="78"/>
      <c r="C1563" s="78"/>
      <c r="D1563" s="78"/>
      <c r="E1563" s="78"/>
      <c r="F1563" s="78"/>
      <c r="G1563" s="78"/>
      <c r="H1563" s="78"/>
      <c r="I1563" s="78"/>
      <c r="J1563" s="78"/>
      <c r="K1563" s="78"/>
      <c r="L1563" s="78"/>
      <c r="M1563" s="78"/>
      <c r="N1563" s="78"/>
      <c r="O1563" s="78"/>
      <c r="P1563" s="78"/>
      <c r="Q1563" s="78"/>
      <c r="R1563" s="78"/>
      <c r="S1563" s="78"/>
      <c r="T1563" s="78"/>
      <c r="U1563" s="78"/>
      <c r="V1563" s="78"/>
      <c r="W1563" s="78"/>
      <c r="X1563" s="78"/>
      <c r="Y1563" s="78"/>
      <c r="Z1563" s="78"/>
      <c r="AA1563" s="78"/>
      <c r="AB1563" s="78"/>
      <c r="AC1563" s="78"/>
      <c r="AD1563" s="78"/>
      <c r="AE1563" s="78"/>
      <c r="AF1563" s="78"/>
      <c r="AG1563" s="78"/>
      <c r="AH1563" s="78"/>
      <c r="AI1563" s="78"/>
      <c r="AJ1563" s="78"/>
      <c r="AK1563" s="78"/>
    </row>
    <row r="1564" spans="1:37">
      <c r="A1564" s="78"/>
      <c r="B1564" s="78"/>
      <c r="C1564" s="78"/>
      <c r="D1564" s="78"/>
      <c r="E1564" s="78"/>
      <c r="F1564" s="78"/>
      <c r="G1564" s="78"/>
      <c r="H1564" s="78"/>
      <c r="I1564" s="78"/>
      <c r="J1564" s="78"/>
      <c r="K1564" s="78"/>
      <c r="L1564" s="78"/>
      <c r="M1564" s="78"/>
      <c r="N1564" s="78"/>
      <c r="O1564" s="78"/>
      <c r="P1564" s="78"/>
      <c r="Q1564" s="78"/>
      <c r="R1564" s="78"/>
      <c r="S1564" s="78"/>
      <c r="T1564" s="78"/>
      <c r="U1564" s="78"/>
      <c r="V1564" s="78"/>
      <c r="W1564" s="78"/>
      <c r="X1564" s="78"/>
      <c r="Y1564" s="78"/>
      <c r="Z1564" s="78"/>
      <c r="AA1564" s="78"/>
      <c r="AB1564" s="78"/>
      <c r="AC1564" s="78"/>
      <c r="AD1564" s="78"/>
      <c r="AE1564" s="78"/>
      <c r="AF1564" s="78"/>
      <c r="AG1564" s="78"/>
      <c r="AH1564" s="78"/>
      <c r="AI1564" s="78"/>
      <c r="AJ1564" s="78"/>
      <c r="AK1564" s="78"/>
    </row>
    <row r="1565" spans="1:37">
      <c r="A1565" s="78"/>
      <c r="B1565" s="78"/>
      <c r="C1565" s="78"/>
      <c r="D1565" s="78"/>
      <c r="E1565" s="78"/>
      <c r="F1565" s="78"/>
      <c r="G1565" s="78"/>
      <c r="H1565" s="78"/>
      <c r="I1565" s="78"/>
      <c r="J1565" s="78"/>
      <c r="K1565" s="78"/>
      <c r="L1565" s="78"/>
      <c r="M1565" s="78"/>
      <c r="N1565" s="78"/>
      <c r="O1565" s="78"/>
      <c r="P1565" s="78"/>
      <c r="Q1565" s="78"/>
      <c r="R1565" s="78"/>
      <c r="S1565" s="78"/>
      <c r="T1565" s="78"/>
      <c r="U1565" s="78"/>
      <c r="V1565" s="78"/>
      <c r="W1565" s="78"/>
      <c r="X1565" s="78"/>
      <c r="Y1565" s="78"/>
      <c r="Z1565" s="78"/>
      <c r="AA1565" s="78"/>
      <c r="AB1565" s="78"/>
      <c r="AC1565" s="78"/>
      <c r="AD1565" s="78"/>
      <c r="AE1565" s="78"/>
      <c r="AF1565" s="78"/>
      <c r="AG1565" s="78"/>
      <c r="AH1565" s="78"/>
      <c r="AI1565" s="78"/>
      <c r="AJ1565" s="78"/>
      <c r="AK1565" s="78"/>
    </row>
    <row r="1566" spans="1:37">
      <c r="A1566" s="78"/>
      <c r="B1566" s="78"/>
      <c r="C1566" s="78"/>
      <c r="D1566" s="78"/>
      <c r="E1566" s="78"/>
      <c r="F1566" s="78"/>
      <c r="G1566" s="78"/>
      <c r="H1566" s="78"/>
      <c r="I1566" s="78"/>
      <c r="J1566" s="78"/>
      <c r="K1566" s="78"/>
      <c r="L1566" s="78"/>
      <c r="M1566" s="78"/>
      <c r="N1566" s="78"/>
      <c r="O1566" s="78"/>
      <c r="P1566" s="78"/>
      <c r="Q1566" s="78"/>
      <c r="R1566" s="78"/>
      <c r="S1566" s="78"/>
      <c r="T1566" s="78"/>
      <c r="U1566" s="78"/>
      <c r="V1566" s="78"/>
      <c r="W1566" s="78"/>
      <c r="X1566" s="78"/>
      <c r="Y1566" s="78"/>
      <c r="Z1566" s="78"/>
      <c r="AA1566" s="78"/>
      <c r="AB1566" s="78"/>
      <c r="AC1566" s="78"/>
      <c r="AD1566" s="78"/>
      <c r="AE1566" s="78"/>
      <c r="AF1566" s="78"/>
      <c r="AG1566" s="78"/>
      <c r="AH1566" s="78"/>
      <c r="AI1566" s="78"/>
      <c r="AJ1566" s="78"/>
      <c r="AK1566" s="78"/>
    </row>
    <row r="1567" spans="1:37">
      <c r="A1567" s="78"/>
      <c r="B1567" s="78"/>
      <c r="C1567" s="78"/>
      <c r="D1567" s="78"/>
      <c r="E1567" s="78"/>
      <c r="F1567" s="78"/>
      <c r="G1567" s="78"/>
      <c r="H1567" s="78"/>
      <c r="I1567" s="78"/>
      <c r="J1567" s="78"/>
      <c r="K1567" s="78"/>
      <c r="L1567" s="78"/>
      <c r="M1567" s="78"/>
      <c r="N1567" s="78"/>
      <c r="O1567" s="78"/>
      <c r="P1567" s="78"/>
      <c r="Q1567" s="78"/>
      <c r="R1567" s="78"/>
      <c r="S1567" s="78"/>
      <c r="T1567" s="78"/>
      <c r="U1567" s="78"/>
      <c r="V1567" s="78"/>
      <c r="W1567" s="78"/>
      <c r="X1567" s="78"/>
      <c r="Y1567" s="78"/>
      <c r="Z1567" s="78"/>
      <c r="AA1567" s="78"/>
      <c r="AB1567" s="78"/>
      <c r="AC1567" s="78"/>
      <c r="AD1567" s="78"/>
      <c r="AE1567" s="78"/>
      <c r="AF1567" s="78"/>
      <c r="AG1567" s="78"/>
      <c r="AH1567" s="78"/>
      <c r="AI1567" s="78"/>
      <c r="AJ1567" s="78"/>
      <c r="AK1567" s="78"/>
    </row>
    <row r="1568" spans="1:37">
      <c r="A1568" s="78"/>
      <c r="B1568" s="78"/>
      <c r="C1568" s="78"/>
      <c r="D1568" s="78"/>
      <c r="E1568" s="78"/>
      <c r="F1568" s="78"/>
      <c r="G1568" s="78"/>
      <c r="H1568" s="78"/>
      <c r="I1568" s="78"/>
      <c r="J1568" s="78"/>
      <c r="K1568" s="78"/>
      <c r="L1568" s="78"/>
      <c r="M1568" s="78"/>
      <c r="N1568" s="78"/>
      <c r="O1568" s="78"/>
      <c r="P1568" s="78"/>
      <c r="Q1568" s="78"/>
      <c r="R1568" s="78"/>
      <c r="S1568" s="78"/>
      <c r="T1568" s="78"/>
      <c r="U1568" s="78"/>
      <c r="V1568" s="78"/>
      <c r="W1568" s="78"/>
      <c r="X1568" s="78"/>
      <c r="Y1568" s="78"/>
      <c r="Z1568" s="78"/>
      <c r="AA1568" s="78"/>
      <c r="AB1568" s="78"/>
      <c r="AC1568" s="78"/>
      <c r="AD1568" s="78"/>
      <c r="AE1568" s="78"/>
      <c r="AF1568" s="78"/>
      <c r="AG1568" s="78"/>
      <c r="AH1568" s="78"/>
      <c r="AI1568" s="78"/>
      <c r="AJ1568" s="78"/>
      <c r="AK1568" s="78"/>
    </row>
    <row r="1569" spans="1:37">
      <c r="A1569" s="78"/>
      <c r="B1569" s="78"/>
      <c r="C1569" s="78"/>
      <c r="D1569" s="78"/>
      <c r="E1569" s="78"/>
      <c r="F1569" s="78"/>
      <c r="G1569" s="78"/>
      <c r="H1569" s="78"/>
      <c r="I1569" s="78"/>
      <c r="J1569" s="78"/>
      <c r="K1569" s="78"/>
      <c r="L1569" s="78"/>
      <c r="M1569" s="78"/>
      <c r="N1569" s="78"/>
      <c r="O1569" s="78"/>
      <c r="P1569" s="78"/>
      <c r="Q1569" s="78"/>
      <c r="R1569" s="78"/>
      <c r="S1569" s="78"/>
      <c r="T1569" s="78"/>
      <c r="U1569" s="78"/>
      <c r="V1569" s="78"/>
      <c r="W1569" s="78"/>
      <c r="X1569" s="78"/>
      <c r="Y1569" s="78"/>
      <c r="Z1569" s="78"/>
      <c r="AA1569" s="78"/>
      <c r="AB1569" s="78"/>
      <c r="AC1569" s="78"/>
      <c r="AD1569" s="78"/>
      <c r="AE1569" s="78"/>
      <c r="AF1569" s="78"/>
      <c r="AG1569" s="78"/>
      <c r="AH1569" s="78"/>
      <c r="AI1569" s="78"/>
      <c r="AJ1569" s="78"/>
      <c r="AK1569" s="78"/>
    </row>
    <row r="1570" spans="1:37">
      <c r="A1570" s="78"/>
      <c r="B1570" s="78"/>
      <c r="C1570" s="78"/>
      <c r="D1570" s="78"/>
      <c r="E1570" s="78"/>
      <c r="F1570" s="78"/>
      <c r="G1570" s="78"/>
      <c r="H1570" s="78"/>
      <c r="I1570" s="78"/>
      <c r="J1570" s="78"/>
      <c r="K1570" s="78"/>
      <c r="L1570" s="78"/>
      <c r="M1570" s="78"/>
      <c r="N1570" s="78"/>
      <c r="O1570" s="78"/>
      <c r="P1570" s="78"/>
      <c r="Q1570" s="78"/>
      <c r="R1570" s="78"/>
      <c r="S1570" s="78"/>
      <c r="T1570" s="78"/>
      <c r="U1570" s="78"/>
      <c r="V1570" s="78"/>
      <c r="W1570" s="78"/>
      <c r="X1570" s="78"/>
      <c r="Y1570" s="78"/>
      <c r="Z1570" s="78"/>
      <c r="AA1570" s="78"/>
      <c r="AB1570" s="78"/>
      <c r="AC1570" s="78"/>
      <c r="AD1570" s="78"/>
      <c r="AE1570" s="78"/>
      <c r="AF1570" s="78"/>
      <c r="AG1570" s="78"/>
      <c r="AH1570" s="78"/>
      <c r="AI1570" s="78"/>
      <c r="AJ1570" s="78"/>
      <c r="AK1570" s="78"/>
    </row>
    <row r="1571" spans="1:37">
      <c r="A1571" s="78"/>
      <c r="B1571" s="78"/>
      <c r="C1571" s="78"/>
      <c r="D1571" s="78"/>
      <c r="E1571" s="78"/>
      <c r="F1571" s="78"/>
      <c r="G1571" s="78"/>
      <c r="H1571" s="78"/>
      <c r="I1571" s="78"/>
      <c r="J1571" s="78"/>
      <c r="K1571" s="78"/>
      <c r="L1571" s="78"/>
      <c r="M1571" s="78"/>
      <c r="N1571" s="78"/>
      <c r="O1571" s="78"/>
      <c r="P1571" s="78"/>
      <c r="Q1571" s="78"/>
      <c r="R1571" s="78"/>
      <c r="S1571" s="78"/>
      <c r="T1571" s="78"/>
      <c r="U1571" s="78"/>
      <c r="V1571" s="78"/>
      <c r="W1571" s="78"/>
      <c r="X1571" s="78"/>
      <c r="Y1571" s="78"/>
      <c r="Z1571" s="78"/>
      <c r="AA1571" s="78"/>
      <c r="AB1571" s="78"/>
      <c r="AC1571" s="78"/>
      <c r="AD1571" s="78"/>
      <c r="AE1571" s="78"/>
      <c r="AF1571" s="78"/>
      <c r="AG1571" s="78"/>
      <c r="AH1571" s="78"/>
      <c r="AI1571" s="78"/>
      <c r="AJ1571" s="78"/>
      <c r="AK1571" s="78"/>
    </row>
    <row r="1572" spans="1:37">
      <c r="A1572" s="78"/>
      <c r="B1572" s="78"/>
      <c r="C1572" s="78"/>
      <c r="D1572" s="78"/>
      <c r="E1572" s="78"/>
      <c r="F1572" s="78"/>
      <c r="G1572" s="78"/>
      <c r="H1572" s="78"/>
      <c r="I1572" s="78"/>
      <c r="J1572" s="78"/>
      <c r="K1572" s="78"/>
      <c r="L1572" s="78"/>
      <c r="M1572" s="78"/>
      <c r="N1572" s="78"/>
      <c r="O1572" s="78"/>
      <c r="P1572" s="78"/>
      <c r="Q1572" s="78"/>
      <c r="R1572" s="78"/>
      <c r="S1572" s="78"/>
      <c r="T1572" s="78"/>
      <c r="U1572" s="78"/>
      <c r="V1572" s="78"/>
      <c r="W1572" s="78"/>
      <c r="X1572" s="78"/>
      <c r="Y1572" s="78"/>
      <c r="Z1572" s="78"/>
      <c r="AA1572" s="78"/>
      <c r="AB1572" s="78"/>
      <c r="AC1572" s="78"/>
      <c r="AD1572" s="78"/>
      <c r="AE1572" s="78"/>
      <c r="AF1572" s="78"/>
      <c r="AG1572" s="78"/>
      <c r="AH1572" s="78"/>
      <c r="AI1572" s="78"/>
      <c r="AJ1572" s="78"/>
      <c r="AK1572" s="78"/>
    </row>
    <row r="1573" spans="1:37">
      <c r="A1573" s="78"/>
      <c r="B1573" s="78"/>
      <c r="C1573" s="78"/>
      <c r="D1573" s="78"/>
      <c r="E1573" s="78"/>
      <c r="F1573" s="78"/>
      <c r="G1573" s="78"/>
      <c r="H1573" s="78"/>
      <c r="I1573" s="78"/>
      <c r="J1573" s="78"/>
      <c r="K1573" s="78"/>
      <c r="L1573" s="78"/>
      <c r="M1573" s="78"/>
      <c r="N1573" s="78"/>
      <c r="O1573" s="78"/>
      <c r="P1573" s="78"/>
      <c r="Q1573" s="78"/>
      <c r="R1573" s="78"/>
      <c r="S1573" s="78"/>
      <c r="T1573" s="78"/>
      <c r="U1573" s="78"/>
      <c r="V1573" s="78"/>
      <c r="W1573" s="78"/>
      <c r="X1573" s="78"/>
      <c r="Y1573" s="78"/>
      <c r="Z1573" s="78"/>
      <c r="AA1573" s="78"/>
      <c r="AB1573" s="78"/>
      <c r="AC1573" s="78"/>
      <c r="AD1573" s="78"/>
      <c r="AE1573" s="78"/>
      <c r="AF1573" s="78"/>
      <c r="AG1573" s="78"/>
      <c r="AH1573" s="78"/>
      <c r="AI1573" s="78"/>
      <c r="AJ1573" s="78"/>
      <c r="AK1573" s="78"/>
    </row>
    <row r="1574" spans="1:37">
      <c r="A1574" s="78"/>
      <c r="B1574" s="78"/>
      <c r="C1574" s="78"/>
      <c r="D1574" s="78"/>
      <c r="E1574" s="78"/>
      <c r="F1574" s="78"/>
      <c r="G1574" s="78"/>
      <c r="H1574" s="78"/>
      <c r="I1574" s="78"/>
      <c r="J1574" s="78"/>
      <c r="K1574" s="78"/>
      <c r="L1574" s="78"/>
      <c r="M1574" s="78"/>
      <c r="N1574" s="78"/>
      <c r="O1574" s="78"/>
      <c r="P1574" s="78"/>
      <c r="Q1574" s="78"/>
      <c r="R1574" s="78"/>
      <c r="S1574" s="78"/>
      <c r="T1574" s="78"/>
      <c r="U1574" s="78"/>
      <c r="V1574" s="78"/>
      <c r="W1574" s="78"/>
      <c r="X1574" s="78"/>
      <c r="Y1574" s="78"/>
      <c r="Z1574" s="78"/>
      <c r="AA1574" s="78"/>
      <c r="AB1574" s="78"/>
      <c r="AC1574" s="78"/>
      <c r="AD1574" s="78"/>
      <c r="AE1574" s="78"/>
      <c r="AF1574" s="78"/>
      <c r="AG1574" s="78"/>
      <c r="AH1574" s="78"/>
      <c r="AI1574" s="78"/>
      <c r="AJ1574" s="78"/>
      <c r="AK1574" s="78"/>
    </row>
    <row r="1575" spans="1:37">
      <c r="A1575" s="78"/>
      <c r="B1575" s="78"/>
      <c r="C1575" s="78"/>
      <c r="D1575" s="78"/>
      <c r="E1575" s="78"/>
      <c r="F1575" s="78"/>
      <c r="G1575" s="78"/>
      <c r="H1575" s="78"/>
      <c r="I1575" s="78"/>
      <c r="J1575" s="78"/>
      <c r="K1575" s="78"/>
      <c r="L1575" s="78"/>
      <c r="M1575" s="78"/>
      <c r="N1575" s="78"/>
      <c r="O1575" s="78"/>
      <c r="P1575" s="78"/>
      <c r="Q1575" s="78"/>
      <c r="R1575" s="78"/>
      <c r="S1575" s="78"/>
      <c r="T1575" s="78"/>
      <c r="U1575" s="78"/>
      <c r="V1575" s="78"/>
      <c r="W1575" s="78"/>
      <c r="X1575" s="78"/>
      <c r="Y1575" s="78"/>
      <c r="Z1575" s="78"/>
      <c r="AA1575" s="78"/>
      <c r="AB1575" s="78"/>
      <c r="AC1575" s="78"/>
      <c r="AD1575" s="78"/>
      <c r="AE1575" s="78"/>
      <c r="AF1575" s="78"/>
      <c r="AG1575" s="78"/>
      <c r="AH1575" s="78"/>
      <c r="AI1575" s="78"/>
      <c r="AJ1575" s="78"/>
      <c r="AK1575" s="78"/>
    </row>
    <row r="1576" spans="1:37">
      <c r="A1576" s="78"/>
      <c r="B1576" s="78"/>
      <c r="C1576" s="78"/>
      <c r="D1576" s="78"/>
      <c r="E1576" s="78"/>
      <c r="F1576" s="78"/>
      <c r="G1576" s="78"/>
      <c r="H1576" s="78"/>
      <c r="I1576" s="78"/>
      <c r="J1576" s="78"/>
      <c r="K1576" s="78"/>
      <c r="L1576" s="78"/>
      <c r="M1576" s="78"/>
      <c r="N1576" s="78"/>
      <c r="O1576" s="78"/>
      <c r="P1576" s="78"/>
      <c r="Q1576" s="78"/>
      <c r="R1576" s="78"/>
      <c r="S1576" s="78"/>
      <c r="T1576" s="78"/>
      <c r="U1576" s="78"/>
      <c r="V1576" s="78"/>
      <c r="W1576" s="78"/>
      <c r="X1576" s="78"/>
      <c r="Y1576" s="78"/>
      <c r="Z1576" s="78"/>
      <c r="AA1576" s="78"/>
      <c r="AB1576" s="78"/>
      <c r="AC1576" s="78"/>
      <c r="AD1576" s="78"/>
      <c r="AE1576" s="78"/>
      <c r="AF1576" s="78"/>
      <c r="AG1576" s="78"/>
      <c r="AH1576" s="78"/>
      <c r="AI1576" s="78"/>
      <c r="AJ1576" s="78"/>
      <c r="AK1576" s="78"/>
    </row>
    <row r="1577" spans="1:37">
      <c r="A1577" s="78"/>
      <c r="B1577" s="78"/>
      <c r="C1577" s="78"/>
      <c r="D1577" s="78"/>
      <c r="E1577" s="78"/>
      <c r="F1577" s="78"/>
      <c r="G1577" s="78"/>
      <c r="H1577" s="78"/>
      <c r="I1577" s="78"/>
      <c r="J1577" s="78"/>
      <c r="K1577" s="78"/>
      <c r="L1577" s="78"/>
      <c r="M1577" s="78"/>
      <c r="N1577" s="78"/>
      <c r="O1577" s="78"/>
      <c r="P1577" s="78"/>
      <c r="Q1577" s="78"/>
      <c r="R1577" s="78"/>
      <c r="S1577" s="78"/>
      <c r="T1577" s="78"/>
      <c r="U1577" s="78"/>
      <c r="V1577" s="78"/>
      <c r="W1577" s="78"/>
      <c r="X1577" s="78"/>
      <c r="Y1577" s="78"/>
      <c r="Z1577" s="78"/>
      <c r="AA1577" s="78"/>
      <c r="AB1577" s="78"/>
      <c r="AC1577" s="78"/>
      <c r="AD1577" s="78"/>
      <c r="AE1577" s="78"/>
      <c r="AF1577" s="78"/>
      <c r="AG1577" s="78"/>
      <c r="AH1577" s="78"/>
      <c r="AI1577" s="78"/>
      <c r="AJ1577" s="78"/>
      <c r="AK1577" s="78"/>
    </row>
    <row r="1578" spans="1:37">
      <c r="A1578" s="78"/>
      <c r="B1578" s="78"/>
      <c r="C1578" s="78"/>
      <c r="D1578" s="78"/>
      <c r="E1578" s="78"/>
      <c r="F1578" s="78"/>
      <c r="G1578" s="78"/>
      <c r="H1578" s="78"/>
      <c r="I1578" s="78"/>
      <c r="J1578" s="78"/>
      <c r="K1578" s="78"/>
      <c r="L1578" s="78"/>
      <c r="M1578" s="78"/>
      <c r="N1578" s="78"/>
      <c r="O1578" s="78"/>
      <c r="P1578" s="78"/>
      <c r="Q1578" s="78"/>
      <c r="R1578" s="78"/>
      <c r="S1578" s="78"/>
      <c r="T1578" s="78"/>
      <c r="U1578" s="78"/>
      <c r="V1578" s="78"/>
      <c r="W1578" s="78"/>
      <c r="X1578" s="78"/>
      <c r="Y1578" s="78"/>
      <c r="Z1578" s="78"/>
      <c r="AA1578" s="78"/>
      <c r="AB1578" s="78"/>
      <c r="AC1578" s="78"/>
      <c r="AD1578" s="78"/>
      <c r="AE1578" s="78"/>
      <c r="AF1578" s="78"/>
      <c r="AG1578" s="78"/>
      <c r="AH1578" s="78"/>
      <c r="AI1578" s="78"/>
      <c r="AJ1578" s="78"/>
      <c r="AK1578" s="78"/>
    </row>
    <row r="1579" spans="1:37">
      <c r="A1579" s="78"/>
      <c r="B1579" s="78"/>
      <c r="C1579" s="78"/>
      <c r="D1579" s="78"/>
      <c r="E1579" s="78"/>
      <c r="F1579" s="78"/>
      <c r="G1579" s="78"/>
      <c r="H1579" s="78"/>
      <c r="I1579" s="78"/>
      <c r="J1579" s="78"/>
      <c r="K1579" s="78"/>
      <c r="L1579" s="78"/>
      <c r="M1579" s="78"/>
      <c r="N1579" s="78"/>
      <c r="O1579" s="78"/>
      <c r="P1579" s="78"/>
      <c r="Q1579" s="78"/>
      <c r="R1579" s="78"/>
      <c r="S1579" s="78"/>
      <c r="T1579" s="78"/>
      <c r="U1579" s="78"/>
      <c r="V1579" s="78"/>
      <c r="W1579" s="78"/>
      <c r="X1579" s="78"/>
      <c r="Y1579" s="78"/>
      <c r="Z1579" s="78"/>
      <c r="AA1579" s="78"/>
      <c r="AB1579" s="78"/>
      <c r="AC1579" s="78"/>
      <c r="AD1579" s="78"/>
      <c r="AE1579" s="78"/>
      <c r="AF1579" s="78"/>
      <c r="AG1579" s="78"/>
      <c r="AH1579" s="78"/>
      <c r="AI1579" s="78"/>
      <c r="AJ1579" s="78"/>
      <c r="AK1579" s="78"/>
    </row>
    <row r="1580" spans="1:37">
      <c r="A1580" s="78"/>
      <c r="B1580" s="78"/>
      <c r="C1580" s="78"/>
      <c r="D1580" s="78"/>
      <c r="E1580" s="78"/>
      <c r="F1580" s="78"/>
      <c r="G1580" s="78"/>
      <c r="H1580" s="78"/>
      <c r="I1580" s="78"/>
      <c r="J1580" s="78"/>
      <c r="K1580" s="78"/>
      <c r="L1580" s="78"/>
      <c r="M1580" s="78"/>
      <c r="N1580" s="78"/>
      <c r="O1580" s="78"/>
      <c r="P1580" s="78"/>
      <c r="Q1580" s="78"/>
      <c r="R1580" s="78"/>
      <c r="S1580" s="78"/>
      <c r="T1580" s="78"/>
      <c r="U1580" s="78"/>
      <c r="V1580" s="78"/>
      <c r="W1580" s="78"/>
      <c r="X1580" s="78"/>
      <c r="Y1580" s="78"/>
      <c r="Z1580" s="78"/>
      <c r="AA1580" s="78"/>
      <c r="AB1580" s="78"/>
      <c r="AC1580" s="78"/>
      <c r="AD1580" s="78"/>
      <c r="AE1580" s="78"/>
      <c r="AF1580" s="78"/>
      <c r="AG1580" s="78"/>
      <c r="AH1580" s="78"/>
      <c r="AI1580" s="78"/>
      <c r="AJ1580" s="78"/>
      <c r="AK1580" s="78"/>
    </row>
    <row r="1581" spans="1:37">
      <c r="A1581" s="78"/>
      <c r="B1581" s="78"/>
      <c r="C1581" s="78"/>
      <c r="D1581" s="78"/>
      <c r="E1581" s="78"/>
      <c r="F1581" s="78"/>
      <c r="G1581" s="78"/>
      <c r="H1581" s="78"/>
      <c r="I1581" s="78"/>
      <c r="J1581" s="78"/>
      <c r="K1581" s="78"/>
      <c r="L1581" s="78"/>
      <c r="M1581" s="78"/>
      <c r="N1581" s="78"/>
      <c r="O1581" s="78"/>
      <c r="P1581" s="78"/>
      <c r="Q1581" s="78"/>
      <c r="R1581" s="78"/>
      <c r="S1581" s="78"/>
      <c r="T1581" s="78"/>
      <c r="U1581" s="78"/>
      <c r="V1581" s="78"/>
      <c r="W1581" s="78"/>
      <c r="X1581" s="78"/>
      <c r="Y1581" s="78"/>
      <c r="Z1581" s="78"/>
      <c r="AA1581" s="78"/>
      <c r="AB1581" s="78"/>
      <c r="AC1581" s="78"/>
      <c r="AD1581" s="78"/>
      <c r="AE1581" s="78"/>
      <c r="AF1581" s="78"/>
      <c r="AG1581" s="78"/>
      <c r="AH1581" s="78"/>
      <c r="AI1581" s="78"/>
      <c r="AJ1581" s="78"/>
      <c r="AK1581" s="78"/>
    </row>
    <row r="1582" spans="1:37">
      <c r="A1582" s="78"/>
      <c r="B1582" s="78"/>
      <c r="C1582" s="78"/>
      <c r="D1582" s="78"/>
      <c r="E1582" s="78"/>
      <c r="F1582" s="78"/>
      <c r="G1582" s="78"/>
      <c r="H1582" s="78"/>
      <c r="I1582" s="78"/>
      <c r="J1582" s="78"/>
      <c r="K1582" s="78"/>
      <c r="L1582" s="78"/>
      <c r="M1582" s="78"/>
      <c r="N1582" s="78"/>
      <c r="O1582" s="78"/>
      <c r="P1582" s="78"/>
      <c r="Q1582" s="78"/>
      <c r="R1582" s="78"/>
      <c r="S1582" s="78"/>
      <c r="T1582" s="78"/>
      <c r="U1582" s="78"/>
      <c r="V1582" s="78"/>
      <c r="W1582" s="78"/>
      <c r="X1582" s="78"/>
      <c r="Y1582" s="78"/>
      <c r="Z1582" s="78"/>
      <c r="AA1582" s="78"/>
      <c r="AB1582" s="78"/>
      <c r="AC1582" s="78"/>
      <c r="AD1582" s="78"/>
      <c r="AE1582" s="78"/>
      <c r="AF1582" s="78"/>
      <c r="AG1582" s="78"/>
      <c r="AH1582" s="78"/>
      <c r="AI1582" s="78"/>
      <c r="AJ1582" s="78"/>
      <c r="AK1582" s="78"/>
    </row>
    <row r="1583" spans="1:37">
      <c r="A1583" s="78"/>
      <c r="B1583" s="78"/>
      <c r="C1583" s="78"/>
      <c r="D1583" s="78"/>
      <c r="E1583" s="78"/>
      <c r="F1583" s="78"/>
      <c r="G1583" s="78"/>
      <c r="H1583" s="78"/>
      <c r="I1583" s="78"/>
      <c r="J1583" s="78"/>
      <c r="K1583" s="78"/>
      <c r="L1583" s="78"/>
      <c r="M1583" s="78"/>
      <c r="N1583" s="78"/>
      <c r="O1583" s="78"/>
      <c r="P1583" s="78"/>
      <c r="Q1583" s="78"/>
      <c r="R1583" s="78"/>
      <c r="S1583" s="78"/>
      <c r="T1583" s="78"/>
      <c r="U1583" s="78"/>
      <c r="V1583" s="78"/>
      <c r="W1583" s="78"/>
      <c r="X1583" s="78"/>
      <c r="Y1583" s="78"/>
      <c r="Z1583" s="78"/>
      <c r="AA1583" s="78"/>
      <c r="AB1583" s="78"/>
      <c r="AC1583" s="78"/>
      <c r="AD1583" s="78"/>
      <c r="AE1583" s="78"/>
      <c r="AF1583" s="78"/>
      <c r="AG1583" s="78"/>
      <c r="AH1583" s="78"/>
      <c r="AI1583" s="78"/>
      <c r="AJ1583" s="78"/>
      <c r="AK1583" s="78"/>
    </row>
    <row r="1584" spans="1:37">
      <c r="A1584" s="78"/>
      <c r="B1584" s="78"/>
      <c r="C1584" s="78"/>
      <c r="D1584" s="78"/>
      <c r="E1584" s="78"/>
      <c r="F1584" s="78"/>
      <c r="G1584" s="78"/>
      <c r="H1584" s="78"/>
      <c r="I1584" s="78"/>
      <c r="J1584" s="78"/>
      <c r="K1584" s="78"/>
      <c r="L1584" s="78"/>
      <c r="M1584" s="78"/>
      <c r="N1584" s="78"/>
      <c r="O1584" s="78"/>
      <c r="P1584" s="78"/>
      <c r="Q1584" s="78"/>
      <c r="R1584" s="78"/>
      <c r="S1584" s="78"/>
      <c r="T1584" s="78"/>
      <c r="U1584" s="78"/>
      <c r="V1584" s="78"/>
      <c r="W1584" s="78"/>
      <c r="X1584" s="78"/>
      <c r="Y1584" s="78"/>
      <c r="Z1584" s="78"/>
      <c r="AA1584" s="78"/>
      <c r="AB1584" s="78"/>
      <c r="AC1584" s="78"/>
      <c r="AD1584" s="78"/>
      <c r="AE1584" s="78"/>
      <c r="AF1584" s="78"/>
      <c r="AG1584" s="78"/>
      <c r="AH1584" s="78"/>
      <c r="AI1584" s="78"/>
      <c r="AJ1584" s="78"/>
      <c r="AK1584" s="78"/>
    </row>
    <row r="1585" spans="1:37">
      <c r="A1585" s="78"/>
      <c r="B1585" s="78"/>
      <c r="C1585" s="78"/>
      <c r="D1585" s="78"/>
      <c r="E1585" s="78"/>
      <c r="F1585" s="78"/>
      <c r="G1585" s="78"/>
      <c r="H1585" s="78"/>
      <c r="I1585" s="78"/>
      <c r="J1585" s="78"/>
      <c r="K1585" s="78"/>
      <c r="L1585" s="78"/>
      <c r="M1585" s="78"/>
      <c r="N1585" s="78"/>
      <c r="O1585" s="78"/>
      <c r="P1585" s="78"/>
      <c r="Q1585" s="78"/>
      <c r="R1585" s="78"/>
      <c r="S1585" s="78"/>
      <c r="T1585" s="78"/>
      <c r="U1585" s="78"/>
      <c r="V1585" s="78"/>
      <c r="W1585" s="78"/>
      <c r="X1585" s="78"/>
      <c r="Y1585" s="78"/>
      <c r="Z1585" s="78"/>
      <c r="AA1585" s="78"/>
      <c r="AB1585" s="78"/>
      <c r="AC1585" s="78"/>
      <c r="AD1585" s="78"/>
      <c r="AE1585" s="78"/>
      <c r="AF1585" s="78"/>
      <c r="AG1585" s="78"/>
      <c r="AH1585" s="78"/>
      <c r="AI1585" s="78"/>
      <c r="AJ1585" s="78"/>
      <c r="AK1585" s="78"/>
    </row>
    <row r="1586" spans="1:37">
      <c r="A1586" s="78"/>
      <c r="B1586" s="78"/>
      <c r="C1586" s="78"/>
      <c r="D1586" s="78"/>
      <c r="E1586" s="78"/>
      <c r="F1586" s="78"/>
      <c r="G1586" s="78"/>
      <c r="H1586" s="78"/>
      <c r="I1586" s="78"/>
      <c r="J1586" s="78"/>
      <c r="K1586" s="78"/>
      <c r="L1586" s="78"/>
      <c r="M1586" s="78"/>
      <c r="N1586" s="78"/>
      <c r="O1586" s="78"/>
      <c r="P1586" s="78"/>
      <c r="Q1586" s="78"/>
      <c r="R1586" s="78"/>
      <c r="S1586" s="78"/>
      <c r="T1586" s="78"/>
      <c r="U1586" s="78"/>
      <c r="V1586" s="78"/>
      <c r="W1586" s="78"/>
      <c r="X1586" s="78"/>
      <c r="Y1586" s="78"/>
      <c r="Z1586" s="78"/>
      <c r="AA1586" s="78"/>
      <c r="AB1586" s="78"/>
      <c r="AC1586" s="78"/>
      <c r="AD1586" s="78"/>
      <c r="AE1586" s="78"/>
      <c r="AF1586" s="78"/>
      <c r="AG1586" s="78"/>
      <c r="AH1586" s="78"/>
      <c r="AI1586" s="78"/>
      <c r="AJ1586" s="78"/>
      <c r="AK1586" s="78"/>
    </row>
    <row r="1587" spans="1:37">
      <c r="A1587" s="78"/>
      <c r="B1587" s="78"/>
      <c r="C1587" s="78"/>
      <c r="D1587" s="78"/>
      <c r="E1587" s="78"/>
      <c r="F1587" s="78"/>
      <c r="G1587" s="78"/>
      <c r="H1587" s="78"/>
      <c r="I1587" s="78"/>
      <c r="J1587" s="78"/>
      <c r="K1587" s="78"/>
      <c r="L1587" s="78"/>
      <c r="M1587" s="78"/>
      <c r="N1587" s="78"/>
      <c r="O1587" s="78"/>
      <c r="P1587" s="78"/>
      <c r="Q1587" s="78"/>
      <c r="R1587" s="78"/>
      <c r="S1587" s="78"/>
      <c r="T1587" s="78"/>
      <c r="U1587" s="78"/>
      <c r="V1587" s="78"/>
      <c r="W1587" s="78"/>
      <c r="X1587" s="78"/>
      <c r="Y1587" s="78"/>
      <c r="Z1587" s="78"/>
      <c r="AA1587" s="78"/>
      <c r="AB1587" s="78"/>
      <c r="AC1587" s="78"/>
      <c r="AD1587" s="78"/>
      <c r="AE1587" s="78"/>
      <c r="AF1587" s="78"/>
      <c r="AG1587" s="78"/>
      <c r="AH1587" s="78"/>
      <c r="AI1587" s="78"/>
      <c r="AJ1587" s="78"/>
      <c r="AK1587" s="78"/>
    </row>
    <row r="1588" spans="1:37">
      <c r="A1588" s="78"/>
      <c r="B1588" s="78"/>
      <c r="C1588" s="78"/>
      <c r="D1588" s="78"/>
      <c r="E1588" s="78"/>
      <c r="F1588" s="78"/>
      <c r="G1588" s="78"/>
      <c r="H1588" s="78"/>
      <c r="I1588" s="78"/>
      <c r="J1588" s="78"/>
      <c r="K1588" s="78"/>
      <c r="L1588" s="78"/>
      <c r="M1588" s="78"/>
      <c r="N1588" s="78"/>
      <c r="O1588" s="78"/>
      <c r="P1588" s="78"/>
      <c r="Q1588" s="78"/>
      <c r="R1588" s="78"/>
      <c r="S1588" s="78"/>
      <c r="T1588" s="78"/>
      <c r="U1588" s="78"/>
      <c r="V1588" s="78"/>
      <c r="W1588" s="78"/>
      <c r="X1588" s="78"/>
      <c r="Y1588" s="78"/>
      <c r="Z1588" s="78"/>
      <c r="AA1588" s="78"/>
      <c r="AB1588" s="78"/>
      <c r="AC1588" s="78"/>
      <c r="AD1588" s="78"/>
      <c r="AE1588" s="78"/>
      <c r="AF1588" s="78"/>
      <c r="AG1588" s="78"/>
      <c r="AH1588" s="78"/>
      <c r="AI1588" s="78"/>
      <c r="AJ1588" s="78"/>
      <c r="AK1588" s="78"/>
    </row>
    <row r="1589" spans="1:37">
      <c r="A1589" s="78"/>
      <c r="B1589" s="78"/>
      <c r="C1589" s="78"/>
      <c r="D1589" s="78"/>
      <c r="E1589" s="78"/>
      <c r="F1589" s="78"/>
      <c r="G1589" s="78"/>
      <c r="H1589" s="78"/>
      <c r="I1589" s="78"/>
      <c r="J1589" s="78"/>
      <c r="K1589" s="78"/>
      <c r="L1589" s="78"/>
      <c r="M1589" s="78"/>
      <c r="N1589" s="78"/>
      <c r="O1589" s="78"/>
      <c r="P1589" s="78"/>
      <c r="Q1589" s="78"/>
      <c r="R1589" s="78"/>
      <c r="S1589" s="78"/>
      <c r="T1589" s="78"/>
      <c r="U1589" s="78"/>
      <c r="V1589" s="78"/>
      <c r="W1589" s="78"/>
      <c r="X1589" s="78"/>
      <c r="Y1589" s="78"/>
      <c r="Z1589" s="78"/>
      <c r="AA1589" s="78"/>
      <c r="AB1589" s="78"/>
      <c r="AC1589" s="78"/>
      <c r="AD1589" s="78"/>
      <c r="AE1589" s="78"/>
      <c r="AF1589" s="78"/>
      <c r="AG1589" s="78"/>
      <c r="AH1589" s="78"/>
      <c r="AI1589" s="78"/>
      <c r="AJ1589" s="78"/>
      <c r="AK1589" s="78"/>
    </row>
    <row r="1590" spans="1:37">
      <c r="A1590" s="78"/>
      <c r="B1590" s="78"/>
      <c r="C1590" s="78"/>
      <c r="D1590" s="78"/>
      <c r="E1590" s="78"/>
      <c r="F1590" s="78"/>
      <c r="G1590" s="78"/>
      <c r="H1590" s="78"/>
      <c r="I1590" s="78"/>
      <c r="J1590" s="78"/>
      <c r="K1590" s="78"/>
      <c r="L1590" s="78"/>
      <c r="M1590" s="78"/>
      <c r="N1590" s="78"/>
      <c r="O1590" s="78"/>
      <c r="P1590" s="78"/>
      <c r="Q1590" s="78"/>
      <c r="R1590" s="78"/>
      <c r="S1590" s="78"/>
      <c r="T1590" s="78"/>
      <c r="U1590" s="78"/>
      <c r="V1590" s="78"/>
      <c r="W1590" s="78"/>
      <c r="X1590" s="78"/>
      <c r="Y1590" s="78"/>
      <c r="Z1590" s="78"/>
      <c r="AA1590" s="78"/>
      <c r="AB1590" s="78"/>
      <c r="AC1590" s="78"/>
      <c r="AD1590" s="78"/>
      <c r="AE1590" s="78"/>
      <c r="AF1590" s="78"/>
      <c r="AG1590" s="78"/>
      <c r="AH1590" s="78"/>
      <c r="AI1590" s="78"/>
      <c r="AJ1590" s="78"/>
      <c r="AK1590" s="78"/>
    </row>
    <row r="1591" spans="1:37">
      <c r="A1591" s="78"/>
      <c r="B1591" s="78"/>
      <c r="C1591" s="78"/>
      <c r="D1591" s="78"/>
      <c r="E1591" s="78"/>
      <c r="F1591" s="78"/>
      <c r="G1591" s="78"/>
      <c r="H1591" s="78"/>
      <c r="I1591" s="78"/>
      <c r="J1591" s="78"/>
      <c r="K1591" s="78"/>
      <c r="L1591" s="78"/>
      <c r="M1591" s="78"/>
      <c r="N1591" s="78"/>
      <c r="O1591" s="78"/>
      <c r="P1591" s="78"/>
      <c r="Q1591" s="78"/>
      <c r="R1591" s="78"/>
      <c r="S1591" s="78"/>
      <c r="T1591" s="78"/>
      <c r="U1591" s="78"/>
      <c r="V1591" s="78"/>
      <c r="W1591" s="78"/>
      <c r="X1591" s="78"/>
      <c r="Y1591" s="78"/>
      <c r="Z1591" s="78"/>
      <c r="AA1591" s="78"/>
      <c r="AB1591" s="78"/>
      <c r="AC1591" s="78"/>
      <c r="AD1591" s="78"/>
      <c r="AE1591" s="78"/>
      <c r="AF1591" s="78"/>
      <c r="AG1591" s="78"/>
      <c r="AH1591" s="78"/>
      <c r="AI1591" s="78"/>
      <c r="AJ1591" s="78"/>
      <c r="AK1591" s="78"/>
    </row>
    <row r="1592" spans="1:37">
      <c r="A1592" s="78"/>
      <c r="B1592" s="78"/>
      <c r="C1592" s="78"/>
      <c r="D1592" s="78"/>
      <c r="E1592" s="78"/>
      <c r="F1592" s="78"/>
      <c r="G1592" s="78"/>
      <c r="H1592" s="78"/>
      <c r="I1592" s="78"/>
      <c r="J1592" s="78"/>
      <c r="K1592" s="78"/>
      <c r="L1592" s="78"/>
      <c r="M1592" s="78"/>
      <c r="N1592" s="78"/>
      <c r="O1592" s="78"/>
      <c r="P1592" s="78"/>
      <c r="Q1592" s="78"/>
      <c r="R1592" s="78"/>
      <c r="S1592" s="78"/>
      <c r="T1592" s="78"/>
      <c r="U1592" s="78"/>
      <c r="V1592" s="78"/>
      <c r="W1592" s="78"/>
      <c r="X1592" s="78"/>
      <c r="Y1592" s="78"/>
      <c r="Z1592" s="78"/>
      <c r="AA1592" s="78"/>
      <c r="AB1592" s="78"/>
      <c r="AC1592" s="78"/>
      <c r="AD1592" s="78"/>
      <c r="AE1592" s="78"/>
      <c r="AF1592" s="78"/>
      <c r="AG1592" s="78"/>
      <c r="AH1592" s="78"/>
      <c r="AI1592" s="78"/>
      <c r="AJ1592" s="78"/>
      <c r="AK1592" s="78"/>
    </row>
    <row r="1593" spans="1:37">
      <c r="A1593" s="78"/>
      <c r="B1593" s="78"/>
      <c r="C1593" s="78"/>
      <c r="D1593" s="78"/>
      <c r="E1593" s="78"/>
      <c r="F1593" s="78"/>
      <c r="G1593" s="78"/>
      <c r="H1593" s="78"/>
      <c r="I1593" s="78"/>
      <c r="J1593" s="78"/>
      <c r="K1593" s="78"/>
      <c r="L1593" s="78"/>
      <c r="M1593" s="78"/>
      <c r="N1593" s="78"/>
      <c r="O1593" s="78"/>
      <c r="P1593" s="78"/>
      <c r="Q1593" s="78"/>
      <c r="R1593" s="78"/>
      <c r="S1593" s="78"/>
      <c r="T1593" s="78"/>
      <c r="U1593" s="78"/>
      <c r="V1593" s="78"/>
      <c r="W1593" s="78"/>
      <c r="X1593" s="78"/>
      <c r="Y1593" s="78"/>
      <c r="Z1593" s="78"/>
      <c r="AA1593" s="78"/>
      <c r="AB1593" s="78"/>
      <c r="AC1593" s="78"/>
      <c r="AD1593" s="78"/>
      <c r="AE1593" s="78"/>
      <c r="AF1593" s="78"/>
      <c r="AG1593" s="78"/>
      <c r="AH1593" s="78"/>
      <c r="AI1593" s="78"/>
      <c r="AJ1593" s="78"/>
      <c r="AK1593" s="78"/>
    </row>
    <row r="1594" spans="1:37">
      <c r="A1594" s="78"/>
      <c r="B1594" s="78"/>
      <c r="C1594" s="78"/>
      <c r="D1594" s="78"/>
      <c r="E1594" s="78"/>
      <c r="F1594" s="78"/>
      <c r="G1594" s="78"/>
      <c r="H1594" s="78"/>
      <c r="I1594" s="78"/>
      <c r="J1594" s="78"/>
      <c r="K1594" s="78"/>
      <c r="L1594" s="78"/>
      <c r="M1594" s="78"/>
      <c r="N1594" s="78"/>
      <c r="O1594" s="78"/>
      <c r="P1594" s="78"/>
      <c r="Q1594" s="78"/>
      <c r="R1594" s="78"/>
      <c r="S1594" s="78"/>
      <c r="T1594" s="78"/>
      <c r="U1594" s="78"/>
      <c r="V1594" s="78"/>
      <c r="W1594" s="78"/>
      <c r="X1594" s="78"/>
      <c r="Y1594" s="78"/>
      <c r="Z1594" s="78"/>
      <c r="AA1594" s="78"/>
      <c r="AB1594" s="78"/>
      <c r="AC1594" s="78"/>
      <c r="AD1594" s="78"/>
      <c r="AE1594" s="78"/>
      <c r="AF1594" s="78"/>
      <c r="AG1594" s="78"/>
      <c r="AH1594" s="78"/>
      <c r="AI1594" s="78"/>
      <c r="AJ1594" s="78"/>
      <c r="AK1594" s="78"/>
    </row>
    <row r="1595" spans="1:37">
      <c r="A1595" s="78"/>
      <c r="B1595" s="78"/>
      <c r="C1595" s="78"/>
      <c r="D1595" s="78"/>
      <c r="E1595" s="78"/>
      <c r="F1595" s="78"/>
      <c r="G1595" s="78"/>
      <c r="H1595" s="78"/>
      <c r="I1595" s="78"/>
      <c r="J1595" s="78"/>
      <c r="K1595" s="78"/>
      <c r="L1595" s="78"/>
      <c r="M1595" s="78"/>
      <c r="N1595" s="78"/>
      <c r="O1595" s="78"/>
      <c r="P1595" s="78"/>
      <c r="Q1595" s="78"/>
      <c r="R1595" s="78"/>
      <c r="S1595" s="78"/>
      <c r="T1595" s="78"/>
      <c r="U1595" s="78"/>
      <c r="V1595" s="78"/>
      <c r="W1595" s="78"/>
      <c r="X1595" s="78"/>
      <c r="Y1595" s="78"/>
      <c r="Z1595" s="78"/>
      <c r="AA1595" s="78"/>
      <c r="AB1595" s="78"/>
      <c r="AC1595" s="78"/>
      <c r="AD1595" s="78"/>
      <c r="AE1595" s="78"/>
      <c r="AF1595" s="78"/>
      <c r="AG1595" s="78"/>
      <c r="AH1595" s="78"/>
      <c r="AI1595" s="78"/>
      <c r="AJ1595" s="78"/>
      <c r="AK1595" s="78"/>
    </row>
    <row r="1596" spans="1:37">
      <c r="A1596" s="78"/>
      <c r="B1596" s="78"/>
      <c r="C1596" s="78"/>
      <c r="D1596" s="78"/>
      <c r="E1596" s="78"/>
      <c r="F1596" s="78"/>
      <c r="G1596" s="78"/>
      <c r="H1596" s="78"/>
      <c r="I1596" s="78"/>
      <c r="J1596" s="78"/>
      <c r="K1596" s="78"/>
      <c r="L1596" s="78"/>
      <c r="M1596" s="78"/>
      <c r="N1596" s="78"/>
      <c r="O1596" s="78"/>
      <c r="P1596" s="78"/>
      <c r="Q1596" s="78"/>
      <c r="R1596" s="78"/>
      <c r="S1596" s="78"/>
      <c r="T1596" s="78"/>
      <c r="U1596" s="78"/>
      <c r="V1596" s="78"/>
      <c r="W1596" s="78"/>
      <c r="X1596" s="78"/>
      <c r="Y1596" s="78"/>
      <c r="Z1596" s="78"/>
      <c r="AA1596" s="78"/>
      <c r="AB1596" s="78"/>
      <c r="AC1596" s="78"/>
      <c r="AD1596" s="78"/>
      <c r="AE1596" s="78"/>
      <c r="AF1596" s="78"/>
      <c r="AG1596" s="78"/>
      <c r="AH1596" s="78"/>
      <c r="AI1596" s="78"/>
      <c r="AJ1596" s="78"/>
      <c r="AK1596" s="78"/>
    </row>
    <row r="1597" spans="1:37">
      <c r="A1597" s="78"/>
      <c r="B1597" s="78"/>
      <c r="C1597" s="78"/>
      <c r="D1597" s="78"/>
      <c r="E1597" s="78"/>
      <c r="F1597" s="78"/>
      <c r="G1597" s="78"/>
      <c r="H1597" s="78"/>
      <c r="I1597" s="78"/>
      <c r="J1597" s="78"/>
      <c r="K1597" s="78"/>
      <c r="L1597" s="78"/>
      <c r="M1597" s="78"/>
      <c r="N1597" s="78"/>
      <c r="O1597" s="78"/>
      <c r="P1597" s="78"/>
      <c r="Q1597" s="78"/>
      <c r="R1597" s="78"/>
      <c r="S1597" s="78"/>
      <c r="T1597" s="78"/>
      <c r="U1597" s="78"/>
      <c r="V1597" s="78"/>
      <c r="W1597" s="78"/>
      <c r="X1597" s="78"/>
      <c r="Y1597" s="78"/>
      <c r="Z1597" s="78"/>
      <c r="AA1597" s="78"/>
      <c r="AB1597" s="78"/>
      <c r="AC1597" s="78"/>
      <c r="AD1597" s="78"/>
      <c r="AE1597" s="78"/>
      <c r="AF1597" s="78"/>
      <c r="AG1597" s="78"/>
      <c r="AH1597" s="78"/>
      <c r="AI1597" s="78"/>
      <c r="AJ1597" s="78"/>
      <c r="AK1597" s="78"/>
    </row>
    <row r="1598" spans="1:37">
      <c r="A1598" s="78"/>
      <c r="B1598" s="78"/>
      <c r="C1598" s="78"/>
      <c r="D1598" s="78"/>
      <c r="E1598" s="78"/>
      <c r="F1598" s="78"/>
      <c r="G1598" s="78"/>
      <c r="H1598" s="78"/>
      <c r="I1598" s="78"/>
      <c r="J1598" s="78"/>
      <c r="K1598" s="78"/>
      <c r="L1598" s="78"/>
      <c r="M1598" s="78"/>
      <c r="N1598" s="78"/>
      <c r="O1598" s="78"/>
      <c r="P1598" s="78"/>
      <c r="Q1598" s="78"/>
      <c r="R1598" s="78"/>
      <c r="S1598" s="78"/>
      <c r="T1598" s="78"/>
      <c r="U1598" s="78"/>
      <c r="V1598" s="78"/>
      <c r="W1598" s="78"/>
      <c r="X1598" s="78"/>
      <c r="Y1598" s="78"/>
      <c r="Z1598" s="78"/>
      <c r="AA1598" s="78"/>
      <c r="AB1598" s="78"/>
      <c r="AC1598" s="78"/>
      <c r="AD1598" s="78"/>
      <c r="AE1598" s="78"/>
      <c r="AF1598" s="78"/>
      <c r="AG1598" s="78"/>
      <c r="AH1598" s="78"/>
      <c r="AI1598" s="78"/>
      <c r="AJ1598" s="78"/>
      <c r="AK1598" s="78"/>
    </row>
    <row r="1599" spans="1:37">
      <c r="A1599" s="78"/>
      <c r="B1599" s="78"/>
      <c r="C1599" s="78"/>
      <c r="D1599" s="78"/>
      <c r="E1599" s="78"/>
      <c r="F1599" s="78"/>
      <c r="G1599" s="78"/>
      <c r="H1599" s="78"/>
      <c r="I1599" s="78"/>
      <c r="J1599" s="78"/>
      <c r="K1599" s="78"/>
      <c r="L1599" s="78"/>
      <c r="M1599" s="78"/>
      <c r="N1599" s="78"/>
      <c r="O1599" s="78"/>
      <c r="P1599" s="78"/>
      <c r="Q1599" s="78"/>
      <c r="R1599" s="78"/>
      <c r="S1599" s="78"/>
      <c r="T1599" s="78"/>
      <c r="U1599" s="78"/>
      <c r="V1599" s="78"/>
      <c r="W1599" s="78"/>
      <c r="X1599" s="78"/>
      <c r="Y1599" s="78"/>
      <c r="Z1599" s="78"/>
      <c r="AA1599" s="78"/>
      <c r="AB1599" s="78"/>
      <c r="AC1599" s="78"/>
      <c r="AD1599" s="78"/>
      <c r="AE1599" s="78"/>
      <c r="AF1599" s="78"/>
      <c r="AG1599" s="78"/>
      <c r="AH1599" s="78"/>
      <c r="AI1599" s="78"/>
      <c r="AJ1599" s="78"/>
      <c r="AK1599" s="78"/>
    </row>
    <row r="1600" spans="1:37">
      <c r="A1600" s="78"/>
      <c r="B1600" s="78"/>
      <c r="C1600" s="78"/>
      <c r="D1600" s="78"/>
      <c r="E1600" s="78"/>
      <c r="F1600" s="78"/>
      <c r="G1600" s="78"/>
      <c r="H1600" s="78"/>
      <c r="I1600" s="78"/>
      <c r="J1600" s="78"/>
      <c r="K1600" s="78"/>
      <c r="L1600" s="78"/>
      <c r="M1600" s="78"/>
      <c r="N1600" s="78"/>
      <c r="O1600" s="78"/>
      <c r="P1600" s="78"/>
      <c r="Q1600" s="78"/>
      <c r="R1600" s="78"/>
      <c r="S1600" s="78"/>
      <c r="T1600" s="78"/>
      <c r="U1600" s="78"/>
      <c r="V1600" s="78"/>
      <c r="W1600" s="78"/>
      <c r="X1600" s="78"/>
      <c r="Y1600" s="78"/>
      <c r="Z1600" s="78"/>
      <c r="AA1600" s="78"/>
      <c r="AB1600" s="78"/>
      <c r="AC1600" s="78"/>
      <c r="AD1600" s="78"/>
      <c r="AE1600" s="78"/>
      <c r="AF1600" s="78"/>
      <c r="AG1600" s="78"/>
      <c r="AH1600" s="78"/>
      <c r="AI1600" s="78"/>
      <c r="AJ1600" s="78"/>
      <c r="AK1600" s="78"/>
    </row>
    <row r="1601" spans="1:37">
      <c r="A1601" s="78"/>
      <c r="B1601" s="78"/>
      <c r="C1601" s="78"/>
      <c r="D1601" s="78"/>
      <c r="E1601" s="78"/>
      <c r="F1601" s="78"/>
      <c r="G1601" s="78"/>
      <c r="H1601" s="78"/>
      <c r="I1601" s="78"/>
      <c r="J1601" s="78"/>
      <c r="K1601" s="78"/>
      <c r="L1601" s="78"/>
      <c r="M1601" s="78"/>
      <c r="N1601" s="78"/>
      <c r="O1601" s="78"/>
      <c r="P1601" s="78"/>
      <c r="Q1601" s="78"/>
      <c r="R1601" s="78"/>
      <c r="S1601" s="78"/>
      <c r="T1601" s="78"/>
      <c r="U1601" s="78"/>
      <c r="V1601" s="78"/>
      <c r="W1601" s="78"/>
      <c r="X1601" s="78"/>
      <c r="Y1601" s="78"/>
      <c r="Z1601" s="78"/>
      <c r="AA1601" s="78"/>
      <c r="AB1601" s="78"/>
      <c r="AC1601" s="78"/>
      <c r="AD1601" s="78"/>
      <c r="AE1601" s="78"/>
      <c r="AF1601" s="78"/>
      <c r="AG1601" s="78"/>
      <c r="AH1601" s="78"/>
      <c r="AI1601" s="78"/>
      <c r="AJ1601" s="78"/>
      <c r="AK1601" s="78"/>
    </row>
    <row r="1602" spans="1:37">
      <c r="A1602" s="78"/>
      <c r="B1602" s="78"/>
      <c r="C1602" s="78"/>
      <c r="D1602" s="78"/>
      <c r="E1602" s="78"/>
      <c r="F1602" s="78"/>
      <c r="G1602" s="78"/>
      <c r="H1602" s="78"/>
      <c r="I1602" s="78"/>
      <c r="J1602" s="78"/>
      <c r="K1602" s="78"/>
      <c r="L1602" s="78"/>
      <c r="M1602" s="78"/>
      <c r="N1602" s="78"/>
      <c r="O1602" s="78"/>
      <c r="P1602" s="78"/>
      <c r="Q1602" s="78"/>
      <c r="R1602" s="78"/>
      <c r="S1602" s="78"/>
      <c r="T1602" s="78"/>
      <c r="U1602" s="78"/>
      <c r="V1602" s="78"/>
      <c r="W1602" s="78"/>
      <c r="X1602" s="78"/>
      <c r="Y1602" s="78"/>
      <c r="Z1602" s="78"/>
      <c r="AA1602" s="78"/>
      <c r="AB1602" s="78"/>
      <c r="AC1602" s="78"/>
      <c r="AD1602" s="78"/>
      <c r="AE1602" s="78"/>
      <c r="AF1602" s="78"/>
      <c r="AG1602" s="78"/>
      <c r="AH1602" s="78"/>
      <c r="AI1602" s="78"/>
      <c r="AJ1602" s="78"/>
      <c r="AK1602" s="78"/>
    </row>
    <row r="1603" spans="1:37">
      <c r="A1603" s="78"/>
      <c r="B1603" s="78"/>
      <c r="C1603" s="78"/>
      <c r="D1603" s="78"/>
      <c r="E1603" s="78"/>
      <c r="F1603" s="78"/>
      <c r="G1603" s="78"/>
      <c r="H1603" s="78"/>
      <c r="I1603" s="78"/>
      <c r="J1603" s="78"/>
      <c r="K1603" s="78"/>
      <c r="L1603" s="78"/>
      <c r="M1603" s="78"/>
      <c r="N1603" s="78"/>
      <c r="O1603" s="78"/>
      <c r="P1603" s="78"/>
      <c r="Q1603" s="78"/>
      <c r="R1603" s="78"/>
      <c r="S1603" s="78"/>
      <c r="T1603" s="78"/>
      <c r="U1603" s="78"/>
      <c r="V1603" s="78"/>
      <c r="W1603" s="78"/>
      <c r="X1603" s="78"/>
      <c r="Y1603" s="78"/>
      <c r="Z1603" s="78"/>
      <c r="AA1603" s="78"/>
      <c r="AB1603" s="78"/>
      <c r="AC1603" s="78"/>
      <c r="AD1603" s="78"/>
      <c r="AE1603" s="78"/>
      <c r="AF1603" s="78"/>
      <c r="AG1603" s="78"/>
      <c r="AH1603" s="78"/>
      <c r="AI1603" s="78"/>
      <c r="AJ1603" s="78"/>
      <c r="AK1603" s="78"/>
    </row>
    <row r="1604" spans="1:37">
      <c r="A1604" s="78"/>
      <c r="B1604" s="78"/>
      <c r="C1604" s="78"/>
      <c r="D1604" s="78"/>
      <c r="E1604" s="78"/>
      <c r="F1604" s="78"/>
      <c r="G1604" s="78"/>
      <c r="H1604" s="78"/>
      <c r="I1604" s="78"/>
      <c r="J1604" s="78"/>
      <c r="K1604" s="78"/>
      <c r="L1604" s="78"/>
      <c r="M1604" s="78"/>
      <c r="N1604" s="78"/>
      <c r="O1604" s="78"/>
      <c r="P1604" s="78"/>
      <c r="Q1604" s="78"/>
      <c r="R1604" s="78"/>
      <c r="S1604" s="78"/>
      <c r="T1604" s="78"/>
      <c r="U1604" s="78"/>
      <c r="V1604" s="78"/>
      <c r="W1604" s="78"/>
      <c r="X1604" s="78"/>
      <c r="Y1604" s="78"/>
      <c r="Z1604" s="78"/>
      <c r="AA1604" s="78"/>
      <c r="AB1604" s="78"/>
      <c r="AC1604" s="78"/>
      <c r="AD1604" s="78"/>
      <c r="AE1604" s="78"/>
      <c r="AF1604" s="78"/>
      <c r="AG1604" s="78"/>
      <c r="AH1604" s="78"/>
      <c r="AI1604" s="78"/>
      <c r="AJ1604" s="78"/>
      <c r="AK1604" s="78"/>
    </row>
    <row r="1605" spans="1:37">
      <c r="A1605" s="78"/>
      <c r="B1605" s="78"/>
      <c r="C1605" s="78"/>
      <c r="D1605" s="78"/>
      <c r="E1605" s="78"/>
      <c r="F1605" s="78"/>
      <c r="G1605" s="78"/>
      <c r="H1605" s="78"/>
      <c r="I1605" s="78"/>
      <c r="J1605" s="78"/>
      <c r="K1605" s="78"/>
      <c r="L1605" s="78"/>
      <c r="M1605" s="78"/>
      <c r="N1605" s="78"/>
      <c r="O1605" s="78"/>
      <c r="P1605" s="78"/>
      <c r="Q1605" s="78"/>
      <c r="R1605" s="78"/>
      <c r="S1605" s="78"/>
      <c r="T1605" s="78"/>
      <c r="U1605" s="78"/>
      <c r="V1605" s="78"/>
      <c r="W1605" s="78"/>
      <c r="X1605" s="78"/>
      <c r="Y1605" s="78"/>
      <c r="Z1605" s="78"/>
      <c r="AA1605" s="78"/>
      <c r="AB1605" s="78"/>
      <c r="AC1605" s="78"/>
      <c r="AD1605" s="78"/>
      <c r="AE1605" s="78"/>
      <c r="AF1605" s="78"/>
      <c r="AG1605" s="78"/>
      <c r="AH1605" s="78"/>
      <c r="AI1605" s="78"/>
      <c r="AJ1605" s="78"/>
      <c r="AK1605" s="78"/>
    </row>
    <row r="1606" spans="1:37">
      <c r="A1606" s="78"/>
      <c r="B1606" s="78"/>
      <c r="C1606" s="78"/>
      <c r="D1606" s="78"/>
      <c r="E1606" s="78"/>
      <c r="F1606" s="78"/>
      <c r="G1606" s="78"/>
      <c r="H1606" s="78"/>
      <c r="I1606" s="78"/>
      <c r="J1606" s="78"/>
      <c r="K1606" s="78"/>
      <c r="L1606" s="78"/>
      <c r="M1606" s="78"/>
      <c r="N1606" s="78"/>
      <c r="O1606" s="78"/>
      <c r="P1606" s="78"/>
      <c r="Q1606" s="78"/>
      <c r="R1606" s="78"/>
      <c r="S1606" s="78"/>
      <c r="T1606" s="78"/>
      <c r="U1606" s="78"/>
      <c r="V1606" s="78"/>
      <c r="W1606" s="78"/>
      <c r="X1606" s="78"/>
      <c r="Y1606" s="78"/>
      <c r="Z1606" s="78"/>
      <c r="AA1606" s="78"/>
      <c r="AB1606" s="78"/>
      <c r="AC1606" s="78"/>
      <c r="AD1606" s="78"/>
      <c r="AE1606" s="78"/>
      <c r="AF1606" s="78"/>
      <c r="AG1606" s="78"/>
      <c r="AH1606" s="78"/>
      <c r="AI1606" s="78"/>
      <c r="AJ1606" s="78"/>
      <c r="AK1606" s="78"/>
    </row>
    <row r="1607" spans="1:37">
      <c r="A1607" s="78"/>
      <c r="B1607" s="78"/>
      <c r="C1607" s="78"/>
      <c r="D1607" s="78"/>
      <c r="E1607" s="78"/>
      <c r="F1607" s="78"/>
      <c r="G1607" s="78"/>
      <c r="H1607" s="78"/>
      <c r="I1607" s="78"/>
      <c r="J1607" s="78"/>
      <c r="K1607" s="78"/>
      <c r="L1607" s="78"/>
      <c r="M1607" s="78"/>
      <c r="N1607" s="78"/>
      <c r="O1607" s="78"/>
      <c r="P1607" s="78"/>
      <c r="Q1607" s="78"/>
      <c r="R1607" s="78"/>
      <c r="S1607" s="78"/>
      <c r="T1607" s="78"/>
      <c r="U1607" s="78"/>
      <c r="V1607" s="78"/>
      <c r="W1607" s="78"/>
      <c r="X1607" s="78"/>
      <c r="Y1607" s="78"/>
      <c r="Z1607" s="78"/>
      <c r="AA1607" s="78"/>
      <c r="AB1607" s="78"/>
      <c r="AC1607" s="78"/>
      <c r="AD1607" s="78"/>
      <c r="AE1607" s="78"/>
      <c r="AF1607" s="78"/>
      <c r="AG1607" s="78"/>
      <c r="AH1607" s="78"/>
      <c r="AI1607" s="78"/>
      <c r="AJ1607" s="78"/>
      <c r="AK1607" s="78"/>
    </row>
    <row r="1608" spans="1:37">
      <c r="A1608" s="78"/>
      <c r="B1608" s="78"/>
      <c r="C1608" s="78"/>
      <c r="D1608" s="78"/>
      <c r="E1608" s="78"/>
      <c r="F1608" s="78"/>
      <c r="G1608" s="78"/>
      <c r="H1608" s="78"/>
      <c r="I1608" s="78"/>
      <c r="J1608" s="78"/>
      <c r="K1608" s="78"/>
      <c r="L1608" s="78"/>
      <c r="M1608" s="78"/>
      <c r="N1608" s="78"/>
      <c r="O1608" s="78"/>
      <c r="P1608" s="78"/>
      <c r="Q1608" s="78"/>
      <c r="R1608" s="78"/>
      <c r="S1608" s="78"/>
      <c r="T1608" s="78"/>
      <c r="U1608" s="78"/>
      <c r="V1608" s="78"/>
      <c r="W1608" s="78"/>
      <c r="X1608" s="78"/>
      <c r="Y1608" s="78"/>
      <c r="Z1608" s="78"/>
      <c r="AA1608" s="78"/>
      <c r="AB1608" s="78"/>
      <c r="AC1608" s="78"/>
      <c r="AD1608" s="78"/>
      <c r="AE1608" s="78"/>
      <c r="AF1608" s="78"/>
      <c r="AG1608" s="78"/>
      <c r="AH1608" s="78"/>
      <c r="AI1608" s="78"/>
      <c r="AJ1608" s="78"/>
      <c r="AK1608" s="78"/>
    </row>
    <row r="1609" spans="1:37">
      <c r="A1609" s="78"/>
      <c r="B1609" s="78"/>
      <c r="C1609" s="78"/>
      <c r="D1609" s="78"/>
      <c r="E1609" s="78"/>
      <c r="F1609" s="78"/>
      <c r="G1609" s="78"/>
      <c r="H1609" s="78"/>
      <c r="I1609" s="78"/>
      <c r="J1609" s="78"/>
      <c r="K1609" s="78"/>
      <c r="L1609" s="78"/>
      <c r="M1609" s="78"/>
      <c r="N1609" s="78"/>
      <c r="O1609" s="78"/>
      <c r="P1609" s="78"/>
      <c r="Q1609" s="78"/>
      <c r="R1609" s="78"/>
      <c r="S1609" s="78"/>
      <c r="T1609" s="78"/>
      <c r="U1609" s="78"/>
      <c r="V1609" s="78"/>
      <c r="W1609" s="78"/>
      <c r="X1609" s="78"/>
      <c r="Y1609" s="78"/>
      <c r="Z1609" s="78"/>
      <c r="AA1609" s="78"/>
      <c r="AB1609" s="78"/>
      <c r="AC1609" s="78"/>
      <c r="AD1609" s="78"/>
      <c r="AE1609" s="78"/>
      <c r="AF1609" s="78"/>
      <c r="AG1609" s="78"/>
      <c r="AH1609" s="78"/>
      <c r="AI1609" s="78"/>
      <c r="AJ1609" s="78"/>
      <c r="AK1609" s="78"/>
    </row>
    <row r="1610" spans="1:37">
      <c r="A1610" s="78"/>
      <c r="B1610" s="78"/>
      <c r="C1610" s="78"/>
      <c r="D1610" s="78"/>
      <c r="E1610" s="78"/>
      <c r="F1610" s="78"/>
      <c r="G1610" s="78"/>
      <c r="H1610" s="78"/>
      <c r="I1610" s="78"/>
      <c r="J1610" s="78"/>
      <c r="K1610" s="78"/>
      <c r="L1610" s="78"/>
      <c r="M1610" s="78"/>
      <c r="N1610" s="78"/>
      <c r="O1610" s="78"/>
      <c r="P1610" s="78"/>
      <c r="Q1610" s="78"/>
      <c r="R1610" s="78"/>
      <c r="S1610" s="78"/>
      <c r="T1610" s="78"/>
      <c r="U1610" s="78"/>
      <c r="V1610" s="78"/>
      <c r="W1610" s="78"/>
      <c r="X1610" s="78"/>
      <c r="Y1610" s="78"/>
      <c r="Z1610" s="78"/>
      <c r="AA1610" s="78"/>
      <c r="AB1610" s="78"/>
      <c r="AC1610" s="78"/>
      <c r="AD1610" s="78"/>
      <c r="AE1610" s="78"/>
      <c r="AF1610" s="78"/>
      <c r="AG1610" s="78"/>
      <c r="AH1610" s="78"/>
      <c r="AI1610" s="78"/>
      <c r="AJ1610" s="78"/>
      <c r="AK1610" s="78"/>
    </row>
    <row r="1611" spans="1:37">
      <c r="A1611" s="78"/>
      <c r="B1611" s="78"/>
      <c r="C1611" s="78"/>
      <c r="D1611" s="78"/>
      <c r="E1611" s="78"/>
      <c r="F1611" s="78"/>
      <c r="G1611" s="78"/>
      <c r="H1611" s="78"/>
      <c r="I1611" s="78"/>
      <c r="J1611" s="78"/>
      <c r="K1611" s="78"/>
      <c r="L1611" s="78"/>
      <c r="M1611" s="78"/>
      <c r="N1611" s="78"/>
      <c r="O1611" s="78"/>
      <c r="P1611" s="78"/>
      <c r="Q1611" s="78"/>
      <c r="R1611" s="78"/>
      <c r="S1611" s="78"/>
      <c r="T1611" s="78"/>
      <c r="U1611" s="78"/>
      <c r="V1611" s="78"/>
      <c r="W1611" s="78"/>
      <c r="X1611" s="78"/>
      <c r="Y1611" s="78"/>
      <c r="Z1611" s="78"/>
      <c r="AA1611" s="78"/>
      <c r="AB1611" s="78"/>
      <c r="AC1611" s="78"/>
      <c r="AD1611" s="78"/>
      <c r="AE1611" s="78"/>
      <c r="AF1611" s="78"/>
      <c r="AG1611" s="78"/>
      <c r="AH1611" s="78"/>
      <c r="AI1611" s="78"/>
      <c r="AJ1611" s="78"/>
      <c r="AK1611" s="78"/>
    </row>
    <row r="1612" spans="1:37">
      <c r="A1612" s="78"/>
      <c r="B1612" s="78"/>
      <c r="C1612" s="78"/>
      <c r="D1612" s="78"/>
      <c r="E1612" s="78"/>
      <c r="F1612" s="78"/>
      <c r="G1612" s="78"/>
      <c r="H1612" s="78"/>
      <c r="I1612" s="78"/>
      <c r="J1612" s="78"/>
      <c r="K1612" s="78"/>
      <c r="L1612" s="78"/>
      <c r="M1612" s="78"/>
      <c r="N1612" s="78"/>
      <c r="O1612" s="78"/>
      <c r="P1612" s="78"/>
      <c r="Q1612" s="78"/>
      <c r="R1612" s="78"/>
      <c r="S1612" s="78"/>
      <c r="T1612" s="78"/>
      <c r="U1612" s="78"/>
      <c r="V1612" s="78"/>
      <c r="W1612" s="78"/>
      <c r="X1612" s="78"/>
      <c r="Y1612" s="78"/>
      <c r="Z1612" s="78"/>
      <c r="AA1612" s="78"/>
      <c r="AB1612" s="78"/>
      <c r="AC1612" s="78"/>
      <c r="AD1612" s="78"/>
      <c r="AE1612" s="78"/>
      <c r="AF1612" s="78"/>
      <c r="AG1612" s="78"/>
      <c r="AH1612" s="78"/>
      <c r="AI1612" s="78"/>
      <c r="AJ1612" s="78"/>
      <c r="AK1612" s="78"/>
    </row>
    <row r="1613" spans="1:37">
      <c r="A1613" s="78"/>
      <c r="B1613" s="78"/>
      <c r="C1613" s="78"/>
      <c r="D1613" s="78"/>
      <c r="E1613" s="78"/>
      <c r="F1613" s="78"/>
      <c r="G1613" s="78"/>
      <c r="H1613" s="78"/>
      <c r="I1613" s="78"/>
      <c r="J1613" s="78"/>
      <c r="K1613" s="78"/>
      <c r="L1613" s="78"/>
      <c r="M1613" s="78"/>
      <c r="N1613" s="78"/>
      <c r="O1613" s="78"/>
      <c r="P1613" s="78"/>
      <c r="Q1613" s="78"/>
      <c r="R1613" s="78"/>
      <c r="S1613" s="78"/>
      <c r="T1613" s="78"/>
      <c r="U1613" s="78"/>
      <c r="V1613" s="78"/>
      <c r="W1613" s="78"/>
      <c r="X1613" s="78"/>
      <c r="Y1613" s="78"/>
      <c r="Z1613" s="78"/>
      <c r="AA1613" s="78"/>
      <c r="AB1613" s="78"/>
      <c r="AC1613" s="78"/>
      <c r="AD1613" s="78"/>
      <c r="AE1613" s="78"/>
      <c r="AF1613" s="78"/>
      <c r="AG1613" s="78"/>
      <c r="AH1613" s="78"/>
      <c r="AI1613" s="78"/>
      <c r="AJ1613" s="78"/>
      <c r="AK1613" s="78"/>
    </row>
    <row r="1614" spans="1:37">
      <c r="A1614" s="78"/>
      <c r="B1614" s="78"/>
      <c r="C1614" s="78"/>
      <c r="D1614" s="78"/>
      <c r="E1614" s="78"/>
      <c r="F1614" s="78"/>
      <c r="G1614" s="78"/>
      <c r="H1614" s="78"/>
      <c r="I1614" s="78"/>
      <c r="J1614" s="78"/>
      <c r="K1614" s="78"/>
      <c r="L1614" s="78"/>
      <c r="M1614" s="78"/>
      <c r="N1614" s="78"/>
      <c r="O1614" s="78"/>
      <c r="P1614" s="78"/>
      <c r="Q1614" s="78"/>
      <c r="R1614" s="78"/>
      <c r="S1614" s="78"/>
      <c r="T1614" s="78"/>
      <c r="U1614" s="78"/>
      <c r="V1614" s="78"/>
      <c r="W1614" s="78"/>
      <c r="X1614" s="78"/>
      <c r="Y1614" s="78"/>
      <c r="Z1614" s="78"/>
      <c r="AA1614" s="78"/>
      <c r="AB1614" s="78"/>
      <c r="AC1614" s="78"/>
      <c r="AD1614" s="78"/>
      <c r="AE1614" s="78"/>
      <c r="AF1614" s="78"/>
      <c r="AG1614" s="78"/>
      <c r="AH1614" s="78"/>
      <c r="AI1614" s="78"/>
      <c r="AJ1614" s="78"/>
      <c r="AK1614" s="78"/>
    </row>
    <row r="1615" spans="1:37">
      <c r="A1615" s="78"/>
      <c r="B1615" s="78"/>
      <c r="C1615" s="78"/>
      <c r="D1615" s="78"/>
      <c r="E1615" s="78"/>
      <c r="F1615" s="78"/>
      <c r="G1615" s="78"/>
      <c r="H1615" s="78"/>
      <c r="I1615" s="78"/>
      <c r="J1615" s="78"/>
      <c r="K1615" s="78"/>
      <c r="L1615" s="78"/>
      <c r="M1615" s="78"/>
      <c r="N1615" s="78"/>
      <c r="O1615" s="78"/>
      <c r="P1615" s="78"/>
      <c r="Q1615" s="78"/>
      <c r="R1615" s="78"/>
      <c r="S1615" s="78"/>
      <c r="T1615" s="78"/>
      <c r="U1615" s="78"/>
      <c r="V1615" s="78"/>
      <c r="W1615" s="78"/>
      <c r="X1615" s="78"/>
      <c r="Y1615" s="78"/>
      <c r="Z1615" s="78"/>
      <c r="AA1615" s="78"/>
      <c r="AB1615" s="78"/>
      <c r="AC1615" s="78"/>
      <c r="AD1615" s="78"/>
      <c r="AE1615" s="78"/>
      <c r="AF1615" s="78"/>
      <c r="AG1615" s="78"/>
      <c r="AH1615" s="78"/>
      <c r="AI1615" s="78"/>
      <c r="AJ1615" s="78"/>
      <c r="AK1615" s="78"/>
    </row>
    <row r="1616" spans="1:37">
      <c r="A1616" s="78"/>
      <c r="B1616" s="78"/>
      <c r="C1616" s="78"/>
      <c r="D1616" s="78"/>
      <c r="E1616" s="78"/>
      <c r="F1616" s="78"/>
      <c r="G1616" s="78"/>
      <c r="H1616" s="78"/>
      <c r="I1616" s="78"/>
      <c r="J1616" s="78"/>
      <c r="K1616" s="78"/>
      <c r="L1616" s="78"/>
      <c r="M1616" s="78"/>
      <c r="N1616" s="78"/>
      <c r="O1616" s="78"/>
      <c r="P1616" s="78"/>
      <c r="Q1616" s="78"/>
      <c r="R1616" s="78"/>
      <c r="S1616" s="78"/>
      <c r="T1616" s="78"/>
      <c r="U1616" s="78"/>
      <c r="V1616" s="78"/>
      <c r="W1616" s="78"/>
      <c r="X1616" s="78"/>
      <c r="Y1616" s="78"/>
      <c r="Z1616" s="78"/>
      <c r="AA1616" s="78"/>
      <c r="AB1616" s="78"/>
      <c r="AC1616" s="78"/>
      <c r="AD1616" s="78"/>
      <c r="AE1616" s="78"/>
      <c r="AF1616" s="78"/>
      <c r="AG1616" s="78"/>
      <c r="AH1616" s="78"/>
      <c r="AI1616" s="78"/>
      <c r="AJ1616" s="78"/>
      <c r="AK1616" s="78"/>
    </row>
    <row r="1617" spans="1:37">
      <c r="A1617" s="78"/>
      <c r="B1617" s="78"/>
      <c r="C1617" s="78"/>
      <c r="D1617" s="78"/>
      <c r="E1617" s="78"/>
      <c r="F1617" s="78"/>
      <c r="G1617" s="78"/>
      <c r="H1617" s="78"/>
      <c r="I1617" s="78"/>
      <c r="J1617" s="78"/>
      <c r="K1617" s="78"/>
      <c r="L1617" s="78"/>
      <c r="M1617" s="78"/>
      <c r="N1617" s="78"/>
      <c r="O1617" s="78"/>
      <c r="P1617" s="78"/>
      <c r="Q1617" s="78"/>
      <c r="R1617" s="78"/>
      <c r="S1617" s="78"/>
      <c r="T1617" s="78"/>
      <c r="U1617" s="78"/>
      <c r="V1617" s="78"/>
      <c r="W1617" s="78"/>
      <c r="X1617" s="78"/>
      <c r="Y1617" s="78"/>
      <c r="Z1617" s="78"/>
      <c r="AA1617" s="78"/>
      <c r="AB1617" s="78"/>
      <c r="AC1617" s="78"/>
      <c r="AD1617" s="78"/>
      <c r="AE1617" s="78"/>
      <c r="AF1617" s="78"/>
      <c r="AG1617" s="78"/>
      <c r="AH1617" s="78"/>
      <c r="AI1617" s="78"/>
      <c r="AJ1617" s="78"/>
      <c r="AK1617" s="78"/>
    </row>
    <row r="1618" spans="1:37">
      <c r="A1618" s="78"/>
      <c r="B1618" s="78"/>
      <c r="C1618" s="78"/>
      <c r="D1618" s="78"/>
      <c r="E1618" s="78"/>
      <c r="F1618" s="78"/>
      <c r="G1618" s="78"/>
      <c r="H1618" s="78"/>
      <c r="I1618" s="78"/>
      <c r="J1618" s="78"/>
      <c r="K1618" s="78"/>
      <c r="L1618" s="78"/>
      <c r="M1618" s="78"/>
      <c r="N1618" s="78"/>
      <c r="O1618" s="78"/>
      <c r="P1618" s="78"/>
      <c r="Q1618" s="78"/>
      <c r="R1618" s="78"/>
      <c r="S1618" s="78"/>
      <c r="T1618" s="78"/>
      <c r="U1618" s="78"/>
      <c r="V1618" s="78"/>
      <c r="W1618" s="78"/>
      <c r="X1618" s="78"/>
      <c r="Y1618" s="78"/>
      <c r="Z1618" s="78"/>
      <c r="AA1618" s="78"/>
      <c r="AB1618" s="78"/>
      <c r="AC1618" s="78"/>
      <c r="AD1618" s="78"/>
      <c r="AE1618" s="78"/>
      <c r="AF1618" s="78"/>
      <c r="AG1618" s="78"/>
      <c r="AH1618" s="78"/>
      <c r="AI1618" s="78"/>
      <c r="AJ1618" s="78"/>
      <c r="AK1618" s="78"/>
    </row>
    <row r="1619" spans="1:37">
      <c r="A1619" s="78"/>
      <c r="B1619" s="78"/>
      <c r="C1619" s="78"/>
      <c r="D1619" s="78"/>
      <c r="E1619" s="78"/>
      <c r="F1619" s="78"/>
      <c r="G1619" s="78"/>
      <c r="H1619" s="78"/>
      <c r="I1619" s="78"/>
      <c r="J1619" s="78"/>
      <c r="K1619" s="78"/>
      <c r="L1619" s="78"/>
      <c r="M1619" s="78"/>
      <c r="N1619" s="78"/>
      <c r="O1619" s="78"/>
      <c r="P1619" s="78"/>
      <c r="Q1619" s="78"/>
      <c r="R1619" s="78"/>
      <c r="S1619" s="78"/>
      <c r="T1619" s="78"/>
      <c r="U1619" s="78"/>
      <c r="V1619" s="78"/>
      <c r="W1619" s="78"/>
      <c r="X1619" s="78"/>
      <c r="Y1619" s="78"/>
      <c r="Z1619" s="78"/>
      <c r="AA1619" s="78"/>
      <c r="AB1619" s="78"/>
      <c r="AC1619" s="78"/>
      <c r="AD1619" s="78"/>
      <c r="AE1619" s="78"/>
      <c r="AF1619" s="78"/>
      <c r="AG1619" s="78"/>
      <c r="AH1619" s="78"/>
      <c r="AI1619" s="78"/>
      <c r="AJ1619" s="78"/>
      <c r="AK1619" s="78"/>
    </row>
    <row r="1620" spans="1:37">
      <c r="A1620" s="78"/>
      <c r="B1620" s="78"/>
      <c r="C1620" s="78"/>
      <c r="D1620" s="78"/>
      <c r="E1620" s="78"/>
      <c r="F1620" s="78"/>
      <c r="G1620" s="78"/>
      <c r="H1620" s="78"/>
      <c r="I1620" s="78"/>
      <c r="J1620" s="78"/>
      <c r="K1620" s="78"/>
      <c r="L1620" s="78"/>
      <c r="M1620" s="78"/>
      <c r="N1620" s="78"/>
      <c r="O1620" s="78"/>
      <c r="P1620" s="78"/>
      <c r="Q1620" s="78"/>
      <c r="R1620" s="78"/>
      <c r="S1620" s="78"/>
      <c r="T1620" s="78"/>
      <c r="U1620" s="78"/>
      <c r="V1620" s="78"/>
      <c r="W1620" s="78"/>
      <c r="X1620" s="78"/>
      <c r="Y1620" s="78"/>
      <c r="Z1620" s="78"/>
      <c r="AA1620" s="78"/>
      <c r="AB1620" s="78"/>
      <c r="AC1620" s="78"/>
      <c r="AD1620" s="78"/>
      <c r="AE1620" s="78"/>
      <c r="AF1620" s="78"/>
      <c r="AG1620" s="78"/>
      <c r="AH1620" s="78"/>
      <c r="AI1620" s="78"/>
      <c r="AJ1620" s="78"/>
      <c r="AK1620" s="78"/>
    </row>
    <row r="1621" spans="1:37">
      <c r="A1621" s="78"/>
      <c r="B1621" s="78"/>
      <c r="C1621" s="78"/>
      <c r="D1621" s="78"/>
      <c r="E1621" s="78"/>
      <c r="F1621" s="78"/>
      <c r="G1621" s="78"/>
      <c r="H1621" s="78"/>
      <c r="I1621" s="78"/>
      <c r="J1621" s="78"/>
      <c r="K1621" s="78"/>
      <c r="L1621" s="78"/>
      <c r="M1621" s="78"/>
      <c r="N1621" s="78"/>
      <c r="O1621" s="78"/>
      <c r="P1621" s="78"/>
      <c r="Q1621" s="78"/>
      <c r="R1621" s="78"/>
      <c r="S1621" s="78"/>
      <c r="T1621" s="78"/>
      <c r="U1621" s="78"/>
      <c r="V1621" s="78"/>
      <c r="W1621" s="78"/>
      <c r="X1621" s="78"/>
      <c r="Y1621" s="78"/>
      <c r="Z1621" s="78"/>
      <c r="AA1621" s="78"/>
      <c r="AB1621" s="78"/>
      <c r="AC1621" s="78"/>
      <c r="AD1621" s="78"/>
      <c r="AE1621" s="78"/>
      <c r="AF1621" s="78"/>
      <c r="AG1621" s="78"/>
      <c r="AH1621" s="78"/>
      <c r="AI1621" s="78"/>
      <c r="AJ1621" s="78"/>
      <c r="AK1621" s="78"/>
    </row>
    <row r="1622" spans="1:37">
      <c r="A1622" s="78"/>
      <c r="B1622" s="78"/>
      <c r="C1622" s="78"/>
      <c r="D1622" s="78"/>
      <c r="E1622" s="78"/>
      <c r="F1622" s="78"/>
      <c r="G1622" s="78"/>
      <c r="H1622" s="78"/>
      <c r="I1622" s="78"/>
      <c r="J1622" s="78"/>
      <c r="K1622" s="78"/>
      <c r="L1622" s="78"/>
      <c r="M1622" s="78"/>
      <c r="N1622" s="78"/>
      <c r="O1622" s="78"/>
      <c r="P1622" s="78"/>
      <c r="Q1622" s="78"/>
      <c r="R1622" s="78"/>
      <c r="S1622" s="78"/>
      <c r="T1622" s="78"/>
      <c r="U1622" s="78"/>
      <c r="V1622" s="78"/>
      <c r="W1622" s="78"/>
      <c r="X1622" s="78"/>
      <c r="Y1622" s="78"/>
      <c r="Z1622" s="78"/>
      <c r="AA1622" s="78"/>
      <c r="AB1622" s="78"/>
      <c r="AC1622" s="78"/>
      <c r="AD1622" s="78"/>
      <c r="AE1622" s="78"/>
      <c r="AF1622" s="78"/>
      <c r="AG1622" s="78"/>
      <c r="AH1622" s="78"/>
      <c r="AI1622" s="78"/>
      <c r="AJ1622" s="78"/>
      <c r="AK1622" s="78"/>
    </row>
    <row r="1623" spans="1:37">
      <c r="A1623" s="78"/>
      <c r="B1623" s="78"/>
      <c r="C1623" s="78"/>
      <c r="D1623" s="78"/>
      <c r="E1623" s="78"/>
      <c r="F1623" s="78"/>
      <c r="G1623" s="78"/>
      <c r="H1623" s="78"/>
      <c r="I1623" s="78"/>
      <c r="J1623" s="78"/>
      <c r="K1623" s="78"/>
      <c r="L1623" s="78"/>
      <c r="M1623" s="78"/>
      <c r="N1623" s="78"/>
      <c r="O1623" s="78"/>
      <c r="P1623" s="78"/>
      <c r="Q1623" s="78"/>
      <c r="R1623" s="78"/>
      <c r="S1623" s="78"/>
      <c r="T1623" s="78"/>
      <c r="U1623" s="78"/>
      <c r="V1623" s="78"/>
      <c r="W1623" s="78"/>
      <c r="X1623" s="78"/>
      <c r="Y1623" s="78"/>
      <c r="Z1623" s="78"/>
      <c r="AA1623" s="78"/>
      <c r="AB1623" s="78"/>
      <c r="AC1623" s="78"/>
      <c r="AD1623" s="78"/>
      <c r="AE1623" s="78"/>
      <c r="AF1623" s="78"/>
      <c r="AG1623" s="78"/>
      <c r="AH1623" s="78"/>
      <c r="AI1623" s="78"/>
      <c r="AJ1623" s="78"/>
      <c r="AK1623" s="78"/>
    </row>
    <row r="1624" spans="1:37">
      <c r="A1624" s="78"/>
      <c r="B1624" s="78"/>
      <c r="C1624" s="78"/>
      <c r="D1624" s="78"/>
      <c r="E1624" s="78"/>
      <c r="F1624" s="78"/>
      <c r="G1624" s="78"/>
      <c r="H1624" s="78"/>
      <c r="I1624" s="78"/>
      <c r="J1624" s="78"/>
      <c r="K1624" s="78"/>
      <c r="L1624" s="78"/>
      <c r="M1624" s="78"/>
      <c r="N1624" s="78"/>
      <c r="O1624" s="78"/>
      <c r="P1624" s="78"/>
      <c r="Q1624" s="78"/>
      <c r="R1624" s="78"/>
      <c r="S1624" s="78"/>
      <c r="T1624" s="78"/>
      <c r="U1624" s="78"/>
      <c r="V1624" s="78"/>
      <c r="W1624" s="78"/>
      <c r="X1624" s="78"/>
      <c r="Y1624" s="78"/>
      <c r="Z1624" s="78"/>
      <c r="AA1624" s="78"/>
      <c r="AB1624" s="78"/>
      <c r="AC1624" s="78"/>
      <c r="AD1624" s="78"/>
      <c r="AE1624" s="78"/>
      <c r="AF1624" s="78"/>
      <c r="AG1624" s="78"/>
      <c r="AH1624" s="78"/>
      <c r="AI1624" s="78"/>
      <c r="AJ1624" s="78"/>
      <c r="AK1624" s="78"/>
    </row>
    <row r="1625" spans="1:37">
      <c r="A1625" s="78"/>
      <c r="B1625" s="78"/>
      <c r="C1625" s="78"/>
      <c r="D1625" s="78"/>
      <c r="E1625" s="78"/>
      <c r="F1625" s="78"/>
      <c r="G1625" s="78"/>
      <c r="H1625" s="78"/>
      <c r="I1625" s="78"/>
      <c r="J1625" s="78"/>
      <c r="K1625" s="78"/>
      <c r="L1625" s="78"/>
      <c r="M1625" s="78"/>
      <c r="N1625" s="78"/>
      <c r="O1625" s="78"/>
      <c r="P1625" s="78"/>
      <c r="Q1625" s="78"/>
      <c r="R1625" s="78"/>
      <c r="S1625" s="78"/>
      <c r="T1625" s="78"/>
      <c r="U1625" s="78"/>
      <c r="V1625" s="78"/>
      <c r="W1625" s="78"/>
      <c r="X1625" s="78"/>
      <c r="Y1625" s="78"/>
      <c r="Z1625" s="78"/>
      <c r="AA1625" s="78"/>
      <c r="AB1625" s="78"/>
      <c r="AC1625" s="78"/>
      <c r="AD1625" s="78"/>
      <c r="AE1625" s="78"/>
      <c r="AF1625" s="78"/>
      <c r="AG1625" s="78"/>
      <c r="AH1625" s="78"/>
      <c r="AI1625" s="78"/>
      <c r="AJ1625" s="78"/>
      <c r="AK1625" s="78"/>
    </row>
    <row r="1626" spans="1:37">
      <c r="A1626" s="78"/>
      <c r="B1626" s="78"/>
      <c r="C1626" s="78"/>
      <c r="D1626" s="78"/>
      <c r="E1626" s="78"/>
      <c r="F1626" s="78"/>
      <c r="G1626" s="78"/>
      <c r="H1626" s="78"/>
      <c r="I1626" s="78"/>
      <c r="J1626" s="78"/>
      <c r="K1626" s="78"/>
      <c r="L1626" s="78"/>
      <c r="M1626" s="78"/>
      <c r="N1626" s="78"/>
      <c r="O1626" s="78"/>
      <c r="P1626" s="78"/>
      <c r="Q1626" s="78"/>
      <c r="R1626" s="78"/>
      <c r="S1626" s="78"/>
      <c r="T1626" s="78"/>
      <c r="U1626" s="78"/>
      <c r="V1626" s="78"/>
      <c r="W1626" s="78"/>
      <c r="X1626" s="78"/>
      <c r="Y1626" s="78"/>
      <c r="Z1626" s="78"/>
      <c r="AA1626" s="78"/>
      <c r="AB1626" s="78"/>
      <c r="AC1626" s="78"/>
      <c r="AD1626" s="78"/>
      <c r="AE1626" s="78"/>
      <c r="AF1626" s="78"/>
      <c r="AG1626" s="78"/>
      <c r="AH1626" s="78"/>
      <c r="AI1626" s="78"/>
      <c r="AJ1626" s="78"/>
      <c r="AK1626" s="78"/>
    </row>
    <row r="1627" spans="1:37">
      <c r="A1627" s="78"/>
      <c r="B1627" s="78"/>
      <c r="C1627" s="78"/>
      <c r="D1627" s="78"/>
      <c r="E1627" s="78"/>
      <c r="F1627" s="78"/>
      <c r="G1627" s="78"/>
      <c r="H1627" s="78"/>
      <c r="I1627" s="78"/>
      <c r="J1627" s="78"/>
      <c r="K1627" s="78"/>
      <c r="L1627" s="78"/>
      <c r="M1627" s="78"/>
      <c r="N1627" s="78"/>
      <c r="O1627" s="78"/>
      <c r="P1627" s="78"/>
      <c r="Q1627" s="78"/>
      <c r="R1627" s="78"/>
      <c r="S1627" s="78"/>
      <c r="T1627" s="78"/>
      <c r="U1627" s="78"/>
      <c r="V1627" s="78"/>
      <c r="W1627" s="78"/>
      <c r="X1627" s="78"/>
      <c r="Y1627" s="78"/>
      <c r="Z1627" s="78"/>
      <c r="AA1627" s="78"/>
      <c r="AB1627" s="78"/>
      <c r="AC1627" s="78"/>
      <c r="AD1627" s="78"/>
      <c r="AE1627" s="78"/>
      <c r="AF1627" s="78"/>
      <c r="AG1627" s="78"/>
      <c r="AH1627" s="78"/>
      <c r="AI1627" s="78"/>
      <c r="AJ1627" s="78"/>
      <c r="AK1627" s="78"/>
    </row>
    <row r="1628" spans="1:37">
      <c r="A1628" s="78"/>
      <c r="B1628" s="78"/>
      <c r="C1628" s="78"/>
      <c r="D1628" s="78"/>
      <c r="E1628" s="78"/>
      <c r="F1628" s="78"/>
      <c r="G1628" s="78"/>
      <c r="H1628" s="78"/>
      <c r="I1628" s="78"/>
      <c r="J1628" s="78"/>
      <c r="K1628" s="78"/>
      <c r="L1628" s="78"/>
      <c r="M1628" s="78"/>
      <c r="N1628" s="78"/>
      <c r="O1628" s="78"/>
      <c r="P1628" s="78"/>
      <c r="Q1628" s="78"/>
      <c r="R1628" s="78"/>
      <c r="S1628" s="78"/>
      <c r="T1628" s="78"/>
      <c r="U1628" s="78"/>
      <c r="V1628" s="78"/>
      <c r="W1628" s="78"/>
      <c r="X1628" s="78"/>
      <c r="Y1628" s="78"/>
      <c r="Z1628" s="78"/>
      <c r="AA1628" s="78"/>
      <c r="AB1628" s="78"/>
      <c r="AC1628" s="78"/>
      <c r="AD1628" s="78"/>
      <c r="AE1628" s="78"/>
      <c r="AF1628" s="78"/>
      <c r="AG1628" s="78"/>
      <c r="AH1628" s="78"/>
      <c r="AI1628" s="78"/>
      <c r="AJ1628" s="78"/>
      <c r="AK1628" s="78"/>
    </row>
    <row r="1629" spans="1:37">
      <c r="A1629" s="78"/>
      <c r="B1629" s="78"/>
      <c r="C1629" s="78"/>
      <c r="D1629" s="78"/>
      <c r="E1629" s="78"/>
      <c r="F1629" s="78"/>
      <c r="G1629" s="78"/>
      <c r="H1629" s="78"/>
      <c r="I1629" s="78"/>
      <c r="J1629" s="78"/>
      <c r="K1629" s="78"/>
      <c r="L1629" s="78"/>
      <c r="M1629" s="78"/>
      <c r="N1629" s="78"/>
      <c r="O1629" s="78"/>
      <c r="P1629" s="78"/>
      <c r="Q1629" s="78"/>
      <c r="R1629" s="78"/>
      <c r="S1629" s="78"/>
      <c r="T1629" s="78"/>
      <c r="U1629" s="78"/>
      <c r="V1629" s="78"/>
      <c r="W1629" s="78"/>
      <c r="X1629" s="78"/>
      <c r="Y1629" s="78"/>
      <c r="Z1629" s="78"/>
      <c r="AA1629" s="78"/>
      <c r="AB1629" s="78"/>
      <c r="AC1629" s="78"/>
      <c r="AD1629" s="78"/>
      <c r="AE1629" s="78"/>
      <c r="AF1629" s="78"/>
      <c r="AG1629" s="78"/>
      <c r="AH1629" s="78"/>
      <c r="AI1629" s="78"/>
      <c r="AJ1629" s="78"/>
      <c r="AK1629" s="78"/>
    </row>
    <row r="1630" spans="1:37">
      <c r="A1630" s="78"/>
      <c r="B1630" s="78"/>
      <c r="C1630" s="78"/>
      <c r="D1630" s="78"/>
      <c r="E1630" s="78"/>
      <c r="F1630" s="78"/>
      <c r="G1630" s="78"/>
      <c r="H1630" s="78"/>
      <c r="I1630" s="78"/>
      <c r="J1630" s="78"/>
      <c r="K1630" s="78"/>
      <c r="L1630" s="78"/>
      <c r="M1630" s="78"/>
      <c r="N1630" s="78"/>
      <c r="O1630" s="78"/>
      <c r="P1630" s="78"/>
      <c r="Q1630" s="78"/>
      <c r="R1630" s="78"/>
      <c r="S1630" s="78"/>
      <c r="T1630" s="78"/>
      <c r="U1630" s="78"/>
      <c r="V1630" s="78"/>
      <c r="W1630" s="78"/>
      <c r="X1630" s="78"/>
      <c r="Y1630" s="78"/>
      <c r="Z1630" s="78"/>
      <c r="AA1630" s="78"/>
      <c r="AB1630" s="78"/>
      <c r="AC1630" s="78"/>
      <c r="AD1630" s="78"/>
      <c r="AE1630" s="78"/>
      <c r="AF1630" s="78"/>
      <c r="AG1630" s="78"/>
      <c r="AH1630" s="78"/>
      <c r="AI1630" s="78"/>
      <c r="AJ1630" s="78"/>
      <c r="AK1630" s="78"/>
    </row>
    <row r="1631" spans="1:37">
      <c r="A1631" s="78"/>
      <c r="B1631" s="78"/>
      <c r="C1631" s="78"/>
      <c r="D1631" s="78"/>
      <c r="E1631" s="78"/>
      <c r="F1631" s="78"/>
      <c r="G1631" s="78"/>
      <c r="H1631" s="78"/>
      <c r="I1631" s="78"/>
      <c r="J1631" s="78"/>
      <c r="K1631" s="78"/>
      <c r="L1631" s="78"/>
      <c r="M1631" s="78"/>
      <c r="N1631" s="78"/>
      <c r="O1631" s="78"/>
      <c r="P1631" s="78"/>
      <c r="Q1631" s="78"/>
      <c r="R1631" s="78"/>
      <c r="S1631" s="78"/>
      <c r="T1631" s="78"/>
      <c r="U1631" s="78"/>
      <c r="V1631" s="78"/>
      <c r="W1631" s="78"/>
      <c r="X1631" s="78"/>
      <c r="Y1631" s="78"/>
      <c r="Z1631" s="78"/>
      <c r="AA1631" s="78"/>
      <c r="AB1631" s="78"/>
      <c r="AC1631" s="78"/>
      <c r="AD1631" s="78"/>
      <c r="AE1631" s="78"/>
      <c r="AF1631" s="78"/>
      <c r="AG1631" s="78"/>
      <c r="AH1631" s="78"/>
      <c r="AI1631" s="78"/>
      <c r="AJ1631" s="78"/>
      <c r="AK1631" s="78"/>
    </row>
    <row r="1632" spans="1:37">
      <c r="A1632" s="78"/>
      <c r="B1632" s="78"/>
      <c r="C1632" s="78"/>
      <c r="D1632" s="78"/>
      <c r="E1632" s="78"/>
      <c r="F1632" s="78"/>
      <c r="G1632" s="78"/>
      <c r="H1632" s="78"/>
      <c r="I1632" s="78"/>
      <c r="J1632" s="78"/>
      <c r="K1632" s="78"/>
      <c r="L1632" s="78"/>
      <c r="M1632" s="78"/>
      <c r="N1632" s="78"/>
      <c r="O1632" s="78"/>
      <c r="P1632" s="78"/>
      <c r="Q1632" s="78"/>
      <c r="R1632" s="78"/>
      <c r="S1632" s="78"/>
      <c r="T1632" s="78"/>
      <c r="U1632" s="78"/>
      <c r="V1632" s="78"/>
      <c r="W1632" s="78"/>
      <c r="X1632" s="78"/>
      <c r="Y1632" s="78"/>
      <c r="Z1632" s="78"/>
      <c r="AA1632" s="78"/>
      <c r="AB1632" s="78"/>
      <c r="AC1632" s="78"/>
      <c r="AD1632" s="78"/>
      <c r="AE1632" s="78"/>
      <c r="AF1632" s="78"/>
      <c r="AG1632" s="78"/>
      <c r="AH1632" s="78"/>
      <c r="AI1632" s="78"/>
      <c r="AJ1632" s="78"/>
      <c r="AK1632" s="78"/>
    </row>
    <row r="1633" spans="1:37">
      <c r="A1633" s="78"/>
      <c r="B1633" s="78"/>
      <c r="C1633" s="78"/>
      <c r="D1633" s="78"/>
      <c r="E1633" s="78"/>
      <c r="F1633" s="78"/>
      <c r="G1633" s="78"/>
      <c r="H1633" s="78"/>
      <c r="I1633" s="78"/>
      <c r="J1633" s="78"/>
      <c r="K1633" s="78"/>
      <c r="L1633" s="78"/>
      <c r="M1633" s="78"/>
      <c r="N1633" s="78"/>
      <c r="O1633" s="78"/>
      <c r="P1633" s="78"/>
      <c r="Q1633" s="78"/>
      <c r="R1633" s="78"/>
      <c r="S1633" s="78"/>
      <c r="T1633" s="78"/>
      <c r="U1633" s="78"/>
      <c r="V1633" s="78"/>
      <c r="W1633" s="78"/>
      <c r="X1633" s="78"/>
      <c r="Y1633" s="78"/>
      <c r="Z1633" s="78"/>
      <c r="AA1633" s="78"/>
      <c r="AB1633" s="78"/>
      <c r="AC1633" s="78"/>
      <c r="AD1633" s="78"/>
      <c r="AE1633" s="78"/>
      <c r="AF1633" s="78"/>
      <c r="AG1633" s="78"/>
      <c r="AH1633" s="78"/>
      <c r="AI1633" s="78"/>
      <c r="AJ1633" s="78"/>
      <c r="AK1633" s="78"/>
    </row>
    <row r="1634" spans="1:37">
      <c r="A1634" s="78"/>
      <c r="B1634" s="78"/>
      <c r="C1634" s="78"/>
      <c r="D1634" s="78"/>
      <c r="E1634" s="78"/>
      <c r="F1634" s="78"/>
      <c r="G1634" s="78"/>
      <c r="H1634" s="78"/>
      <c r="I1634" s="78"/>
      <c r="J1634" s="78"/>
      <c r="K1634" s="78"/>
      <c r="L1634" s="78"/>
      <c r="M1634" s="78"/>
      <c r="N1634" s="78"/>
      <c r="O1634" s="78"/>
      <c r="P1634" s="78"/>
      <c r="Q1634" s="78"/>
      <c r="R1634" s="78"/>
      <c r="S1634" s="78"/>
      <c r="T1634" s="78"/>
      <c r="U1634" s="78"/>
      <c r="V1634" s="78"/>
      <c r="W1634" s="78"/>
      <c r="X1634" s="78"/>
      <c r="Y1634" s="78"/>
      <c r="Z1634" s="78"/>
      <c r="AA1634" s="78"/>
      <c r="AB1634" s="78"/>
      <c r="AC1634" s="78"/>
      <c r="AD1634" s="78"/>
      <c r="AE1634" s="78"/>
      <c r="AF1634" s="78"/>
      <c r="AG1634" s="78"/>
      <c r="AH1634" s="78"/>
      <c r="AI1634" s="78"/>
      <c r="AJ1634" s="78"/>
      <c r="AK1634" s="78"/>
    </row>
    <row r="1635" spans="1:37">
      <c r="A1635" s="78"/>
      <c r="B1635" s="78"/>
      <c r="C1635" s="78"/>
      <c r="D1635" s="78"/>
      <c r="E1635" s="78"/>
      <c r="F1635" s="78"/>
      <c r="G1635" s="78"/>
      <c r="H1635" s="78"/>
      <c r="I1635" s="78"/>
      <c r="J1635" s="78"/>
      <c r="K1635" s="78"/>
      <c r="L1635" s="78"/>
      <c r="M1635" s="78"/>
      <c r="N1635" s="78"/>
      <c r="O1635" s="78"/>
      <c r="P1635" s="78"/>
      <c r="Q1635" s="78"/>
      <c r="R1635" s="78"/>
      <c r="S1635" s="78"/>
      <c r="T1635" s="78"/>
      <c r="U1635" s="78"/>
      <c r="V1635" s="78"/>
      <c r="W1635" s="78"/>
      <c r="X1635" s="78"/>
      <c r="Y1635" s="78"/>
      <c r="Z1635" s="78"/>
      <c r="AA1635" s="78"/>
      <c r="AB1635" s="78"/>
      <c r="AC1635" s="78"/>
      <c r="AD1635" s="78"/>
      <c r="AE1635" s="78"/>
      <c r="AF1635" s="78"/>
      <c r="AG1635" s="78"/>
      <c r="AH1635" s="78"/>
      <c r="AI1635" s="78"/>
      <c r="AJ1635" s="78"/>
      <c r="AK1635" s="78"/>
    </row>
    <row r="1636" spans="1:37">
      <c r="A1636" s="78"/>
      <c r="B1636" s="78"/>
      <c r="C1636" s="78"/>
      <c r="D1636" s="78"/>
      <c r="E1636" s="78"/>
      <c r="F1636" s="78"/>
      <c r="G1636" s="78"/>
      <c r="H1636" s="78"/>
      <c r="I1636" s="78"/>
      <c r="J1636" s="78"/>
      <c r="K1636" s="78"/>
      <c r="L1636" s="78"/>
      <c r="M1636" s="78"/>
      <c r="N1636" s="78"/>
      <c r="O1636" s="78"/>
      <c r="P1636" s="78"/>
      <c r="Q1636" s="78"/>
      <c r="R1636" s="78"/>
      <c r="S1636" s="78"/>
      <c r="T1636" s="78"/>
      <c r="U1636" s="78"/>
      <c r="V1636" s="78"/>
      <c r="W1636" s="78"/>
      <c r="X1636" s="78"/>
      <c r="Y1636" s="78"/>
      <c r="Z1636" s="78"/>
      <c r="AA1636" s="78"/>
      <c r="AB1636" s="78"/>
      <c r="AC1636" s="78"/>
      <c r="AD1636" s="78"/>
      <c r="AE1636" s="78"/>
      <c r="AF1636" s="78"/>
      <c r="AG1636" s="78"/>
      <c r="AH1636" s="78"/>
      <c r="AI1636" s="78"/>
      <c r="AJ1636" s="78"/>
      <c r="AK1636" s="78"/>
    </row>
    <row r="1637" spans="1:37">
      <c r="A1637" s="78"/>
      <c r="B1637" s="78"/>
      <c r="C1637" s="78"/>
      <c r="D1637" s="78"/>
      <c r="E1637" s="78"/>
      <c r="F1637" s="78"/>
      <c r="G1637" s="78"/>
      <c r="H1637" s="78"/>
      <c r="I1637" s="78"/>
      <c r="J1637" s="78"/>
      <c r="K1637" s="78"/>
      <c r="L1637" s="78"/>
      <c r="M1637" s="78"/>
      <c r="N1637" s="78"/>
      <c r="O1637" s="78"/>
      <c r="P1637" s="78"/>
      <c r="Q1637" s="78"/>
      <c r="R1637" s="78"/>
      <c r="S1637" s="78"/>
      <c r="T1637" s="78"/>
      <c r="U1637" s="78"/>
      <c r="V1637" s="78"/>
      <c r="W1637" s="78"/>
      <c r="X1637" s="78"/>
      <c r="Y1637" s="78"/>
      <c r="Z1637" s="78"/>
      <c r="AA1637" s="78"/>
      <c r="AB1637" s="78"/>
      <c r="AC1637" s="78"/>
      <c r="AD1637" s="78"/>
      <c r="AE1637" s="78"/>
      <c r="AF1637" s="78"/>
      <c r="AG1637" s="78"/>
      <c r="AH1637" s="78"/>
      <c r="AI1637" s="78"/>
      <c r="AJ1637" s="78"/>
      <c r="AK1637" s="78"/>
    </row>
    <row r="1638" spans="1:37">
      <c r="A1638" s="78"/>
      <c r="B1638" s="78"/>
      <c r="C1638" s="78"/>
      <c r="D1638" s="78"/>
      <c r="E1638" s="78"/>
      <c r="F1638" s="78"/>
      <c r="G1638" s="78"/>
      <c r="H1638" s="78"/>
      <c r="I1638" s="78"/>
      <c r="J1638" s="78"/>
      <c r="K1638" s="78"/>
      <c r="L1638" s="78"/>
      <c r="M1638" s="78"/>
      <c r="N1638" s="78"/>
      <c r="O1638" s="78"/>
      <c r="P1638" s="78"/>
      <c r="Q1638" s="78"/>
      <c r="R1638" s="78"/>
      <c r="S1638" s="78"/>
      <c r="T1638" s="78"/>
      <c r="U1638" s="78"/>
      <c r="V1638" s="78"/>
      <c r="W1638" s="78"/>
      <c r="X1638" s="78"/>
      <c r="Y1638" s="78"/>
      <c r="Z1638" s="78"/>
      <c r="AA1638" s="78"/>
      <c r="AB1638" s="78"/>
      <c r="AC1638" s="78"/>
      <c r="AD1638" s="78"/>
      <c r="AE1638" s="78"/>
      <c r="AF1638" s="78"/>
      <c r="AG1638" s="78"/>
      <c r="AH1638" s="78"/>
      <c r="AI1638" s="78"/>
      <c r="AJ1638" s="78"/>
      <c r="AK1638" s="78"/>
    </row>
    <row r="1639" spans="1:37">
      <c r="A1639" s="78"/>
      <c r="B1639" s="78"/>
      <c r="C1639" s="78"/>
      <c r="D1639" s="78"/>
      <c r="E1639" s="78"/>
      <c r="F1639" s="78"/>
      <c r="G1639" s="78"/>
      <c r="H1639" s="78"/>
      <c r="I1639" s="78"/>
      <c r="J1639" s="78"/>
      <c r="K1639" s="78"/>
      <c r="L1639" s="78"/>
      <c r="M1639" s="78"/>
      <c r="N1639" s="78"/>
      <c r="O1639" s="78"/>
      <c r="P1639" s="78"/>
      <c r="Q1639" s="78"/>
      <c r="R1639" s="78"/>
      <c r="S1639" s="78"/>
      <c r="T1639" s="78"/>
      <c r="U1639" s="78"/>
      <c r="V1639" s="78"/>
      <c r="W1639" s="78"/>
      <c r="X1639" s="78"/>
      <c r="Y1639" s="78"/>
      <c r="Z1639" s="78"/>
      <c r="AA1639" s="78"/>
      <c r="AB1639" s="78"/>
      <c r="AC1639" s="78"/>
      <c r="AD1639" s="78"/>
      <c r="AE1639" s="78"/>
      <c r="AF1639" s="78"/>
      <c r="AG1639" s="78"/>
      <c r="AH1639" s="78"/>
      <c r="AI1639" s="78"/>
      <c r="AJ1639" s="78"/>
      <c r="AK1639" s="78"/>
    </row>
    <row r="1640" spans="1:37">
      <c r="A1640" s="78"/>
      <c r="B1640" s="78"/>
      <c r="C1640" s="78"/>
      <c r="D1640" s="78"/>
      <c r="E1640" s="78"/>
      <c r="F1640" s="78"/>
      <c r="G1640" s="78"/>
      <c r="H1640" s="78"/>
      <c r="I1640" s="78"/>
      <c r="J1640" s="78"/>
      <c r="K1640" s="78"/>
      <c r="L1640" s="78"/>
      <c r="M1640" s="78"/>
      <c r="N1640" s="78"/>
      <c r="O1640" s="78"/>
      <c r="P1640" s="78"/>
      <c r="Q1640" s="78"/>
      <c r="R1640" s="78"/>
      <c r="S1640" s="78"/>
      <c r="T1640" s="78"/>
      <c r="U1640" s="78"/>
      <c r="V1640" s="78"/>
      <c r="W1640" s="78"/>
      <c r="X1640" s="78"/>
      <c r="Y1640" s="78"/>
      <c r="Z1640" s="78"/>
      <c r="AA1640" s="78"/>
      <c r="AB1640" s="78"/>
      <c r="AC1640" s="78"/>
      <c r="AD1640" s="78"/>
      <c r="AE1640" s="78"/>
      <c r="AF1640" s="78"/>
      <c r="AG1640" s="78"/>
      <c r="AH1640" s="78"/>
      <c r="AI1640" s="78"/>
      <c r="AJ1640" s="78"/>
      <c r="AK1640" s="78"/>
    </row>
    <row r="1641" spans="1:37">
      <c r="A1641" s="78"/>
      <c r="B1641" s="78"/>
      <c r="C1641" s="78"/>
      <c r="D1641" s="78"/>
      <c r="E1641" s="78"/>
      <c r="F1641" s="78"/>
      <c r="G1641" s="78"/>
      <c r="H1641" s="78"/>
      <c r="I1641" s="78"/>
      <c r="J1641" s="78"/>
      <c r="K1641" s="78"/>
      <c r="L1641" s="78"/>
      <c r="M1641" s="78"/>
      <c r="N1641" s="78"/>
      <c r="O1641" s="78"/>
      <c r="P1641" s="78"/>
      <c r="Q1641" s="78"/>
      <c r="R1641" s="78"/>
      <c r="S1641" s="78"/>
      <c r="T1641" s="78"/>
      <c r="U1641" s="78"/>
      <c r="V1641" s="78"/>
      <c r="W1641" s="78"/>
      <c r="X1641" s="78"/>
      <c r="Y1641" s="78"/>
      <c r="Z1641" s="78"/>
      <c r="AA1641" s="78"/>
      <c r="AB1641" s="78"/>
      <c r="AC1641" s="78"/>
      <c r="AD1641" s="78"/>
      <c r="AE1641" s="78"/>
      <c r="AF1641" s="78"/>
      <c r="AG1641" s="78"/>
      <c r="AH1641" s="78"/>
      <c r="AI1641" s="78"/>
      <c r="AJ1641" s="78"/>
      <c r="AK1641" s="78"/>
    </row>
    <row r="1642" spans="1:37">
      <c r="A1642" s="78"/>
      <c r="B1642" s="78"/>
      <c r="C1642" s="78"/>
      <c r="D1642" s="78"/>
      <c r="E1642" s="78"/>
      <c r="F1642" s="78"/>
      <c r="G1642" s="78"/>
      <c r="H1642" s="78"/>
      <c r="I1642" s="78"/>
      <c r="J1642" s="78"/>
      <c r="K1642" s="78"/>
      <c r="L1642" s="78"/>
      <c r="M1642" s="78"/>
      <c r="N1642" s="78"/>
      <c r="O1642" s="78"/>
      <c r="P1642" s="78"/>
      <c r="Q1642" s="78"/>
      <c r="R1642" s="78"/>
      <c r="S1642" s="78"/>
      <c r="T1642" s="78"/>
      <c r="U1642" s="78"/>
      <c r="V1642" s="78"/>
      <c r="W1642" s="78"/>
      <c r="X1642" s="78"/>
      <c r="Y1642" s="78"/>
      <c r="Z1642" s="78"/>
      <c r="AA1642" s="78"/>
      <c r="AB1642" s="78"/>
      <c r="AC1642" s="78"/>
      <c r="AD1642" s="78"/>
      <c r="AE1642" s="78"/>
      <c r="AF1642" s="78"/>
      <c r="AG1642" s="78"/>
      <c r="AH1642" s="78"/>
      <c r="AI1642" s="78"/>
      <c r="AJ1642" s="78"/>
      <c r="AK1642" s="78"/>
    </row>
    <row r="1643" spans="1:37">
      <c r="A1643" s="78"/>
      <c r="B1643" s="78"/>
      <c r="C1643" s="78"/>
      <c r="D1643" s="78"/>
      <c r="E1643" s="78"/>
      <c r="F1643" s="78"/>
      <c r="G1643" s="78"/>
      <c r="H1643" s="78"/>
      <c r="I1643" s="78"/>
      <c r="J1643" s="78"/>
      <c r="K1643" s="78"/>
      <c r="L1643" s="78"/>
      <c r="M1643" s="78"/>
      <c r="N1643" s="78"/>
      <c r="O1643" s="78"/>
      <c r="P1643" s="78"/>
      <c r="Q1643" s="78"/>
      <c r="R1643" s="78"/>
      <c r="S1643" s="78"/>
      <c r="T1643" s="78"/>
      <c r="U1643" s="78"/>
      <c r="V1643" s="78"/>
      <c r="W1643" s="78"/>
      <c r="X1643" s="78"/>
      <c r="Y1643" s="78"/>
      <c r="Z1643" s="78"/>
      <c r="AA1643" s="78"/>
      <c r="AB1643" s="78"/>
      <c r="AC1643" s="78"/>
      <c r="AD1643" s="78"/>
      <c r="AE1643" s="78"/>
      <c r="AF1643" s="78"/>
      <c r="AG1643" s="78"/>
      <c r="AH1643" s="78"/>
      <c r="AI1643" s="78"/>
      <c r="AJ1643" s="78"/>
      <c r="AK1643" s="78"/>
    </row>
    <row r="1644" spans="1:37">
      <c r="A1644" s="78"/>
      <c r="B1644" s="78"/>
      <c r="C1644" s="78"/>
      <c r="D1644" s="78"/>
      <c r="E1644" s="78"/>
      <c r="F1644" s="78"/>
      <c r="G1644" s="78"/>
      <c r="H1644" s="78"/>
      <c r="I1644" s="78"/>
      <c r="J1644" s="78"/>
      <c r="K1644" s="78"/>
      <c r="L1644" s="78"/>
      <c r="M1644" s="78"/>
      <c r="N1644" s="78"/>
      <c r="O1644" s="78"/>
      <c r="P1644" s="78"/>
      <c r="Q1644" s="78"/>
      <c r="R1644" s="78"/>
      <c r="S1644" s="78"/>
      <c r="T1644" s="78"/>
      <c r="U1644" s="78"/>
      <c r="V1644" s="78"/>
      <c r="W1644" s="78"/>
      <c r="X1644" s="78"/>
      <c r="Y1644" s="78"/>
      <c r="Z1644" s="78"/>
      <c r="AA1644" s="78"/>
      <c r="AB1644" s="78"/>
      <c r="AC1644" s="78"/>
      <c r="AD1644" s="78"/>
      <c r="AE1644" s="78"/>
      <c r="AF1644" s="78"/>
      <c r="AG1644" s="78"/>
      <c r="AH1644" s="78"/>
      <c r="AI1644" s="78"/>
      <c r="AJ1644" s="78"/>
      <c r="AK1644" s="78"/>
    </row>
    <row r="1645" spans="1:37">
      <c r="A1645" s="78"/>
      <c r="B1645" s="78"/>
      <c r="C1645" s="78"/>
      <c r="D1645" s="78"/>
      <c r="E1645" s="78"/>
      <c r="F1645" s="78"/>
      <c r="G1645" s="78"/>
      <c r="H1645" s="78"/>
      <c r="I1645" s="78"/>
      <c r="J1645" s="78"/>
      <c r="K1645" s="78"/>
      <c r="L1645" s="78"/>
      <c r="M1645" s="78"/>
      <c r="N1645" s="78"/>
      <c r="O1645" s="78"/>
      <c r="P1645" s="78"/>
      <c r="Q1645" s="78"/>
      <c r="R1645" s="78"/>
      <c r="S1645" s="78"/>
      <c r="T1645" s="78"/>
      <c r="U1645" s="78"/>
      <c r="V1645" s="78"/>
      <c r="W1645" s="78"/>
      <c r="X1645" s="78"/>
      <c r="Y1645" s="78"/>
      <c r="Z1645" s="78"/>
      <c r="AA1645" s="78"/>
      <c r="AB1645" s="78"/>
      <c r="AC1645" s="78"/>
      <c r="AD1645" s="78"/>
      <c r="AE1645" s="78"/>
      <c r="AF1645" s="78"/>
      <c r="AG1645" s="78"/>
      <c r="AH1645" s="78"/>
      <c r="AI1645" s="78"/>
      <c r="AJ1645" s="78"/>
      <c r="AK1645" s="78"/>
    </row>
    <row r="1646" spans="1:37">
      <c r="A1646" s="78"/>
      <c r="B1646" s="78"/>
      <c r="C1646" s="78"/>
      <c r="D1646" s="78"/>
      <c r="E1646" s="78"/>
      <c r="F1646" s="78"/>
      <c r="G1646" s="78"/>
      <c r="H1646" s="78"/>
      <c r="I1646" s="78"/>
      <c r="J1646" s="78"/>
      <c r="K1646" s="78"/>
      <c r="L1646" s="78"/>
      <c r="M1646" s="78"/>
      <c r="N1646" s="78"/>
      <c r="O1646" s="78"/>
      <c r="P1646" s="78"/>
      <c r="Q1646" s="78"/>
      <c r="R1646" s="78"/>
      <c r="S1646" s="78"/>
      <c r="T1646" s="78"/>
      <c r="U1646" s="78"/>
      <c r="V1646" s="78"/>
      <c r="W1646" s="78"/>
      <c r="X1646" s="78"/>
      <c r="Y1646" s="78"/>
      <c r="Z1646" s="78"/>
      <c r="AA1646" s="78"/>
      <c r="AB1646" s="78"/>
      <c r="AC1646" s="78"/>
      <c r="AD1646" s="78"/>
      <c r="AE1646" s="78"/>
      <c r="AF1646" s="78"/>
      <c r="AG1646" s="78"/>
      <c r="AH1646" s="78"/>
      <c r="AI1646" s="78"/>
      <c r="AJ1646" s="78"/>
      <c r="AK1646" s="78"/>
    </row>
    <row r="1647" spans="1:37">
      <c r="A1647" s="78"/>
      <c r="B1647" s="78"/>
      <c r="C1647" s="78"/>
      <c r="D1647" s="78"/>
      <c r="E1647" s="78"/>
      <c r="F1647" s="78"/>
      <c r="G1647" s="78"/>
      <c r="H1647" s="78"/>
      <c r="I1647" s="78"/>
      <c r="J1647" s="78"/>
      <c r="K1647" s="78"/>
      <c r="L1647" s="78"/>
      <c r="M1647" s="78"/>
      <c r="N1647" s="78"/>
      <c r="O1647" s="78"/>
      <c r="P1647" s="78"/>
      <c r="Q1647" s="78"/>
      <c r="R1647" s="78"/>
      <c r="S1647" s="78"/>
      <c r="T1647" s="78"/>
      <c r="U1647" s="78"/>
      <c r="V1647" s="78"/>
      <c r="W1647" s="78"/>
      <c r="X1647" s="78"/>
      <c r="Y1647" s="78"/>
      <c r="Z1647" s="78"/>
      <c r="AA1647" s="78"/>
      <c r="AB1647" s="78"/>
      <c r="AC1647" s="78"/>
      <c r="AD1647" s="78"/>
      <c r="AE1647" s="78"/>
      <c r="AF1647" s="78"/>
      <c r="AG1647" s="78"/>
      <c r="AH1647" s="78"/>
      <c r="AI1647" s="78"/>
      <c r="AJ1647" s="78"/>
      <c r="AK1647" s="78"/>
    </row>
    <row r="1648" spans="1:37">
      <c r="A1648" s="78"/>
      <c r="B1648" s="78"/>
      <c r="C1648" s="78"/>
      <c r="D1648" s="78"/>
      <c r="E1648" s="78"/>
      <c r="F1648" s="78"/>
      <c r="G1648" s="78"/>
      <c r="H1648" s="78"/>
      <c r="I1648" s="78"/>
      <c r="J1648" s="78"/>
      <c r="K1648" s="78"/>
      <c r="L1648" s="78"/>
      <c r="M1648" s="78"/>
      <c r="N1648" s="78"/>
      <c r="O1648" s="78"/>
      <c r="P1648" s="78"/>
      <c r="Q1648" s="78"/>
      <c r="R1648" s="78"/>
      <c r="S1648" s="78"/>
      <c r="T1648" s="78"/>
      <c r="U1648" s="78"/>
      <c r="V1648" s="78"/>
      <c r="W1648" s="78"/>
      <c r="X1648" s="78"/>
      <c r="Y1648" s="78"/>
      <c r="Z1648" s="78"/>
      <c r="AA1648" s="78"/>
      <c r="AB1648" s="78"/>
      <c r="AC1648" s="78"/>
      <c r="AD1648" s="78"/>
      <c r="AE1648" s="78"/>
      <c r="AF1648" s="78"/>
      <c r="AG1648" s="78"/>
      <c r="AH1648" s="78"/>
      <c r="AI1648" s="78"/>
      <c r="AJ1648" s="78"/>
      <c r="AK1648" s="78"/>
    </row>
    <row r="1649" spans="1:37">
      <c r="A1649" s="78"/>
      <c r="B1649" s="78"/>
      <c r="C1649" s="78"/>
      <c r="D1649" s="78"/>
      <c r="E1649" s="78"/>
      <c r="F1649" s="78"/>
      <c r="G1649" s="78"/>
      <c r="H1649" s="78"/>
      <c r="I1649" s="78"/>
      <c r="J1649" s="78"/>
      <c r="K1649" s="78"/>
      <c r="L1649" s="78"/>
      <c r="M1649" s="78"/>
      <c r="N1649" s="78"/>
      <c r="O1649" s="78"/>
      <c r="P1649" s="78"/>
      <c r="Q1649" s="78"/>
      <c r="R1649" s="78"/>
      <c r="S1649" s="78"/>
      <c r="T1649" s="78"/>
      <c r="U1649" s="78"/>
      <c r="V1649" s="78"/>
      <c r="W1649" s="78"/>
      <c r="X1649" s="78"/>
      <c r="Y1649" s="78"/>
      <c r="Z1649" s="78"/>
      <c r="AA1649" s="78"/>
      <c r="AB1649" s="78"/>
      <c r="AC1649" s="78"/>
      <c r="AD1649" s="78"/>
      <c r="AE1649" s="78"/>
      <c r="AF1649" s="78"/>
      <c r="AG1649" s="78"/>
      <c r="AH1649" s="78"/>
      <c r="AI1649" s="78"/>
      <c r="AJ1649" s="78"/>
      <c r="AK1649" s="78"/>
    </row>
    <row r="1650" spans="1:37">
      <c r="A1650" s="78"/>
      <c r="B1650" s="78"/>
      <c r="C1650" s="78"/>
      <c r="D1650" s="78"/>
      <c r="E1650" s="78"/>
      <c r="F1650" s="78"/>
      <c r="G1650" s="78"/>
      <c r="H1650" s="78"/>
      <c r="I1650" s="78"/>
      <c r="J1650" s="78"/>
      <c r="K1650" s="78"/>
      <c r="L1650" s="78"/>
      <c r="M1650" s="78"/>
      <c r="N1650" s="78"/>
      <c r="O1650" s="78"/>
      <c r="P1650" s="78"/>
      <c r="Q1650" s="78"/>
      <c r="R1650" s="78"/>
      <c r="S1650" s="78"/>
      <c r="T1650" s="78"/>
      <c r="U1650" s="78"/>
      <c r="V1650" s="78"/>
      <c r="W1650" s="78"/>
      <c r="X1650" s="78"/>
      <c r="Y1650" s="78"/>
      <c r="Z1650" s="78"/>
      <c r="AA1650" s="78"/>
      <c r="AB1650" s="78"/>
      <c r="AC1650" s="78"/>
      <c r="AD1650" s="78"/>
      <c r="AE1650" s="78"/>
      <c r="AF1650" s="78"/>
      <c r="AG1650" s="78"/>
      <c r="AH1650" s="78"/>
      <c r="AI1650" s="78"/>
      <c r="AJ1650" s="78"/>
      <c r="AK1650" s="78"/>
    </row>
    <row r="1651" spans="1:37">
      <c r="A1651" s="78"/>
      <c r="B1651" s="78"/>
      <c r="C1651" s="78"/>
      <c r="D1651" s="78"/>
      <c r="E1651" s="78"/>
      <c r="F1651" s="78"/>
      <c r="G1651" s="78"/>
      <c r="H1651" s="78"/>
      <c r="I1651" s="78"/>
      <c r="J1651" s="78"/>
      <c r="K1651" s="78"/>
      <c r="L1651" s="78"/>
      <c r="M1651" s="78"/>
      <c r="N1651" s="78"/>
      <c r="O1651" s="78"/>
      <c r="P1651" s="78"/>
      <c r="Q1651" s="78"/>
      <c r="R1651" s="78"/>
      <c r="S1651" s="78"/>
      <c r="T1651" s="78"/>
      <c r="U1651" s="78"/>
      <c r="V1651" s="78"/>
      <c r="W1651" s="78"/>
      <c r="X1651" s="78"/>
      <c r="Y1651" s="78"/>
      <c r="Z1651" s="78"/>
      <c r="AA1651" s="78"/>
      <c r="AB1651" s="78"/>
      <c r="AC1651" s="78"/>
      <c r="AD1651" s="78"/>
      <c r="AE1651" s="78"/>
      <c r="AF1651" s="78"/>
      <c r="AG1651" s="78"/>
      <c r="AH1651" s="78"/>
      <c r="AI1651" s="78"/>
      <c r="AJ1651" s="78"/>
      <c r="AK1651" s="78"/>
    </row>
    <row r="1652" spans="1:37">
      <c r="A1652" s="78"/>
      <c r="B1652" s="78"/>
      <c r="C1652" s="78"/>
      <c r="D1652" s="78"/>
      <c r="E1652" s="78"/>
      <c r="F1652" s="78"/>
      <c r="G1652" s="78"/>
      <c r="H1652" s="78"/>
      <c r="I1652" s="78"/>
      <c r="J1652" s="78"/>
      <c r="K1652" s="78"/>
      <c r="L1652" s="78"/>
      <c r="M1652" s="78"/>
      <c r="N1652" s="78"/>
      <c r="O1652" s="78"/>
      <c r="P1652" s="78"/>
      <c r="Q1652" s="78"/>
      <c r="R1652" s="78"/>
      <c r="S1652" s="78"/>
      <c r="T1652" s="78"/>
      <c r="U1652" s="78"/>
      <c r="V1652" s="78"/>
      <c r="W1652" s="78"/>
      <c r="X1652" s="78"/>
      <c r="Y1652" s="78"/>
      <c r="Z1652" s="78"/>
      <c r="AA1652" s="78"/>
      <c r="AB1652" s="78"/>
      <c r="AC1652" s="78"/>
      <c r="AD1652" s="78"/>
      <c r="AE1652" s="78"/>
      <c r="AF1652" s="78"/>
      <c r="AG1652" s="78"/>
      <c r="AH1652" s="78"/>
      <c r="AI1652" s="78"/>
      <c r="AJ1652" s="78"/>
      <c r="AK1652" s="78"/>
    </row>
    <row r="1653" spans="1:37">
      <c r="A1653" s="78"/>
      <c r="B1653" s="78"/>
      <c r="C1653" s="78"/>
      <c r="D1653" s="78"/>
      <c r="E1653" s="78"/>
      <c r="F1653" s="78"/>
      <c r="G1653" s="78"/>
      <c r="H1653" s="78"/>
      <c r="I1653" s="78"/>
      <c r="J1653" s="78"/>
      <c r="K1653" s="78"/>
      <c r="L1653" s="78"/>
      <c r="M1653" s="78"/>
      <c r="N1653" s="78"/>
      <c r="O1653" s="78"/>
      <c r="P1653" s="78"/>
      <c r="Q1653" s="78"/>
      <c r="R1653" s="78"/>
      <c r="S1653" s="78"/>
      <c r="T1653" s="78"/>
      <c r="U1653" s="78"/>
      <c r="V1653" s="78"/>
      <c r="W1653" s="78"/>
      <c r="X1653" s="78"/>
      <c r="Y1653" s="78"/>
      <c r="Z1653" s="78"/>
      <c r="AA1653" s="78"/>
      <c r="AB1653" s="78"/>
      <c r="AC1653" s="78"/>
      <c r="AD1653" s="78"/>
      <c r="AE1653" s="78"/>
      <c r="AF1653" s="78"/>
      <c r="AG1653" s="78"/>
      <c r="AH1653" s="78"/>
      <c r="AI1653" s="78"/>
      <c r="AJ1653" s="78"/>
      <c r="AK1653" s="78"/>
    </row>
    <row r="1654" spans="1:37">
      <c r="A1654" s="78"/>
      <c r="B1654" s="78"/>
      <c r="C1654" s="78"/>
      <c r="D1654" s="78"/>
      <c r="E1654" s="78"/>
      <c r="F1654" s="78"/>
      <c r="G1654" s="78"/>
      <c r="H1654" s="78"/>
      <c r="I1654" s="78"/>
      <c r="J1654" s="78"/>
      <c r="K1654" s="78"/>
      <c r="L1654" s="78"/>
      <c r="M1654" s="78"/>
      <c r="N1654" s="78"/>
      <c r="O1654" s="78"/>
      <c r="P1654" s="78"/>
      <c r="Q1654" s="78"/>
      <c r="R1654" s="78"/>
      <c r="S1654" s="78"/>
      <c r="T1654" s="78"/>
      <c r="U1654" s="78"/>
      <c r="V1654" s="78"/>
      <c r="W1654" s="78"/>
      <c r="X1654" s="78"/>
      <c r="Y1654" s="78"/>
      <c r="Z1654" s="78"/>
      <c r="AA1654" s="78"/>
      <c r="AB1654" s="78"/>
      <c r="AC1654" s="78"/>
      <c r="AD1654" s="78"/>
      <c r="AE1654" s="78"/>
      <c r="AF1654" s="78"/>
      <c r="AG1654" s="78"/>
      <c r="AH1654" s="78"/>
      <c r="AI1654" s="78"/>
      <c r="AJ1654" s="78"/>
      <c r="AK1654" s="78"/>
    </row>
    <row r="1655" spans="1:37">
      <c r="A1655" s="78"/>
      <c r="B1655" s="78"/>
      <c r="C1655" s="78"/>
      <c r="D1655" s="78"/>
      <c r="E1655" s="78"/>
      <c r="F1655" s="78"/>
      <c r="G1655" s="78"/>
      <c r="H1655" s="78"/>
      <c r="I1655" s="78"/>
      <c r="J1655" s="78"/>
      <c r="K1655" s="78"/>
      <c r="L1655" s="78"/>
      <c r="M1655" s="78"/>
      <c r="N1655" s="78"/>
      <c r="O1655" s="78"/>
      <c r="P1655" s="78"/>
      <c r="Q1655" s="78"/>
      <c r="R1655" s="78"/>
      <c r="S1655" s="78"/>
      <c r="T1655" s="78"/>
      <c r="U1655" s="78"/>
      <c r="V1655" s="78"/>
      <c r="W1655" s="78"/>
      <c r="X1655" s="78"/>
      <c r="Y1655" s="78"/>
      <c r="Z1655" s="78"/>
      <c r="AA1655" s="78"/>
      <c r="AB1655" s="78"/>
      <c r="AC1655" s="78"/>
      <c r="AD1655" s="78"/>
      <c r="AE1655" s="78"/>
      <c r="AF1655" s="78"/>
      <c r="AG1655" s="78"/>
      <c r="AH1655" s="78"/>
      <c r="AI1655" s="78"/>
      <c r="AJ1655" s="78"/>
      <c r="AK1655" s="78"/>
    </row>
    <row r="1656" spans="1:37">
      <c r="A1656" s="78"/>
      <c r="B1656" s="78"/>
      <c r="C1656" s="78"/>
      <c r="D1656" s="78"/>
      <c r="E1656" s="78"/>
      <c r="F1656" s="78"/>
      <c r="G1656" s="78"/>
      <c r="H1656" s="78"/>
      <c r="I1656" s="78"/>
      <c r="J1656" s="78"/>
      <c r="K1656" s="78"/>
      <c r="L1656" s="78"/>
      <c r="M1656" s="78"/>
      <c r="N1656" s="78"/>
      <c r="O1656" s="78"/>
      <c r="P1656" s="78"/>
      <c r="Q1656" s="78"/>
      <c r="R1656" s="78"/>
      <c r="S1656" s="78"/>
      <c r="T1656" s="78"/>
      <c r="U1656" s="78"/>
      <c r="V1656" s="78"/>
      <c r="W1656" s="78"/>
      <c r="X1656" s="78"/>
      <c r="Y1656" s="78"/>
      <c r="Z1656" s="78"/>
      <c r="AA1656" s="78"/>
      <c r="AB1656" s="78"/>
      <c r="AC1656" s="78"/>
      <c r="AD1656" s="78"/>
      <c r="AE1656" s="78"/>
      <c r="AF1656" s="78"/>
      <c r="AG1656" s="78"/>
      <c r="AH1656" s="78"/>
      <c r="AI1656" s="78"/>
      <c r="AJ1656" s="78"/>
      <c r="AK1656" s="78"/>
    </row>
    <row r="1657" spans="1:37">
      <c r="A1657" s="78"/>
      <c r="B1657" s="78"/>
      <c r="C1657" s="78"/>
      <c r="D1657" s="78"/>
      <c r="E1657" s="78"/>
      <c r="F1657" s="78"/>
      <c r="G1657" s="78"/>
      <c r="H1657" s="78"/>
      <c r="I1657" s="78"/>
      <c r="J1657" s="78"/>
      <c r="K1657" s="78"/>
      <c r="L1657" s="78"/>
      <c r="M1657" s="78"/>
      <c r="N1657" s="78"/>
      <c r="O1657" s="78"/>
      <c r="P1657" s="78"/>
      <c r="Q1657" s="78"/>
      <c r="R1657" s="78"/>
      <c r="S1657" s="78"/>
      <c r="T1657" s="78"/>
      <c r="U1657" s="78"/>
      <c r="V1657" s="78"/>
      <c r="W1657" s="78"/>
      <c r="X1657" s="78"/>
      <c r="Y1657" s="78"/>
      <c r="Z1657" s="78"/>
      <c r="AA1657" s="78"/>
      <c r="AB1657" s="78"/>
      <c r="AC1657" s="78"/>
      <c r="AD1657" s="78"/>
      <c r="AE1657" s="78"/>
      <c r="AF1657" s="78"/>
      <c r="AG1657" s="78"/>
      <c r="AH1657" s="78"/>
      <c r="AI1657" s="78"/>
      <c r="AJ1657" s="78"/>
      <c r="AK1657" s="78"/>
    </row>
    <row r="1658" spans="1:37">
      <c r="A1658" s="78"/>
      <c r="B1658" s="78"/>
      <c r="C1658" s="78"/>
      <c r="D1658" s="78"/>
      <c r="E1658" s="78"/>
      <c r="F1658" s="78"/>
      <c r="G1658" s="78"/>
      <c r="H1658" s="78"/>
      <c r="I1658" s="78"/>
      <c r="J1658" s="78"/>
      <c r="K1658" s="78"/>
      <c r="L1658" s="78"/>
      <c r="M1658" s="78"/>
      <c r="N1658" s="78"/>
      <c r="O1658" s="78"/>
      <c r="P1658" s="78"/>
      <c r="Q1658" s="78"/>
      <c r="R1658" s="78"/>
      <c r="S1658" s="78"/>
      <c r="T1658" s="78"/>
      <c r="U1658" s="78"/>
      <c r="V1658" s="78"/>
      <c r="W1658" s="78"/>
      <c r="X1658" s="78"/>
      <c r="Y1658" s="78"/>
      <c r="Z1658" s="78"/>
      <c r="AA1658" s="78"/>
      <c r="AB1658" s="78"/>
      <c r="AC1658" s="78"/>
      <c r="AD1658" s="78"/>
      <c r="AE1658" s="78"/>
      <c r="AF1658" s="78"/>
      <c r="AG1658" s="78"/>
      <c r="AH1658" s="78"/>
      <c r="AI1658" s="78"/>
      <c r="AJ1658" s="78"/>
      <c r="AK1658" s="78"/>
    </row>
    <row r="1659" spans="1:37">
      <c r="A1659" s="78"/>
      <c r="B1659" s="78"/>
      <c r="C1659" s="78"/>
      <c r="D1659" s="78"/>
      <c r="E1659" s="78"/>
      <c r="F1659" s="78"/>
      <c r="G1659" s="78"/>
      <c r="H1659" s="78"/>
      <c r="I1659" s="78"/>
      <c r="J1659" s="78"/>
      <c r="K1659" s="78"/>
      <c r="L1659" s="78"/>
      <c r="M1659" s="78"/>
      <c r="N1659" s="78"/>
      <c r="O1659" s="78"/>
      <c r="P1659" s="78"/>
      <c r="Q1659" s="78"/>
      <c r="R1659" s="78"/>
      <c r="S1659" s="78"/>
      <c r="T1659" s="78"/>
      <c r="U1659" s="78"/>
      <c r="V1659" s="78"/>
      <c r="W1659" s="78"/>
      <c r="X1659" s="78"/>
      <c r="Y1659" s="78"/>
      <c r="Z1659" s="78"/>
      <c r="AA1659" s="78"/>
      <c r="AB1659" s="78"/>
      <c r="AC1659" s="78"/>
      <c r="AD1659" s="78"/>
      <c r="AE1659" s="78"/>
      <c r="AF1659" s="78"/>
      <c r="AG1659" s="78"/>
      <c r="AH1659" s="78"/>
      <c r="AI1659" s="78"/>
      <c r="AJ1659" s="78"/>
      <c r="AK1659" s="78"/>
    </row>
    <row r="1660" spans="1:37">
      <c r="A1660" s="78"/>
      <c r="B1660" s="78"/>
      <c r="C1660" s="78"/>
      <c r="D1660" s="78"/>
      <c r="E1660" s="78"/>
      <c r="F1660" s="78"/>
      <c r="G1660" s="78"/>
      <c r="H1660" s="78"/>
      <c r="I1660" s="78"/>
      <c r="J1660" s="78"/>
      <c r="K1660" s="78"/>
      <c r="L1660" s="78"/>
      <c r="M1660" s="78"/>
      <c r="N1660" s="78"/>
      <c r="O1660" s="78"/>
      <c r="P1660" s="78"/>
      <c r="Q1660" s="78"/>
      <c r="R1660" s="78"/>
      <c r="S1660" s="78"/>
      <c r="T1660" s="78"/>
      <c r="U1660" s="78"/>
      <c r="V1660" s="78"/>
      <c r="W1660" s="78"/>
      <c r="X1660" s="78"/>
      <c r="Y1660" s="78"/>
      <c r="Z1660" s="78"/>
      <c r="AA1660" s="78"/>
      <c r="AB1660" s="78"/>
      <c r="AC1660" s="78"/>
      <c r="AD1660" s="78"/>
      <c r="AE1660" s="78"/>
      <c r="AF1660" s="78"/>
      <c r="AG1660" s="78"/>
      <c r="AH1660" s="78"/>
      <c r="AI1660" s="78"/>
      <c r="AJ1660" s="78"/>
      <c r="AK1660" s="78"/>
    </row>
    <row r="1661" spans="1:37">
      <c r="A1661" s="78"/>
      <c r="B1661" s="78"/>
      <c r="C1661" s="78"/>
      <c r="D1661" s="78"/>
      <c r="E1661" s="78"/>
      <c r="F1661" s="78"/>
      <c r="G1661" s="78"/>
      <c r="H1661" s="78"/>
      <c r="I1661" s="78"/>
      <c r="J1661" s="78"/>
      <c r="K1661" s="78"/>
      <c r="L1661" s="78"/>
      <c r="M1661" s="78"/>
      <c r="N1661" s="78"/>
      <c r="O1661" s="78"/>
      <c r="P1661" s="78"/>
      <c r="Q1661" s="78"/>
      <c r="R1661" s="78"/>
      <c r="S1661" s="78"/>
      <c r="T1661" s="78"/>
      <c r="U1661" s="78"/>
      <c r="V1661" s="78"/>
      <c r="W1661" s="78"/>
      <c r="X1661" s="78"/>
      <c r="Y1661" s="78"/>
      <c r="Z1661" s="78"/>
      <c r="AA1661" s="78"/>
      <c r="AB1661" s="78"/>
      <c r="AC1661" s="78"/>
      <c r="AD1661" s="78"/>
      <c r="AE1661" s="78"/>
      <c r="AF1661" s="78"/>
      <c r="AG1661" s="78"/>
      <c r="AH1661" s="78"/>
      <c r="AI1661" s="78"/>
      <c r="AJ1661" s="78"/>
      <c r="AK1661" s="78"/>
    </row>
    <row r="1662" spans="1:37">
      <c r="A1662" s="78"/>
      <c r="B1662" s="78"/>
      <c r="C1662" s="78"/>
      <c r="D1662" s="78"/>
      <c r="E1662" s="78"/>
      <c r="F1662" s="78"/>
      <c r="G1662" s="78"/>
      <c r="H1662" s="78"/>
      <c r="I1662" s="78"/>
      <c r="J1662" s="78"/>
      <c r="K1662" s="78"/>
      <c r="L1662" s="78"/>
      <c r="M1662" s="78"/>
      <c r="N1662" s="78"/>
      <c r="O1662" s="78"/>
      <c r="P1662" s="78"/>
      <c r="Q1662" s="78"/>
      <c r="R1662" s="78"/>
      <c r="S1662" s="78"/>
      <c r="T1662" s="78"/>
      <c r="U1662" s="78"/>
      <c r="V1662" s="78"/>
      <c r="W1662" s="78"/>
      <c r="X1662" s="78"/>
      <c r="Y1662" s="78"/>
      <c r="Z1662" s="78"/>
      <c r="AA1662" s="78"/>
      <c r="AB1662" s="78"/>
      <c r="AC1662" s="78"/>
      <c r="AD1662" s="78"/>
      <c r="AE1662" s="78"/>
      <c r="AF1662" s="78"/>
      <c r="AG1662" s="78"/>
      <c r="AH1662" s="78"/>
      <c r="AI1662" s="78"/>
      <c r="AJ1662" s="78"/>
      <c r="AK1662" s="78"/>
    </row>
    <row r="1663" spans="1:37">
      <c r="A1663" s="78"/>
      <c r="B1663" s="78"/>
      <c r="C1663" s="78"/>
      <c r="D1663" s="78"/>
      <c r="E1663" s="78"/>
      <c r="F1663" s="78"/>
      <c r="G1663" s="78"/>
      <c r="H1663" s="78"/>
      <c r="I1663" s="78"/>
      <c r="J1663" s="78"/>
      <c r="K1663" s="78"/>
      <c r="L1663" s="78"/>
      <c r="M1663" s="78"/>
      <c r="N1663" s="78"/>
      <c r="O1663" s="78"/>
      <c r="P1663" s="78"/>
      <c r="Q1663" s="78"/>
      <c r="R1663" s="78"/>
      <c r="S1663" s="78"/>
      <c r="T1663" s="78"/>
      <c r="U1663" s="78"/>
      <c r="V1663" s="78"/>
      <c r="W1663" s="78"/>
      <c r="X1663" s="78"/>
      <c r="Y1663" s="78"/>
      <c r="Z1663" s="78"/>
      <c r="AA1663" s="78"/>
      <c r="AB1663" s="78"/>
      <c r="AC1663" s="78"/>
      <c r="AD1663" s="78"/>
      <c r="AE1663" s="78"/>
      <c r="AF1663" s="78"/>
      <c r="AG1663" s="78"/>
      <c r="AH1663" s="78"/>
      <c r="AI1663" s="78"/>
      <c r="AJ1663" s="78"/>
      <c r="AK1663" s="78"/>
    </row>
    <row r="1664" spans="1:37">
      <c r="A1664" s="78"/>
      <c r="B1664" s="78"/>
      <c r="C1664" s="78"/>
      <c r="D1664" s="78"/>
      <c r="E1664" s="78"/>
      <c r="F1664" s="78"/>
      <c r="G1664" s="78"/>
      <c r="H1664" s="78"/>
      <c r="I1664" s="78"/>
      <c r="J1664" s="78"/>
      <c r="K1664" s="78"/>
      <c r="L1664" s="78"/>
      <c r="M1664" s="78"/>
      <c r="N1664" s="78"/>
      <c r="O1664" s="78"/>
      <c r="P1664" s="78"/>
      <c r="Q1664" s="78"/>
      <c r="R1664" s="78"/>
      <c r="S1664" s="78"/>
      <c r="T1664" s="78"/>
      <c r="U1664" s="78"/>
      <c r="V1664" s="78"/>
      <c r="W1664" s="78"/>
      <c r="X1664" s="78"/>
      <c r="Y1664" s="78"/>
      <c r="Z1664" s="78"/>
      <c r="AA1664" s="78"/>
      <c r="AB1664" s="78"/>
      <c r="AC1664" s="78"/>
      <c r="AD1664" s="78"/>
      <c r="AE1664" s="78"/>
      <c r="AF1664" s="78"/>
      <c r="AG1664" s="78"/>
      <c r="AH1664" s="78"/>
      <c r="AI1664" s="78"/>
      <c r="AJ1664" s="78"/>
      <c r="AK1664" s="78"/>
    </row>
    <row r="1665" spans="1:37">
      <c r="A1665" s="78"/>
      <c r="B1665" s="78"/>
      <c r="C1665" s="78"/>
      <c r="D1665" s="78"/>
      <c r="E1665" s="78"/>
      <c r="F1665" s="78"/>
      <c r="G1665" s="78"/>
      <c r="H1665" s="78"/>
      <c r="I1665" s="78"/>
      <c r="J1665" s="78"/>
      <c r="K1665" s="78"/>
      <c r="L1665" s="78"/>
      <c r="M1665" s="78"/>
      <c r="N1665" s="78"/>
      <c r="O1665" s="78"/>
      <c r="P1665" s="78"/>
      <c r="Q1665" s="78"/>
      <c r="R1665" s="78"/>
      <c r="S1665" s="78"/>
      <c r="T1665" s="78"/>
      <c r="U1665" s="78"/>
      <c r="V1665" s="78"/>
      <c r="W1665" s="78"/>
      <c r="X1665" s="78"/>
      <c r="Y1665" s="78"/>
      <c r="Z1665" s="78"/>
      <c r="AA1665" s="78"/>
      <c r="AB1665" s="78"/>
      <c r="AC1665" s="78"/>
      <c r="AD1665" s="78"/>
      <c r="AE1665" s="78"/>
      <c r="AF1665" s="78"/>
      <c r="AG1665" s="78"/>
      <c r="AH1665" s="78"/>
      <c r="AI1665" s="78"/>
      <c r="AJ1665" s="78"/>
      <c r="AK1665" s="78"/>
    </row>
    <row r="1666" spans="1:37">
      <c r="A1666" s="78"/>
      <c r="B1666" s="78"/>
      <c r="C1666" s="78"/>
      <c r="D1666" s="78"/>
      <c r="E1666" s="78"/>
      <c r="F1666" s="78"/>
      <c r="G1666" s="78"/>
      <c r="H1666" s="78"/>
      <c r="I1666" s="78"/>
      <c r="J1666" s="78"/>
      <c r="K1666" s="78"/>
      <c r="L1666" s="78"/>
      <c r="M1666" s="78"/>
      <c r="N1666" s="78"/>
      <c r="O1666" s="78"/>
      <c r="P1666" s="78"/>
      <c r="Q1666" s="78"/>
      <c r="R1666" s="78"/>
      <c r="S1666" s="78"/>
      <c r="T1666" s="78"/>
      <c r="U1666" s="78"/>
      <c r="V1666" s="78"/>
      <c r="W1666" s="78"/>
      <c r="X1666" s="78"/>
      <c r="Y1666" s="78"/>
      <c r="Z1666" s="78"/>
      <c r="AA1666" s="78"/>
      <c r="AB1666" s="78"/>
      <c r="AC1666" s="78"/>
      <c r="AD1666" s="78"/>
      <c r="AE1666" s="78"/>
      <c r="AF1666" s="78"/>
      <c r="AG1666" s="78"/>
      <c r="AH1666" s="78"/>
      <c r="AI1666" s="78"/>
      <c r="AJ1666" s="78"/>
      <c r="AK1666" s="78"/>
    </row>
    <row r="1667" spans="1:37">
      <c r="A1667" s="78"/>
      <c r="B1667" s="78"/>
      <c r="C1667" s="78"/>
      <c r="D1667" s="78"/>
      <c r="E1667" s="78"/>
      <c r="F1667" s="78"/>
      <c r="G1667" s="78"/>
      <c r="H1667" s="78"/>
      <c r="I1667" s="78"/>
      <c r="J1667" s="78"/>
      <c r="K1667" s="78"/>
      <c r="L1667" s="78"/>
      <c r="M1667" s="78"/>
      <c r="N1667" s="78"/>
      <c r="O1667" s="78"/>
      <c r="P1667" s="78"/>
      <c r="Q1667" s="78"/>
      <c r="R1667" s="78"/>
      <c r="S1667" s="78"/>
      <c r="T1667" s="78"/>
      <c r="U1667" s="78"/>
      <c r="V1667" s="78"/>
      <c r="W1667" s="78"/>
      <c r="X1667" s="78"/>
      <c r="Y1667" s="78"/>
      <c r="Z1667" s="78"/>
      <c r="AA1667" s="78"/>
      <c r="AB1667" s="78"/>
      <c r="AC1667" s="78"/>
      <c r="AD1667" s="78"/>
      <c r="AE1667" s="78"/>
      <c r="AF1667" s="78"/>
      <c r="AG1667" s="78"/>
      <c r="AH1667" s="78"/>
      <c r="AI1667" s="78"/>
      <c r="AJ1667" s="78"/>
      <c r="AK1667" s="78"/>
    </row>
    <row r="1668" spans="1:37">
      <c r="A1668" s="78"/>
      <c r="B1668" s="78"/>
      <c r="C1668" s="78"/>
      <c r="D1668" s="78"/>
      <c r="E1668" s="78"/>
      <c r="F1668" s="78"/>
      <c r="G1668" s="78"/>
      <c r="H1668" s="78"/>
      <c r="I1668" s="78"/>
      <c r="J1668" s="78"/>
      <c r="K1668" s="78"/>
      <c r="L1668" s="78"/>
      <c r="M1668" s="78"/>
      <c r="N1668" s="78"/>
      <c r="O1668" s="78"/>
      <c r="P1668" s="78"/>
      <c r="Q1668" s="78"/>
      <c r="R1668" s="78"/>
      <c r="S1668" s="78"/>
      <c r="T1668" s="78"/>
      <c r="U1668" s="78"/>
      <c r="V1668" s="78"/>
      <c r="W1668" s="78"/>
      <c r="X1668" s="78"/>
      <c r="Y1668" s="78"/>
      <c r="Z1668" s="78"/>
      <c r="AA1668" s="78"/>
      <c r="AB1668" s="78"/>
      <c r="AC1668" s="78"/>
      <c r="AD1668" s="78"/>
      <c r="AE1668" s="78"/>
      <c r="AF1668" s="78"/>
      <c r="AG1668" s="78"/>
      <c r="AH1668" s="78"/>
      <c r="AI1668" s="78"/>
      <c r="AJ1668" s="78"/>
      <c r="AK1668" s="78"/>
    </row>
    <row r="1669" spans="1:37">
      <c r="A1669" s="78"/>
      <c r="B1669" s="78"/>
      <c r="C1669" s="78"/>
      <c r="D1669" s="78"/>
      <c r="E1669" s="78"/>
      <c r="F1669" s="78"/>
      <c r="G1669" s="78"/>
      <c r="H1669" s="78"/>
      <c r="I1669" s="78"/>
      <c r="J1669" s="78"/>
      <c r="K1669" s="78"/>
      <c r="L1669" s="78"/>
      <c r="M1669" s="78"/>
      <c r="N1669" s="78"/>
      <c r="O1669" s="78"/>
      <c r="P1669" s="78"/>
      <c r="Q1669" s="78"/>
      <c r="R1669" s="78"/>
      <c r="S1669" s="78"/>
      <c r="T1669" s="78"/>
      <c r="U1669" s="78"/>
      <c r="V1669" s="78"/>
      <c r="W1669" s="78"/>
      <c r="X1669" s="78"/>
      <c r="Y1669" s="78"/>
      <c r="Z1669" s="78"/>
      <c r="AA1669" s="78"/>
      <c r="AB1669" s="78"/>
      <c r="AC1669" s="78"/>
      <c r="AD1669" s="78"/>
      <c r="AE1669" s="78"/>
      <c r="AF1669" s="78"/>
      <c r="AG1669" s="78"/>
      <c r="AH1669" s="78"/>
      <c r="AI1669" s="78"/>
      <c r="AJ1669" s="78"/>
      <c r="AK1669" s="78"/>
    </row>
    <row r="1670" spans="1:37">
      <c r="A1670" s="78"/>
      <c r="B1670" s="78"/>
      <c r="C1670" s="78"/>
      <c r="D1670" s="78"/>
      <c r="E1670" s="78"/>
      <c r="F1670" s="78"/>
      <c r="G1670" s="78"/>
      <c r="H1670" s="78"/>
      <c r="I1670" s="78"/>
      <c r="J1670" s="78"/>
      <c r="K1670" s="78"/>
      <c r="L1670" s="78"/>
      <c r="M1670" s="78"/>
      <c r="N1670" s="78"/>
      <c r="O1670" s="78"/>
      <c r="P1670" s="78"/>
      <c r="Q1670" s="78"/>
      <c r="R1670" s="78"/>
      <c r="S1670" s="78"/>
      <c r="T1670" s="78"/>
      <c r="U1670" s="78"/>
      <c r="V1670" s="78"/>
      <c r="W1670" s="78"/>
      <c r="X1670" s="78"/>
      <c r="Y1670" s="78"/>
      <c r="Z1670" s="78"/>
      <c r="AA1670" s="78"/>
      <c r="AB1670" s="78"/>
      <c r="AC1670" s="78"/>
      <c r="AD1670" s="78"/>
      <c r="AE1670" s="78"/>
      <c r="AF1670" s="78"/>
      <c r="AG1670" s="78"/>
      <c r="AH1670" s="78"/>
      <c r="AI1670" s="78"/>
      <c r="AJ1670" s="78"/>
      <c r="AK1670" s="78"/>
    </row>
    <row r="1671" spans="1:37">
      <c r="A1671" s="78"/>
      <c r="B1671" s="78"/>
      <c r="C1671" s="78"/>
      <c r="D1671" s="78"/>
      <c r="E1671" s="78"/>
      <c r="F1671" s="78"/>
      <c r="G1671" s="78"/>
      <c r="H1671" s="78"/>
      <c r="I1671" s="78"/>
      <c r="J1671" s="78"/>
      <c r="K1671" s="78"/>
      <c r="L1671" s="78"/>
      <c r="M1671" s="78"/>
      <c r="N1671" s="78"/>
      <c r="O1671" s="78"/>
      <c r="P1671" s="78"/>
      <c r="Q1671" s="78"/>
      <c r="R1671" s="78"/>
      <c r="S1671" s="78"/>
      <c r="T1671" s="78"/>
      <c r="U1671" s="78"/>
      <c r="V1671" s="78"/>
      <c r="W1671" s="78"/>
      <c r="X1671" s="78"/>
      <c r="Y1671" s="78"/>
      <c r="Z1671" s="78"/>
      <c r="AA1671" s="78"/>
      <c r="AB1671" s="78"/>
      <c r="AC1671" s="78"/>
      <c r="AD1671" s="78"/>
      <c r="AE1671" s="78"/>
      <c r="AF1671" s="78"/>
      <c r="AG1671" s="78"/>
      <c r="AH1671" s="78"/>
      <c r="AI1671" s="78"/>
      <c r="AJ1671" s="78"/>
      <c r="AK1671" s="78"/>
    </row>
    <row r="1672" spans="1:37">
      <c r="A1672" s="78"/>
      <c r="B1672" s="78"/>
      <c r="C1672" s="78"/>
      <c r="D1672" s="78"/>
      <c r="E1672" s="78"/>
      <c r="F1672" s="78"/>
      <c r="G1672" s="78"/>
      <c r="H1672" s="78"/>
      <c r="I1672" s="78"/>
      <c r="J1672" s="78"/>
      <c r="K1672" s="78"/>
      <c r="L1672" s="78"/>
      <c r="M1672" s="78"/>
      <c r="N1672" s="78"/>
      <c r="O1672" s="78"/>
      <c r="P1672" s="78"/>
      <c r="Q1672" s="78"/>
      <c r="R1672" s="78"/>
      <c r="S1672" s="78"/>
      <c r="T1672" s="78"/>
      <c r="U1672" s="78"/>
      <c r="V1672" s="78"/>
      <c r="W1672" s="78"/>
      <c r="X1672" s="78"/>
      <c r="Y1672" s="78"/>
      <c r="Z1672" s="78"/>
      <c r="AA1672" s="78"/>
      <c r="AB1672" s="78"/>
      <c r="AC1672" s="78"/>
      <c r="AD1672" s="78"/>
      <c r="AE1672" s="78"/>
      <c r="AF1672" s="78"/>
      <c r="AG1672" s="78"/>
      <c r="AH1672" s="78"/>
      <c r="AI1672" s="78"/>
      <c r="AJ1672" s="78"/>
      <c r="AK1672" s="78"/>
    </row>
    <row r="1673" spans="1:37">
      <c r="A1673" s="78"/>
      <c r="B1673" s="78"/>
      <c r="C1673" s="78"/>
      <c r="D1673" s="78"/>
      <c r="E1673" s="78"/>
      <c r="F1673" s="78"/>
      <c r="G1673" s="78"/>
      <c r="H1673" s="78"/>
      <c r="I1673" s="78"/>
      <c r="J1673" s="78"/>
      <c r="K1673" s="78"/>
      <c r="L1673" s="78"/>
      <c r="M1673" s="78"/>
      <c r="N1673" s="78"/>
      <c r="O1673" s="78"/>
      <c r="P1673" s="78"/>
      <c r="Q1673" s="78"/>
      <c r="R1673" s="78"/>
      <c r="S1673" s="78"/>
      <c r="T1673" s="78"/>
      <c r="U1673" s="78"/>
      <c r="V1673" s="78"/>
      <c r="W1673" s="78"/>
      <c r="X1673" s="78"/>
      <c r="Y1673" s="78"/>
      <c r="Z1673" s="78"/>
      <c r="AA1673" s="78"/>
      <c r="AB1673" s="78"/>
      <c r="AC1673" s="78"/>
      <c r="AD1673" s="78"/>
      <c r="AE1673" s="78"/>
      <c r="AF1673" s="78"/>
      <c r="AG1673" s="78"/>
      <c r="AH1673" s="78"/>
      <c r="AI1673" s="78"/>
      <c r="AJ1673" s="78"/>
      <c r="AK1673" s="78"/>
    </row>
    <row r="1674" spans="1:37">
      <c r="A1674" s="78"/>
      <c r="B1674" s="78"/>
      <c r="C1674" s="78"/>
      <c r="D1674" s="78"/>
      <c r="E1674" s="78"/>
      <c r="F1674" s="78"/>
      <c r="G1674" s="78"/>
      <c r="H1674" s="78"/>
      <c r="I1674" s="78"/>
      <c r="J1674" s="78"/>
      <c r="K1674" s="78"/>
      <c r="L1674" s="78"/>
      <c r="M1674" s="78"/>
      <c r="N1674" s="78"/>
      <c r="O1674" s="78"/>
      <c r="P1674" s="78"/>
      <c r="Q1674" s="78"/>
      <c r="R1674" s="78"/>
      <c r="S1674" s="78"/>
      <c r="T1674" s="78"/>
      <c r="U1674" s="78"/>
      <c r="V1674" s="78"/>
      <c r="W1674" s="78"/>
      <c r="X1674" s="78"/>
      <c r="Y1674" s="78"/>
      <c r="Z1674" s="78"/>
      <c r="AA1674" s="78"/>
      <c r="AB1674" s="78"/>
      <c r="AC1674" s="78"/>
      <c r="AD1674" s="78"/>
      <c r="AE1674" s="78"/>
      <c r="AF1674" s="78"/>
      <c r="AG1674" s="78"/>
      <c r="AH1674" s="78"/>
      <c r="AI1674" s="78"/>
      <c r="AJ1674" s="78"/>
      <c r="AK1674" s="78"/>
    </row>
    <row r="1675" spans="1:37">
      <c r="A1675" s="78"/>
      <c r="B1675" s="78"/>
      <c r="C1675" s="78"/>
      <c r="D1675" s="78"/>
      <c r="E1675" s="78"/>
      <c r="F1675" s="78"/>
      <c r="G1675" s="78"/>
      <c r="H1675" s="78"/>
      <c r="I1675" s="78"/>
      <c r="J1675" s="78"/>
      <c r="K1675" s="78"/>
      <c r="L1675" s="78"/>
      <c r="M1675" s="78"/>
      <c r="N1675" s="78"/>
      <c r="O1675" s="78"/>
      <c r="P1675" s="78"/>
      <c r="Q1675" s="78"/>
      <c r="R1675" s="78"/>
      <c r="S1675" s="78"/>
      <c r="T1675" s="78"/>
      <c r="U1675" s="78"/>
      <c r="V1675" s="78"/>
      <c r="W1675" s="78"/>
      <c r="X1675" s="78"/>
      <c r="Y1675" s="78"/>
      <c r="Z1675" s="78"/>
      <c r="AA1675" s="78"/>
      <c r="AB1675" s="78"/>
      <c r="AC1675" s="78"/>
      <c r="AD1675" s="78"/>
      <c r="AE1675" s="78"/>
      <c r="AF1675" s="78"/>
      <c r="AG1675" s="78"/>
      <c r="AH1675" s="78"/>
      <c r="AI1675" s="78"/>
      <c r="AJ1675" s="78"/>
      <c r="AK1675" s="78"/>
    </row>
    <row r="1676" spans="1:37">
      <c r="A1676" s="78"/>
      <c r="B1676" s="78"/>
      <c r="C1676" s="78"/>
      <c r="D1676" s="78"/>
      <c r="E1676" s="78"/>
      <c r="F1676" s="78"/>
      <c r="G1676" s="78"/>
      <c r="H1676" s="78"/>
      <c r="I1676" s="78"/>
      <c r="J1676" s="78"/>
      <c r="K1676" s="78"/>
      <c r="L1676" s="78"/>
      <c r="M1676" s="78"/>
      <c r="N1676" s="78"/>
      <c r="O1676" s="78"/>
      <c r="P1676" s="78"/>
      <c r="Q1676" s="78"/>
      <c r="R1676" s="78"/>
      <c r="S1676" s="78"/>
      <c r="T1676" s="78"/>
      <c r="U1676" s="78"/>
      <c r="V1676" s="78"/>
      <c r="W1676" s="78"/>
      <c r="X1676" s="78"/>
      <c r="Y1676" s="78"/>
      <c r="Z1676" s="78"/>
      <c r="AA1676" s="78"/>
      <c r="AB1676" s="78"/>
      <c r="AC1676" s="78"/>
      <c r="AD1676" s="78"/>
      <c r="AE1676" s="78"/>
      <c r="AF1676" s="78"/>
      <c r="AG1676" s="78"/>
      <c r="AH1676" s="78"/>
      <c r="AI1676" s="78"/>
      <c r="AJ1676" s="78"/>
      <c r="AK1676" s="78"/>
    </row>
    <row r="1677" spans="1:37">
      <c r="A1677" s="78"/>
      <c r="B1677" s="78"/>
      <c r="C1677" s="78"/>
      <c r="D1677" s="78"/>
      <c r="E1677" s="78"/>
      <c r="F1677" s="78"/>
      <c r="G1677" s="78"/>
      <c r="H1677" s="78"/>
      <c r="I1677" s="78"/>
      <c r="J1677" s="78"/>
      <c r="K1677" s="78"/>
      <c r="L1677" s="78"/>
      <c r="M1677" s="78"/>
      <c r="N1677" s="78"/>
      <c r="O1677" s="78"/>
      <c r="P1677" s="78"/>
      <c r="Q1677" s="78"/>
      <c r="R1677" s="78"/>
      <c r="S1677" s="78"/>
      <c r="T1677" s="78"/>
      <c r="U1677" s="78"/>
      <c r="V1677" s="78"/>
      <c r="W1677" s="78"/>
      <c r="X1677" s="78"/>
      <c r="Y1677" s="78"/>
      <c r="Z1677" s="78"/>
      <c r="AA1677" s="78"/>
      <c r="AB1677" s="78"/>
      <c r="AC1677" s="78"/>
      <c r="AD1677" s="78"/>
      <c r="AE1677" s="78"/>
      <c r="AF1677" s="78"/>
      <c r="AG1677" s="78"/>
      <c r="AH1677" s="78"/>
      <c r="AI1677" s="78"/>
      <c r="AJ1677" s="78"/>
      <c r="AK1677" s="78"/>
    </row>
    <row r="1678" spans="1:37">
      <c r="A1678" s="78"/>
      <c r="B1678" s="78"/>
      <c r="C1678" s="78"/>
      <c r="D1678" s="78"/>
      <c r="E1678" s="78"/>
      <c r="F1678" s="78"/>
      <c r="G1678" s="78"/>
      <c r="H1678" s="78"/>
      <c r="I1678" s="78"/>
      <c r="J1678" s="78"/>
      <c r="K1678" s="78"/>
      <c r="L1678" s="78"/>
      <c r="M1678" s="78"/>
      <c r="N1678" s="78"/>
      <c r="O1678" s="78"/>
      <c r="P1678" s="78"/>
      <c r="Q1678" s="78"/>
      <c r="R1678" s="78"/>
      <c r="S1678" s="78"/>
      <c r="T1678" s="78"/>
      <c r="U1678" s="78"/>
      <c r="V1678" s="78"/>
      <c r="W1678" s="78"/>
      <c r="X1678" s="78"/>
      <c r="Y1678" s="78"/>
      <c r="Z1678" s="78"/>
      <c r="AA1678" s="78"/>
      <c r="AB1678" s="78"/>
      <c r="AC1678" s="78"/>
      <c r="AD1678" s="78"/>
      <c r="AE1678" s="78"/>
      <c r="AF1678" s="78"/>
      <c r="AG1678" s="78"/>
      <c r="AH1678" s="78"/>
      <c r="AI1678" s="78"/>
      <c r="AJ1678" s="78"/>
      <c r="AK1678" s="78"/>
    </row>
    <row r="1679" spans="1:37">
      <c r="A1679" s="78"/>
      <c r="B1679" s="78"/>
      <c r="C1679" s="78"/>
      <c r="D1679" s="78"/>
      <c r="E1679" s="78"/>
      <c r="F1679" s="78"/>
      <c r="G1679" s="78"/>
      <c r="H1679" s="78"/>
      <c r="I1679" s="78"/>
      <c r="J1679" s="78"/>
      <c r="K1679" s="78"/>
      <c r="L1679" s="78"/>
      <c r="M1679" s="78"/>
      <c r="N1679" s="78"/>
      <c r="O1679" s="78"/>
      <c r="P1679" s="78"/>
      <c r="Q1679" s="78"/>
      <c r="R1679" s="78"/>
      <c r="S1679" s="78"/>
      <c r="T1679" s="78"/>
      <c r="U1679" s="78"/>
      <c r="V1679" s="78"/>
      <c r="W1679" s="78"/>
      <c r="X1679" s="78"/>
      <c r="Y1679" s="78"/>
      <c r="Z1679" s="78"/>
      <c r="AA1679" s="78"/>
      <c r="AB1679" s="78"/>
      <c r="AC1679" s="78"/>
      <c r="AD1679" s="78"/>
      <c r="AE1679" s="78"/>
      <c r="AF1679" s="78"/>
      <c r="AG1679" s="78"/>
      <c r="AH1679" s="78"/>
      <c r="AI1679" s="78"/>
      <c r="AJ1679" s="78"/>
      <c r="AK1679" s="78"/>
    </row>
    <row r="1680" spans="1:37">
      <c r="A1680" s="78"/>
      <c r="B1680" s="78"/>
      <c r="C1680" s="78"/>
      <c r="D1680" s="78"/>
      <c r="E1680" s="78"/>
      <c r="F1680" s="78"/>
      <c r="G1680" s="78"/>
      <c r="H1680" s="78"/>
      <c r="I1680" s="78"/>
      <c r="J1680" s="78"/>
      <c r="K1680" s="78"/>
      <c r="L1680" s="78"/>
      <c r="M1680" s="78"/>
      <c r="N1680" s="78"/>
      <c r="O1680" s="78"/>
      <c r="P1680" s="78"/>
      <c r="Q1680" s="78"/>
      <c r="R1680" s="78"/>
      <c r="S1680" s="78"/>
      <c r="T1680" s="78"/>
      <c r="U1680" s="78"/>
      <c r="V1680" s="78"/>
      <c r="W1680" s="78"/>
      <c r="X1680" s="78"/>
      <c r="Y1680" s="78"/>
      <c r="Z1680" s="78"/>
      <c r="AA1680" s="78"/>
      <c r="AB1680" s="78"/>
      <c r="AC1680" s="78"/>
      <c r="AD1680" s="78"/>
      <c r="AE1680" s="78"/>
      <c r="AF1680" s="78"/>
      <c r="AG1680" s="78"/>
      <c r="AH1680" s="78"/>
      <c r="AI1680" s="78"/>
      <c r="AJ1680" s="78"/>
      <c r="AK1680" s="78"/>
    </row>
    <row r="1681" spans="1:37">
      <c r="A1681" s="78"/>
      <c r="B1681" s="78"/>
      <c r="C1681" s="78"/>
      <c r="D1681" s="78"/>
      <c r="E1681" s="78"/>
      <c r="F1681" s="78"/>
      <c r="G1681" s="78"/>
      <c r="H1681" s="78"/>
      <c r="I1681" s="78"/>
      <c r="J1681" s="78"/>
      <c r="K1681" s="78"/>
      <c r="L1681" s="78"/>
      <c r="M1681" s="78"/>
      <c r="N1681" s="78"/>
      <c r="O1681" s="78"/>
      <c r="P1681" s="78"/>
      <c r="Q1681" s="78"/>
      <c r="R1681" s="78"/>
      <c r="S1681" s="78"/>
      <c r="T1681" s="78"/>
      <c r="U1681" s="78"/>
      <c r="V1681" s="78"/>
      <c r="W1681" s="78"/>
      <c r="X1681" s="78"/>
      <c r="Y1681" s="78"/>
      <c r="Z1681" s="78"/>
      <c r="AA1681" s="78"/>
      <c r="AB1681" s="78"/>
      <c r="AC1681" s="78"/>
      <c r="AD1681" s="78"/>
      <c r="AE1681" s="78"/>
      <c r="AF1681" s="78"/>
      <c r="AG1681" s="78"/>
      <c r="AH1681" s="78"/>
      <c r="AI1681" s="78"/>
      <c r="AJ1681" s="78"/>
      <c r="AK1681" s="78"/>
    </row>
    <row r="1682" spans="1:37">
      <c r="A1682" s="78"/>
      <c r="B1682" s="78"/>
      <c r="C1682" s="78"/>
      <c r="D1682" s="78"/>
      <c r="E1682" s="78"/>
      <c r="F1682" s="78"/>
      <c r="G1682" s="78"/>
      <c r="H1682" s="78"/>
      <c r="I1682" s="78"/>
      <c r="J1682" s="78"/>
      <c r="K1682" s="78"/>
      <c r="L1682" s="78"/>
      <c r="M1682" s="78"/>
      <c r="N1682" s="78"/>
      <c r="O1682" s="78"/>
      <c r="P1682" s="78"/>
      <c r="Q1682" s="78"/>
      <c r="R1682" s="78"/>
      <c r="S1682" s="78"/>
      <c r="T1682" s="78"/>
      <c r="U1682" s="78"/>
      <c r="V1682" s="78"/>
      <c r="W1682" s="78"/>
      <c r="X1682" s="78"/>
      <c r="Y1682" s="78"/>
      <c r="Z1682" s="78"/>
      <c r="AA1682" s="78"/>
      <c r="AB1682" s="78"/>
      <c r="AC1682" s="78"/>
      <c r="AD1682" s="78"/>
      <c r="AE1682" s="78"/>
      <c r="AF1682" s="78"/>
      <c r="AG1682" s="78"/>
      <c r="AH1682" s="78"/>
      <c r="AI1682" s="78"/>
      <c r="AJ1682" s="78"/>
      <c r="AK1682" s="78"/>
    </row>
    <row r="1683" spans="1:37">
      <c r="A1683" s="78"/>
      <c r="B1683" s="78"/>
      <c r="C1683" s="78"/>
      <c r="D1683" s="78"/>
      <c r="E1683" s="78"/>
      <c r="F1683" s="78"/>
      <c r="G1683" s="78"/>
      <c r="H1683" s="78"/>
      <c r="I1683" s="78"/>
      <c r="J1683" s="78"/>
      <c r="K1683" s="78"/>
      <c r="L1683" s="78"/>
      <c r="M1683" s="78"/>
      <c r="N1683" s="78"/>
      <c r="O1683" s="78"/>
      <c r="P1683" s="78"/>
      <c r="Q1683" s="78"/>
      <c r="R1683" s="78"/>
      <c r="S1683" s="78"/>
      <c r="T1683" s="78"/>
      <c r="U1683" s="78"/>
      <c r="V1683" s="78"/>
      <c r="W1683" s="78"/>
      <c r="X1683" s="78"/>
      <c r="Y1683" s="78"/>
      <c r="Z1683" s="78"/>
      <c r="AA1683" s="78"/>
      <c r="AB1683" s="78"/>
      <c r="AC1683" s="78"/>
      <c r="AD1683" s="78"/>
      <c r="AE1683" s="78"/>
      <c r="AF1683" s="78"/>
      <c r="AG1683" s="78"/>
      <c r="AH1683" s="78"/>
      <c r="AI1683" s="78"/>
      <c r="AJ1683" s="78"/>
      <c r="AK1683" s="78"/>
    </row>
    <row r="1684" spans="1:37">
      <c r="A1684" s="78"/>
      <c r="B1684" s="78"/>
      <c r="C1684" s="78"/>
      <c r="D1684" s="78"/>
      <c r="E1684" s="78"/>
      <c r="F1684" s="78"/>
      <c r="G1684" s="78"/>
      <c r="H1684" s="78"/>
      <c r="I1684" s="78"/>
      <c r="J1684" s="78"/>
      <c r="K1684" s="78"/>
      <c r="L1684" s="78"/>
      <c r="M1684" s="78"/>
      <c r="N1684" s="78"/>
      <c r="O1684" s="78"/>
      <c r="P1684" s="78"/>
      <c r="Q1684" s="78"/>
      <c r="R1684" s="78"/>
      <c r="S1684" s="78"/>
      <c r="T1684" s="78"/>
      <c r="U1684" s="78"/>
      <c r="V1684" s="78"/>
      <c r="W1684" s="78"/>
      <c r="X1684" s="78"/>
      <c r="Y1684" s="78"/>
      <c r="Z1684" s="78"/>
      <c r="AA1684" s="78"/>
      <c r="AB1684" s="78"/>
      <c r="AC1684" s="78"/>
      <c r="AD1684" s="78"/>
      <c r="AE1684" s="78"/>
      <c r="AF1684" s="78"/>
      <c r="AG1684" s="78"/>
      <c r="AH1684" s="78"/>
      <c r="AI1684" s="78"/>
      <c r="AJ1684" s="78"/>
      <c r="AK1684" s="78"/>
    </row>
  </sheetData>
  <mergeCells count="126">
    <mergeCell ref="B497:B499"/>
    <mergeCell ref="B500:B506"/>
    <mergeCell ref="B509:B524"/>
    <mergeCell ref="B526:B572"/>
    <mergeCell ref="C526:C533"/>
    <mergeCell ref="C534:C553"/>
    <mergeCell ref="C554:C564"/>
    <mergeCell ref="C565:C572"/>
    <mergeCell ref="A574:G574"/>
    <mergeCell ref="B409:B414"/>
    <mergeCell ref="B417:B430"/>
    <mergeCell ref="B431:B443"/>
    <mergeCell ref="B444:B460"/>
    <mergeCell ref="B461:B464"/>
    <mergeCell ref="B467:B473"/>
    <mergeCell ref="B476:B479"/>
    <mergeCell ref="B480:B491"/>
    <mergeCell ref="B492:B496"/>
    <mergeCell ref="B337:B347"/>
    <mergeCell ref="B349:B354"/>
    <mergeCell ref="B356:B361"/>
    <mergeCell ref="B363:B367"/>
    <mergeCell ref="B369:B372"/>
    <mergeCell ref="A374:G374"/>
    <mergeCell ref="B375:B384"/>
    <mergeCell ref="B387:B389"/>
    <mergeCell ref="B392:B406"/>
    <mergeCell ref="B1164:B1178"/>
    <mergeCell ref="B1180:B1189"/>
    <mergeCell ref="B1191:B1199"/>
    <mergeCell ref="B1201:B1229"/>
    <mergeCell ref="B1050:B1070"/>
    <mergeCell ref="B1072:B1085"/>
    <mergeCell ref="B1087:B1092"/>
    <mergeCell ref="B1094:B1114"/>
    <mergeCell ref="B1116:B1139"/>
    <mergeCell ref="B1141:B1151"/>
    <mergeCell ref="B1153:B1162"/>
    <mergeCell ref="B736:B740"/>
    <mergeCell ref="A753:G753"/>
    <mergeCell ref="B854:B875"/>
    <mergeCell ref="B877:B922"/>
    <mergeCell ref="B924:B955"/>
    <mergeCell ref="B957:B974"/>
    <mergeCell ref="B976:B1007"/>
    <mergeCell ref="B1009:B1030"/>
    <mergeCell ref="B1032:B1046"/>
    <mergeCell ref="B742:B748"/>
    <mergeCell ref="A754:A772"/>
    <mergeCell ref="B754:B772"/>
    <mergeCell ref="A774:A793"/>
    <mergeCell ref="B774:B793"/>
    <mergeCell ref="B795:B813"/>
    <mergeCell ref="B815:B852"/>
    <mergeCell ref="B602:B604"/>
    <mergeCell ref="A606:G606"/>
    <mergeCell ref="B607:B611"/>
    <mergeCell ref="B613:B618"/>
    <mergeCell ref="B620:B624"/>
    <mergeCell ref="B626:B636"/>
    <mergeCell ref="B711:B714"/>
    <mergeCell ref="A716:G716"/>
    <mergeCell ref="B717:B734"/>
    <mergeCell ref="B227:B233"/>
    <mergeCell ref="B235:B249"/>
    <mergeCell ref="B252:B257"/>
    <mergeCell ref="B259:B268"/>
    <mergeCell ref="B270:B273"/>
    <mergeCell ref="B275:B280"/>
    <mergeCell ref="B575:B579"/>
    <mergeCell ref="B581:B588"/>
    <mergeCell ref="B590:B600"/>
    <mergeCell ref="B282:B286"/>
    <mergeCell ref="B288:B291"/>
    <mergeCell ref="B293:B296"/>
    <mergeCell ref="B298:B303"/>
    <mergeCell ref="B305:B309"/>
    <mergeCell ref="B311:B319"/>
    <mergeCell ref="B321:B328"/>
    <mergeCell ref="A386:G386"/>
    <mergeCell ref="A391:G391"/>
    <mergeCell ref="A408:G408"/>
    <mergeCell ref="A416:G416"/>
    <mergeCell ref="A466:G466"/>
    <mergeCell ref="A475:G475"/>
    <mergeCell ref="A508:G508"/>
    <mergeCell ref="B330:B335"/>
    <mergeCell ref="B112:B132"/>
    <mergeCell ref="B135:B149"/>
    <mergeCell ref="B152:B171"/>
    <mergeCell ref="A174:G174"/>
    <mergeCell ref="B175:B187"/>
    <mergeCell ref="B189:B195"/>
    <mergeCell ref="B197:B204"/>
    <mergeCell ref="B206:B217"/>
    <mergeCell ref="B219:B225"/>
    <mergeCell ref="B76:B82"/>
    <mergeCell ref="B83:B89"/>
    <mergeCell ref="B90:B91"/>
    <mergeCell ref="B92:B95"/>
    <mergeCell ref="B96:B97"/>
    <mergeCell ref="A99:G99"/>
    <mergeCell ref="A107:G107"/>
    <mergeCell ref="B108:B110"/>
    <mergeCell ref="C60:C63"/>
    <mergeCell ref="D60:D63"/>
    <mergeCell ref="B64:B75"/>
    <mergeCell ref="C65:C69"/>
    <mergeCell ref="D65:D69"/>
    <mergeCell ref="D70:D72"/>
    <mergeCell ref="D76:D78"/>
    <mergeCell ref="C70:C72"/>
    <mergeCell ref="C76:C78"/>
    <mergeCell ref="C86:C87"/>
    <mergeCell ref="D86:D87"/>
    <mergeCell ref="C88:C89"/>
    <mergeCell ref="D88:D89"/>
    <mergeCell ref="C57:C58"/>
    <mergeCell ref="D57:D58"/>
    <mergeCell ref="A3:G3"/>
    <mergeCell ref="A12:G12"/>
    <mergeCell ref="A19:G19"/>
    <mergeCell ref="A28:G28"/>
    <mergeCell ref="A53:G53"/>
    <mergeCell ref="B54:B63"/>
    <mergeCell ref="F54:G54"/>
  </mergeCells>
  <conditionalFormatting sqref="D461:D464">
    <cfRule type="notContainsBlanks" dxfId="0" priority="1">
      <formula>LEN(TRIM(D461))&gt;0</formula>
    </cfRule>
  </conditionalFormatting>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2026-07-17T14:33:21Z</dcterms:created>
  <dcterms:modified xsi:type="dcterms:W3CDTF">2026-07-17T14:33:21Z</dcterms:modified>
  <cp:category/>
  <cp:contentStatus/>
</cp:coreProperties>
</file>
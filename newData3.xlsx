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nues" sheetId="1" r:id="rId5"/>
    <sheet state="hidden" name="Old Events" sheetId="2" r:id="rId6"/>
    <sheet state="visible" name="Events" sheetId="3" r:id="rId7"/>
    <sheet state="visible" name="Clubs" sheetId="4" r:id="rId8"/>
    <sheet state="visible" name="Routes" sheetId="5" r:id="rId9"/>
    <sheet state="hidden" name="CHelper" sheetId="6" r:id="rId10"/>
    <sheet state="hidden" name="RHelper" sheetId="7" r:id="rId11"/>
    <sheet state="hidden" name="VHelper" sheetId="8" r:id="rId12"/>
    <sheet state="hidden" name="EHelper" sheetId="9" r:id="rId13"/>
    <sheet state="hidden" name="CHelper2" sheetId="10" r:id="rId14"/>
    <sheet state="hidden" name="RHelper2" sheetId="11" r:id="rId15"/>
    <sheet state="hidden" name="VHelper2" sheetId="12" r:id="rId16"/>
    <sheet state="hidden" name="EHelper2" sheetId="13" r:id="rId17"/>
    <sheet state="hidden" name="Enums" sheetId="14" r:id="rId18"/>
    <sheet state="visible" name="Interest Tags" sheetId="15" r:id="rId19"/>
  </sheets>
  <definedNames>
    <definedName name="highlightssports">Enums!$D$911:$D$942</definedName>
    <definedName name="highlightsbigday">Enums!$D$1151:$D$1165</definedName>
    <definedName name="highlightscoastal">Enums!$D$802:$D$832</definedName>
    <definedName name="highlightsimaginative">Enums!$D$1019:$D$1033</definedName>
    <definedName name="playgrounds">Enums!$D$268:$D$274</definedName>
    <definedName name="highlightsseasonal">Enums!$D$1188:$D$1212</definedName>
    <definedName name="historical">Enums!$D$361:$D$368</definedName>
    <definedName name="highlightshistorical">Enums!$D$1081:$D$1101</definedName>
    <definedName name="indoorenergy">Enums!$D$370:$D$375</definedName>
    <definedName name="transport">Enums!$D$389:$D$394</definedName>
    <definedName name="highlightsgardens">Enums!$D$841:$D$862</definedName>
    <definedName name="learning">Enums!$D$338:$D$343</definedName>
    <definedName name="coffeeshop">Enums!$D$403:$D$407</definedName>
    <definedName name="sportyactivity">Enums!$D$276:$D$290</definedName>
    <definedName name="waterbasedfun">Enums!$D$309:$D$318</definedName>
    <definedName name="imaginativeplay">Enums!$D$327:$D$330</definedName>
    <definedName name="bigdayout">Enums!$D$396:$D$401</definedName>
    <definedName name="indoorentertainment">Enums!$D$377:$D$387</definedName>
    <definedName name="highlightswalks">Enums!$D$741:$D$759</definedName>
    <definedName name="highlightstransport">Enums!$D$1140:$D$1149</definedName>
    <definedName name="highlightslearning">Enums!$D$1011:$D$1024</definedName>
    <definedName name="highlightsnature">Enums!$D$782:$D$800</definedName>
    <definedName name="sensory">Enums!$D$332:$D$336</definedName>
    <definedName name="highlightsdiscovery">Enums!$D$1074:$D$1079</definedName>
    <definedName name="coastaladventure">Enums!$D$247:$D$258</definedName>
    <definedName name="animalencounters">Enums!$D$351:$D$359</definedName>
    <definedName name="highlightsindoorenergy">Enums!$D$1128:$D$1138</definedName>
    <definedName name="highlightsfamilydining">Enums!$D$1178:$D$1186</definedName>
    <definedName name="familydining">Enums!$D$409:$D$412</definedName>
    <definedName name="museums">Enums!$D$345:$D$349</definedName>
    <definedName name="highlightscoffee">Enums!$D$1167:$D$1176</definedName>
    <definedName name="highlightssensory">Enums!$D$1035</definedName>
    <definedName name="highlightsindoorentertainment">Enums!$D$1037:$D$1057</definedName>
    <definedName name="highlightswaterfun">Enums!$D$963:$D$994</definedName>
    <definedName name="natureexploration">Enums!$D$236:$D$245</definedName>
    <definedName name="highlightsplaygrounds">Enums!$D$864:$D$909</definedName>
    <definedName name="highlightscreative">Enums!$D$996:$D$1017</definedName>
    <definedName name="seasonal">Enums!$D$293:$D$302</definedName>
    <definedName name="creativeplay">Enums!$D$320:$D$325</definedName>
    <definedName name="greenspaces">Enums!$D$228:$D$234</definedName>
    <definedName name="highlightsgreenspace">Enums!$D$761:$D$780</definedName>
    <definedName name="highlightswheels">Enums!$D$944:$D$961</definedName>
    <definedName name="scenicwalks">Enums!$D$214:$D$226</definedName>
    <definedName name="curatedoutdoor">Enums!$D$260:$D$266</definedName>
    <definedName name="highlightsanimals">Enums!$D$1103:$D$1126</definedName>
    <definedName name="wheelsroutes">Enums!$D$304:$D$307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tc={a19ab13e-9e04-406b-8db8-85af7d519bab}</author>
  </authors>
  <commentList>
    <comment authorId="0" xr:uid="{a19ab13e-9e04-406b-8db8-85af7d519bab}" ref="A1">
      <text>
        <t xml:space="preserve">[Threaded comment]
 Your version of Excel allows you to read this threaded comment; however, any edits to it will get removed if the file is opened in a newer version of Excel. Learn more: https://go.microsoft.com/fwlink/?linkid=870924
Comment:
	@holypulse@gmail.com  Please find the updated 'consolidated' list of interest tags to use for the text prompt list in 'Child Loves' tag section (profile)
Assigned to holypulse@gmail.com
</t>
      </text>
    </comment>
  </commentList>
</comments>
</file>

<file path=xl/sharedStrings.xml><?xml version="1.0" encoding="utf-8"?>
<sst xmlns="http://schemas.openxmlformats.org/spreadsheetml/2006/main" count="9500" uniqueCount="3383">
  <si>
    <t>Essential Info</t>
  </si>
  <si>
    <t>Event Descriptors</t>
  </si>
  <si>
    <t>Event Venue Details</t>
  </si>
  <si>
    <t>Club Venue Address</t>
  </si>
  <si>
    <t>Weather-Related Context</t>
  </si>
  <si>
    <t>Event Scheduling (Timings, Sessions)</t>
  </si>
  <si>
    <t>Dates</t>
  </si>
  <si>
    <t>Event Venue</t>
  </si>
  <si>
    <t>School Holiday Schedule</t>
  </si>
  <si>
    <t>Event Ticketing Types, Dates &amp; Costs</t>
  </si>
  <si>
    <t>Club Running times</t>
  </si>
  <si>
    <t>Venue Descriptors</t>
  </si>
  <si>
    <t>Venue Address</t>
  </si>
  <si>
    <t>Facilities</t>
  </si>
  <si>
    <t>Scheduling</t>
  </si>
  <si>
    <t>Age Suitability</t>
  </si>
  <si>
    <t>Venue Opening Days / Times</t>
  </si>
  <si>
    <t>Additional Details</t>
  </si>
  <si>
    <t>Single-Day (one session) Event Schedule</t>
  </si>
  <si>
    <t>Skill Requirements</t>
  </si>
  <si>
    <t>Single-Day (multi-session) Event Schedule</t>
  </si>
  <si>
    <t>Image</t>
  </si>
  <si>
    <t>Venue Ticketing Types &amp; Costs</t>
  </si>
  <si>
    <t xml:space="preserve">Multi-Day Event With Fixed Daily Times Schedule </t>
  </si>
  <si>
    <t>Ticketing</t>
  </si>
  <si>
    <t>Multi-Day Event With Mixed Daily Times</t>
  </si>
  <si>
    <t>Admin Panel</t>
  </si>
  <si>
    <t>Useful Info</t>
  </si>
  <si>
    <t>Additional Info</t>
  </si>
  <si>
    <t>Event Dates</t>
  </si>
  <si>
    <t>Same Opening Daily</t>
  </si>
  <si>
    <t>Event Days</t>
  </si>
  <si>
    <t>Daily Opening / Closing Times</t>
  </si>
  <si>
    <t>Same timings every day</t>
  </si>
  <si>
    <t>Event Timings Each Day</t>
  </si>
  <si>
    <t>Exceptions</t>
  </si>
  <si>
    <t>Multi-Sessions</t>
  </si>
  <si>
    <t>Daily Session Times</t>
  </si>
  <si>
    <t>Ticket Requirements + Types</t>
  </si>
  <si>
    <t>Cost?</t>
  </si>
  <si>
    <t>Baby Tickets</t>
  </si>
  <si>
    <t>Ticket Needed?</t>
  </si>
  <si>
    <t>Child Tickets</t>
  </si>
  <si>
    <t>How to Book</t>
  </si>
  <si>
    <t>Young Child Tickets</t>
  </si>
  <si>
    <t>Ticket Types</t>
  </si>
  <si>
    <t>Multiple Sessions Daily</t>
  </si>
  <si>
    <t>Older Child Tickets</t>
  </si>
  <si>
    <t>Adult Tickets</t>
  </si>
  <si>
    <t>Fixed Start / End Times</t>
  </si>
  <si>
    <t>Concession Tickets</t>
  </si>
  <si>
    <t>Group Tickets</t>
  </si>
  <si>
    <t>Daily Start / End times</t>
  </si>
  <si>
    <t>Multi-Sessions Per Day</t>
  </si>
  <si>
    <t>Monthly Fixed Date</t>
  </si>
  <si>
    <t>Opportunity Type</t>
  </si>
  <si>
    <t>Event Setting</t>
  </si>
  <si>
    <t>Opportunity Theme Variant</t>
  </si>
  <si>
    <t>Event Name</t>
  </si>
  <si>
    <t>How would you group it?</t>
  </si>
  <si>
    <t>Event Type</t>
  </si>
  <si>
    <t>Description</t>
  </si>
  <si>
    <t>Address</t>
  </si>
  <si>
    <t>Address line 2</t>
  </si>
  <si>
    <t>City/Town</t>
  </si>
  <si>
    <t>State/Region/Province</t>
  </si>
  <si>
    <t>Postcode</t>
  </si>
  <si>
    <t>Country</t>
  </si>
  <si>
    <t>Latitude</t>
  </si>
  <si>
    <t>Longitude</t>
  </si>
  <si>
    <t>Inside or Outside</t>
  </si>
  <si>
    <t>Weather Suitability</t>
  </si>
  <si>
    <t>Multi-Day Event?</t>
  </si>
  <si>
    <t>Event Start Date</t>
  </si>
  <si>
    <t>Event End Date</t>
  </si>
  <si>
    <t>Event Days Total</t>
  </si>
  <si>
    <t xml:space="preserve">Which day/s of the week does it fall on? </t>
  </si>
  <si>
    <t>Does the event start / end at the same time across each day?</t>
  </si>
  <si>
    <t>What time does it start?</t>
  </si>
  <si>
    <t>What time does it end?</t>
  </si>
  <si>
    <t>Monday Start Time</t>
  </si>
  <si>
    <t>Monday End Time</t>
  </si>
  <si>
    <t>Tuesday Start Time</t>
  </si>
  <si>
    <t>Tuesday End Time</t>
  </si>
  <si>
    <t>Wednesday Start Time</t>
  </si>
  <si>
    <t>Venue Setting</t>
  </si>
  <si>
    <t>Wednesday End Time</t>
  </si>
  <si>
    <t>Thursday Start Time</t>
  </si>
  <si>
    <t>Thursday End Time</t>
  </si>
  <si>
    <t>Friday Start Time</t>
  </si>
  <si>
    <t>Friday End Time</t>
  </si>
  <si>
    <t>Venue Setting (More specifically)</t>
  </si>
  <si>
    <t>Saturday Start Time</t>
  </si>
  <si>
    <t>Saturday End Time</t>
  </si>
  <si>
    <t>Sunday Start Time</t>
  </si>
  <si>
    <t>Venue Name</t>
  </si>
  <si>
    <t>Sunday End Time</t>
  </si>
  <si>
    <t>Are there multiple bookable sessions throughout the day?</t>
  </si>
  <si>
    <t>Monday Session Times</t>
  </si>
  <si>
    <t>Tuesday Session Times</t>
  </si>
  <si>
    <t>Wednesday Session Times</t>
  </si>
  <si>
    <t>Which days of the week are they open?</t>
  </si>
  <si>
    <t>Thursday Session Times</t>
  </si>
  <si>
    <t>Friday Session Times</t>
  </si>
  <si>
    <t>Same start &amp; end times across all days?</t>
  </si>
  <si>
    <t>Saturday Session Times</t>
  </si>
  <si>
    <t>Daily Opening Time</t>
  </si>
  <si>
    <t>Club Setting</t>
  </si>
  <si>
    <t>Daily Closing Time</t>
  </si>
  <si>
    <t>Sunday Session Times</t>
  </si>
  <si>
    <t>Monday Opening Time</t>
  </si>
  <si>
    <t>Monday Closing Time</t>
  </si>
  <si>
    <t>Ticket Sales Start Date</t>
  </si>
  <si>
    <t>Tuesday Opening Time</t>
  </si>
  <si>
    <t>Is there an Entry Cost?</t>
  </si>
  <si>
    <t>Tuesday Closing Time</t>
  </si>
  <si>
    <t>Wednesday Opening Time</t>
  </si>
  <si>
    <t>Wednesday Closing Time</t>
  </si>
  <si>
    <t>Thursday Opening Time</t>
  </si>
  <si>
    <t>Ticketing Requirement</t>
  </si>
  <si>
    <t>Club Setting 
(More Specifically)</t>
  </si>
  <si>
    <t>Thursday Closing Time</t>
  </si>
  <si>
    <t>Friday Opening Time</t>
  </si>
  <si>
    <t>Booking Types</t>
  </si>
  <si>
    <t>Friday Closing Time</t>
  </si>
  <si>
    <t>Saturday Opening Time</t>
  </si>
  <si>
    <t>Club Name</t>
  </si>
  <si>
    <t>Saturday Closing Time</t>
  </si>
  <si>
    <t>Baby Ticket Age Range</t>
  </si>
  <si>
    <t>Sunday Opening Time</t>
  </si>
  <si>
    <t>Sunday Closing Time</t>
  </si>
  <si>
    <t>Club Format</t>
  </si>
  <si>
    <t>Opening exclusions (not open on)</t>
  </si>
  <si>
    <t>Commitment</t>
  </si>
  <si>
    <t>Price</t>
  </si>
  <si>
    <t>Bank Holidays</t>
  </si>
  <si>
    <t>Frequency</t>
  </si>
  <si>
    <t>Fixed Child Ticket Age Range</t>
  </si>
  <si>
    <t>Young Child Ticket Age Range</t>
  </si>
  <si>
    <t>Older Child Ticket Age Range</t>
  </si>
  <si>
    <t>Seasonal Opening</t>
  </si>
  <si>
    <t>Adult Ticket Age Range</t>
  </si>
  <si>
    <t>Concession Ticket Age Range</t>
  </si>
  <si>
    <t>Region</t>
  </si>
  <si>
    <t>Group Ticket Definition</t>
  </si>
  <si>
    <t>Parking Provision</t>
  </si>
  <si>
    <t>General Facilities</t>
  </si>
  <si>
    <t>Ticketing Requirements</t>
  </si>
  <si>
    <t>Kids Facilities</t>
  </si>
  <si>
    <t>Parent Facilities</t>
  </si>
  <si>
    <t>Ticketing Types</t>
  </si>
  <si>
    <t>&lt;1s</t>
  </si>
  <si>
    <t>Baby Ticket Definition</t>
  </si>
  <si>
    <t>1-2yrs</t>
  </si>
  <si>
    <t>3-4yrs</t>
  </si>
  <si>
    <t>Baby Ticket Price</t>
  </si>
  <si>
    <t>5-7yrs</t>
  </si>
  <si>
    <t>8-12yrs</t>
  </si>
  <si>
    <t>13+yrs</t>
  </si>
  <si>
    <t>Adults</t>
  </si>
  <si>
    <t>Fixed Child Ticket Definition</t>
  </si>
  <si>
    <t>Interest Tags</t>
  </si>
  <si>
    <t>Confirm the start date</t>
  </si>
  <si>
    <t>Seasonal Tag</t>
  </si>
  <si>
    <t>Fixed Child Ticket Price</t>
  </si>
  <si>
    <t>Seasonal Highlights</t>
  </si>
  <si>
    <t>Highlights (Attractions)</t>
  </si>
  <si>
    <t>Confirm the end date</t>
  </si>
  <si>
    <t>Young Child Ticket Definition</t>
  </si>
  <si>
    <t>Extra Kit</t>
  </si>
  <si>
    <t>Young Child Ticket Price</t>
  </si>
  <si>
    <t>Are there any specific skills needed to participate fully?</t>
  </si>
  <si>
    <t>Older Child Ticket Definition</t>
  </si>
  <si>
    <t>Older Child Ticket Price</t>
  </si>
  <si>
    <t>Adult Ticket Definition</t>
  </si>
  <si>
    <t>Skill Area</t>
  </si>
  <si>
    <t>Skill Area Variant</t>
  </si>
  <si>
    <t>Adult Ticket Price</t>
  </si>
  <si>
    <t>Ability Level</t>
  </si>
  <si>
    <t>Multiple sessions Daily?</t>
  </si>
  <si>
    <t>Concession Ticket Definition</t>
  </si>
  <si>
    <t>Image Name</t>
  </si>
  <si>
    <t>Concession Ticket Price</t>
  </si>
  <si>
    <t>Photo Contributor</t>
  </si>
  <si>
    <t>Multiple sessions Daily - Total per day</t>
  </si>
  <si>
    <t>Group Ticket Price</t>
  </si>
  <si>
    <t>Partner Code</t>
  </si>
  <si>
    <t>Regular Timetabled Event</t>
  </si>
  <si>
    <t>Fixed Daily Multi-Session Times</t>
  </si>
  <si>
    <t>Record ID</t>
  </si>
  <si>
    <t>Which days of the week does it run?</t>
  </si>
  <si>
    <t>Dog Facilities</t>
  </si>
  <si>
    <t>Fixed Daily Start / End Times?</t>
  </si>
  <si>
    <t>Developer Action</t>
  </si>
  <si>
    <t>Fixed Daily start time:</t>
  </si>
  <si>
    <t>Fixed Daily end time:</t>
  </si>
  <si>
    <t>Added to Queue</t>
  </si>
  <si>
    <t>Upload Batch No.</t>
  </si>
  <si>
    <t>Monday Start time</t>
  </si>
  <si>
    <t>Proposed Version</t>
  </si>
  <si>
    <t>Change Summary</t>
  </si>
  <si>
    <t>Monday End time</t>
  </si>
  <si>
    <t>AWS Action Complete?</t>
  </si>
  <si>
    <t>Tuesday Start time</t>
  </si>
  <si>
    <t>Return to WORKING?</t>
  </si>
  <si>
    <t>Estimated Time to Spend</t>
  </si>
  <si>
    <t>Cancel Removal?</t>
  </si>
  <si>
    <t>Tuesday End time</t>
  </si>
  <si>
    <t xml:space="preserve">Interest Tags </t>
  </si>
  <si>
    <t>Wednesday Start time</t>
  </si>
  <si>
    <t>opportunity_type</t>
  </si>
  <si>
    <t>Attractions
(Highlights)</t>
  </si>
  <si>
    <t>Wednesday End time</t>
  </si>
  <si>
    <t>Thursday Start time</t>
  </si>
  <si>
    <t>event_opportunity_theme</t>
  </si>
  <si>
    <t>Thursday End time</t>
  </si>
  <si>
    <t>Friday Start time</t>
  </si>
  <si>
    <t>Images (Venues Folder)</t>
  </si>
  <si>
    <t>event_opportunity_theme_variant</t>
  </si>
  <si>
    <t>Friday End time</t>
  </si>
  <si>
    <t>event_name</t>
  </si>
  <si>
    <t>event_activity_group</t>
  </si>
  <si>
    <t>Saturday Start time</t>
  </si>
  <si>
    <t>event_type</t>
  </si>
  <si>
    <t>event_description</t>
  </si>
  <si>
    <t>Saturday End time</t>
  </si>
  <si>
    <t>event_address_line_1</t>
  </si>
  <si>
    <t>Are there Multiple Sessions in one day?</t>
  </si>
  <si>
    <t>event_address_line_2</t>
  </si>
  <si>
    <t>event_city</t>
  </si>
  <si>
    <t>event_region</t>
  </si>
  <si>
    <t>event_postcode</t>
  </si>
  <si>
    <t>Sunday Start time</t>
  </si>
  <si>
    <t>event_country</t>
  </si>
  <si>
    <t>latitude</t>
  </si>
  <si>
    <t>Event Schedule Pattern (Which days of the week will the event be running?)</t>
  </si>
  <si>
    <t>longitude</t>
  </si>
  <si>
    <t>Sunday End time</t>
  </si>
  <si>
    <t>event_physical_setting</t>
  </si>
  <si>
    <t>Are there fixed timings that are the same each day?</t>
  </si>
  <si>
    <t>event_detailed_weather_suitability</t>
  </si>
  <si>
    <t>Multi-Session Monday - No. of sessions</t>
  </si>
  <si>
    <t>Daily Start Time</t>
  </si>
  <si>
    <t>Monday session times</t>
  </si>
  <si>
    <t>event_multiple_days_confirmed</t>
  </si>
  <si>
    <t>Daily Finish Time</t>
  </si>
  <si>
    <t>Multi-Session Tuesday - No. of sessions</t>
  </si>
  <si>
    <t>Tuesday session times</t>
  </si>
  <si>
    <t>Total number of sessions within the day</t>
  </si>
  <si>
    <t>event_start_date</t>
  </si>
  <si>
    <t>Multi-Session Wednesday - No. of sessions</t>
  </si>
  <si>
    <t>event_end_date</t>
  </si>
  <si>
    <t>event_days_total</t>
  </si>
  <si>
    <t>Wednesday session times</t>
  </si>
  <si>
    <t>event_timetable_weekly</t>
  </si>
  <si>
    <t>Multi-Session Thursday - No. of sessions</t>
  </si>
  <si>
    <t>event_daily_fixed_timings</t>
  </si>
  <si>
    <t>Times of those multi-sessions</t>
  </si>
  <si>
    <t>Thursday session times</t>
  </si>
  <si>
    <t>event_daily_fixed_start_time</t>
  </si>
  <si>
    <t>Multi-Session Friday - No. of sessions</t>
  </si>
  <si>
    <t>Daily Timings Start Time</t>
  </si>
  <si>
    <t>Friday session times</t>
  </si>
  <si>
    <t>Multi-Session Saturday - No. of sessions</t>
  </si>
  <si>
    <t>event_daily_fixed_end_time</t>
  </si>
  <si>
    <t>Saturday session times</t>
  </si>
  <si>
    <t>Daily Timings End Time</t>
  </si>
  <si>
    <t>Multi-Session Sunday - No. of sessions</t>
  </si>
  <si>
    <t>event_mixed_timings_monday_start_time</t>
  </si>
  <si>
    <t>Sunday session times</t>
  </si>
  <si>
    <t>event_mixed_timings_monday_end_time</t>
  </si>
  <si>
    <t>event_mixed_timings_tuesday_start_time</t>
  </si>
  <si>
    <t>Which day of the week does it occur?</t>
  </si>
  <si>
    <t>event_mixed_timings_tuesday_end_time</t>
  </si>
  <si>
    <t>event_mixed_timings_wednesday_start_time</t>
  </si>
  <si>
    <t>Do you have a fixed week within the month</t>
  </si>
  <si>
    <t>event_mixed_timings_wednesday_end_time</t>
  </si>
  <si>
    <t>Which week does your club occur?</t>
  </si>
  <si>
    <t>event_mixed_timings_thursday_start_time</t>
  </si>
  <si>
    <t>Please confirm any upcoming Monthly dates:</t>
  </si>
  <si>
    <t>event_mixed_timings_thursday_end_time</t>
  </si>
  <si>
    <t>event_mixed_timings_friday_start_time</t>
  </si>
  <si>
    <t>Club Cost?</t>
  </si>
  <si>
    <t>event_mixed_timings_friday_end_time</t>
  </si>
  <si>
    <t>event_mixed_timings_saturday_start_time</t>
  </si>
  <si>
    <t>event_mixed_timings_saturday_end_time</t>
  </si>
  <si>
    <t>event_mixed_timings_sunday_start_time</t>
  </si>
  <si>
    <t>event_mixed_timings_sunday_end_time</t>
  </si>
  <si>
    <t>event_daily_multi_session</t>
  </si>
  <si>
    <t>event_monday_session_timings</t>
  </si>
  <si>
    <t>Booking Type</t>
  </si>
  <si>
    <t>event_tuesday_session_timings</t>
  </si>
  <si>
    <t>event_wednesday_session_timings</t>
  </si>
  <si>
    <t>event_thursday_session_timings</t>
  </si>
  <si>
    <t>event_friday_session_timings</t>
  </si>
  <si>
    <t>event_saturday_session_timings</t>
  </si>
  <si>
    <t>event_sunday_session_timings</t>
  </si>
  <si>
    <t>ticket_sales_start_date</t>
  </si>
  <si>
    <t>event_entry_cost</t>
  </si>
  <si>
    <t>ticketing_requirement</t>
  </si>
  <si>
    <t>event_booking_type</t>
  </si>
  <si>
    <t>ticketing_variants</t>
  </si>
  <si>
    <t>ticket_variant_definition_baby</t>
  </si>
  <si>
    <t>ticket_variant_baby_price</t>
  </si>
  <si>
    <t>ticket_variant_definition_fixed_child</t>
  </si>
  <si>
    <t>ticket_variant_fixed_child_price</t>
  </si>
  <si>
    <t>ticket_variant_definition_young_child</t>
  </si>
  <si>
    <t>ticket_variant_young_child_price</t>
  </si>
  <si>
    <t>ticket_variant_definition_older_child</t>
  </si>
  <si>
    <t>ticket_variant_older_child_price</t>
  </si>
  <si>
    <t>ticket_variant_definition_adult</t>
  </si>
  <si>
    <t>ticket_variant_adult_price</t>
  </si>
  <si>
    <t>ticket_variant_definition_concession</t>
  </si>
  <si>
    <t>ticket_variant_concession_price</t>
  </si>
  <si>
    <t>ticket_variant_definition_group</t>
  </si>
  <si>
    <t>ticket_variant_group_price</t>
  </si>
  <si>
    <t>event_parking_provision</t>
  </si>
  <si>
    <t>event_general_facilities</t>
  </si>
  <si>
    <t>event_child_facilities</t>
  </si>
  <si>
    <t>event_adult_facilities</t>
  </si>
  <si>
    <t>event_age_suitability_under_1_s</t>
  </si>
  <si>
    <t>event_age_suitability_1_to_2_years</t>
  </si>
  <si>
    <t>event_age_suitability_3_to_4_years</t>
  </si>
  <si>
    <t>event_age_suitability_5_to_7_years</t>
  </si>
  <si>
    <t>event_age_suitability_8_to_12_years</t>
  </si>
  <si>
    <t>event_age_suitability_over_13_years</t>
  </si>
  <si>
    <t>event_age_suitability_adults</t>
  </si>
  <si>
    <t>venue_opportunity_theme</t>
  </si>
  <si>
    <t>event_interest_tags</t>
  </si>
  <si>
    <t>event_seasonal_tags</t>
  </si>
  <si>
    <t>event_seasonal_highlights</t>
  </si>
  <si>
    <t>venue_opportunity_theme_variant</t>
  </si>
  <si>
    <t>event_highlights</t>
  </si>
  <si>
    <t>venue_name</t>
  </si>
  <si>
    <t>event_extra_kit</t>
  </si>
  <si>
    <t>event_skill_requirement</t>
  </si>
  <si>
    <t>event_skill_area</t>
  </si>
  <si>
    <t>venue_activity_group</t>
  </si>
  <si>
    <t>event_skill_area_variant</t>
  </si>
  <si>
    <t>event_ability_level</t>
  </si>
  <si>
    <t>image</t>
  </si>
  <si>
    <t>contributor_first_name</t>
  </si>
  <si>
    <t>venue_description</t>
  </si>
  <si>
    <t>venue_address_line_1</t>
  </si>
  <si>
    <t>partner_code</t>
  </si>
  <si>
    <t>venue_address_line_2</t>
  </si>
  <si>
    <t>Activity Group</t>
  </si>
  <si>
    <t>venue_city</t>
  </si>
  <si>
    <t>venue_postcode</t>
  </si>
  <si>
    <t>regular_timetabled</t>
  </si>
  <si>
    <t>record_id</t>
  </si>
  <si>
    <t>venue_country</t>
  </si>
  <si>
    <t>venue_schedule_pattern</t>
  </si>
  <si>
    <t>venue_fixed_daily_timings</t>
  </si>
  <si>
    <t>venue_fixed_timings_start_time</t>
  </si>
  <si>
    <t>venue_fixed_timings_end_time</t>
  </si>
  <si>
    <t>venue_mixed_timings_monday_start_time</t>
  </si>
  <si>
    <t>venue_mixed_timings_monday_end_time</t>
  </si>
  <si>
    <t>developer_action</t>
  </si>
  <si>
    <t>venue_mixed_timings_tuesday_start_time</t>
  </si>
  <si>
    <t>added_to_queue_at</t>
  </si>
  <si>
    <t>venue_mixed_timings_tuesday_end_time</t>
  </si>
  <si>
    <t>Regular Timetabled Club</t>
  </si>
  <si>
    <t>admin_version</t>
  </si>
  <si>
    <t>venue_mixed_timings_wednesday_start_time</t>
  </si>
  <si>
    <t>queued_version</t>
  </si>
  <si>
    <t>change_summary</t>
  </si>
  <si>
    <t>venue_mixed_timings_wednesday_end_time</t>
  </si>
  <si>
    <t>actioned_in_aws</t>
  </si>
  <si>
    <t>venue_mixed_timings_thursday_start_time</t>
  </si>
  <si>
    <t>return_to_working</t>
  </si>
  <si>
    <t>venue_mixed_timings_thursday_end_time</t>
  </si>
  <si>
    <t>cancel_removal</t>
  </si>
  <si>
    <t>venue_mixed_timings_friday_start_time</t>
  </si>
  <si>
    <t>venue_mixed_timings_friday_end_time</t>
  </si>
  <si>
    <t>venue_mixed_timings_saturday_start_time</t>
  </si>
  <si>
    <t>event</t>
  </si>
  <si>
    <t>venue_mixed_timings_saturday_end_time</t>
  </si>
  <si>
    <t>venue_mixed_timings_sunday_start_time</t>
  </si>
  <si>
    <t>venue_mixed_timings_sunday_end_time</t>
  </si>
  <si>
    <t>Seasonal</t>
  </si>
  <si>
    <t>Patch or Field</t>
  </si>
  <si>
    <t>venue_opening_exclusions</t>
  </si>
  <si>
    <t>Darts Farm Pumpkin Fest - Half Term Fun</t>
  </si>
  <si>
    <t>Special Day Out</t>
  </si>
  <si>
    <t>Themed</t>
  </si>
  <si>
    <t xml:space="preserve">Every October, Darts Farm transforms into something quite different from its usual self — tens of thousands of homegrown pumpkins filling the fields in every shape, size and shade of orange imaginable, with enough going on around them to make a proper afternoon of it. Magic shows, game shows, live music, roaming performers, marshmallow toasting, face painting and s’mores are all part of the mix, with the farm’s natural backdrop doing a lot of the atmospheric heavy lifting. They do go all out, and it certainly provides the pumpkin-patch fix most families are looking for - with the world's 3rd biggest pumpkin in residence no less! With the usual Darts playarea directly opposite, and all the amenities of the farm shop and cafes, and quick access to the Exe Estuary trail for a walk, it's a classic take on a Pumpkin Patch but with lots you can add on easily. Like most pumpkin patches, the ticket price covers entry but not the pumpkin itself, which you choose and pay for separately on the day; some activities carry an additional charge and tend to sit at a price point similar to others (the standard eye-watering extras, but hard to avoid when they're placed under children's noses). The farm runs on booked arrival slots throughout October, with the busiest dates around half term selling out well in advance — worth getting tickets sorted early if you have a specific weekend in mind. </t>
  </si>
  <si>
    <t>Darts Farm Shopping Village</t>
  </si>
  <si>
    <t>Topsham</t>
  </si>
  <si>
    <t>Clyst St George</t>
  </si>
  <si>
    <t>Devon</t>
  </si>
  <si>
    <t>EX3 0QH</t>
  </si>
  <si>
    <t>Outside</t>
  </si>
  <si>
    <t>Windy (&gt; X mph), Sunshine, Overcast / cloudy, Dry &amp; mild, Dry &amp; cold, Dry &amp; warm, Dry &amp; hot</t>
  </si>
  <si>
    <t>venue_bank_holiday_opening</t>
  </si>
  <si>
    <t>club_opportunity_theme</t>
  </si>
  <si>
    <t>club_opportunity_theme_variant</t>
  </si>
  <si>
    <t>venue_seasonal_opening_hours</t>
  </si>
  <si>
    <t>club_name</t>
  </si>
  <si>
    <t>club_description</t>
  </si>
  <si>
    <t>club_format</t>
  </si>
  <si>
    <t>venue_entry_cost</t>
  </si>
  <si>
    <t>club_commitment</t>
  </si>
  <si>
    <t>club_frequency</t>
  </si>
  <si>
    <t>club_address_line_1</t>
  </si>
  <si>
    <t>venue_booking_type</t>
  </si>
  <si>
    <t>club_address_line_2</t>
  </si>
  <si>
    <t>club_city_town</t>
  </si>
  <si>
    <t>club_state_region_province</t>
  </si>
  <si>
    <t>club_postcode</t>
  </si>
  <si>
    <t>Monday, Tuesday, Wednesday, Thursday, Friday, Saturday</t>
  </si>
  <si>
    <t>club_country</t>
  </si>
  <si>
    <t>club_start_date</t>
  </si>
  <si>
    <t>club_end_date</t>
  </si>
  <si>
    <t>-</t>
  </si>
  <si>
    <t>club_break_schedule</t>
  </si>
  <si>
    <t>club_repeat_session</t>
  </si>
  <si>
    <t>club_daily_fixed_session_total</t>
  </si>
  <si>
    <t>club_daily_fixed_session_schedule</t>
  </si>
  <si>
    <t>club_daily_schedule</t>
  </si>
  <si>
    <t>club_fixed_daily_timings</t>
  </si>
  <si>
    <t>club_daily_start_time</t>
  </si>
  <si>
    <t>club_daily_end_time</t>
  </si>
  <si>
    <t>club_mixed_timings_monday_start_time</t>
  </si>
  <si>
    <t>venue_parking_provision</t>
  </si>
  <si>
    <t>club_mixed_timings_monday_end_time</t>
  </si>
  <si>
    <t>venue_general_facilities</t>
  </si>
  <si>
    <t>club_mixed_timings_tuesday_start_time</t>
  </si>
  <si>
    <t>venue_child_facilities</t>
  </si>
  <si>
    <t>club_mixed_timings_tuesday_end_time</t>
  </si>
  <si>
    <t>venue_adult_facilities</t>
  </si>
  <si>
    <t>club_mixed_timings_wednesday_start_time</t>
  </si>
  <si>
    <t>venue_dog_facilities</t>
  </si>
  <si>
    <t>club_mixed_timings_wednesday_end_time</t>
  </si>
  <si>
    <t>venue_age_suitability_under_1_s</t>
  </si>
  <si>
    <t>club_mixed_timings_thursday_start_time</t>
  </si>
  <si>
    <t>Advance Book</t>
  </si>
  <si>
    <t>club_mixed_timings_thursday_end_time</t>
  </si>
  <si>
    <t>venue_age_suitability_1_to_2_years</t>
  </si>
  <si>
    <t>Baby, (Fixed) Child, Adult</t>
  </si>
  <si>
    <t>0-0.9</t>
  </si>
  <si>
    <t>club_mixed_timings_friday_start_time</t>
  </si>
  <si>
    <t>venue_age_suitability_3_to_4_years</t>
  </si>
  <si>
    <t>club_mixed_timings_friday_end_time</t>
  </si>
  <si>
    <t>venue_age_suitability_5_to_7_years</t>
  </si>
  <si>
    <t>club_mixed_timings_saturday_start_time</t>
  </si>
  <si>
    <t>venue_age_suitability_8_to_12_years</t>
  </si>
  <si>
    <t>1-15</t>
  </si>
  <si>
    <t>club_mixed_timings_saturday_end_time</t>
  </si>
  <si>
    <t>venue_age_suitability_over_13_years</t>
  </si>
  <si>
    <t>club_mixed_timings_sunday_start_time</t>
  </si>
  <si>
    <t>venue_age_suitability_adults</t>
  </si>
  <si>
    <t>club_mixed_timings_sunday_end_time</t>
  </si>
  <si>
    <t>club_multi_session_monday_session_total</t>
  </si>
  <si>
    <t>venue_physical_setting</t>
  </si>
  <si>
    <t>club_multi_session_monday_schedule</t>
  </si>
  <si>
    <t>venue_detailed_weather_suitability</t>
  </si>
  <si>
    <t>16+</t>
  </si>
  <si>
    <t>club_multi_session_tuesday_session_total</t>
  </si>
  <si>
    <t>venue_estimated_duration</t>
  </si>
  <si>
    <t>club_multi_session_tuesday_schedule</t>
  </si>
  <si>
    <t>venue_interest_tags</t>
  </si>
  <si>
    <t>venue_seasonal_tag</t>
  </si>
  <si>
    <t>club_multi_session_wednesday_session_total</t>
  </si>
  <si>
    <t>venue_seasonal_highlights</t>
  </si>
  <si>
    <t>club_multi_session_wednesday_schedule</t>
  </si>
  <si>
    <t>venue_attractions</t>
  </si>
  <si>
    <t>club_multi_session_thursday_session_total</t>
  </si>
  <si>
    <t>venue_extra_kit</t>
  </si>
  <si>
    <t>club_multi_session_thursday_schedule</t>
  </si>
  <si>
    <t>Free Car Park</t>
  </si>
  <si>
    <t>club_multi_session_friday_session_total</t>
  </si>
  <si>
    <t>club_multi_session_friday_schedule</t>
  </si>
  <si>
    <t>club_multi_session_saturday_session_total</t>
  </si>
  <si>
    <t>Toilets, Disabled toilets, Baby changing, Bench Seating, Picnic Benches, BYO Picnic, Buggy Friendly, Dogs Allowed, Outdoor Seating, Water Refill</t>
  </si>
  <si>
    <t>club_multi_session_saturday_schedule</t>
  </si>
  <si>
    <t>Ice creams, Activity trail, Children’s trail, "Swings, Slides, Climbing Frames", Outdoor play equipment</t>
  </si>
  <si>
    <t>club_multi_session_sunday_session_total</t>
  </si>
  <si>
    <t>Hot Drinks, Snacks, Drinks stand, Sweet treats</t>
  </si>
  <si>
    <t>club_multi_session_sunday_schedule</t>
  </si>
  <si>
    <t>club_monthly_schedule</t>
  </si>
  <si>
    <t>event_daily_multi_session_total</t>
  </si>
  <si>
    <t>club_fixed_month_occurance</t>
  </si>
  <si>
    <t>club_monthly_occurance</t>
  </si>
  <si>
    <t>club_monthly_fixed_dates</t>
  </si>
  <si>
    <t>event_daily_multi_session_timings</t>
  </si>
  <si>
    <t>club_entry_cost</t>
  </si>
  <si>
    <t>event_weekly_fixed_start_time</t>
  </si>
  <si>
    <t>event_weekly_fixed_end_time</t>
  </si>
  <si>
    <t>club_booking_provision</t>
  </si>
  <si>
    <t>venue</t>
  </si>
  <si>
    <t>Pumpkin picking, Pumpkin patch, Halloween, Autumn festival, Seasonal event, Giant pumpkins, Pumpkin displays, Magic shows, Game shows, Live music, Roaming entertainers, Marshmallow toasting, S'mores, Face painting, Family entertainment, Pumpkin photography, Outdoor festival, Street food, Sweet treats, Darts Farm, Topsham</t>
  </si>
  <si>
    <t>Autumn, Halloween</t>
  </si>
  <si>
    <t>Pumpkin Patch, Autumnal Drinks, Festive Displays</t>
  </si>
  <si>
    <t>Seasonal Hot Chocolates, Festive Displays, Themed Food, Themed Areas, Roasting Marshmallows</t>
  </si>
  <si>
    <t>Playgrounds &amp; Adventure Parks</t>
  </si>
  <si>
    <t>Cashless - bring a bank card, XC Buggy, Wellies</t>
  </si>
  <si>
    <t>Local park</t>
  </si>
  <si>
    <t>Sandy Bay Park</t>
  </si>
  <si>
    <t>Low Effort, Simple Reset</t>
  </si>
  <si>
    <t>Sandy Bay at Devon Cliffs is a full holiday-park setting rather than a casual public play stop, so it’s most useful for families staying on site or using bookable facilities. The appeal is having beach access, accommodation, food and entertainment wrapped into one place, which can take a lot of planning pressure off. For day visitors, check access carefully before adding it as a general directory option.</t>
  </si>
  <si>
    <t>Sandy Bay</t>
  </si>
  <si>
    <t>Exmouth</t>
  </si>
  <si>
    <t>Darts Farm Pumpkins.JPG</t>
  </si>
  <si>
    <t>Lois</t>
  </si>
  <si>
    <t>EX8 5BT</t>
  </si>
  <si>
    <t>club_parking_provision</t>
  </si>
  <si>
    <t>club_general_facilities</t>
  </si>
  <si>
    <t>EVT-00063</t>
  </si>
  <si>
    <t>club_child_facilities</t>
  </si>
  <si>
    <t>club_adult_facilities</t>
  </si>
  <si>
    <t>club_age_suitability_under_1_s</t>
  </si>
  <si>
    <t>CREATE</t>
  </si>
  <si>
    <t>club_age_suitability_1_to_2_years</t>
  </si>
  <si>
    <t>club_age_suitability_3_to_4_years</t>
  </si>
  <si>
    <t>club_age_suitability_5_to_7_years</t>
  </si>
  <si>
    <t>club_age_suitability_8_to_12_years</t>
  </si>
  <si>
    <t>club_age_suitability_over_13_years</t>
  </si>
  <si>
    <t>club_age_suitability_adults</t>
  </si>
  <si>
    <t>Monday, Tuesday, Wednesday, Thursday, Friday, Saturday, Sunday</t>
  </si>
  <si>
    <t>club_activity_group</t>
  </si>
  <si>
    <t>club_physical_setting</t>
  </si>
  <si>
    <t>club_skill_area</t>
  </si>
  <si>
    <t>club_skill_area_variant</t>
  </si>
  <si>
    <t>club_ability_level</t>
  </si>
  <si>
    <t>club_interest_tags</t>
  </si>
  <si>
    <t>club_seasonal_tag</t>
  </si>
  <si>
    <t>club_seasonal_highlights</t>
  </si>
  <si>
    <t>club_attractions</t>
  </si>
  <si>
    <t>Darts Farm Pumpkin Fest - Weekend</t>
  </si>
  <si>
    <t>club_extra_kit</t>
  </si>
  <si>
    <t>Saturday, Sunday</t>
  </si>
  <si>
    <t>event_dog_facilities</t>
  </si>
  <si>
    <t>club</t>
  </si>
  <si>
    <t>Community Groups</t>
  </si>
  <si>
    <t>Playgroup</t>
  </si>
  <si>
    <t>Little Gems Playgroup</t>
  </si>
  <si>
    <t xml:space="preserve">Gems is Christ Church Woodbury’s weekly toddler group that runs on Friday mornings during term time. A lovely, local group where you can genuinely arrive knowing no one and be assured of an uplifting welcome by the friendly volunteers that run it; women, mothers and grandparents that 'get it' and a more than happy to get stuck in playing so you can enjoy a cup of tea. A small soft play area, lots of toys, fancy dress, stories, tea, coffee (and usually a lovely homemade cake) will be waiting for you, along with a semi-structured session that allows for free play and flexible activities you'd expect at a toddler group, followed by a story and snacktime. </t>
  </si>
  <si>
    <t>Stay-and-play (supervised)</t>
  </si>
  <si>
    <t>One-off (pay as you go)</t>
  </si>
  <si>
    <t>Weekly</t>
  </si>
  <si>
    <t>Christ Church Woodbury</t>
  </si>
  <si>
    <t>Open</t>
  </si>
  <si>
    <t>Parsonage Way</t>
  </si>
  <si>
    <t>Woodbury</t>
  </si>
  <si>
    <t>EX5 1HY</t>
  </si>
  <si>
    <t>Open (Free) Access</t>
  </si>
  <si>
    <t>Term-time Only</t>
  </si>
  <si>
    <t>Paid Car Park, Members Car Park, Bike racks / bays</t>
  </si>
  <si>
    <t>EVT-00062</t>
  </si>
  <si>
    <t>Friday</t>
  </si>
  <si>
    <t>Nature &amp; Wildlife Exploration</t>
  </si>
  <si>
    <t>Halloween Family Fun at Drakes Farm</t>
  </si>
  <si>
    <t>Under the Radar</t>
  </si>
  <si>
    <t>Family Funday</t>
  </si>
  <si>
    <t>Happy Halloween at Drake’s Farm is a small-scale Halloween session aimed at children up to the age of 8, with crafts, messy play, themed challenges, stories around the Drake’s Farm Cauldron and a Halloween treasure hunt. It feels more like a playful farm-school morning than a large pumpkin-patch event, with activities ranging from crafty making, playing, dressing up and exploring the site. Fancy dress is encouraged, but the activities are designed to get messy, so it has a relaxed, hands-on feel rather than a polished costume-party one. The café is open for drinks, cakes, cookies and snacks, and there are all the usual play and snack options too.</t>
  </si>
  <si>
    <t>Higher Fingle Farm</t>
  </si>
  <si>
    <t>Crockernwell</t>
  </si>
  <si>
    <t>Exeter</t>
  </si>
  <si>
    <t>EX6 6NP</t>
  </si>
  <si>
    <t>Sunshine, Overcast / cloudy, Dry &amp; mild, Dry &amp; cold, Dry &amp; warm, Dry &amp; hot, Windy (&gt; X mph)</t>
  </si>
  <si>
    <t>Under 30mins, 30-60mins</t>
  </si>
  <si>
    <t>sandy beach, rock pooling, swimming, red cliffs, Jurassic Coast, paddling, café, South West Coast Path</t>
  </si>
  <si>
    <t>Windy (&gt; X mph), Sunshine, Overcast / cloudy, Dry &amp; mild, Dry &amp; cold, Dry &amp; warm</t>
  </si>
  <si>
    <t>Basket / nest swings, Sensory play features, Towers and platforms, Climbing frames</t>
  </si>
  <si>
    <t>Sand toys</t>
  </si>
  <si>
    <t>Sandy Bay Park.JPG</t>
  </si>
  <si>
    <t>This weekend!</t>
  </si>
  <si>
    <t>Tuesday, Thursday, Friday</t>
  </si>
  <si>
    <t>VEN-00166</t>
  </si>
  <si>
    <t>Greendale Pumpkin Patch</t>
  </si>
  <si>
    <t>PYO, Themed</t>
  </si>
  <si>
    <t>0-1.9</t>
  </si>
  <si>
    <t>Greendale’s Pumpkin Patch turns the farm shop into a seasonal autumn stop, with pumpkins to choose, photo spots around the patch and the wider Greendale site close by for food, animals and the Farm Trail. The pumpkin picking itself is simple and open-ended: visitors can wander, compare shapes and sizes, choose one to take home and make the visit feel part of the build-up to Halloween rather than a big-ticket day out. Unlike some pumpkin experiences that charge for every element, this one is genuinely free to walk around — you choose your pumpkin and pay only for what you take home and the pricing is clear and upfront. The free Pumpkin Trail adds a second layer, with clue sheets from Oscar’s and pumpkins hidden around the Farm Trail and Farm Shop, ending with a sweet treat once the challenge is complete. Entry to the pumpkin patch is free and works really well alongside a wander around to look at the animal pens.</t>
  </si>
  <si>
    <t>Sidmouth Road</t>
  </si>
  <si>
    <t>Farringdon</t>
  </si>
  <si>
    <t>Museums &amp; Discovery</t>
  </si>
  <si>
    <t>Science &amp; Discovery, Child-Focused Discovery</t>
  </si>
  <si>
    <t>Jurassic Discovery</t>
  </si>
  <si>
    <t>EX5 2JU</t>
  </si>
  <si>
    <t>Toilets, Baby changing, Disabled toilets, Bench Seating, Buggy Friendly, Highchairs, Indoor Seating, Outdoor Seating, Water Refill</t>
  </si>
  <si>
    <t>Colouring, Clues / games, "Indoor games (puzzles, boards)", Sandpit, Children's Menu, Indoor Play Space, Outdoor play equipment</t>
  </si>
  <si>
    <t>Hot Drinks, Hot &amp; Cold food, Clear Sightlines, Snacks, Sweet treats</t>
  </si>
  <si>
    <t>Step back 65 million years at Jurassic Discovery in Seaton, where life-sized roaring animatronic dinosaurs (from the Natural History Museum in London) bring the prehistoric world to life. Explore the immersive 'Last Day of the Dinosaurs' exhibition, complete a Dino Detective trail and discover real prehistoric finds in the Leon Garner Fossil Collection, all of which make for a fun jurrasic themed outing. Younger children will be able to burn off energy in the three-level dinosaur-themed soft play and may like to try fossil digging in the Jurassic Garden, while older dinosaur enthusiasts can get stuck into the science, fossils and story of the dinosaurs' extinction which is thoughtfully provided in different, engaging ways throughout the site. It's a great rainy-day option or an educational outing during the school holidays, with enough to work for and entertain different ages. It's not a whole day outing for older children, but you could easily combine it with a longer soft play stretch, a trip on the Seaton Tramway or a wander along the seafront or around the Wetlands. Prices vary depending on whether you'd like to book tickets to the exhibition only, or combine this with the softplay and during half-term holidays the closing time extends to 17:30, so there's more time to fit in a visit, or one of their seasonal activities too.</t>
  </si>
  <si>
    <t xml:space="preserve">Jurassic Discovery </t>
  </si>
  <si>
    <t xml:space="preserve">The Underfleet </t>
  </si>
  <si>
    <t>Pay On Arrival</t>
  </si>
  <si>
    <t>Seaton</t>
  </si>
  <si>
    <t>Group</t>
  </si>
  <si>
    <t>Ex12 2WD</t>
  </si>
  <si>
    <t>Halloween, Halloween crafts, Messy play, Themed challenges, Treasure hunt, Stories, Cauldron stories, Fancy dress, Dressing up, Glow sticks, Treats, Farm session, Farm school, Outdoor play, Preschool play, Younger children, Family event, Seasonal events</t>
  </si>
  <si>
    <t>"Sand, soil, and loose materials", Children’s Activity Trails, Immersive natural surroundings, Enclosed or defined play zones</t>
  </si>
  <si>
    <t>Waterproof clothing, Wellies, Change of clothes</t>
  </si>
  <si>
    <t>1 adult, 1 child</t>
  </si>
  <si>
    <t>Drakes Farm.jpg</t>
  </si>
  <si>
    <t>EVT-00052</t>
  </si>
  <si>
    <t>Toilets, Baby changing, Disabled toilets, Buggy Friendly, Indoor Seating, Water Refill</t>
  </si>
  <si>
    <t>Colouring, Clues / games, "Indoor games (puzzles, boards)", Indoor Play Space</t>
  </si>
  <si>
    <t>Hot Drinks, Comfy Seating / Sofas, Sweet treats, Clear Sightlines</t>
  </si>
  <si>
    <t>Pumpkin Fest Half Term</t>
  </si>
  <si>
    <t>Closed 25.12.2026, 26.12.2026</t>
  </si>
  <si>
    <t xml:space="preserve">Pumpkin Fest at Strawberry Fields is one of the most involved autumn pumpkin-themed events in Devon, built around homegrown pumpkins, seasonal displays and family entertainment (and everything pumpkin-themed you can possibly think of!) rather than just a quick pick-your-own stop. The pumpkin patch gives children the simple job of choosing their own pumpkin, while the wider site adds barrel train rides, photo displays, acoustic live music, magic shows, circus shows and plenty of autumn food. There are marshmallows to roast (additional cost), countless photo opportunities, lots of tasty autumnal food, face painting (additional cost) as well as lots more. Most things do include an additional cost on top of your entry ticket, but there is enough going on to make the visit feel like a seasonal day out, moving between pumpkins, performances, food stalls and the wider farm shop setting. Arrival time slots should be booked online ahead of time (they book up quickly) but there isn't a fixed limit on how long visitors can stay once inside, but you likely want to allow a couple of hours minimum to make the most of the trip. The ground is mainly woodchip-covered, with the pumpkin patch in a field, so mud and uneven surfaces are part of the experience after wet weather. Food is a big part of the event, with options including loaded fries, burgers, pizzas, ice cream, donuts, bakery treats, pick and mix, coffee stations and a bar. </t>
  </si>
  <si>
    <t>Simple Reset</t>
  </si>
  <si>
    <t>Strawberry Fields</t>
  </si>
  <si>
    <t>Inside</t>
  </si>
  <si>
    <t>Lifton</t>
  </si>
  <si>
    <t>PL16 0DH</t>
  </si>
  <si>
    <t>local playgroup, cake, toddler group, craft, toys, soft play, dressing up, fancy dress, storytime, stories, mums groups</t>
  </si>
  <si>
    <t>Pay on Arrival, Advance Book</t>
  </si>
  <si>
    <t>Baby, (Fixed) Child, Adult, Group</t>
  </si>
  <si>
    <t>Under 2</t>
  </si>
  <si>
    <t>2-15</t>
  </si>
  <si>
    <t>9.75-15.00</t>
  </si>
  <si>
    <t>Welcoming space, Storytelling, "Toys, toy corners", Refreshments Provided, Local parent hangout, "Relaxed, child-friendly setting", Play areas or equipment, Flexible timings (relaxed start/end times), Newbie-friendly!</t>
  </si>
  <si>
    <t>Little Gems.JPG</t>
  </si>
  <si>
    <t>Livi</t>
  </si>
  <si>
    <t>12.95-14.00</t>
  </si>
  <si>
    <t>CLU-00118</t>
  </si>
  <si>
    <t>Family 2 Adults 2 Children over 2</t>
  </si>
  <si>
    <t>Paid Car Park</t>
  </si>
  <si>
    <t>Toilets, Disabled toilets, Baby changing, Highchairs, Picnic Benches, Indoor Seating, Outdoor Seating, Water Refill</t>
  </si>
  <si>
    <t>Colouring, Ice creams, Activity Sheets or Signs, Activity trail, Treasure hunt, Children’s trail, Sandpit, Children's Menu, Indoor Play Space</t>
  </si>
  <si>
    <t>Hot Drinks, Comfy Seating / Sofas, WiFi, Hot &amp; Cold food, Clear Sightlines, Snacks, Sweet treats, Outdoor terrace</t>
  </si>
  <si>
    <t>0-1</t>
  </si>
  <si>
    <t>Toilets, Disabled toilets, Baby changing, Bench Seating, Picnic Benches, BYO Picnic, Buggy Friendly, Highchairs, Dogs Allowed, Indoor Seating, Outdoor Seating</t>
  </si>
  <si>
    <t>Ice creams, Activity Sheets or Signs, Activity trail, Children’s trail, Children's Menu, "Swings, Slides, Climbing Frames", Outdoor play equipment</t>
  </si>
  <si>
    <t>Hot Drinks, Comfy Seating / Sofas, WiFi, Hot &amp; Cold food, Clear Sightlines, Snacks, Drinks stand, Sweet treats, Giftshop, Outdoor terrace</t>
  </si>
  <si>
    <t>Mixed</t>
  </si>
  <si>
    <t>Stormy / heavy rain / thunderstorms, Windy (&gt; X mph), Raining / wet, Overcast / cloudy, Dry &amp; mild, Dry &amp; cold, Dry &amp; warm, Snow / sleet / ice</t>
  </si>
  <si>
    <t>1-2hrs</t>
  </si>
  <si>
    <t>Pumpkin picking, Pumpkin patch, Halloween, Autumn event, Seasonal event, Maize maze, Barrel train, Magic show, Circus show, Live music, Photo opportunities, Homegrown pumpkins, Farm shop, Food barn, Autumn food, Sweet treats, Family entertainment, Outdoor event, Muddy play, PYO Pumpkin</t>
  </si>
  <si>
    <t>Dinosaurs, History, Activities, soft Play, Dinosaurs, Fossils, Palaeontology, Prehistoric life, Natural history, Geology, Science, Dinosaur skeletons, Extinction, Animatronics, Interactive exhibitions, Fossil hunting, Soft play, Indoor play, Educational activities</t>
  </si>
  <si>
    <t>Festive Shows, Singing figures or characters, Seasonal Hot Chocolates, Festive Displays, Themed Areas, Themed Food, Seasonal Fruit Picking, Roasting Marshmallows, Bonfires</t>
  </si>
  <si>
    <t>Cashless - bring a bank card, Wellies</t>
  </si>
  <si>
    <t>Nature and the environment, History brought to life</t>
  </si>
  <si>
    <t>Pumpkinfest.jpg</t>
  </si>
  <si>
    <t>Jurrasic Discovery Centre.jpeg</t>
  </si>
  <si>
    <t>Rochelle</t>
  </si>
  <si>
    <t>Venue (Richard)</t>
  </si>
  <si>
    <t>EVT-00048</t>
  </si>
  <si>
    <t>VEN-00292</t>
  </si>
  <si>
    <t>Toilets, Disabled toilets, Baby changing, Picnic Benches, BYO Picnic, Buggy Friendly, Indoor Seating, Dogs Allowed, Outdoor Seating</t>
  </si>
  <si>
    <t>Pumpkin Fest - Strawberry Fields</t>
  </si>
  <si>
    <t>Activity Sheets or Signs, "Swings, Slides, Climbing Frames", Outdoor play equipment, Children's Menu, Children’s trail, Colouring</t>
  </si>
  <si>
    <t>Soft Play &amp; Indoor Active Play</t>
  </si>
  <si>
    <t>Hot Drinks, Hot &amp; Cold food, Clear Sightlines, Snacks, Sweet treats, Giftshop, Outdoor terrace</t>
  </si>
  <si>
    <t>Toddler Play Space, Soft Play Centre</t>
  </si>
  <si>
    <t>Wild Things Play Project</t>
  </si>
  <si>
    <t>Energy Burner, Low Effort</t>
  </si>
  <si>
    <t xml:space="preserve">Wild Things Play Project brings a natural, imaginative feel to indoor play, with wooden scandi-style climbing frames, sand play, sensory spaces, a crafty corner and a dedicated under-3s area, all set inside Drake Circus. The space is designed for ages 0–7, and the natural materials offer a welcome change from the usual bright hues of soft-place centres; there are no screens and the woodland-inspired feel makes it feel more appealing when you need to spend a morning or afternoon inside. Children with additional needs are well catered for, with wheelchair-friendly access throughout and a genuinely inclusive design ethos. The café does proper food too; Wild Breakfast, toasties, jacket potatoes, Nourish Bowls, barista coffee and homemade cakes, so you can enjoy something nice to eat while your children play. It's on the upper level of Drake Circus, which means parking is straightforward and there's no weather dependency to factor in at all. Blue light card-holders get 10% discount on the prices, and memberships are available if you think you'll be a regular visitor and want your money to go a bit further.
</t>
  </si>
  <si>
    <t>1 Charles Street</t>
  </si>
  <si>
    <t>Drake Circus</t>
  </si>
  <si>
    <t>Plymouth</t>
  </si>
  <si>
    <t>PL1 1EA</t>
  </si>
  <si>
    <t>Advance Book, Pay On Arrival, Memberships</t>
  </si>
  <si>
    <t>Baby, Young Child, Older Child, Adult</t>
  </si>
  <si>
    <t>0-2</t>
  </si>
  <si>
    <t>3-7.5</t>
  </si>
  <si>
    <t>CLU-00092</t>
  </si>
  <si>
    <t>Social Club</t>
  </si>
  <si>
    <t>Kingdom Club</t>
  </si>
  <si>
    <t>Toilets, Baby changing, Disabled toilets, Highchairs, Indoor Seating</t>
  </si>
  <si>
    <t>Children's Menu, Ride on Vehicles, Ice creams, Sandpit, Colouring</t>
  </si>
  <si>
    <t>EVT-00043</t>
  </si>
  <si>
    <t>Hot Drinks, Hot &amp; Cold food, Snacks, Sweet treats</t>
  </si>
  <si>
    <t>Kingdom Club is a friendly after-school session at Lympstone Parish Church, with crafts, stories, games, snacks and a simple children’s tea built into the afternoon. It is designed for children to enjoy a mix of creative, playful and social activities after school, without being a drop-off club; grown-ups stay on site too, with tea, coffee and time to chat while the children join in nearby. The session has a gentle community feel, shaped by the church setting and regular local families, making it a useful midweek option for children who enjoy making things, listening to stories, playing games and spending time with familiar faces in a low-key, relaxed environment after school pick-up. It gives families something more relaxed than a formal class, but with more shape (and shelter!) than simply meeting up after school. It's a great opportunity to meet other local parents and the friendly team within the village parish.</t>
  </si>
  <si>
    <t>Lympstone Parish Church</t>
  </si>
  <si>
    <t>1 Church Road</t>
  </si>
  <si>
    <t>Lympstone</t>
  </si>
  <si>
    <t>PYO Farm</t>
  </si>
  <si>
    <t>EX8 5JU</t>
  </si>
  <si>
    <t>Sanctuary Flowers</t>
  </si>
  <si>
    <t>Moment of Peace</t>
  </si>
  <si>
    <t>Nature-based</t>
  </si>
  <si>
    <t>Sunshine, Overcast / cloudy, Dry &amp; warm, Dry &amp; hot, Dry &amp; mild</t>
  </si>
  <si>
    <t>Pumpkin picking, Pumpkin patch, Halloween, Autumn, Seasonal event, Photo opportunities, Pumpkin trail, Clue sheets, Farm trails, Farm animals, Animal spotting, Sweet treat, Family challenge, Outdoor exploring, Farm shop, Farm café, Local produce, Halloween treats, Autumn food</t>
  </si>
  <si>
    <t>Raining / wet, Windy (&gt; X mph), Snow / sleet / ice, Overcast / cloudy, Stormy / heavy rain / thunderstorms, Dry &amp; mild, Dry &amp; cold</t>
  </si>
  <si>
    <t>Sanctuary flower farm and pick-your-own tucked within the Froginwell Estate, is a wonderful new addition to East Devon and is open on Sundays and Mondays from May through to October. Entry is £5 per adult (under 12's and over 70's go free) and covers both the flower farm and 20 acres of meadow walks across the estate itself. The rows of cut flowers — dahlias, sweet peas, sunflowers, zinnias and seasonal blooms — are there to be wandered through and picked from at your own pace (for an additional cost of £25 per bucket), with stems wrapped in paper to take home or transported in a refillable bucket (incl. in the cost), which keeps them fresh for the journey. The CoffeeBox on site covers coffee, hot drinks and snacks, set under a large bell-tent canopy with views across the flower fields; it's a very pretty, photogenic setting with friendly staff on-hand who are genuinely passionate about floristry and helping you build a beautiful bouquet. A seasonal pass for £20 gives unlimited access on open days throughout the season with 10% off flowers - potentially handy if you live locally and can imagine coming back across the summer with friends, or to treat someone for a special occasion.</t>
  </si>
  <si>
    <t>Halloween, Autumn</t>
  </si>
  <si>
    <t>sand play, sandpit, sensory play, soft play, free play, climbing, imaginary world, barista coffee, rope bridges, hide and seek</t>
  </si>
  <si>
    <t>Tuesday</t>
  </si>
  <si>
    <t>Froginwell Estate</t>
  </si>
  <si>
    <t>Pumpkin Patch</t>
  </si>
  <si>
    <t>Tunnels and crawl spaces, Clear sightlines, Seating for adults, Café or refreshment area, Separate toddler area, Age-zoned play areas, Soft climbing structures</t>
  </si>
  <si>
    <t>EX5 1EP</t>
  </si>
  <si>
    <t>Festive Displays, Themed Food, Seasonal Hot Chocolates</t>
  </si>
  <si>
    <t>Wild Things Play Project.jpeg</t>
  </si>
  <si>
    <t>Chase Richard (Email)</t>
  </si>
  <si>
    <t>Wellies</t>
  </si>
  <si>
    <t>VEN-00277</t>
  </si>
  <si>
    <t>Sunday, Monday</t>
  </si>
  <si>
    <t>Greendale Pumpkin Patch.JPG</t>
  </si>
  <si>
    <t>Sensory or Calming Experiences</t>
  </si>
  <si>
    <t>Soothing Environment, Light-touch Sensory</t>
  </si>
  <si>
    <t>Little Sands Indoor Beach Play</t>
  </si>
  <si>
    <t>EVT-00041</t>
  </si>
  <si>
    <t>The idea of Little Sands is disarmingly charming — a clean, gated indoor sandpit in the centre of Sidbury village, open whatever the weather, with good coffee on the side — and it solves a problem that parents of pre-schoolers know well: somewhere calm enough to actually sit down, with something genuinely absorbing for small children to do right in front of you. For this, it's perfect! The sandpit uses clean play-grade sand and is exclusively for children aged five and under, which keeps the energy level manageable, and the café serves locally roasted coffee, milkshakes and cakes within clear sightlines of the play area throughout. Adult entry includes a free coffee, which tells you quite a lot about who this was designed for and how seriously they've thought about the parent experience! Special morning sessions for children two and under run on certain days, which is worth knowing before visiting with a baby (best to check the website for these as they don't run to a regular timetable).</t>
  </si>
  <si>
    <t>Fore Street</t>
  </si>
  <si>
    <t>Sidbury</t>
  </si>
  <si>
    <t>Sidmouth</t>
  </si>
  <si>
    <t>EX10 0SD</t>
  </si>
  <si>
    <t>Baby, (Fixed) Child, Adult, Concession</t>
  </si>
  <si>
    <t>0-11</t>
  </si>
  <si>
    <t>12-18</t>
  </si>
  <si>
    <t>18+</t>
  </si>
  <si>
    <t>70+</t>
  </si>
  <si>
    <t>Picnic Benches, Dogs Allowed, Outdoor Seating, BYO Picnic</t>
  </si>
  <si>
    <t>Activity Sheets or Signs, Activity trail, Ice creams</t>
  </si>
  <si>
    <t>Amelia's Flowers</t>
  </si>
  <si>
    <t>1 adult, 3 children</t>
  </si>
  <si>
    <t>PYO flowers, flowers, bouquets, floristry, seasonal flowers, flower farm, wildlife pond, wildflower meadow, Flower picking, Pick your own, Cut flower farm, Seasonal flowers, Flower arranging, Colour, Scent, Nature, Gardening, Meadow walks, Picnic, Wildlife, Creative activity, Outdoor creativity, Hands-on activity, Slow exploring, Sensory nature, Countryside, Local produce, Sustainable flowers, UK-grown flowers, Froginwell Estate, East Devon</t>
  </si>
  <si>
    <t>Summer</t>
  </si>
  <si>
    <t>Advance Book, Pay On Arrival</t>
  </si>
  <si>
    <t>PYO Flowers, Wildflower Meadows, Butterflies</t>
  </si>
  <si>
    <t>(Fixed) Child, Adult</t>
  </si>
  <si>
    <t>Flower collecting or displays, Wildlife Spotting</t>
  </si>
  <si>
    <t>Toilets, Baby changing, Buggy Friendly, Water Refill</t>
  </si>
  <si>
    <t>XC Buggy, Sling / baby carrier</t>
  </si>
  <si>
    <t>Colouring, Clues / games, Indoor Play Space, "Indoor games (puzzles, boards)"</t>
  </si>
  <si>
    <t>0-5</t>
  </si>
  <si>
    <t>Hot Drinks, Snacks</t>
  </si>
  <si>
    <t>Sanctuary Flowers.JPG</t>
  </si>
  <si>
    <t>Provider</t>
  </si>
  <si>
    <t>Run by Amelia and Giles, who are raising their own three children on the farm, there's a relaxed and genuinely welcoming atmosphere here that's hard to manufacture and easy to feel the moment you arrive. The farm sits in a quiet valley between Newton Abbot and Shaldon, with fields of pesticide-free heirloom flowers — dahlias, sweet peas, sunflowers and scented varieties that change through the season — grown slowly and available to pick at your own pace with a pair of snips. Children who are unmoved by the flowers tend to find their own reasons to stay: miniature ponies, pigs (including the much-loved Cris-P-Bacon), swings that even pre-teens apparently can't resist, and the simple freedom of roaming a working farm without a fixed route. The Flower Barn café does homemade cakes and good coffee with views across the fields, and a short walk through the farm brings you down to the River Teign if legs need stretching further.</t>
  </si>
  <si>
    <t>EVT-00038</t>
  </si>
  <si>
    <t>Amelias Flower Farm,</t>
  </si>
  <si>
    <t>Combeinteignhead</t>
  </si>
  <si>
    <t>Newton Abbot</t>
  </si>
  <si>
    <t>Toilets, Baby changing, Indoor Seating</t>
  </si>
  <si>
    <t>Sandpit, Children's Menu, Indoor Play Space</t>
  </si>
  <si>
    <t>TQ12 4RG</t>
  </si>
  <si>
    <t>Hot Drinks, Comfy Seating / Sofas, Snacks, Sweet treats, Clear Sightlines</t>
  </si>
  <si>
    <t>afterschool club, craft, local meet up, local group</t>
  </si>
  <si>
    <t>Welcoming space, Craft Tables or Activities, Refreshments Provided, Local parent hangout, "Relaxed, child-friendly setting", Flexible timings (relaxed start/end times), Newbie-friendly!</t>
  </si>
  <si>
    <t>Monday, Tuesday, Wednesday, Thursday, Friday, Sunday, Saturday</t>
  </si>
  <si>
    <t>Kingdom Club.jpeg</t>
  </si>
  <si>
    <t>Abigail</t>
  </si>
  <si>
    <t>30-60mins, 1-2hrs</t>
  </si>
  <si>
    <t>digger toys, ice cream shop, play area, toddler-friendly, slide, sand toys, sand play, sandpit, indoor beach,  tasty cakes, treats, good coffee</t>
  </si>
  <si>
    <t>CLU-00117</t>
  </si>
  <si>
    <t>Tactile materials, Sensory toys or games</t>
  </si>
  <si>
    <t>Little Sands.jpeg</t>
  </si>
  <si>
    <t>Provider Instagram</t>
  </si>
  <si>
    <t>VEN-00275</t>
  </si>
  <si>
    <t>Nature Reserve, Wildlife Hotspot</t>
  </si>
  <si>
    <t>Seaton Wetlands</t>
  </si>
  <si>
    <t>Seaton Wetlands is one of the easiest places in East Devon to make wildlife feel accessible for children, with level trails, boardwalks, bird hides, pond-dipping platforms and wide estuary views across the Axe Valley. The reserve is made up of several connected wetland areas, including Seaton Marshes, Black Hole Marsh, Colyford Common and Stafford Marsh, each offering something slightly different to discover. Black Hole Marsh is a particular highlight for birdwatching, with lagoons, viewing hides and opportunities to spot wading birds and other wildlife throughout the seasons.
The appeal is in slowing down and noticing things in a fairly low-effort, low-key way: birds moving across the water, dragonflies in warmer months, reeds, mudflats and little changes in the landscape as you explore. The generally flat paths make much of the reserve manageable for families with pushchairs, balance bikes and young cyclists, although cycling access varies between sections. Children can enjoy peering through viewing windows, spotting wildlife from the hides or following the trails between different habitats, while older children with an interest in birds, nature or photography will find plenty to keep them engaged. There's enough variety to make a longer outing of it, but it's equally lovely for a shorter wander without needing to cover the whole reserve.</t>
  </si>
  <si>
    <t>Colyford Road</t>
  </si>
  <si>
    <t>EX12 2DF</t>
  </si>
  <si>
    <t>12-16</t>
  </si>
  <si>
    <t>Free Car Park, Bike racks / bays, Horse “parking”</t>
  </si>
  <si>
    <t>Toilets, Disabled toilets, Baby changing, Picnic Benches, BYO Picnic, Buggy Friendly, Indoor Seating, Dogs Allowed, Outdoor Seating, Pushchair Friendly</t>
  </si>
  <si>
    <t>Toilets, Disabled toilets, Baby changing, Indoor Seating, Dogs Allowed, Outdoor Seating</t>
  </si>
  <si>
    <t>BYO Picnic, Picnic Benches, Bench Seating, Buggy Friendly, Disabled toilets, Toilets, Service Dogs Only</t>
  </si>
  <si>
    <t>Colouring, Ice creams, Rope Swings, Ride on Vehicles, "Swings, Slides, Climbing Frames", Outdoor play equipment</t>
  </si>
  <si>
    <t>Activity trail</t>
  </si>
  <si>
    <t>Clear Sightlines</t>
  </si>
  <si>
    <t>Hot Drinks, Comfy Seating / Sofas, Snacks, Sweet treats, Giftshop</t>
  </si>
  <si>
    <t>Windy (&gt; X mph), Sunshine, Snow / sleet / ice, Overcast / cloudy, Dry &amp; mild, Dry &amp; cold, Dry &amp; warm, Dry &amp; hot</t>
  </si>
  <si>
    <t>Wetlands, Nature reserve, Bird hides, Birdwatching, Pond dipping, Boardwalks, Level trails, Wildlife spotting, Dragonflies, Butterflies, Wading birds, Water birds, Reeds, Mudflats, Estuary, River Axe, Nature walk, Pushchair-friendly paths, Wheelchair-friendly paths, Seaton, Black Hole Marsh, Colyford Common, Stafford Marsh</t>
  </si>
  <si>
    <t>Springtime, Summer, Autumn colours, Autumn</t>
  </si>
  <si>
    <t>Birdsong, "Returning swallows, swifts (birds)", Butterflies, Seabird Colonies, Kingfisher Spotting, Starling Murmurations, Autumn Leaves, Migrating Birds</t>
  </si>
  <si>
    <t>Guided outdoor learning prompts, Marked Trails, Immersive natural surroundings, Quiet or low-intervention spaces, Climbing Logs or balance beams</t>
  </si>
  <si>
    <t>XC Buggy, Binoculars</t>
  </si>
  <si>
    <t>Seaton Wetlands.jpg</t>
  </si>
  <si>
    <t>Claire (website)</t>
  </si>
  <si>
    <t>VEN-00287</t>
  </si>
  <si>
    <t>Flower picking, Pick your own, Cut flower farm, Seasonal flowers, Heirloom flowers, Scented flowers, Unusual flowers, Colour, Nature, Gardening, Plant nursery, Flower arranging, Outdoor creativity, Hands-on activity, Slow exploring, Sensory nature, Countryside, River Teign, Local produce, Sustainable growing, Pesticide-free growing, Chemical-free growing, Workshops, Educational talks, Group visits, School visits, South Devon</t>
  </si>
  <si>
    <t>Coastal Adventures</t>
  </si>
  <si>
    <t>Harbour or Village Beach</t>
  </si>
  <si>
    <t>Lyme Regis Harbour</t>
  </si>
  <si>
    <t>Wander Lyme Regis' historic harbour, where fishing boats bob beside the famous Cobb harbour wall. It's a great spot to try crabbing, watch the boats coming and going or explore the little marine aquarium, while older adventurers might enjoy a fishing trip or kayaking and paddleboarding from the nearby beach. Walk along the Cobb for views across Lyme Bay, then head to the sandy beach for a paddle or ice cream, but remember it's a working harbour so keep a close eye on smaller children as there's usually a lot of marine activity.</t>
  </si>
  <si>
    <t>Cobb Road</t>
  </si>
  <si>
    <t>Lyme Regis</t>
  </si>
  <si>
    <t>XC Buggy, Sling / baby carrier, Infant / toddler carrier</t>
  </si>
  <si>
    <t>DT7 3JJ</t>
  </si>
  <si>
    <t>Amelias Flower Farm PYO.JPEG</t>
  </si>
  <si>
    <t>EVT-00039</t>
  </si>
  <si>
    <t>BYO Picnic, Buggy Friendly, Bench Seating, Dogs Allowed</t>
  </si>
  <si>
    <t>Clear Sightlines, Drinks stand, Snacks</t>
  </si>
  <si>
    <t>Dogs On Leads</t>
  </si>
  <si>
    <t>Sunshine, Overcast / cloudy, Dry &amp; mild, Dry &amp; cold, Dry &amp; warm, Dry &amp; hot</t>
  </si>
  <si>
    <t>30-60mins</t>
  </si>
  <si>
    <t>crabbing, harbour walls, boats, fishing boats, harbour activity, fishermen, Harbours, Fishing boats, Crabbing, Marine life, Maritime history, Boat watching, Boat trips, Fishing, Kayaking, Paddleboarding, Watersports, Seaside exploring</t>
  </si>
  <si>
    <t>Crabbing, Harbour, Coastal Wildlife, Toilets nearby, Beach Cafe, Slipway, Kayaking / SUP, Equipment Hire</t>
  </si>
  <si>
    <t>Infant / toddler carrier, Sling / baby carrier, Buckets &amp; nets, Fishing rods &amp; bait</t>
  </si>
  <si>
    <t>Lyme Regis Harbour.jpg</t>
  </si>
  <si>
    <t>Claire</t>
  </si>
  <si>
    <t>VEN-00291</t>
  </si>
  <si>
    <t>CLU-00106</t>
  </si>
  <si>
    <t>Water Activities</t>
  </si>
  <si>
    <t>Lido, Swimming Pool</t>
  </si>
  <si>
    <t>Shoalstone Seawater Pool</t>
  </si>
  <si>
    <t>Moment of Peace, Wilder Adventure</t>
  </si>
  <si>
    <t>For a summer swim with a difference, Shoalstone's enormous 53m seawater pool sits right on the coast overlooking Torbay. It's free to use, but they run reliant on donations, so if you can, a contribution of £8.50 per family, or £3 per swimmer is gretly appreciated. There's a shallow end for little swimmers and plenty of room for older children to practise their lengths, splash about or enjoy a refreshing dip without swimming in the open sea. The water is unheated, so expect a bracing plunge! Make a morning or afternoon of it with a picnic on the grassy terraces, rockpooling along the shore or lunch at the poolside bistro. Entry is free, with donations welcomed. The pool generally opens May–September, with lifeguards during designated summer hours (the facilities are seasonal too). Access involves steps or a steep ramp, so it's less convenient with buggies or if you're unable to navigate steps or steep slopes. It's worth checking conditions and pool closures before travelling, as water levels can vary quite a bit with the tides. There's a grassy picnic area nearby so it works well for a simpler, water-based outing and snack stop combined.</t>
  </si>
  <si>
    <t>Berry Head Road</t>
  </si>
  <si>
    <t>Brixham</t>
  </si>
  <si>
    <t>TQ5 9FT</t>
  </si>
  <si>
    <t>Forest School</t>
  </si>
  <si>
    <t>Teenager Tuesday at Robin Wood</t>
  </si>
  <si>
    <t>Older Child, Adult</t>
  </si>
  <si>
    <t>Teenager Tuesday gives 13–16 year olds a rare kind of outdoor space: relaxed, practical and shaped with their input. Held at Robin Wood Forest School, Liz’s sloping woodland site has the feel of a hidden outdoor workshop, with fire, tools, trees, mud, natural materials and plenty of corners to settle into. Rather than following a fixed activity plan, the group helps steer what happens, from cooking and woodworking to seasonal foraging, games and bushcraft. It is especially suited to teens who still enjoy being outdoors but want something with more independence, purpose and ownership than a younger children’s forest school session.</t>
  </si>
  <si>
    <t>Workshop</t>
  </si>
  <si>
    <t>One-off (pay as you go), Termly blocks</t>
  </si>
  <si>
    <t>Toilets, Showers / changing facilities, BYO Picnic, Dogs Allowed, Indoor Seating, Water Refill</t>
  </si>
  <si>
    <t>Robin Wood Forest School</t>
  </si>
  <si>
    <t>Venn Ottery</t>
  </si>
  <si>
    <t>EX11 1SG</t>
  </si>
  <si>
    <t>Sunshine, Dry &amp; warm, Dry &amp; hot, Dry &amp; mild</t>
  </si>
  <si>
    <t>Outdoor swimming, Seawater swimming, Sea pools, Swimming, Rockpooling, Marine life, Coastal exploring, Cold Water Swimming, Sea Swimming, Plunge Pools</t>
  </si>
  <si>
    <t>Deep water or plunge pools, Natural Swimming Spots, Lifeguarded areas (where applicable), Wildlife spotting</t>
  </si>
  <si>
    <t>Swimming kit, Towels, Water shoes, Dry bags, Wetsuits, Change of clothes</t>
  </si>
  <si>
    <t>Brixham Sea Pool.JPG</t>
  </si>
  <si>
    <t>VEN-00290</t>
  </si>
  <si>
    <t>On The Water, Watersports</t>
  </si>
  <si>
    <t>"Duck Pond" Exmouth</t>
  </si>
  <si>
    <t>The “Duck Pond” is the locals’ name for a sheltered part of the Exe Estuary by Exmouth Recreation Ground, where the water feels calmer and more contained than the open seafront, making it a popular spot for paddleboarding and watersports. It is not actually a pond, but an estuary pocket with mud, shallow water, birds, boats and big views across the river. For families, the interest is in the setting and the sheltered water: watching the tide, spotting birds, seeing paddleboarders or watersports activity, walking along the estuary edge and using the nearby Recreation Ground as breathing space. It works best as a small local add-on rather than a destination on its own, unless you’re bringing a SUP, kayak or kiteboard. Check tide times before heading down, as the mudflats are exposed at low tide and you may have a long walk out to reach the water if you time it wrong.</t>
  </si>
  <si>
    <t>The Royal Avenue</t>
  </si>
  <si>
    <t>EX8 1DG</t>
  </si>
  <si>
    <t>Paid Car Park, Bike racks / bays, Disabled parking bays</t>
  </si>
  <si>
    <t>BYO Picnic, Bench Seating, Buggy Friendly, Dogs Allowed</t>
  </si>
  <si>
    <t>Dogs On Leads, Poo Bins</t>
  </si>
  <si>
    <t>1-2hrs, 30-60mins</t>
  </si>
  <si>
    <t>Older Child</t>
  </si>
  <si>
    <t>Exe Estuary, Estuary walk, Sheltered water, Shallow water, Paddleboarding, SUP, Kayaking, Kiteboarding, Watersports, Boats, Tides, Mudflats, Birdwatching, Water birds, River views, Big views, Recreation Ground, Flat paths, Scooters, Teen activity, Local walk, Exmouth, Imperial Road, Coastal town</t>
  </si>
  <si>
    <t>Migrating Birds, Seabird Colonies, Marine Wildlife Spotting</t>
  </si>
  <si>
    <t>Paddling spots, Sheltered or shaded options, Predictable tides or flow, Wildlife spotting, River access for small boats or paddleboards, Paddleboarding</t>
  </si>
  <si>
    <t>Towels, Water shoes, Tide timetable, Dry bags, Wetsuit Boots</t>
  </si>
  <si>
    <t>Duck Pond Exmouth.JPG</t>
  </si>
  <si>
    <t>VEN-00288</t>
  </si>
  <si>
    <t>8-13</t>
  </si>
  <si>
    <t>Family Dining</t>
  </si>
  <si>
    <t>Family Eateries</t>
  </si>
  <si>
    <t>Cow &amp; Cacao Café at Darts Farm</t>
  </si>
  <si>
    <t xml:space="preserve">The more indulgent side of eating at Darts Farm, anchored around the farm's own bean-to-bar chocolatier and homemade seasonal gelato, it's a particularly tasty stop! The menu runs from smoothie bowls, banana bread and wood-fired eggs at breakfast through to sourdough pizzas, Darts burgers and seasonal fish at lunch, with homemade waffles, gelato-stuffed croissants and artisan pastries filling the gaps. The Terrace Bar alongside overlooks the Exe Estuary and hosts live music sessions on summer evenings. Dogs are welcome in the bar seating area but, like The Yard, it's walk-in only and it's a popular local spot that gets busy, so arriving early on sunny weekends is worth considering. It probably suits older children better who are happy to sit and enjoy the dining experience, as there's little to keep younger children occupied unless you plan ahead of bring bits — but paired with a trip to their park and animal pens, can work well together. </t>
  </si>
  <si>
    <t>Toilets, Picnic Benches, Outdoor Seating, Water Refill</t>
  </si>
  <si>
    <t>Activity trail, Rope Swings, Outdoor play equipment, Colouring, Activity Sheets or Signs, Children’s trail</t>
  </si>
  <si>
    <t>Closed Easter Sunday</t>
  </si>
  <si>
    <t>Pay On Arrival, Advance Book</t>
  </si>
  <si>
    <t>Simple Reset, Under the Radar</t>
  </si>
  <si>
    <t>Toilets, Disabled toilets, Baby changing, Buggy Friendly, Highchairs, Indoor Seating, Service Dogs Only</t>
  </si>
  <si>
    <t>Colouring, Ice creams, Children's Menu</t>
  </si>
  <si>
    <t>Hot Drinks, Comfy Seating / Sofas, WiFi, Hot &amp; Cold food, Sweet treats, Snacks, Giftshop</t>
  </si>
  <si>
    <t>Forest school, Woodland play, Outdoor learning, Nature play, Den building, Mud play, Bug hunting, Wildlife spotting, Seasonal nature, Natural materials, Bushcraft, Fire circle, Outdoor crafts, Sticks, Leaves, Trees, Open-ended play, Risky play, Child-led play, Sensory play, Home education, Preschool outdoor play, teenager outdoor activity, home education, home ed</t>
  </si>
  <si>
    <t>Raining / wet, Windy (&gt; X mph), Snow / sleet / ice, Overcast / cloudy, Sunshine, Stormy / heavy rain / thunderstorms, Dry &amp; mild, Dry &amp; cold, Dry &amp; warm, Dry &amp; hot</t>
  </si>
  <si>
    <t>Climbing Logs or balance beams, Mud kitchens, "Sand, soil, and loose materials", Den-building materials, Natural construction zones, Mud and puddles, Forest school activities, Children’s Activity Trails, Immersive natural surroundings, Quiet or low-intervention spaces, Guided outdoor learning prompts, Fire pits (when part of structured sessions)</t>
  </si>
  <si>
    <t>Chocolate, Chocolatier, Chocolate making, Bean-to-bar chocolate, Artisan chocolate, Chocolate truffles, Gelato, Ice cream, Seasonal ice cream flavours, Chocolate tasting, Sweet treats, Desserts, Sourdough pizza, Wood-fired pizza, Burgers, Brunch, Smoothie bowls, Açaí bowls, Food lovers, Local produce, Darts Farm, Topsham, Farm Shop</t>
  </si>
  <si>
    <t>Teenager Tuesdays.jpg</t>
  </si>
  <si>
    <t>Children’s menu, Flexible seating for families, Space for children to move a little, Play area or outdoor play space, On-site grounds to explore, Farm animals or gardens</t>
  </si>
  <si>
    <t>Liz</t>
  </si>
  <si>
    <t>Cow and Cacao.JPG</t>
  </si>
  <si>
    <t>VEN-00175</t>
  </si>
  <si>
    <t>CLU-00108</t>
  </si>
  <si>
    <t>The Yard at Darts Farm</t>
  </si>
  <si>
    <t>The more casual, all-day dining option at Darts Farm — a hearty, no-fuss restaurant in the courtyard serving Darts Farm breakfasts, sandwiches, salads, daily specials, homemade cakes and cream teas. It's the kind of place that works for a proper sit-down after the farm walk, a midway break during a shop, or a fuel stop at the end of an Exe Estuary Trail ride. The outdoor courtyard seating suits families with children who need a bit of room, and well-behaved dogs are welcome outside. Walk-in only though — no bookings — so on busy weekend mornings it's worth arriving with a bit of patience, or getting there early, or timing your visit slightly off peak. To access the cafe you walk through the farm shop, so be prepared!</t>
  </si>
  <si>
    <t>Make-It Monday at Robin Wood</t>
  </si>
  <si>
    <t>Make it Monday has a lively, hands-on feel, with children aged roughly 8–13 helping to shape what they make, cook, play and try next. Robin Wood’s woodland setting gives the group plenty to work with: seasonal materials, outdoor space, fire, mud, tools, trees and the freedom to let ideas grow as the session unfolds. A favourite is the woodland “bake off”, where children start with basic ingredients and then add their own twist, making outdoor cooking feel creative and a bit competitive. Drama, games and nature-based making give the sessions a sociable, imaginative energy, especially for children who like to do more than simply follow instructions.</t>
  </si>
  <si>
    <t>Colouring, Ice creams, Children's Menu, "Indoor games (puzzles, boards)"</t>
  </si>
  <si>
    <t>Monday</t>
  </si>
  <si>
    <t>Route Descriptors</t>
  </si>
  <si>
    <t>Farmhouse breakfasts, Full English breakfast, Pancakes, Breakfast outings, Brunch, Lunch, Homemade cakes, Scones, Cream teas, Sandwiches, Seasonal food, Local produce, Farm-to-table food, Family meals, Food lovers, Darts Farm, Topsham, Farm Shop</t>
  </si>
  <si>
    <t>Children’s menu, Flexible seating for families, Space for children to move a little, "Relaxed, family-welcoming feel", Farm animals or gardens, On-site grounds to explore</t>
  </si>
  <si>
    <t>The Yard Darts Farm.JPG</t>
  </si>
  <si>
    <t>Route Start Point</t>
  </si>
  <si>
    <t>VEN-00174</t>
  </si>
  <si>
    <t>Creative Activities</t>
  </si>
  <si>
    <t>Creative Artwork</t>
  </si>
  <si>
    <t>Something Lovely Pottery</t>
  </si>
  <si>
    <t>A small creative courtyard just off the high street and a short walk from the Ham car park — this pottery painting studio is run by a Sidmouth mum who set the whole thing up after doing pottery with her own children on holiday and wanting to bring the same thing home. The space has over 100 ceramic pieces to choose from, all priced individually so children can be pointed toward a budget without any awkwardness, and the paint colours, brushes, dabbers, stamps and silk tools are all laid out clearly on the table. What makes it different from a standard pottery café is both the atmosphere — genuinely calm and unhurried  — and the people running it, who are genuinely good at drawing in children who are nervous or unsure of themselves. A dedicated keepsake studio is available for baby handprints and footprints, with the owner painting the finished piece after the session. Everything is kiln-fired and collected a few weeks later, or posted for a small fee. Selley's coffee shop is directly alongside in the same courtyard.</t>
  </si>
  <si>
    <t>Something Lovely</t>
  </si>
  <si>
    <t>Libra Court</t>
  </si>
  <si>
    <t>EX10 8AJ</t>
  </si>
  <si>
    <t>Tuesday, Wednesday, Friday, Saturday, Sunday</t>
  </si>
  <si>
    <t>£6.00-30.00</t>
  </si>
  <si>
    <t>Toilets, Baby changing, Indoor Seating, Buggy Friendly, Dogs Allowed, Highchairs, Parties</t>
  </si>
  <si>
    <t>Comfy Seating / Sofas, Snacks, Hot Drinks, Sweet treats</t>
  </si>
  <si>
    <t>Type of Route</t>
  </si>
  <si>
    <t xml:space="preserve">Route Setting </t>
  </si>
  <si>
    <t>Route Name</t>
  </si>
  <si>
    <t xml:space="preserve">pottery painting, small studio, calm environment, </t>
  </si>
  <si>
    <t>Route Type</t>
  </si>
  <si>
    <t>Route Suitability</t>
  </si>
  <si>
    <t>Take-home creations, Open-ended creativity, "Pottery, ceramics or clay", Painting or brushwork, Imaginative freedom, "Calm, focused spaces", Creative studios, "Informal, welcoming environments", "Messy, hands-on crafts"</t>
  </si>
  <si>
    <t>Something Lovely Pottery.JPG</t>
  </si>
  <si>
    <t>Claire??</t>
  </si>
  <si>
    <t>Route Distance (miles)</t>
  </si>
  <si>
    <t>VEN-00203</t>
  </si>
  <si>
    <t>Terrain Type</t>
  </si>
  <si>
    <t>Difficulty Rating</t>
  </si>
  <si>
    <t>Play Cafe</t>
  </si>
  <si>
    <t>Family Garden Exeter</t>
  </si>
  <si>
    <t>Address Line 2</t>
  </si>
  <si>
    <t>Forest school, Woodland play, Outdoor learning, Nature play, Den building, Mud play, Bug hunting, Wildlife spotting, Seasonal nature, Natural materials, Bushcraft, Fire circle, Outdoor crafts, Sticks, Leaves, Trees, Open-ended play, Risky play, Child-led play, Sensory play, Home education, Preschool outdoor play,</t>
  </si>
  <si>
    <t>Family Garden Exeter CIC is a small, peaceful family space that feels like a hidden gem in an unlikely setting. Inside, the room is bright, colourful and thoughtfully arranged, with wooden toys, books, dolls’ houses, baby toys, soft seating and gentle play areas that invite little children to potter, explore and make their own play without the noise or intensity of a bigger soft play venue. Its charm is in how calm and friendly it feels: grown-ups can sit close by with a genuinely good drink or something sweet, while babies, toddlers and preschoolers move between toys, books, imaginative play and cosy corners. It is especially lovely for busy or tired parents who want somewhere welcoming, creative and low-pressure, where children are happily occupied but the whole visit still feels peaceful. There are multiple rooms children can explore, and lots of space to run around without feeling awkward - the staff are genuinely friendly and welcoming too, and the whole place feels like the sort of hidden gem you wish you'd found sooner!</t>
  </si>
  <si>
    <t>Family Garden</t>
  </si>
  <si>
    <t>80 Merrivale Road</t>
  </si>
  <si>
    <t>EX4 1PT</t>
  </si>
  <si>
    <t>Monday, Tuesday, Wednesday, Thursday, Friday</t>
  </si>
  <si>
    <t>Make It Mondays.jpg</t>
  </si>
  <si>
    <t>CLU-00109</t>
  </si>
  <si>
    <t>Sporty Activities</t>
  </si>
  <si>
    <t>Swimming Pool</t>
  </si>
  <si>
    <t>Swim Devon Lessons - Stages 8-10 &amp; Racers</t>
  </si>
  <si>
    <t>For confident swimmers ready to take their skills further, Swim Devon's advanced lessons focus on refining stroke technique, building stamina and developing greater speed, strength and efficiency in the water. Moving beyond the basics of learning to swim, these sessions introduce a more challenging, fitness-focused approach, helping older children improve their front crawl, backstroke, breaststroke and butterfly while developing the skills needed for longer distances and more competitive swimming. The Racers element adds another dimension for those who enjoy pushing themselves, working towards personal goals and seeing their times improve. It's a natural progression for capable swimmers who love being in the pool and want to develop their technique, endurance and confidence through more structured training.</t>
  </si>
  <si>
    <t>Lesson</t>
  </si>
  <si>
    <t>Termly blocks</t>
  </si>
  <si>
    <t>Commando Training Centre Royal Marines</t>
  </si>
  <si>
    <t>Exton</t>
  </si>
  <si>
    <t>EX8 5AR</t>
  </si>
  <si>
    <t>1 adult, 4 children</t>
  </si>
  <si>
    <t>£2.50-£4.50</t>
  </si>
  <si>
    <t>On-street / nearby parking</t>
  </si>
  <si>
    <t>Toilets, Baby changing, Buggy Friendly, Indoor Seating, Water Refill</t>
  </si>
  <si>
    <t>Colouring, "Indoor games (puzzles, boards)", Indoor Play Space, Clues / games</t>
  </si>
  <si>
    <t>Hot Drinks, Clear Sightlines, Snacks, Sweet treats</t>
  </si>
  <si>
    <t>Raining / wet, Windy (&gt; X mph), Snow / sleet / ice, Overcast / cloudy, Stormy / heavy rain / thunderstorms, Sunshine, Dry &amp; mild, Dry &amp; hot, Dry &amp; warm, Dry &amp; cold</t>
  </si>
  <si>
    <t>indoor play space, wooden toys, creative space, imaginary place, role play, relaxed coffee spot, Family hub, Play café, Baby group, Toddler play, Preschool play, Wooden toys, Imaginative play, Dolls’ house, Books, Baby toys, Sensory play, Calm play, Gentle play, Creative space, Cosy corners, Soft seating, Parent and child, Sweet treats, Hot drinks, Friendly space, Low-pressure outing</t>
  </si>
  <si>
    <t>Images (Routes Folder)</t>
  </si>
  <si>
    <t>Enclosed space, Clear sightlines, Seating for adults, Calm or quieter zones, Café or refreshment area, Separate toddler area</t>
  </si>
  <si>
    <t>Family Garden Exeter.jpg</t>
  </si>
  <si>
    <t>VEN-00285</t>
  </si>
  <si>
    <t>Gardens &amp; Curated Outdoor Spaces</t>
  </si>
  <si>
    <t>Landscaped Garden</t>
  </si>
  <si>
    <t>Torre Abbey Park</t>
  </si>
  <si>
    <t>Energy Burner</t>
  </si>
  <si>
    <t>Torre Abbey Park sits close to the Riviera International Centre, the seafront and other family facilities and acts as a natural extension of a beach visit when children need to run around on grass rather than sand. It is more of a useful pause-and-link space than a destination park: somewhere to break up a visit to Waves, the Aqua Lounge, Torre Abbey Sands or the seafront without needing to move the whole family far. The gardens and open space give children a chance to reset between indoor swimming, food and beach time, while the setting keeps practical things like toilets, cafés and nearby activities within easy reach.</t>
  </si>
  <si>
    <t>Torbay Road</t>
  </si>
  <si>
    <t>Torquay</t>
  </si>
  <si>
    <t>TQ2 5DG</t>
  </si>
  <si>
    <t>Pre-Register, Advance Book</t>
  </si>
  <si>
    <t>(Fixed) Child</t>
  </si>
  <si>
    <t>24:00</t>
  </si>
  <si>
    <t>10-16</t>
  </si>
  <si>
    <t>Toilets, Showers / changing facilities, Indoor Seating</t>
  </si>
  <si>
    <t>Picnic Benches, BYO Picnic, Dogs Allowed</t>
  </si>
  <si>
    <t>Swimming</t>
  </si>
  <si>
    <t>route_opportunity_theme</t>
  </si>
  <si>
    <t>Expert</t>
  </si>
  <si>
    <t>route_opportunity_theme_variant</t>
  </si>
  <si>
    <t>route_name</t>
  </si>
  <si>
    <t>route_activity_grouping</t>
  </si>
  <si>
    <t>Swimming lessons, Learn to swim, Water confidence, Swim England stages, Stroke technique, Front crawl, Backstroke, Breaststroke, Butterfly, Water safety, Pool skills, Lane swimming, Group lessons, Structured lessons, Progression, Confidence building, Physical activity, Coordination, Fitness, Advanced swimming, Swimming lessons, Swim England Stage 8, Swim England Stage 9, Swim England Stage 10, Competitive swimming, Racing, Stroke technique, Front crawl, Backstroke, Breaststroke, Butterfly, Swimming endurance, Stamina, Speed, Fitness, Swimming skills, Personal bests, Lane swimming, Swimming progression, Sports training</t>
  </si>
  <si>
    <t>route_description</t>
  </si>
  <si>
    <t>Under 30mins</t>
  </si>
  <si>
    <t>Skill progression, Confidence building, Strength &amp; agility, Structured coaching, Swimming</t>
  </si>
  <si>
    <t>open green space, tennis, pitch and putt golf, lawn bowls, Italian gardens, pond, fountain, outdoor play equipment, coastal views, medieval history, Agatha Christie, outdoor cinema, open air theatre, seaside park</t>
  </si>
  <si>
    <t>route_type</t>
  </si>
  <si>
    <t>Swimming kit, Towels, Dry bags</t>
  </si>
  <si>
    <t>Seasonal foliage, Seasonal or curated displays, Room to run freely, Open sightlines</t>
  </si>
  <si>
    <t>Swim Devon.jpg</t>
  </si>
  <si>
    <t>Riveria Gardens.jpg</t>
  </si>
  <si>
    <t>route_suitability</t>
  </si>
  <si>
    <t>Sophie</t>
  </si>
  <si>
    <t>route_distance</t>
  </si>
  <si>
    <t>VEN-00160</t>
  </si>
  <si>
    <t>CLU-00111</t>
  </si>
  <si>
    <t>route_terrain_type</t>
  </si>
  <si>
    <t>route_difficulty</t>
  </si>
  <si>
    <t>UPDATE</t>
  </si>
  <si>
    <t>route_address_line_1</t>
  </si>
  <si>
    <t>route_address_line_2</t>
  </si>
  <si>
    <t>route_region</t>
  </si>
  <si>
    <t>route_postcode</t>
  </si>
  <si>
    <t>route_parking_provision</t>
  </si>
  <si>
    <t>route_general_facilities</t>
  </si>
  <si>
    <t>Swim Devon Group Lesson - Stages 1-7 (Lympstone)</t>
  </si>
  <si>
    <t>route_child_facilities</t>
  </si>
  <si>
    <t>route_adult_facilities</t>
  </si>
  <si>
    <t>Green Open Spaces</t>
  </si>
  <si>
    <t>route_dog_facilities</t>
  </si>
  <si>
    <t>Country Park</t>
  </si>
  <si>
    <t>Decoy Park</t>
  </si>
  <si>
    <t>route_age_suitability_under_1_s</t>
  </si>
  <si>
    <t>Energy Burner, Simple Reset</t>
  </si>
  <si>
    <t>route_age_suitability_1_to_2_years</t>
  </si>
  <si>
    <t>route_age_suitability_3_to_4_years</t>
  </si>
  <si>
    <t xml:space="preserve">Decoy Country Park gives families lots of options for a lively outdoor trip: lake, woodland, wildlife, play area, picnic space, a splashpad in warmer months and boats that can be hired and taken out on the lake. It’s useful when you want more than a playground but less effort than a big day out, because children can move between climbing, walking, water play and snack stops, and the site isn't vast so nothing is a long walk from the car park. Bikes can be ridden around the trails which are sheltered and shaded, and have the usual large logs and fallen trees to clamber over. The splashpad is the summer make-or-break and runs on a timed daily system, so check it’s running before building the visit around it or prepare to be flexible and move between other options. </t>
  </si>
  <si>
    <t>route_age_suitability_5_to_7_years</t>
  </si>
  <si>
    <t>38 Decoy Road</t>
  </si>
  <si>
    <t>route_age_suitability_8_to_12_years</t>
  </si>
  <si>
    <t>TQ12 1DP</t>
  </si>
  <si>
    <t>Swim Devon offers children’s swimming lessons with a child-centred approach, focusing on water confidence, technique and steady progress through the Swim England stages. Lessons in Lympstone use the pool at the Royal Marines Base with lane-based groups, so children can build skills in a more structured swimming environment rather than a splash-style session. It is an ideal activity for parents looking to improve their children's water confidence and their capability in the water, but note they are lessons and, while made fun and interactive for younger swimmers, they're structuredwith a view to progression, so the sessions require a termly commitment. The teachers are incredibly well-regarded and, for the younger groups, are in the water with children which supports their confidence as they're getting more familiar with the water and a larger, noiser setting. Arrive ready to swim (while there are changing rooms, they're limited at this venue) so most children arrive in a dryrobe or with loose clothing over their swimwear. Changing facilities are limited as Swim Devon do not have exclusive use of the changing rooms. Parents will need to pre-register and bring ID with them each week; you'll be met at the main gate 10mins before the lessons start and escorted, in a group, to the pool. The pool is maintained at around 28 but does vary - it's not the warmest pool but children are kept active during the sessions; it's worth knowing if your child is a definite warm-water swimmer, or might struggle with a busier group. If so, the Budleigh Lessons are taught in a smaller, warmer pool may be better suited to children who prefer that sort of introduction to swimming.</t>
  </si>
  <si>
    <t>route_age_suitability_over_13_years</t>
  </si>
  <si>
    <t>route_age_suitability_adults</t>
  </si>
  <si>
    <t>Monday, Tuesday, Thursday, Wednesday, Friday, Saturday, Sunday</t>
  </si>
  <si>
    <t>route_physical_setting</t>
  </si>
  <si>
    <t>route_detailed_weather_suitability</t>
  </si>
  <si>
    <t>route_estimated_duration</t>
  </si>
  <si>
    <t>route_interest_tags</t>
  </si>
  <si>
    <t>route_seasonal_tag</t>
  </si>
  <si>
    <t>route_seasonal_highlights</t>
  </si>
  <si>
    <t>route_attractions</t>
  </si>
  <si>
    <t>route_extra_kit</t>
  </si>
  <si>
    <t>Paid Car Park, Disabled parking bays</t>
  </si>
  <si>
    <t>Toilets, Bench Seating, Dogs Allowed, Picnic Benches, Disabled toilets, Outdoor Seating, BYO Picnic, Pushchair Friendly</t>
  </si>
  <si>
    <t>Ice creams, Activity trail</t>
  </si>
  <si>
    <t>Hot Drinks, Snacks, Sweet treats</t>
  </si>
  <si>
    <t>Poo Bins, Dogs On Leads</t>
  </si>
  <si>
    <t>17:00-17:40, 17:40-18:20</t>
  </si>
  <si>
    <t>route</t>
  </si>
  <si>
    <t>Scenic Walks &amp; Trails</t>
  </si>
  <si>
    <t>Dry &amp; hot, Dry &amp; warm, Dry &amp; cold, Dry &amp; mild, Overcast / cloudy, Sunshine</t>
  </si>
  <si>
    <t>Coastal or Clifftop Walk</t>
  </si>
  <si>
    <t>Under 30mins, 30-60mins, 1-2hrs, 2-3hrs</t>
  </si>
  <si>
    <t>Charmouth to Lyme Regis</t>
  </si>
  <si>
    <t>splashpad, water jets, tipping buckets, outdoor play equipment, zip wire, swings, climbing frame, slides, lake walk, duck feeding, wildlife spotting, kingfishers, BMX track, kayak hire</t>
  </si>
  <si>
    <t>Watersports Hire, Seasonal water fun, Fungi, "Berries, Nuts, Conkers", Autumn Leaves, Migrating Birds, Butterflies, Dragonflies &amp; Damselflies</t>
  </si>
  <si>
    <t>Climbable trees, Play equipment, Marked Trails, "Natural play features (logs, slopes, rocks)", "Bridges (wooden, stone, suspension)", Scenic backdrops, Countryside views, Room to run freely, Ponds or lakes</t>
  </si>
  <si>
    <t>Towels, Swimming kit, Water shoes, XC Buggy, Sling / baby carrier, Infant / toddler carrier</t>
  </si>
  <si>
    <t>Decoy Park.jpg</t>
  </si>
  <si>
    <t>Advance Book, Pre-Register</t>
  </si>
  <si>
    <t>VEN-00042</t>
  </si>
  <si>
    <t>A rewarding Jurassic Coast walk for families with older children who enjoy a proper adventure, combining woodland paths, hillside climbs and sweeping views across Lyme Bay. Start at Charmouth Beach, beside the Heritage Coast Centre, then head inland through the village to join the signed South West Coast Path diversion towards Fernhill and Lyme Regis Golf Course, before descending into Lyme Regis. It's a lovely choice for a dry spring or autumn day, with plenty of opportunities to admire the dramatic fossil-rich coastline. Reward tired legs with fish and chips, an ice cream or a wander around the Cobb and harbour. The route is steep and uneven in places, so sturdy footwear is essential and it's unsuitable for buggies. Allow a couple of hours at a family pace, plus time to explore Lyme Regis, and consider catching a bus back rather than retracing your steps. The beach route beneath Black Ven is hazardous due to unstable cliffs, landslips and changing tides, so stick to the signed inland route and check for diversions before setting off.</t>
  </si>
  <si>
    <t>REMOVE</t>
  </si>
  <si>
    <t>Out-and-back, Point to point</t>
  </si>
  <si>
    <t>Dog friendly, Carrier Only</t>
  </si>
  <si>
    <t>Removal requested</t>
  </si>
  <si>
    <t>Steep, Undulating, Rocky, Uneven, Woodland track</t>
  </si>
  <si>
    <t>Moderate</t>
  </si>
  <si>
    <t>Phear Park Playpark</t>
  </si>
  <si>
    <t>Charmouth Beach Car Park</t>
  </si>
  <si>
    <t>Simple Reset, Moment of Peace, Low Effort, Energy Burner</t>
  </si>
  <si>
    <t>Lower Sea Lane</t>
  </si>
  <si>
    <t>Phear Park Play Park sits within a much bigger green park, making it more flexible than a standalone playground as it gives you lots of options in close proximity. Children can use the play area, then spill into open space, trees, paths and nearby park facilities if they still have energy. The park itself caters mainly to children ages 8 and under, but with basketball courts alongside it, and in eyeshot of the main park, it can easily work for mixed ages.</t>
  </si>
  <si>
    <t>Charmouth</t>
  </si>
  <si>
    <t>Phear Park</t>
  </si>
  <si>
    <t>DT6 6LL</t>
  </si>
  <si>
    <t>Withycombe Road</t>
  </si>
  <si>
    <t>EX8 1TJ</t>
  </si>
  <si>
    <t>BYO Picnic, Dogs Allowed</t>
  </si>
  <si>
    <t>None / Novice</t>
  </si>
  <si>
    <t>Swimming lessons, Learn to swim, Water confidence, Swim England stages, Stroke technique, Front crawl, Backstroke, Breaststroke, Butterfly, Water safety, Pool skills, Lane swimming, Group lessons, Structured lessons, Progression, Confidence building, Physical activity, Coordination, Fitness</t>
  </si>
  <si>
    <t>Free Car Park, Bike racks / bays, On-street / nearby parking</t>
  </si>
  <si>
    <t>Dogs Allowed, Bench Seating, BYO Picnic, Pushchair Friendly</t>
  </si>
  <si>
    <t>Zip Line, "Swings, Slides, Climbing Frames", Outdoor play equipment</t>
  </si>
  <si>
    <t>Early access introduction, Skill progression, Confidence building, Strength &amp; agility, Structured coaching, Mixed-ability sessions, Swimming</t>
  </si>
  <si>
    <t>Sunshine, Overcast / cloudy, Dry &amp; mild, Dry &amp; cold, Dry &amp; warm</t>
  </si>
  <si>
    <t>1-2hrs, 2-3hrs</t>
  </si>
  <si>
    <t>Coastal walking, Hiking, Jurassic Coast, Fossils, Geology, Woodland walks, Nature walks, Coastal scenery, Walking challenges, Wildlife, Exploring</t>
  </si>
  <si>
    <t>Springtime</t>
  </si>
  <si>
    <t>CLU-00100</t>
  </si>
  <si>
    <t>Cliffs &amp; headlands, Beaches or coves, Panoramic views, Coastal views, Elevated viewpoints, Wildlife spotting</t>
  </si>
  <si>
    <t>Infant / toddler carrier, Sling / baby carrier</t>
  </si>
  <si>
    <t>swings, slides, climbing frame</t>
  </si>
  <si>
    <t>Climbing frames, Zip wires, Mixed-difficulty zones, Clear sightlines for adults, Towers and platforms</t>
  </si>
  <si>
    <t>Charmouth to Lyme.JPG</t>
  </si>
  <si>
    <t>Phear Park Play Park.JPG</t>
  </si>
  <si>
    <t>VEN-00104</t>
  </si>
  <si>
    <t>ROU-00094</t>
  </si>
  <si>
    <t>Family Home Ed at Robin Wood</t>
  </si>
  <si>
    <t>Family Home Ed is the most community-minded of the Robin Wood sessions, bringing home-educating families into the woods on Friday afternoons for making, seasonal projects and shared time outdoors. Because children come as families, different ages can take part alongside one another, with younger children joining in where they can and older children taking more responsibility. Sessions often use what the woodland offers at that time of year, from natural craft materials to small practical jobs that help improve the site. The honesty shop project adds a lovely real-world thread, giving children a reason to create forest school makes and understand how their work can help fund new equipment for the group.</t>
  </si>
  <si>
    <t>Urban Green Space</t>
  </si>
  <si>
    <t>Northernhay Gardens</t>
  </si>
  <si>
    <t>The oldest public open space in England, laid out in 1612, which is a fact worth telling older children before you arrive because it changes how they look at the place. Set just behind the High Street beside Rougemont Castle, the gardens are free, open from early morning until dusk and make a natural breathing space in the middle of a city visit without needing to go anywhere. What gives Northernhay its particular character is the way the everyday park; lawns, paths, flowerbeds, benches — sits right up against visible stretches of Roman and Saxon city wall that are genuinely ancient and touchable. Sculptures are scattered throughout, including the 1878 Deer Stalker and the 1923 War Memorial by local sculptor John Angel, and children who like history trails will find the Exeter history information boards a good thread to follow around the garden. Local legend has it the gardens were also used for witch hangings in the 1800s, which might be interesting to certain older children with a history fascination.</t>
  </si>
  <si>
    <t>Northernhay</t>
  </si>
  <si>
    <t>EX4 3SA</t>
  </si>
  <si>
    <t>Rideable Routes</t>
  </si>
  <si>
    <t>07:30</t>
  </si>
  <si>
    <t>Practise Space, Skills &amp; Stunts Space</t>
  </si>
  <si>
    <t>18:00</t>
  </si>
  <si>
    <t>Haldon Forest - Freers Loop Route</t>
  </si>
  <si>
    <t>An optional black-graded technical loop off the Ridge Ride trail, with roots, rocks, berms, drops and a step-down feature. At approximately 1km it's a short but demanding feature section designed for skilled riders who are already comfortable on red-grade trails and want something more challenging. Not a family cycling route, this is for experienced riders only. Helmets required.</t>
  </si>
  <si>
    <t>Circular</t>
  </si>
  <si>
    <t>Mountain Bikes Only</t>
  </si>
  <si>
    <t>Steps, Steep, Mixed terrain, Woodland track</t>
  </si>
  <si>
    <t>Challenging</t>
  </si>
  <si>
    <t>Haldon Forest Park - Forestry England</t>
  </si>
  <si>
    <t>Bullers Hill</t>
  </si>
  <si>
    <t>EX6 7XR</t>
  </si>
  <si>
    <t>Toilets, Disabled toilets, Baby changing, Picnic Benches, Bench Seating, Highchairs, Dogs Allowed, Indoor Seating, Outdoor Seating</t>
  </si>
  <si>
    <t>Bench Seating, BYO Picnic, Wheelchair Friendly, Buggy Friendly, Dogs Allowed, Pushchair Friendly</t>
  </si>
  <si>
    <t>Activity trail, Children’s trail, "Swings, Slides, Climbing Frames", Outdoor play equipment, Sandpit, Ice creams, Activity Sheets or Signs, Colouring</t>
  </si>
  <si>
    <t>Hot Drinks, Comfy Seating / Sofas, Hot &amp; Cold food, Clear Sightlines, Snacks, Drinks stand, Sweet treats, Outdoor terrace</t>
  </si>
  <si>
    <t>Sunshine, Overcast / cloudy, Dry &amp; warm, Dry &amp; hot</t>
  </si>
  <si>
    <t>ancient history, Roman history, Roman walls, Saxon history, city walls, sculptures, statues, war memorial, history trail, archaeology, medieval history, Civil War, oldest public park, picnicking, open green space, autumn colour, blossom, city exploring, witch legend, local legend</t>
  </si>
  <si>
    <t>Daffodills, Seasonal Flowers</t>
  </si>
  <si>
    <t>Room to run freely, Scenic backdrops</t>
  </si>
  <si>
    <t>Northernhay Gardens.JPG</t>
  </si>
  <si>
    <t>VEN-00283</t>
  </si>
  <si>
    <t>Group, (Fixed) Child</t>
  </si>
  <si>
    <t>mountain biking, black grade, technical cycling, roots and rocks, drops, berms, advanced cycling</t>
  </si>
  <si>
    <t>3-15</t>
  </si>
  <si>
    <t>"High-adrenaline routes, jumps or terrain", Easy parking nearby, Cafés or facilities along the route, "Natural jumps, ramps or fun features"</t>
  </si>
  <si>
    <t>Animal Encounters</t>
  </si>
  <si>
    <t>Animal Park or Zoo, Animal Sanctuary, Bird of Prey Centre, Farm or Smallholding</t>
  </si>
  <si>
    <t>Totnes Rare Breeds Farm</t>
  </si>
  <si>
    <t>Haldon Freers Loop.JPG</t>
  </si>
  <si>
    <t>ROU-00059</t>
  </si>
  <si>
    <t>A small, family-run petting farm beside the South Devon Steam Railway at Littlehempston, dedicated to the conservation of rare and endangered breeds, and genuinely one of those places where the intimacy of the setting is one of it's charms. Most enclosures can be entered rather than just viewed through a fence, which means children are cuddling guinea pigs, feeding Golden Guernsey goats and Welsh Mountain sheep, and — if the timing works out — being introduced to the rescue owls by the keeper who looks after them personally and gives demonstrations that children tend to talk about for the rest of the day. The animal collection includes red squirrels, donkeys, rare breed pigs, waterfowl, aviaries and more, all managed by a team of volunteers who know each animal well and are genuinely happy to take their time with curious children. The Garden Café alongside serves lovely made-to-order food and overlooks the steam railway. A wristband system allow you to come and go throughout the day rather than having to commit to a fixed visit length too. There's no parking on site, which is the main thing to plan ahead for, but the farm is an easy walk from Totnes train station where there is a paid car park. Wheelchair and buggy friendly across the whole site.</t>
  </si>
  <si>
    <t>Totnes rare breeds farm</t>
  </si>
  <si>
    <t>Riverside Station</t>
  </si>
  <si>
    <t>Totnes</t>
  </si>
  <si>
    <t>TQ96LZ</t>
  </si>
  <si>
    <t>River or Lakeside Ramble, Nature Trail, Feature Walk</t>
  </si>
  <si>
    <t>10:00</t>
  </si>
  <si>
    <t>16:00</t>
  </si>
  <si>
    <t>Seaton Wetlands Trails</t>
  </si>
  <si>
    <t xml:space="preserve">A lovely network of flat trails and wooden boardwalks winding through the marshes, reedbeds and lagoons of Seaton Wetlands, with little discoveries around almost every corner. The paths lead between bird hides, viewing platforms and waterside lookouts, where you can pause to watch ducks, wading birds and, if you're lucky, a kingfisher. Black Hole Marsh is a particular highlight, with panoramic views across its tidal lagoon and the chance to spot the Seaton Tramway passing nearby. There's plenty to keep children interested along the way, from peering through hide windows to spotting dragonflies, exploring the reedbed paths and visiting the pond-dipping area at Stafford Marsh. The mostly level, surfaced trails make this an unusually manageable nature walk for pushchairs and little legs, with some sections also suitable for children's bikes. You can explore a shorter section or link several areas for a longer wander, with plenty of opportunities for keen young birdwatchers and photographers to stop along the way. </t>
  </si>
  <si>
    <t>Loop with variations</t>
  </si>
  <si>
    <t>We are open March through to November</t>
  </si>
  <si>
    <t>Buggy friendly, Scooter route, Cycle route, Wheelchair friendly</t>
  </si>
  <si>
    <t>Flat, Surfaced / smooth</t>
  </si>
  <si>
    <t>Easy</t>
  </si>
  <si>
    <t>Robin Wood Home Ed.JPG</t>
  </si>
  <si>
    <t>Pay on Arrival, Memberships</t>
  </si>
  <si>
    <t>(Fixed) Child, Adult, Group, Baby, Concession</t>
  </si>
  <si>
    <t>CLU-00110</t>
  </si>
  <si>
    <t>15+</t>
  </si>
  <si>
    <t>Over 60</t>
  </si>
  <si>
    <t>2 adults 2 children</t>
  </si>
  <si>
    <t>Toilets, Disabled toilets, Baby changing, Picnic Benches, Highchairs, Indoor Seating, Outdoor Seating, Water Refill, Wheelchair Friendly, Buggy Friendly, Pushchair Friendly</t>
  </si>
  <si>
    <t>Ice creams, Children's Menu</t>
  </si>
  <si>
    <t>Tick Tock - Lympstone Playgroup</t>
  </si>
  <si>
    <t>1-2hrs, 30-60mins, 2-3hrs</t>
  </si>
  <si>
    <t>animal petting, rare breeds, animals, goats, owls, shetland ponies, pony grooming, reptiles, Ball Python, Giant Rex rabbit, Angora Goats and Shetland Ponies, chickens, ducks, welsh mountain sheep, small animals, guinea pigs, chicks, ducklings, chinchillas, tortoise, rabbits</t>
  </si>
  <si>
    <t>Summer, Springtime</t>
  </si>
  <si>
    <t>Hands-on Petting, Animal feeding, Close-up viewing, Keeper talks, Animal Experience Day, Multiple species, Animal Sanctuary, Rare or exotic animals, Conservation, Baby animals (seasonal)</t>
  </si>
  <si>
    <t>Wetlands, Nature reserve, Birdwatching, Bird hides, Wildlife spotting, Nature trails, Pond dipping, Pond life, Dragonflies, Damselflies, Butterflies, Ducks, Geese, Swans, Kingfishers, Herons, Egrets, Wading birds, Migratory birds, Water birds, Bird photography, Wildlife photography, Nature photography, Habitats, Biodiversity, Wildlife conservation, Environmental education, Estuary wildlife, River Axe, Reedbeds, Mudflats, Freshwater ponds, Marshland, Boardwalks, Nature walks, Walking trails, Seasonal wildlife, Nature exploration, Outdoor learning, Seaton Marshes, Black Hole Marsh, Colyford Common, Stafford Marsh</t>
  </si>
  <si>
    <t>Totnes Rare Breeds Farm.JPG</t>
  </si>
  <si>
    <t>Summer, Autumn, Winter, Springtime</t>
  </si>
  <si>
    <t>VEN-00230</t>
  </si>
  <si>
    <t>Birdsong, "Returning swallows, swifts (birds)", Butterflies, Seabird Colonies, Kingfisher Spotting, River wildlife spotting, Dragonflies &amp; Damselflies, Migrating Birds, Autumn Leaves, Starling Murmurations</t>
  </si>
  <si>
    <t>Rivers &amp; streams, Lakes &amp; reservoirs, Countryside views, Coastal views, Scenic valleys, Wildlife spotting</t>
  </si>
  <si>
    <t>XC Buggy, Sling / baby carrier, Binoculars</t>
  </si>
  <si>
    <t>Seaton Wetlands Routes.jpg</t>
  </si>
  <si>
    <t>ROU-00092</t>
  </si>
  <si>
    <t>A Big Day Out</t>
  </si>
  <si>
    <t>Themepark</t>
  </si>
  <si>
    <t>Crealy Themepark</t>
  </si>
  <si>
    <t>Tick-Tock Toddlers is a Friday morning playgroup in the heart of Lympstone village, giving babies, toddlers and preschool children a familiar place to play while parents and carers catch up over refreshments. Held inside the church during term time, it has the feel of a simple village toddler group rather than a formal class: toys out, little ones able to move between playtime and snacks, and grown-ups able to chat without needing to plan a whole morning around it. Its setting makes it especially useful for local families who want something regular, friendly and easy to fold into the week, with the church, village centre and nearby everyday stops all close together, ideally timed after school drop-off in the mornings.</t>
  </si>
  <si>
    <t>Crealy is the big, high-energy Devon themepark day: rides, indoor play, water rides, animals, live shows and enough variety to fill a full family day. It works especially well for mixed ages because there are outdoor rides and larger attractions, but also substantial indoor areas, soft play and toddler-friendly spaces if the weather turns or younger children need a reset. It is not a low-effort outing — and worth remembering that you'll want to plan around height restrictions, food, queues, naps and energy dips being on a larger site with full-throttle stimulation in every direction — but it promises something for everyone, and some genuinely high-adrenaline rides to keep things interesting for the braver visitors!</t>
  </si>
  <si>
    <t>Longer ride</t>
  </si>
  <si>
    <t>Haldon Forest - Ridge Ride Route</t>
  </si>
  <si>
    <t>Crealy Theme Park &amp; Resort</t>
  </si>
  <si>
    <t>Haldon's red-graded mountain bike trail, following the ridge through faster, narrower singletrack with tight corners, lively descents and sections that need good control, fitness and experience. This is for confident older children, teens and adults who already ride regularly off-road; it's a proper mountain bike route, not a family progression from the blue trails. Protective equipment and an appropriate bike are expected. Helmets required.</t>
  </si>
  <si>
    <t>Clyst St Mary</t>
  </si>
  <si>
    <t>EX5 1DR</t>
  </si>
  <si>
    <t>Steep, Uneven, Woodland track</t>
  </si>
  <si>
    <t>Seasonal Opening Times (10:30-16:30 out of peak summer season)</t>
  </si>
  <si>
    <t>Young Child, Older Child, Adult, Group</t>
  </si>
  <si>
    <t>1-2.5</t>
  </si>
  <si>
    <t>2.5-16</t>
  </si>
  <si>
    <t>£23.25-£27.13</t>
  </si>
  <si>
    <t>Mixed Family Tickets (Online only)</t>
  </si>
  <si>
    <t>Toilets, Disabled toilets, Baby changing, Picnic Benches, BYO Picnic, Indoor Seating, Outdoor Seating, Dogs Allowed, Water Refill, Pushchair Friendly</t>
  </si>
  <si>
    <t>Ice creams, Children's Menu, "Swings, Slides, Climbing Frames", Outdoor play equipment, Indoor Play Space</t>
  </si>
  <si>
    <t>Hot Drinks, Hot &amp; Cold food, Snacks, Drinks stand, Sweet treats, Giftshop</t>
  </si>
  <si>
    <t>2-3hrs, 4+ hours, Whole Day</t>
  </si>
  <si>
    <t>theme park, rollercoaster, water rides, log flume, drop tower, inverted ride, Sooty, Sooty Land, live shows, meet and greet, soft play, indoor play, adventure play, farm animals, zoo animals, meerkats, alpacas, Shetland ponies, tortoises, go karts, driving school, seasonal events, Halloween, all weather</t>
  </si>
  <si>
    <t>Christmas, Halloween, Summer</t>
  </si>
  <si>
    <t>Rides &amp; attractions, Animals or animal experiences, Live shows or performances, Immersive or themed environments, Play or activity zones, Iconic structures or rides, Water features, "Themed trails (e.g. Halloween, Christmas, Easter)"</t>
  </si>
  <si>
    <t>Crealy.JPG</t>
  </si>
  <si>
    <t>Suz Ox</t>
  </si>
  <si>
    <t>VEN-00159</t>
  </si>
  <si>
    <t>China Blue Pottery</t>
  </si>
  <si>
    <t>A pottery painting studio, lifestyle store and café on Station Road in Totnes that includes considerably more than a standard pottery café. The ceramic studio is the biggest of its kind in the South West, with hundreds of pieces to choose from; everything from fairy tale figures and robots to mugs, bowls and dog bowls that can be painted with professional glazes that are then kiln-fired and either collected or posted home. Everything is individually priced, so there's usually something for each budget. For families who won't be around long enough to collect, there's also a Paint &amp; Go option using poster paints where children take their piece home the same day, which is worth knowing about before you choose your ceramic. Alongside the painting, pot throwing on a wheel, clay modelling workshops and baby hand and footprint keepsakes can be booked. It's not a small or quiet setting; two floors of painting tables that feel fairly busy as the pottery studio is situated within the wider store area and nearby to the Deli &amp; Kitchen, but the sheer variety of choice is the main draw if you've got a creative child with something very specific in mind to paint.</t>
  </si>
  <si>
    <t>1 adult, 2 children</t>
  </si>
  <si>
    <t>China Blue</t>
  </si>
  <si>
    <t>mountain biking, red grade, singletrack, forest trails, technical cycling, woodland cycling, ridge riding, teens</t>
  </si>
  <si>
    <t>Station Road</t>
  </si>
  <si>
    <t>TQ9 5JR</t>
  </si>
  <si>
    <t>Toilets, Baby changing, Wheelchair Friendly, Buggy Friendly, Water Refill</t>
  </si>
  <si>
    <t>Traffic-free sections, "Natural jumps, ramps or fun features", "High-adrenaline routes, jumps or terrain", Easy parking nearby, Cafés or facilities along the route</t>
  </si>
  <si>
    <t>Colouring, Clues / games, "Indoor games (puzzles, boards)", Ride on Vehicles, Indoor Play Space</t>
  </si>
  <si>
    <t>Haldon Ridge Ride Route.JPG</t>
  </si>
  <si>
    <t>ROU-00058</t>
  </si>
  <si>
    <t>0-16</t>
  </si>
  <si>
    <t>3-30</t>
  </si>
  <si>
    <t>17+</t>
  </si>
  <si>
    <t>local playgroup, toddler group, craft, toys, soft play, dressing up, fancy dress, storytime, stories, mums groups</t>
  </si>
  <si>
    <t>Haldon Forest - Kiddens Route</t>
  </si>
  <si>
    <t>Confidence-building environments, Imaginative freedom, "Informal, welcoming environments"</t>
  </si>
  <si>
    <t>Toilets, Disabled toilets, Baby changing, Indoor Seating</t>
  </si>
  <si>
    <t>Hot Drinks, Snacks, Sweet treats, Giftshop, Hot &amp; Cold food</t>
  </si>
  <si>
    <t>Lympstone Church Playgroup.JPG</t>
  </si>
  <si>
    <t>A longer blue trail and a clear step up from Spicers, with more technical terrain, greater changes in gradient and a longer distance to manage. It suits riders who already have basic off-road skills and want a proper forest ride rather than a short confidence loop. For families, this is likely to suit older children or capable younger riders who are comfortable with singletrack, climbs and staying focused for a longer route. Helmets required.</t>
  </si>
  <si>
    <t>CLU-00116</t>
  </si>
  <si>
    <t>Woodland track, Mixed terrain, Undulating, Steep, Uneven</t>
  </si>
  <si>
    <t>Raining / wet, Windy (&gt; X mph), Overcast / cloudy, Stormy / heavy rain / thunderstorms, Snow / sleet / ice</t>
  </si>
  <si>
    <t>pottery, pottery painting, ceramics, clay, glazing, creative artwork, painting</t>
  </si>
  <si>
    <t>"Messy, hands-on crafts", Take-home creations, Open-ended creativity, Drop-in creative tables, "Pottery, ceramics or clay", Painting or brushwork, Imaginative freedom, Creative studios, "Informal, welcoming environments"</t>
  </si>
  <si>
    <t>China Blue.JPG</t>
  </si>
  <si>
    <t>VEN-00231</t>
  </si>
  <si>
    <t>Hillcrest Community Nature Reserve</t>
  </si>
  <si>
    <t>A small urban woodland tucked into the Withycombe Raleigh part of Exmouth, managed by the Wild East Devon rangers as a community nature reserve and one of the more quietly pleasant green spaces in the town for children who like poking about in trees rather than heading straight for the beach. The reserve acts as a wildlife corridor through the town, with winding paths through woodland and scrub, butterflies in season and the kind of unhurried, slightly wild feel that's harder to find than it should be in a seaside town. It's a simple outing rather than a destination — boots or wellies are sensible, paths are uneven and there are no facilities — but Wild East Devon run seasonal family events here, including autumn crafts mornings during half term, which are worth checking for before visiting. Free to enter year-round, and accessible from both the railway and bus station without needing a car.</t>
  </si>
  <si>
    <t>EX8 4DX</t>
  </si>
  <si>
    <t xml:space="preserve">cycling, off-road cycling, blue grade, mountain biking, forest trails, woodland cycling, singletrack, skills progression
</t>
  </si>
  <si>
    <t>"Natural jumps, ramps or fun features", "High-adrenaline routes, jumps or terrain", Easy parking nearby, Cafés or facilities along the route</t>
  </si>
  <si>
    <t>Haldon Kiddens Route.JPG</t>
  </si>
  <si>
    <t>ROU-00057</t>
  </si>
  <si>
    <t>Quick spin</t>
  </si>
  <si>
    <t>Haldon Forest - Spicers Route</t>
  </si>
  <si>
    <t>Pushchair Friendly</t>
  </si>
  <si>
    <t>The next step after the Discovery Route, introducing a more off-road feel while staying within a moderate blue grade. The surface changes from fully tarmacked to mixed, with gentle gradients, some narrower sections and a short two-way section near the start. It's a good progression for children who have the basics but are still building control and confidence on varied terrain — more interesting than the Discovery Route without jumping straight to the harder trails. Helmets required.</t>
  </si>
  <si>
    <t>Woodland track, Mixed terrain, Undulating</t>
  </si>
  <si>
    <t>Windy (&gt; X mph), Sunshine, Overcast / cloudy, Stormy / heavy rain / thunderstorms, Dry &amp; mild, Dry &amp; cold, Dry &amp; warm, Dry &amp; hot</t>
  </si>
  <si>
    <t>nature reserve, green open space, space to run</t>
  </si>
  <si>
    <t>Wildflower Meadows, Butterflies, Autumn Leaves, Sledging Spot</t>
  </si>
  <si>
    <t>Meadows or wild grass, Room to run freely, Open sightlines, Rolling landscapes, Grassy banks, Climbable trees, Football or Rugby Posts</t>
  </si>
  <si>
    <t>Hillcrest Nature Reserve.JPG</t>
  </si>
  <si>
    <t>VEN-00274</t>
  </si>
  <si>
    <t>Transport &amp; Engineering</t>
  </si>
  <si>
    <t>Trains &amp; Railways, Working Transport Hubs</t>
  </si>
  <si>
    <t>South Devon Miniature Railway</t>
  </si>
  <si>
    <t>A small but charming 7.25-inch gauge miniature railway tucked into the award-winning gardens behind Buckfastleigh station, run by volunteers alongside the South Devon heritage railway. The ride is a half-mile loop through flower borders and woodland that loops it's way around the station car park. It's gentle, short and perfectly pitched at younger children who love trains but won't sit still for a full heritage steam journey but would love the excitment of a ride. The locomotive is a diesel named Greenie, well-maintained and much-loved by its volunteer crew and it's the kind of simple thing that makes a Buckfastleigh morning feel complete rather than rushed — the gardens have picnic benches alongside the miniature railway station, which gives parents somewhere to settle while children watch, play or wait for another go. The station itself has a café, toilets and a children's play area, and the Otter and Butterfly Sanctuary is a two-minute walk away, making the two a natural pairing. The miniature railway runs every weekend (weather-dependant) between April and October but this can (very occasionally) miss a week, so it's worth double-checking ahead for a specific date if it's a special occasion and the visit is centred on a ride.</t>
  </si>
  <si>
    <t>The Station</t>
  </si>
  <si>
    <t>cycling, off-road cycling, blue grade, family cycling, forest trails, woodland cycling, mountain biking, skills progression</t>
  </si>
  <si>
    <t>Dart Bridge Road</t>
  </si>
  <si>
    <t>Buckfastleigh</t>
  </si>
  <si>
    <t>TQ11 0DZ</t>
  </si>
  <si>
    <t>Traffic-free sections, Easy parking nearby, Cafés or facilities along the route, "Natural jumps, ramps or fun features", "High-adrenaline routes, jumps or terrain"</t>
  </si>
  <si>
    <t>Haldon Spicers Route.JPG</t>
  </si>
  <si>
    <t>ROU-00056</t>
  </si>
  <si>
    <t>Woodland Walk</t>
  </si>
  <si>
    <t>Haldon Forest - Raptor Trail</t>
  </si>
  <si>
    <t>A longer surfaced forest route with more to it than the Discovery Trail — steeper climbs and descents, tall conifers, mixed woodland, rest points and a detour to the birds-of-prey viewpoint where you can watch raptors flying over the forest. It has enough gradient to feel more substantial for older children or families wanting a proper walk, while still being clearly waymarked and wide-tracked. Two road crossings and the hillier terrain make it a step up from the Discovery route, but it's still very much a family trail rather than an off-road challenge.</t>
  </si>
  <si>
    <t>(Fixed) Child, Adult, Baby</t>
  </si>
  <si>
    <t>Off-road Buggies only, Dog friendly, Mountain Bikes Only</t>
  </si>
  <si>
    <t>3-17</t>
  </si>
  <si>
    <t>CLU-00105</t>
  </si>
  <si>
    <t>Toilets, Disabled toilets, BYO Picnic, Dogs Allowed, Picnic Benches, Bench Seating, Outdoor Seating, Baby changing, Pushchair Friendly</t>
  </si>
  <si>
    <t>"Swings, Slides, Climbing Frames", Ice creams</t>
  </si>
  <si>
    <t>Hot Drinks, Snacks, Drinks stand, Sweet treats, Clear Sightlines</t>
  </si>
  <si>
    <t>miniature railway, stream trains, trains, locomotives, heritage railways, model railway</t>
  </si>
  <si>
    <t>Trains and locomotives, Vintage vehicles, Rides or journeys, Vehicles in operation, Engineering features</t>
  </si>
  <si>
    <t>South Devon Miniature Railway.JPG</t>
  </si>
  <si>
    <t>woodland walks, conifer forest, birds of prey, raptors, wildlife spotting, birdwatching, bird hide, viewpoint, waymarked trail, forest walking, hillside views</t>
  </si>
  <si>
    <t>VEN-00271</t>
  </si>
  <si>
    <t>Panoramic views, Countryside views, Elevated viewpoints</t>
  </si>
  <si>
    <t>Haldon Raptor Trail.JPG</t>
  </si>
  <si>
    <t>ROU-00055</t>
  </si>
  <si>
    <t>Community Centre</t>
  </si>
  <si>
    <t>Little Yammas Martial Arts Exmouth</t>
  </si>
  <si>
    <t>Brixington Park</t>
  </si>
  <si>
    <t>Skills &amp; Stunts Space</t>
  </si>
  <si>
    <t>Haldon Forest Skills Area</t>
  </si>
  <si>
    <t>The Lil YAMA’s programme offers children a great blend of fun &amp; discipline whilst learning martial arts-based drills and games. Classes focus on building valuable life skills and developing a budding sense of discipline and concentration. High-energy, friendly and fun, instructors encourage enable children to take pride in developing their technique and discover the rewards of practice.</t>
  </si>
  <si>
    <t>A well-loved neighbourhood park in the Brixington area of Exmouth, redesigned and revamped in 2020 with the help of local children; the result is a genuinely lovely lifeboat-themed play area which gives a nod to Exmouth's maritime heritage and the RNLI presence in the area. With trampolines, zip wire, slides, monkey bars, climbing frames, group swings and all the usual smaller park equipment, it also has plenty of open green space alongside for running around, ball games, picnics and sports. It gets busy after school on weekdays (owing to being close to the local Primary School), but tends to be quiet at weekends — it works well for mixed ages owing to the variety of equipment and, with on-street parking closeby on all sides, it works as an easy stop-off when you're in the area or passing through and need a fresh-air stop.</t>
  </si>
  <si>
    <t>Training / Skill Development</t>
  </si>
  <si>
    <t xml:space="preserve">A dedicated area of purpose-built features for practising off-road technique before heading onto the wider trail network. Useful for children and teens who want to repeat sections, work on control or test specific features without committing to a full route. It sits near the pump track and main cycling hub, so it works as part of a wider Haldon visit or as a focused session for riders wanting to improve specific skills. </t>
  </si>
  <si>
    <t>The Marles</t>
  </si>
  <si>
    <t>Monthly</t>
  </si>
  <si>
    <t>EX8 4NU</t>
  </si>
  <si>
    <t>Mixed terrain</t>
  </si>
  <si>
    <t>Withycombe Raleigh Primary School</t>
  </si>
  <si>
    <t>187 Withycombe Village Road</t>
  </si>
  <si>
    <t>EX8 3BA</t>
  </si>
  <si>
    <t>Monday, Tuesday, Thursday</t>
  </si>
  <si>
    <t>Under 30mins, 30-60mins, 1-2hrs</t>
  </si>
  <si>
    <t>cycling skills, mountain biking, off-road technique, skills practice, woodland cycling, progression riding</t>
  </si>
  <si>
    <t>"Natural jumps, ramps or fun features", Traffic-free sections, Clear sightlines, Parkland surroundings, Easy parking nearby, Cafés or facilities along the route, Short loops</t>
  </si>
  <si>
    <t>Haldon Skills Area.JPG</t>
  </si>
  <si>
    <t>ROU-00061</t>
  </si>
  <si>
    <t>BYO Picnic, Bench Seating, Dogs Allowed, Pushchair Friendly</t>
  </si>
  <si>
    <t>Haldon Forest Pump Track</t>
  </si>
  <si>
    <t>Low Effort</t>
  </si>
  <si>
    <t>A contained cycling feature near the main hub, giving children and riders a place to practise pumping, flow, cornering and repeated loops without setting off on a full trail. Useful for shorter bursts of riding, warming up before a trail, or keeping mixed-ability groups together near the visitor area. Works well for children who want to try something active while others are on longer routes. Helmets required, and younger riders will need space and supervision if the area is busy.</t>
  </si>
  <si>
    <t>Cycle route, Scooter route</t>
  </si>
  <si>
    <t>Undulating, Woodland track, Surfaced / smooth</t>
  </si>
  <si>
    <t>RNLI, parks, zip lines, slides, balance elements, swings, accessible park, basketball courts, football goals</t>
  </si>
  <si>
    <t>Climbing frames, Balance elements, Stepping obstacles, Towers and platforms, Slides, Fireman's poles, Zip wires, Fort-style structures, Mixed-difficulty zones, Enclosed adventure zones, Swings, Basket / nest swings, Log balance trail, Open grass / running space, Inclusive swings, Wheelchair accessible equipment</t>
  </si>
  <si>
    <t>Brixington Park.jpg</t>
  </si>
  <si>
    <t>VEN-00182</t>
  </si>
  <si>
    <t>pump track, cycling, BMX, balance bikes, scooters, skills practice, family cycling</t>
  </si>
  <si>
    <t>"High-adrenaline routes, jumps or terrain", Easy parking nearby, Cafés or facilities along the route, Short loops, "Natural jumps, ramps or fun features"</t>
  </si>
  <si>
    <t>Haldon Pump Track.JPG</t>
  </si>
  <si>
    <t>ROU-00060</t>
  </si>
  <si>
    <t>Outdoor Pitch</t>
  </si>
  <si>
    <t>Exe Footgolf</t>
  </si>
  <si>
    <t>River or Lakeside Ramble</t>
  </si>
  <si>
    <t xml:space="preserve">Football golf — crazy golf-style fun but played with a football into oversized holes — on an 18-hole course open from Easter to the end of October half term. It takes around 90 minutes to play the full course and is something that can work well for all ages from around five upward given the two ball sizes that are available to use. The obstacles on the fairways add fun variety and the course itself has lovely views of the surrounding countryside; this combined with the stone-baked pizzas, burgers, hot dogs and pasties cater well for spectators, and there are soft drinks, ice creams and a licensed bar available too. Dogs are welcome on leads, and the course is accessible (it's grassy, so better suited to a XC buggy.) There isn't much shade, so that's worth bearing in mind on a hot, sunny day, there's very limited shelter, so it's almost definitely better as a dry-weather option. Advance booking isn't required, but it's recommended on busier days (holidays, weekends). </t>
  </si>
  <si>
    <t>Cadover Bridge and Dewerstone Circular</t>
  </si>
  <si>
    <t>Toilets</t>
  </si>
  <si>
    <t>Exmouth Road</t>
  </si>
  <si>
    <t>EX3 0PU</t>
  </si>
  <si>
    <t>This circular walk has a darker Dartmoor edge, linking Cadover Bridge with the wooded Dewerstone valley and the granite crags of Dewerstone Rock. The route moves from open moorland into ancient oak woodland, with rivers, boulders, quarry remains and dramatic rock faces along the way. The Dewerstone is wrapped in local folklore: its name is linked with “Dewer”, a devil-like huntsman said to ride across the moor with ghostly Wisht Hounds, luring lost travellers towards the crags. That legend gives the walk a more atmospheric feel for older children, especially once the woodland closes in and the rock rises above the valley. It is a more demanding family walk than the short Dewerstone Wood loop, with uneven, muddy and steeper sections, but the mix of open moor, river, crags, woodland and folklore makes it feel like a proper Dartmoor expedition.</t>
  </si>
  <si>
    <t>Saturday</t>
  </si>
  <si>
    <t>Mixed terrain, Rocky, Woodland track, Steps, Steep</t>
  </si>
  <si>
    <t>Cadover Bridge Car Park</t>
  </si>
  <si>
    <t>Shaugh Prior</t>
  </si>
  <si>
    <t>PL7 5EH</t>
  </si>
  <si>
    <t>Martial Arts</t>
  </si>
  <si>
    <t>Dogs Allowed, BYO Picnic</t>
  </si>
  <si>
    <t>Martial arts, confidence, skills development, ninja training</t>
  </si>
  <si>
    <t>Early access introduction, Confidence building, Coordination &amp; balance, Mixed-ability sessions, Friendly competition, Martial Arts</t>
  </si>
  <si>
    <t>Activity-specific clothing</t>
  </si>
  <si>
    <t>Little Yammas Martial Arts Exmouth.JPG</t>
  </si>
  <si>
    <t>CLU-00005</t>
  </si>
  <si>
    <t>Seasonal - Open Easter to the Oct half term (24th Oct)</t>
  </si>
  <si>
    <t>Dartmoor walk, Circular walk, Longer walk, Moorland, Granite outcrops, Dewerstone Rock, Granite crags, River Plym, River Meavy, Cadover Bridge, Shaugh Bridge, Woodland, Footbridges, Boulders, Rock climbing, Quarry remains, Industrial heritage, Moorland views, Uneven paths, Steep paths, Adventure walk</t>
  </si>
  <si>
    <t>Rivers &amp; streams, Natural paddling spots, Ancient trees, "Bridges (wooden, stone, suspension)", Countryside views, Scenic valleys, Wildlife spotting, Ruins or historic features, Elevated viewpoints, Stepping stones</t>
  </si>
  <si>
    <t>Sling / baby carrier, Infant / toddler carrier, Sturdy footwear, Waterproof clothing</t>
  </si>
  <si>
    <t>Cadover Bridge.jpg</t>
  </si>
  <si>
    <t>Gemma</t>
  </si>
  <si>
    <t>ROU-00091</t>
  </si>
  <si>
    <t>0-17</t>
  </si>
  <si>
    <t>Climbing Centre</t>
  </si>
  <si>
    <t>Rockstars Climbing Club</t>
  </si>
  <si>
    <t xml:space="preserve">Rockstars is the Quay Climbing Centre's club for young climbing enthusiasts where confidence, coordination and balance is developed on the walls within the Clip 'n Climb arena. A starting point for children keen to develop the skills that will help them to move onto the bigger, roped climbing area with confidence. Run by experienced climbers who pass along their enthusiasm for the sport and teach through fun activities designed to develop technique and agility. </t>
  </si>
  <si>
    <t>The Quay Climbing Centre</t>
  </si>
  <si>
    <t>Dewerstone Wood</t>
  </si>
  <si>
    <t>Free Car Park, Bike racks / bays</t>
  </si>
  <si>
    <t>Haven Road</t>
  </si>
  <si>
    <t>Toilets, BYO Picnic, Picnic Benches, Dogs Allowed, Outdoor Seating</t>
  </si>
  <si>
    <t>EX2 8AX</t>
  </si>
  <si>
    <t>Ice creams, Children's Menu, Outdoor play equipment</t>
  </si>
  <si>
    <t>Snacks, Clear Sightlines, Hot &amp; Cold food, Hot Drinks</t>
  </si>
  <si>
    <t xml:space="preserve">Dewerstone has more drama than a gentle woodland walk: deep wooded valley, big granite crags, old quarry remains, the River Plym and the River Meavy meeting near Shaugh Bridge, and climbers often visible on the rock faces. For families, the easiest route is the National Trust’s short Dewerstone Wood circular, which follows the river, crosses footbridges and passes traces of the old granite tramway without needing to climb high onto the crags. Children who like boulders, rivers, bridges, ruins and “wild” woods will probably get more from it than those who need a clear destination as it's more of an explore along a route with lots to look at. There are longer, steeper routes from Cadover Bridge or Shaugh Bridge that bring in moorland views and Dewerstone Rock itself, but those feel more like proper Dartmoor walks and need more care with edges, mud and tired legs. </t>
  </si>
  <si>
    <t>Woodland track, Mixed terrain, Uneven</t>
  </si>
  <si>
    <t>Tuesday, Wednesday, Thursday</t>
  </si>
  <si>
    <t>Dewerstone Car Park</t>
  </si>
  <si>
    <t>PL7 5HE</t>
  </si>
  <si>
    <t>footgolf, football golf, adventure golf, competitive play, family competition, outdoor activity, countryside views, pizza</t>
  </si>
  <si>
    <t>Early access introduction, Skill progression, Confidence building, Coordination &amp; balance, Strength &amp; agility, Friendly competition, Outdoor pitches, Ball Sports</t>
  </si>
  <si>
    <t>Exe Footgolf.JPG</t>
  </si>
  <si>
    <t>VEN-00168</t>
  </si>
  <si>
    <t>Woodland, Ancient woodland, River Plym, River Meavy, Footbridges, Granite crags, Boulders, Rock climbing, Quarry remains, Granite tramway, Industrial heritage, Dartmoor, Moorland views, Shaugh Bridge, Cadover Bridge, Walking route, Short walk, Circular walk, Longer walk, Wildlife spotting, Rivers, Ruins, Adventure walk</t>
  </si>
  <si>
    <t>Cafés &amp; Coffee Stops</t>
  </si>
  <si>
    <t>Young Child</t>
  </si>
  <si>
    <t>Rivers &amp; streams, Natural paddling spots, Ancient trees, "Bridges (wooden, stone, suspension)", Countryside views, Scenic valleys, Wildlife spotting, Ruins or historic features</t>
  </si>
  <si>
    <t>Cafés with Outdoor Space, Quiet Cafés, Library or Reading Nook</t>
  </si>
  <si>
    <t>Cuppa Cabin</t>
  </si>
  <si>
    <t>Dewerstone.jpg</t>
  </si>
  <si>
    <t>Simple Reset, Low Effort</t>
  </si>
  <si>
    <t>ROU-00090</t>
  </si>
  <si>
    <t>A genuinely one-of-a-kind café tucked within the Greenvalley Nursery site on the Exmouth Road at Ebford, made up of a cluster of themed sheds, summerhouses and outdoor spaces filled with books, plants, artwork, repurposed curiosities and things to look at around every corner. Children find it endlessly distracting in the best possible way! There's a dedicated kids' shed with drawing materials, fancy dress, puzzles and a second-hand book shelf to browse and browse and a visual richness that keeps younger children occupied while adults actually get to drink their coffee. The food is homemade and genuinely good — soups, pasties, cakes and brownies — with strong vegan, gluten-free and dairy-free options. The menu isn't extensive, but what's there is fresh and delicious. It's an unhurried, relaxed place with no rush-along feeling, which makes it useful for families who want a proper pause rather than a quick pit stop. Dogs are also welcome throughout, and with plenty of shade in the cabins, it makes for a lovely outing.</t>
  </si>
  <si>
    <t>Greenvalley Nursery</t>
  </si>
  <si>
    <t>Ebford</t>
  </si>
  <si>
    <t>EX3 0GA</t>
  </si>
  <si>
    <t>Paid Car Park, On-street / nearby parking</t>
  </si>
  <si>
    <t>Tuesday, Wednesday, Thursday, Friday, Saturday</t>
  </si>
  <si>
    <t>Hot Drinks, Comfy Seating / Sofas, Hot &amp; Cold food, Snacks, Sweet treats</t>
  </si>
  <si>
    <t>National Park, River or Lakeside Ramble, Woodland Walk</t>
  </si>
  <si>
    <t>Avon Reservoir (Short Route)</t>
  </si>
  <si>
    <t>Avon Reservoir is one of the more manageable ways to get a proper Dartmoor feeling without committing to a difficult moorland route. From Shipley Bridge, the walk follows the River Avon gradually uphill towards the dam, moving from wooded valley and riverside sections into more open moorland as the reservoir comes into view. The tarmac track makes the main route unusually straightforward for Dartmoor, while the scale of the dam, the sound of the river and the shift into wilder scenery give children enough to notice along the way. It is a good one for families who want water, moorland and a sense of reaching somewhere, without needing a long or technical walk. The route can be made slightly longer or shorter depending on the turnaround point, extending the route to 7 miles if you wish. The terrain is mostly tarmac, so it can work for bikes and scooters if you're willing to bump or carry them for the final stretch of rocky gravel. The toilets here are public toilets, and are not open 24/7, and there's occasionally a coffee van in the car park if you're in luck!</t>
  </si>
  <si>
    <t>Out-and-back</t>
  </si>
  <si>
    <t>Dog friendly, Mountain Bikes Only, Scooter route, Cycle route, Off-road Buggies only</t>
  </si>
  <si>
    <t>Seasonal opening</t>
  </si>
  <si>
    <t>Undulating, Mixed terrain, Woodland track, Rocky</t>
  </si>
  <si>
    <t>Avon Reservoir Car Park</t>
  </si>
  <si>
    <t>Shipley Bridge</t>
  </si>
  <si>
    <t>Open (Free) Access, Advance Book</t>
  </si>
  <si>
    <t>South Brent</t>
  </si>
  <si>
    <t>TQ10 9EL</t>
  </si>
  <si>
    <t>Toilets, BYO Picnic, Dogs Allowed, Disabled toilets</t>
  </si>
  <si>
    <t>Energy Burner, Low Effort, Moment of Peace</t>
  </si>
  <si>
    <t>Toilets, Baby changing, Bench Seating, Indoor Seating, Dogs Allowed, Outdoor Seating, Pushchair Friendly</t>
  </si>
  <si>
    <t>Colouring, Ice creams, "Indoor games (puzzles, boards)"</t>
  </si>
  <si>
    <t>Hot Drinks, Comfy Seating / Sofas, Hot &amp; Cold food, Snacks, Sweet treats, Outdoor terrace</t>
  </si>
  <si>
    <t>Reservoirs, Dam, River Avon, Dartmoor, Moorland, Woodland, Riverside walk, Water views, Walking route, Out-and-back route, Tarmac path, Accessible trail, Pushchairs, Scooters, Bikes, Family walk, Wildlife spotting, Birds, Valley walk, Shipley Bridge, South Dartmoor</t>
  </si>
  <si>
    <t>Lakes &amp; reservoirs, Waterfalls, Rivers &amp; streams</t>
  </si>
  <si>
    <t>Waterproof clothing, Sturdy footwear</t>
  </si>
  <si>
    <t>Avon Dam.jpg</t>
  </si>
  <si>
    <t>Raining / wet, Windy (&gt; X mph), Sunshine, Overcast / cloudy, Dry &amp; mild, Dry &amp; cold, Dry &amp; warm, Dry &amp; hot</t>
  </si>
  <si>
    <t>30-60mins, 1-2hrs, Under 30mins</t>
  </si>
  <si>
    <t>ROU-00077</t>
  </si>
  <si>
    <t>Climbing</t>
  </si>
  <si>
    <t>quirky café, themed sheds, drawing, browsing, second-hand books, homemade cakes, vegan options, gluten-free options, outdoor seating, dog friendly, workshops and events, nursery setting, countryside feel</t>
  </si>
  <si>
    <t>Rock climbing, balance, strength, agility, confidence</t>
  </si>
  <si>
    <t>Toy corner or play table, Colouring, Book swap or exchange library</t>
  </si>
  <si>
    <t>Cuppa Cabin.JPG</t>
  </si>
  <si>
    <t>Early access introduction, Confidence building, Coordination &amp; balance, Strength &amp; agility, Structured coaching, Mixed-ability sessions, Purpose-built facilities, Climbing, All-weather options</t>
  </si>
  <si>
    <t>VEN-00169</t>
  </si>
  <si>
    <t>Rockstars Climbing Club.JPG</t>
  </si>
  <si>
    <t>Reservoir or Lake</t>
  </si>
  <si>
    <t>CLU-00004</t>
  </si>
  <si>
    <t>Meldon Reservoir</t>
  </si>
  <si>
    <t>Meldon Reservoir sits below some of Dartmoor’s higher ground, with the dam, dark water, West Okement Valley and Meldon Viaduct all close enough to give the place a strong sense of landscape without needing a long moorland walk. The short dam circuit starts from the reservoir car park and gives views across the water, down the valley and towards the viaduct, with the option to link into longer routes such as the Granite Way, Meldon Viaduct Circuit, Black-a-Tor Copse or the climb towards Yes Tor and High Willhays. The shorter route is useful for a contained reservoir stop, while older or more confident walkers can use Meldon as a starting point for a much more substantial Dartmoor outing. The setting is exposed and upland, so the feel of the walk changes quickly with weather, wind and visibility.</t>
  </si>
  <si>
    <t>Dog friendly, Mountain Bikes Only, Off-road Buggies only</t>
  </si>
  <si>
    <t>Sheltered Cove or Bay, Sandy Beach</t>
  </si>
  <si>
    <t>1-4.5</t>
  </si>
  <si>
    <t>Anstey's Cove</t>
  </si>
  <si>
    <t>Woodland track, Gravel, Undulating</t>
  </si>
  <si>
    <t>Monquays Climbing Club</t>
  </si>
  <si>
    <t>Under the Radar, Wilder Adventure</t>
  </si>
  <si>
    <t xml:space="preserve">Monquays is a climbing club for primary school children in years 3-6 that will develop the core skills they need to become confident climbers and boulders. Based in the main climbing arena, children progress through a range of technical and physical challenges, all taught in a fun, engaging way that develops technique and physicial agility on the wall. </t>
  </si>
  <si>
    <t>Meldon Reservoir Car Park</t>
  </si>
  <si>
    <t>Meldon</t>
  </si>
  <si>
    <t>Okehampton</t>
  </si>
  <si>
    <t>Anstey’s Cove is a small, sheltered Torquay cove between the busier seafront and Babbacombe side, with shingle, clear water and a more tucked-away coastal feel. Reaching the beach involves steps, a slope and a steep route back from the car park, so the access will need to factor into the decision rather than being a simple background detail. Once there, the cove lends itself to paddling, sitting, watching the water and exploring a quieter pocket of the English Riviera, with the café nearby helping make the stop easier to stretch if you haven't come prepared.</t>
  </si>
  <si>
    <t>EX20 4LU</t>
  </si>
  <si>
    <t>Antsy's Cove</t>
  </si>
  <si>
    <t>Anstey's Cove Road</t>
  </si>
  <si>
    <t>TQ1 2JE</t>
  </si>
  <si>
    <t>Heathland</t>
  </si>
  <si>
    <t>Feature Walk</t>
  </si>
  <si>
    <t>Local Wander</t>
  </si>
  <si>
    <t>Challenging Hike</t>
  </si>
  <si>
    <t>City Circuit</t>
  </si>
  <si>
    <t>Towpath</t>
  </si>
  <si>
    <t>Reservoirs, Dam, Viaducts, Railway heritage, Dartmoor, Moorland, West Okement River, Water views, Valley views, Walking route, Circular walk, Short walk, Longer walk, Granite Way link, National Cycle Network Route 27, Meldon Viaduct, Yes Tor, High Willhays, Black-a-Tor Copse, Nature spotting, Birds, Geology, Industrial heritage</t>
  </si>
  <si>
    <t>Parkland or Meadow</t>
  </si>
  <si>
    <t>Village Green</t>
  </si>
  <si>
    <t>Lakes &amp; reservoirs, Panoramic views, Countryside views, Elevated viewpoints, Scenic valleys, Wildlife spotting</t>
  </si>
  <si>
    <t>Village Park</t>
  </si>
  <si>
    <t>XC Buggy, Sling / baby carrier, Infant / toddler carrier, Sturdy footwear</t>
  </si>
  <si>
    <t>Castle Grounds</t>
  </si>
  <si>
    <t>Meldon Reservoir.JPG</t>
  </si>
  <si>
    <t>ROU-00082</t>
  </si>
  <si>
    <t>09:10-10:10, 10:20-11:20, 11:30-12:30, 18:00-19:00</t>
  </si>
  <si>
    <t>10:00-11:00, 11:15-12:15</t>
  </si>
  <si>
    <t>Drinks stand, Snacks, Hot Drinks</t>
  </si>
  <si>
    <t>Tottiford and Trenchford Reservoir</t>
  </si>
  <si>
    <t>Low Effort, Under the Radar</t>
  </si>
  <si>
    <t>Tottiford and Trenchford sit quietly within a wooded Dartmoor valley, with linked paths running between the water, trees, footbridges and old reservoir structures. The walk has a peaceful, slightly hidden feel: still water through the branches, birds moving across the reeds, small bridges to cross and enough changes in the path to make it feel more interesting than a simple lakeside loop. Tottiford has the more rugged round-reservoir feel, while Trenchford adds quieter woodland and open water views nearby. Together, they create a gentle but satisfying reservoir walk, with small milestones for younger children and enough distance and variety for older kids. Not buggy friendly with lots of roots and uneven ground, so it's one for the backcarrier if you've got very young children with you, but it's a nice, quieter spot with plenty of shade and a few places where you could paddle close to the waters edge at Trenchford that work well on a sunny day.</t>
  </si>
  <si>
    <t>Dog friendly, Carrier Only, Off-road Buggies only</t>
  </si>
  <si>
    <t>Woodland track</t>
  </si>
  <si>
    <t>Trenchford Reservoir</t>
  </si>
  <si>
    <t>TQ13 9NZ</t>
  </si>
  <si>
    <t>rock pooling, swimming, snorkelling, coves &amp; inlets, rock formations, cliffs &amp; headlands, woodland walks, coastal wildlife, butterflies, coastal views, South West Coast Path, kayaking, paddleboarding, dog friendly</t>
  </si>
  <si>
    <t>Rockpools, Shell or seaglass collecting, Crabbing, Coastal Wildlife, Dog Friendly - off lead all year</t>
  </si>
  <si>
    <t>Sling / baby carrier, Infant / toddler carrier, Towels, Water shoes, Tide timetable, Buckets &amp; nets, Snorkel &amp; Mask, Wetsuit Boots, Fishing rods &amp; bait</t>
  </si>
  <si>
    <t>Antsys Cove.jpg</t>
  </si>
  <si>
    <t>VEN-00164</t>
  </si>
  <si>
    <t>Beginner</t>
  </si>
  <si>
    <t>Rock climbing, strength, agility, confidence</t>
  </si>
  <si>
    <t>Reservoirs, Woodland, Footbridges, Dam, Water views, Birds, Wildlife spotting, Nature walk, Circular walk, Walking route, Dartmoor, Tottiford Reservoir, Trenchford Reservoir, Kennick Reservoir nearby, Off-road paths, Trees, Reeds, Fishing nearby, Reservoir history</t>
  </si>
  <si>
    <t>Confidence building, Coordination &amp; balance, Strength &amp; agility, Structured coaching, Mixed-ability sessions, Purpose-built facilities, Climbing, All-weather options, Skill progression, Non-competitive options</t>
  </si>
  <si>
    <t>Lakes &amp; reservoirs, Countryside views, Elevated viewpoints, Scenic valleys, Wildlife spotting</t>
  </si>
  <si>
    <t>Sandy Beach</t>
  </si>
  <si>
    <t>Sling / baby carrier, Infant / toddler carrier, Sturdy footwear, Wellies</t>
  </si>
  <si>
    <t>Mattiscombe Sands</t>
  </si>
  <si>
    <t>Monquays Climbing Club.JPG</t>
  </si>
  <si>
    <t>Tottiford Reservoir.JPG</t>
  </si>
  <si>
    <t>Energy Burner, Special Day Out, Wilder Adventure, Under the Radar</t>
  </si>
  <si>
    <t>ROU-00081</t>
  </si>
  <si>
    <t>CLU-00003</t>
  </si>
  <si>
    <t>A small, remote and genuinely beautiful sandy bay just south of Start Point in the South Hams, accessible via a 10–15 minute walk down a steep path from the Start Point car park. At low tide the beach opens out with fine sand, rock pools along the fringes, a small stream, boulders to climb and caves to explore. The water is clear and calm in settled weather, making it good for swimming and paddleboarding in summer, and seals are regularly spotted from the beach and nearby rocks. The sense of having found somewhere special makes the walk worthwhile, but the steep path and no-facilities situation means it's genuinely one for prepared families who are comfortable carrying what they need and setting up for the day, rather than spontaneous visits. Low tide significantly changes how much beach there is to use, and the coastal path setting gives older children more of a sense of discovery, making it a brilliant option for a slightly more varied and interesting beach trip. There are no lifeguards and there's no café at the beach so stock up on snacks - and while there are basic porta-cabin toilets at the car park, these close early so plan ahead.</t>
  </si>
  <si>
    <t>Stokenham</t>
  </si>
  <si>
    <t>Kingsbridge</t>
  </si>
  <si>
    <t>TQ7 2ET</t>
  </si>
  <si>
    <t>Squabmoor Reservoir</t>
  </si>
  <si>
    <t>Squabmoor Reservoir sits on Woodbury Common within the East Devon Pebblebed Heaths, with water, woodland, heathland paths and fishing spots giving it a quieter, more tucked-away feel than the larger family reservoirs. A reservoir-side route can be picked up from the Squabmoor / Wheathill side, with paths through trees, uneven roots, heathland edges and sections beside the water. The shallow end is known for lily pads, and the reservoir is also noted for ducks, water birds, dragonflies, damselflies and butterflies in the surrounding meadows in the summertime. It's a simple, low-key nature-and-walking stop and the interest comes from the water, woodland, heath and wildlife that can usually be spotted regardless of the season.</t>
  </si>
  <si>
    <t>Dog friendly, Off-road Buggies only, Carrier Only</t>
  </si>
  <si>
    <t>Youth Climbing Club</t>
  </si>
  <si>
    <t>Flat, Mixed terrain, Woodland track</t>
  </si>
  <si>
    <t>The Youth Climbing Club is designed for young adults who want to develop existing climbing skills and progress through the National Indoor Climbing Award Scheme. You can expect exiting and challenging sessions from experienced climbing instructors in a group that is sure to refine technique and confidence.</t>
  </si>
  <si>
    <t>Squabmoor Reservoir Car Park</t>
  </si>
  <si>
    <t>East Budleigh</t>
  </si>
  <si>
    <t>Budleigh Salterton</t>
  </si>
  <si>
    <t>EX8 5EE</t>
  </si>
  <si>
    <t>30-60mins, Under 30mins</t>
  </si>
  <si>
    <t>Reservoirs, Woodland, Heathland, Pebblebed Heaths, Woodbury Common, Water views, Lily pads, Dragonflies, Damselflies, Butterflies, Ducks, Water birds, Wildlife spotting, Nature walk, Fishing lake, Carp fishing, Walking route, Circular walk, Uneven paths, Trees, Meadows, Bystock Pools nearby</t>
  </si>
  <si>
    <t>Springtime, Autumn, Summer</t>
  </si>
  <si>
    <t>Birdsong, Butterflies, Kingfisher Spotting, Glow worms, Marine Wildlife Spotting, Dragonflies &amp; Damselflies, Autumn Leaves, "Berries, Nuts, Conkers"</t>
  </si>
  <si>
    <t>Lakes &amp; reservoirs, Bridges (wooden, stone, suspension), Countryside views, Wildlife spotting</t>
  </si>
  <si>
    <t>Sling / baby carrier, Infant / toddler carrier, Wellies</t>
  </si>
  <si>
    <t>Squabmoor Reservoir.JPG</t>
  </si>
  <si>
    <t>ROU-00080</t>
  </si>
  <si>
    <t>09:15-10:45, 11:00-12:30, 18:00-19:30</t>
  </si>
  <si>
    <t>09:15-10:45, 11:00-12:30</t>
  </si>
  <si>
    <t>Granite Way: Okehampton to Meldon Reservoir</t>
  </si>
  <si>
    <t>Pre-Register, Advance Book, Members Only</t>
  </si>
  <si>
    <t>11-17</t>
  </si>
  <si>
    <t>The Granite Way from Okehampton towards Meldon follows the old railway line out of town, giving families a mostly traffic-free route with wide Dartmoor views through hedgerows, the occasional view of railway heritage (old, disused stations and lines) and the landmark crossing of Meldon Viaduct. The full Granite Way continues on towards Lydford, but this shorter section gives a clear destination without needing to take on the whole trail. The viaduct is the main moment of the route, with views across Meldon Dam, the reservoir, quarry landscape and open moorland beyond. From the viaduct, you can link down towards Meldon Reservoir for a waterside pause and picnic stop before turning back. The surface (mostly stone track) and gradient (almost entirely flat except a few small inclines) make it more manageable than many Dartmoor routes, but there are still a few steeper sections, shared-use sections and open, exposed stretches where weather changes the feel of the route. It's not the peaceful route it's sometimes painted as; you can hear the road from all points, and the scenery is beautiful but the brambles and hedgerows do make this something to glance (and through) at rather than wide open scenic views. The Viaduct is the an impressive feature to incentivise the route, and, if legs tire on the return journey there is a small cafe at the Station Car park that sell a good selection of fresh cakes and snacks.</t>
  </si>
  <si>
    <t>Buggy friendly, Dog friendly, Cycle route</t>
  </si>
  <si>
    <t>Flat, Undulating, Surfaced / smooth, Gravel</t>
  </si>
  <si>
    <t>Okehampton Station Car Park</t>
  </si>
  <si>
    <t>EX20 1EJ</t>
  </si>
  <si>
    <t>1-2hrs, 2-3hrs, 4+ hours</t>
  </si>
  <si>
    <t>sandy beach, rock pooling, caves, boulders, scrambling, stream, swimming, paddleboarding, seal spotting, coastal walking, South West Coast Path, Start Point, Jurassic Coast, dog friendly, seals, metal detecting, sandy beach, rocks to climb</t>
  </si>
  <si>
    <t>Buggy Friendly, Dogs Allowed</t>
  </si>
  <si>
    <t>Rockpools, Diggable sand (Sandcastles), Streams or channels, Coastal Wildlife, Kayaking / SUP, Bodyboarding, Swimming, Dog Friendly - off lead all year</t>
  </si>
  <si>
    <t>Sturdy footwear, Infant / toddler carrier, Sling / baby carrier, Towels, Water shoes, Beach toys, Sand toys, Tide timetable, Buckets &amp; nets</t>
  </si>
  <si>
    <t>Mattiscombe Sands.jpeg</t>
  </si>
  <si>
    <t>VEN-00162</t>
  </si>
  <si>
    <t>Intermediate</t>
  </si>
  <si>
    <t>Confidence building, Strength &amp; agility, Structured coaching, Purpose-built facilities, Climbing, All-weather options, Skill progression, Non-competitive options</t>
  </si>
  <si>
    <t>Youth Climbing Club.JPG</t>
  </si>
  <si>
    <t>CLU-00002</t>
  </si>
  <si>
    <t>Indoor Entertainment</t>
  </si>
  <si>
    <t>Windy (&gt; X mph), Overcast / cloudy, Dry &amp; mild, Dry &amp; cold, Dry &amp; warm, Dry &amp; hot, Sunshine</t>
  </si>
  <si>
    <t>Laser Tag</t>
  </si>
  <si>
    <t>Tenpin Laser Tag</t>
  </si>
  <si>
    <t>Traffic-free cycling, Family cycling, Scooter-friendly route, Pushchair-friendly route, Railway heritage, Viaduct, Reservoir views, Dartmoor views, Moorland edge, Bridges, Engineering, Nature spotting, Birds, Countryside ride, Shared-use path, Gentle cycling, Walking route, Out-and-back route, Okehampton, Meldon Viaduct, Meldon Reservoir, National Cycle Network Route 27</t>
  </si>
  <si>
    <t>Robin Wood Forest School Under 5's</t>
  </si>
  <si>
    <t>Traffic-free sections, Bridges and landmarks, Points of interest along the way, Multiple access points, Easy parking nearby, Cafés or facilities along the route</t>
  </si>
  <si>
    <t>Granite Way.jpg</t>
  </si>
  <si>
    <t>Tenpin Laser Tag is a great activity choice when children are too old for soft play but still need to move and want something exciting to perk up a wet or dreary day. It’s a small indoor arena with LED lighting, sound effects, a smoke machine and infrared guns, so expect noise, a dark maze-feel, running about and a bit of competitive chaos. Brilliant fun for kids that love playing team based games, or in small group (min 2 people) and want to play 1:1. One to avoid for children who dislike dark, loud or high-energy spaces, and is worth check booking slots before heading over during peak party season, but there's lots to keep everyone occupied if it's a spontaneous trip and you need to wait for another booking to finish; bookings are usually 30mins long and a small discount is applied if you book for 2 x 30mins. There isn't an age limit as such, it's based on height; children need to be over 4ft (120cm) to play.</t>
  </si>
  <si>
    <t>3 - 4 Havenbanks Retail Park</t>
  </si>
  <si>
    <t>ROU-00089</t>
  </si>
  <si>
    <t>Run by Liz, Robin Wood Forest School is an outdoor nature-based session built around woodland play, exploring, making and learning through the seasons with the warmest welcome waiting for you. The appeal is obvious the moment you arrive; a natural, thoughtfully created woodland wonderland for children and teens that reveals new corners and activities as you explore it. Set on a sloping woodland, it's not well suited to buggies for smaller visitors, so bring a sling if they're not yet walking; but you can look forward to unstructured, free-roaming activities, that usually wrap up with a snack around the covered fitpit area. There is den building, mud kitchens, sticks, leaves, bug hunting, simple tools or crafts, creative and crafty activities, and the kind of open-ended play that changes with the weather and the site. It is likely to suit families who enjoy getting muddy, following their own ideas, noticing wildlife and being given more freedom than a standard indoor class or play session. Sessions run weekly during term-time with a host of lovely themed activities during half-term holidays. It's the sort of place you meet and make friends at; while many drop-in, the digital presence is limited, so it thrives through word of mouth recommendation; a gem to pass along to a friend.</t>
  </si>
  <si>
    <t>Water Lane</t>
  </si>
  <si>
    <t>EX2 8BY</t>
  </si>
  <si>
    <t>River or Lakeside Ramble, Local Wander</t>
  </si>
  <si>
    <t>Mill Marsh Park to Parke River Trail</t>
  </si>
  <si>
    <t>Monday, Thursday, Friday</t>
  </si>
  <si>
    <t>This riverside route starts at Mill Marsh Park in Bovey Tracey and follows the River Bovey out of town towards Parke, gradually shifting from local park to wooded National Trust estate. The first section passes the play area, skate park and open grass at Mill Marsh before continuing under the A382 and into Parke, where the river, trees, old railway line and estate paths give the walk more depth than a short town loop. There are so many nice spots to stop along the river but with sufficient shade that, on a hot day, it's ideal for cooling off or on a wet day youve got a fair bit of overhead cover. You can keep it simple with a there-and-back stretch from the park, or carry on further into Parke where thee are longer woodland loops, much further you can press along the river, and Home Farm Cafe if you're wanting to grab a bite to eat, ice-cream or cold drink at a mid-way point.</t>
  </si>
  <si>
    <t>Buggy friendly, Dog friendly, Scooter route, Cycle route, Wheelchair friendly</t>
  </si>
  <si>
    <t>1 Southbrook Lane</t>
  </si>
  <si>
    <t>Bovey Tracey</t>
  </si>
  <si>
    <t>TQ13 9NB</t>
  </si>
  <si>
    <t>Bench Seating, Picnic Benches, Dogs Allowed</t>
  </si>
  <si>
    <t>(Fixed) Child, Baby</t>
  </si>
  <si>
    <t>Sunshine, Windy (&gt; X mph), Overcast / cloudy, Dry &amp; mild, Dry &amp; warm</t>
  </si>
  <si>
    <t>7-16</t>
  </si>
  <si>
    <t>River paddling, streams, river beach, parkland, scooter route</t>
  </si>
  <si>
    <t>Birdsong, Butterflies, Dragonflies &amp; Damselflies, Autumn Leaves, "Berries, Nuts, Conkers"</t>
  </si>
  <si>
    <t>Rivers &amp; streams, Natural paddling spots, Wildlife spotting</t>
  </si>
  <si>
    <t>Water shoes, Towels</t>
  </si>
  <si>
    <t>Mill Marsh Park Trail.JPG</t>
  </si>
  <si>
    <t>ROU-00074</t>
  </si>
  <si>
    <t>Climbing Logs or balance beams, Mud kitchens, "Sand, soil, and loose materials", Den-building materials, Natural construction zones, Mud and puddles, Forest school activities, Children’s Activity Trails, Immersive natural surroundings, Quiet or low-intervention spaces</t>
  </si>
  <si>
    <t>Robin Wood.JPG</t>
  </si>
  <si>
    <t>CLU-00093</t>
  </si>
  <si>
    <t>Wray Valley Trail (Bovey to Parke)</t>
  </si>
  <si>
    <t>Toilets, Disabled toilets, Indoor Seating, Pushchair Friendly</t>
  </si>
  <si>
    <t>This shorter section of the Wray Valley Trail gives families an easy way onto the old railway line without committing to the full Bovey-to-Moretonhampstead route; naturally you can extend the route as far as Moretonhampstead if you choose for older riders, but it's adaptability makes it workable for mixed energy levels or deciding on the day. From Bovey Tracey the best start point is from within the Park, the trail leads towards Parke and follows the River Bovey into the National Trust estate, with woodland, riverside glimpses and the sense of moving from town into countryside quite quickly. From the trail itself you can't actually see the river until you arrive on the edge of the Parke Estate. It's worth noting that there are multiple entry-points into the Parke Estate from the trail, but all involve a steep slope; it's passable for bikes, but it's worth bearing in mind that you don't cycle along the river, nor can you see it from this section of the track; it's very much a woodland ride. The wider Wray Valley Trail is a 7-mile mainly traffic-free route from Bovey Tracey to Moretonhampstead which does bring you closer to the river, but this Bovey-to-Parke stretch works as a smaller walk, scooter ride or cycle when you want a contained outing with a clear pause point at Parke. To get to the cafe (Home Cafe) at Parke, you'll need to climb a fairly steep hill; another factor worth considering if you're riding with littler legs. The railway-line surface and shared-use path make it a manageable route for less experienced riders, and if you're willing to bump along through the paths to get to the river, there are countless ideal spots and mini-river beaches well-suited to a picnic spot.</t>
  </si>
  <si>
    <t>Ice creams, Clues / games, Children's Menu, "Swings, Slides, Climbing Frames"</t>
  </si>
  <si>
    <t>Hot Drinks, Clear Sightlines, Hot &amp; Cold food, Snacks, Sweet treats, WiFi</t>
  </si>
  <si>
    <t>Flat, Gravel, Woodland track</t>
  </si>
  <si>
    <t>Natural Play Area, Forest School, Den-Building &amp; Nature Craft</t>
  </si>
  <si>
    <t>Little Farmers - Drake's Farm</t>
  </si>
  <si>
    <t>Dogs Allowed</t>
  </si>
  <si>
    <t>Little Farmers at Drake’s Farm is a weekly farm session for young children and their grown-ups, based around animal care, outdoor play, crafts and messy activities. The rhythm of the session gives children a hands-on connection with the farm: feeding and caring for animals first, then moving into a weekly learning theme with related craft and sensory play. It feels more purposeful than a standard stay-and-play because the animals, setting and seasonal farm life shape what children are doing each week and it's structured format gives it a predictable rhythm. The site is lovely, and includes a sandpit, play tractor and play park area, giving children more space to play after the structured farm activities alongside the cafe facilities that are available for the club-attendees. Sessions run for an hour 15mins but families are welcomed to arrive from 9:30am and stay longer after the session to meet other parents, and for children to play on-site and enjoy the setting.</t>
  </si>
  <si>
    <t>Raining / wet, Windy (&gt; X mph), Snow / sleet / ice, Overcast / cloudy, Stormy / heavy rain / thunderstorms, Dry &amp; cold</t>
  </si>
  <si>
    <t xml:space="preserve">laser tag, flashing lights, smoke machine, hunter games, team games, laser tag, team battles, multi-player arena
</t>
  </si>
  <si>
    <t>Laser tag, Bar / licensed venue, Café or restaurant, Immersive experience</t>
  </si>
  <si>
    <t>Wray Valley Trail, Cycle Trail, Disused railway line, woodland walk, river access, river paddling, dragonflies, river beach</t>
  </si>
  <si>
    <t>Tenpin Laser Tag.JPG</t>
  </si>
  <si>
    <t>Tuesday, Wednesday, Thursday, Friday</t>
  </si>
  <si>
    <t>Birdsong, Bluebells, Butterflies, Kingfisher Spotting, River wildlife spotting, "Berries, Nuts, Conkers", Autumn Leaves, Blackberry Picking, Dragonflies &amp; Damselflies</t>
  </si>
  <si>
    <t>Rivers &amp; streams, Natural paddling spots, Countryside views, Scenic valleys, Wildlife spotting</t>
  </si>
  <si>
    <t>VEN-00152</t>
  </si>
  <si>
    <t>XC Buggy, Sling / baby carrier, Infant / toddler carrier, Water shoes, Towels</t>
  </si>
  <si>
    <t>Wray Valley Trail.JPG</t>
  </si>
  <si>
    <t>ROU-00073</t>
  </si>
  <si>
    <t>Bowling</t>
  </si>
  <si>
    <t>Tenpin Bowling</t>
  </si>
  <si>
    <t xml:space="preserve">Tenpin Bowling is a safe bet at Marsh Barton when you need an indoor activity that mixed ages can all do together. It gives enough structure to fill a rainy afternoon, birthday meet-up or post-school treat, without needing everyone to have the same skill level. Younger children can usually join in with lighter balls and help from adults, while older ones get the competition. There are 15+ lanes, so although it's worth calling ahead if you have specific timings in mind, it's unlikely to be a frustrating wait as the arcade/food setup means you can stretch the visit if people are still going or need to kill some time before a lane becomes available. </t>
  </si>
  <si>
    <t>Under the Radar, Simple Reset</t>
  </si>
  <si>
    <t>Farm animals, Animal care, Animal feeding, Farm session, Little farmers, Outdoor play, Messy play, Crafts, Sensory play, Weekly theme, Farm learning, Sandpit, Play tractor, Play park, Preschool play, Toddler play, Baby play, Nature play, Seasonal farm life, Hands-on learning, Dartmoor</t>
  </si>
  <si>
    <t>Mud kitchens, "Sand, soil, and loose materials", Farming school activities, Immersive natural surroundings, Quiet or low-intervention spaces, Enclosed or defined play zones</t>
  </si>
  <si>
    <t>XC Buggy, Sling / baby carrier, Infant / toddler carrier, Waterproof clothing, Wellies, Change of clothes</t>
  </si>
  <si>
    <t>Website</t>
  </si>
  <si>
    <t>CLU-00097</t>
  </si>
  <si>
    <t>Adult, (Fixed) Child</t>
  </si>
  <si>
    <t>0-15</t>
  </si>
  <si>
    <t>Toilets, Disabled toilets, Indoor Seating</t>
  </si>
  <si>
    <t>Ice creams, Clues / games, Children's Menu</t>
  </si>
  <si>
    <t xml:space="preserve">bowling, team games, ten-pin bowling, lane bumpers, bowling ramps
</t>
  </si>
  <si>
    <t>Tenpin Tuesdays Laser Tag</t>
  </si>
  <si>
    <t>Bowling lanes, Bar / licensed venue, Private hire / party packages</t>
  </si>
  <si>
    <t>Tenpin Bowling.JPG</t>
  </si>
  <si>
    <t>VEN-00127</t>
  </si>
  <si>
    <t>River Beach, Paddle Spot</t>
  </si>
  <si>
    <t>Cherry Brook River Beach</t>
  </si>
  <si>
    <t>Tenpin Laser Tag is a great activity choice when children are too old for soft play but still need to move and want something exciting to perk up a wet or dreary Tuesday. While this isn't an official club, it's 50% off every Tuesday, so if you've got laser tag in your wishlist, then Tuesdays are the most cost effective day for a battle! It’s a small indoor arena with LED lighting, sound effects, a smoke machine and infrared guns, so expect noise, a dark maze-feel, running about and a bit of competitive chaos. Brilliant fun for kids that love playing team based games, or in small group (min 2 people) and want to play 1:1. One to avoid for children who dislike dark, loud or high-energy spaces, and is worth check booking slots before heading over during peak party season, but there's lots to keep everyone occupied if it's a spontaneous trip and you need to wait for another booking to finish; bookings are usually 30mins long and a further discount is applied if you book for 2 x 30mins. There isn't an age limit as such, it's based on height; children need to be over 4ft (120cm) to play.</t>
  </si>
  <si>
    <t>Free play (unsupervised)</t>
  </si>
  <si>
    <t>Cherry Brook is a wilder Dartmoor river spot with plenty of stretches of shallow water right alongside the open moorland. It is a beautiful spot for a picnic, or a quiet paddle, and being one of the lesser known spots it's rarely crowded. It's informal, slightly uneven grass and much more rustic than many river spots, but with Dartmoor ponies often grazing nearby, and access to the Bellever circular route from the car park, it can work well as a quick stop at the end of a walk, or as a visit in its own right if you're looking for somewhere to cool off. With hard-standing parking directly across the road, it doesn't feel like a big effort to stop and enjoy a break by the stream, and the slower, shallow water in summer months means it's well suited to smaller children and inexperienced river waders! It's worth noting that there isn't much shade, so do plan ahead in the heat.</t>
  </si>
  <si>
    <t>4 - 4 Havenbanks Retail Park</t>
  </si>
  <si>
    <t>Lower Cherrybrook Bridge</t>
  </si>
  <si>
    <t xml:space="preserve">Yelverton </t>
  </si>
  <si>
    <t>PL20 6SA</t>
  </si>
  <si>
    <t>All-year Around</t>
  </si>
  <si>
    <t>swimming, river beach, ponies, Dartmoor views, paddling, picnic spot</t>
  </si>
  <si>
    <t>Dragonflies &amp; Damselflies, Autumn Leaves, Seasonal water fun, River wildlife spotting, Kingfisher Spotting, Butterflies</t>
  </si>
  <si>
    <t>Shallow water, Natural Swimming Spots, Splash-friendly areas, Wildlife spotting, River Beach, Rivers or estuaries, National Park, Paddling spots</t>
  </si>
  <si>
    <t>Cherry Brook River.JPG</t>
  </si>
  <si>
    <t>VEN-00150</t>
  </si>
  <si>
    <t>Ice creams, Children's Menu, Indoor Play Space</t>
  </si>
  <si>
    <t>Hot Drinks, WiFi, Hot &amp; Cold food, Clear Sightlines, Snacks, Drinks stand, Sweet treats</t>
  </si>
  <si>
    <t>Laser tag, Café or restaurant, Immersive experience</t>
  </si>
  <si>
    <t>CLU-00089</t>
  </si>
  <si>
    <t>Tenpin Tuesdays Bowling</t>
  </si>
  <si>
    <t>Tenpin Bowling is a safe bet at Marsh Barton when you need an indoor activity that mixed ages can all do together. While not officially a 'club', Tenpin offers 50% off on a Tuesday for bowling, which makes it a cheap and fun after-school activity, or something lightly competitive for the daytime if you're homeschooling. Younger children can usually join in with lighter balls and help from adults, while older ones get the competition element and can challenge themselves. There are 15+ lanes, but it's worth calling ahead if you have specific timings in mind as their Tuesday discount is often popular. If you do arrive and it's busy, they also offer 50% off on Laser Tag on Tuesdays too, and the food/arcade setup nearby means there's plenty to keep everyone occupied until a lane becomes available.</t>
  </si>
  <si>
    <t>Bowling lanes, Bar / licensed venue, Arcade games, Pool or snooker table, Laser tag, Café or restaurant</t>
  </si>
  <si>
    <t>CLU-00088</t>
  </si>
  <si>
    <t>Mud-Ventures Halloween Special</t>
  </si>
  <si>
    <t xml:space="preserve">Mud-ventures' halloween-themed week of play; an outdoor stay-and-play session for children aged six months to five years, run in Greendale's dedicated outdoor space alongside the farm shop on the Sidmouth Road but with a themed-twist. The concept is built around getting properly messy — mud kitchens, water play stations, sensory trays and a range of activity stations that change week to week, all using natural materials and open-ended resources that children can move between freely. It's the kind of session where the best thing you can do is put children in their most expendable outfit, bring a change of clothes and let them get on with it. Adults supervise throughout, so it's a nice place to meet other local parents in a relaxed, playful environment. Sessions run pretty regularly and are ticketed online ahead of time, so booking ahead is essential (and checking the weather - while some areas are sheltered, it's an outdoor setting so if you and your children are weather-hardy it's ideal. </t>
  </si>
  <si>
    <t>Daily</t>
  </si>
  <si>
    <t>Mud-Ventures</t>
  </si>
  <si>
    <t>Greendale Farm Shop</t>
  </si>
  <si>
    <t>Holidays Only</t>
  </si>
  <si>
    <t>Monday, Tuesday, Thursday, Friday, Saturday</t>
  </si>
  <si>
    <t>Toilets, Disabled toilets, Baby changing, Picnic Benches, BYO Picnic, Buggy Friendly, Indoor Seating</t>
  </si>
  <si>
    <t>Clues / games, Sandpit, Ride on Vehicles, Outdoor play equipment</t>
  </si>
  <si>
    <t>muddy play, sensory play, outdoor activities, Messy play, Mud kitchen, Water play, Outdoor play, Stay and play, Sensory play, Loose parts, Natural materials, Crafts, Scooping, Pouring, Mixing, Collecting, Building, Open-ended play, Toddler play, Baby play, Preschool play, Farm setting, Greendale Farm, Farm trail nearby, halloween</t>
  </si>
  <si>
    <t>Mud kitchens, "Sand, soil, and loose materials", Natural construction zones, Mud and puddles, Forest school activities, Guided outdoor learning prompts, Quiet or low-intervention spaces, Enclosed or defined play zones</t>
  </si>
  <si>
    <t>Wellies, Waterproof clothing, Change of clothes</t>
  </si>
  <si>
    <t>Mud Ventures.jpg</t>
  </si>
  <si>
    <t>CLU-00107</t>
  </si>
  <si>
    <t>Natural Play Area</t>
  </si>
  <si>
    <t>Mud-Ventures Stay &amp; Play</t>
  </si>
  <si>
    <t xml:space="preserve">Mud-ventures is an outdoor stay-and-play session for children aged six months to five years, run in Greendale's dedicated outdoor space alongside the farm shop on the Sidmouth Road. The idea is built around getting properly messy — mud kitchens, water play stations, sensory trays and a range of activity stations that change week to week, all using natural materials and open-ended resources that children can move between freely. It's the kind of session where the best thing you can do is put children in their most expendable outfit, bring a change of clothes and let them get on with it. Adults supervise throughout, so it's a nice place to meet other local parents in a relaxed, playful environment. Sessions run pretty regularly and are ticketed online ahead of time, so booking ahead is essential (and checking the weather - while some areas are sheltered, it's an outdoor setting so if you and your children are weather-hardy it's ideal. With enough pricing brackets to cater for every arrangement, the exact price varies a bit depending on what combination of adults / children / infants in your group. </t>
  </si>
  <si>
    <t>Monday, Tuesday, Thursday, Friday, Sunday</t>
  </si>
  <si>
    <t>Group, Baby</t>
  </si>
  <si>
    <t>muddy play, sensory play, outdoor activities, Messy play, Mud kitchen, Water play, Outdoor play, Stay and play, Sensory play, Loose parts, Natural materials, Crafts, Scooping, Pouring, Mixing, Collecting, Building, Open-ended play, Toddler play, Baby play, Preschool play, Farm setting, Greendale Farm, Farm trail nearby</t>
  </si>
  <si>
    <t>CLU-00101</t>
  </si>
  <si>
    <t>Cake At The Castle</t>
  </si>
  <si>
    <t>A drop-in stay-and-play for children of all ages, with enough variety that everyone tends to find something to make or play with fairly quickly. Cushioned mats and sensory toys give the littlest ones a gentler space, while older children have soft play, crafts, games and the outdoor park to keep them moving and engaged. Drop in whenever suits you, there's always cake and a hot drink waiting, and the chance to spend some time with other local military families.</t>
  </si>
  <si>
    <t>The Families Room at the Gordon Messenger Centre</t>
  </si>
  <si>
    <t>All Year Around</t>
  </si>
  <si>
    <t>Cliffs &amp; headlands</t>
  </si>
  <si>
    <t>Ancient trees</t>
  </si>
  <si>
    <t>Bridges (wooden, stone, suspension)</t>
  </si>
  <si>
    <t>Stepping stones</t>
  </si>
  <si>
    <t>Caves or rock formations</t>
  </si>
  <si>
    <t>Panoramic views</t>
  </si>
  <si>
    <t>Coastal views</t>
  </si>
  <si>
    <t>Countryside views</t>
  </si>
  <si>
    <t>Elevated viewpoints</t>
  </si>
  <si>
    <t>Scenic valleys</t>
  </si>
  <si>
    <t>Wildlife spotting</t>
  </si>
  <si>
    <t>Ruins or historic features</t>
  </si>
  <si>
    <t>Waymarked features (e.g. sculpture trail)</t>
  </si>
  <si>
    <t>Meadows or wild grass</t>
  </si>
  <si>
    <t>Ponds or lakes</t>
  </si>
  <si>
    <t>Duck Ponds</t>
  </si>
  <si>
    <t>Water Features or Fountains</t>
  </si>
  <si>
    <t>Streams or ditches</t>
  </si>
  <si>
    <t>Toilets, Disabled toilets, Baby changing, Highchairs, Indoor Seating, Water Refills</t>
  </si>
  <si>
    <t>Colouring, Indoor games (puzzles, boards), Swings, Slides, Climbing Frames, Indoor Play Space</t>
  </si>
  <si>
    <t>Hot Drinks, Comfy Seating / Sofas, WiFi, Snacks, Sweet treats</t>
  </si>
  <si>
    <t>crafting, soft play, free play, playground, cake, coffee, socialising, local mum's groups</t>
  </si>
  <si>
    <t>Welcoming space, "Toys, toy corners", Refreshments Provided, Local parent hangout, Like-minded families, "Relaxed, child-friendly setting", Play areas or equipment, Craft Tables or Activities, Newbie-friendly!</t>
  </si>
  <si>
    <t>Cake At Castle GMC.JPG</t>
  </si>
  <si>
    <t>P001</t>
  </si>
  <si>
    <t>P001-CLU-00004</t>
  </si>
  <si>
    <t>Fun At The Fort</t>
  </si>
  <si>
    <t>An after-school drop-in club for school-aged children from military families, built around the simple idea that sometimes children just need somewhere to run around, be themselves and spend time with others whose lives look a bit like theirs. There are toys, soft play, crafts and the outdoor park to keep everyone moving, and a hot snack tea is included so nobody arrives home hungry. Younger and older siblings are always welcome, which means the whole family can come along without anyone being left out. While the children do their thing, the adults around them get a brew and the particular ease that comes from being with people who genuinely understand military and family life and need a quick reprieve before heading home for the evening routine!</t>
  </si>
  <si>
    <t>Hot Drinks, Comfy Seating / Sofas, WiFi, Snacks</t>
  </si>
  <si>
    <t>after school, energy burn off, kids clubs, afterschool clubs, softplay, playgrounds, parks, coffee, cake</t>
  </si>
  <si>
    <t>Welcoming space, Craft Tables or Activities, "Toys, toy corners", Refreshments Provided, Local parent hangout, "Relaxed, child-friendly setting", Play areas or equipment, Parent-child activities, Newbie-friendly!</t>
  </si>
  <si>
    <t>Fun At The Fort.jpg</t>
  </si>
  <si>
    <t>Charley</t>
  </si>
  <si>
    <t>P001-CLU-00005</t>
  </si>
  <si>
    <t>Family Swim</t>
  </si>
  <si>
    <t>A relaxed family swim session giving serving personnel and their families the chance to use the camp pool together. It is a simple way to add swimming into the week without needing to travel far and in an environment that will be familiar to many; whether children want to practise confidence in the water, burn off energy, play together or just enjoy time in the pool with a parent close by it's a great opportunity to use the pool facilities and bring whatever water toys the kids want! The session is not a formal swimming lesson, so the pace can follow the family: younger children can splash, float and build familiarity with the water while it's quieter, while more confident swimmers can move, play and practise skills in a familiar setting - if the lifeguards are happy, there's also the diving boards to build confidence on.</t>
  </si>
  <si>
    <t>Toilets, Showers / changing facilities, BYO Picnic</t>
  </si>
  <si>
    <t>swimming, family swim, indoor swimming, lifeguarded swim, diving boards, floats, swimming practice, swimming confidence, free play</t>
  </si>
  <si>
    <t>Confidence building, Non-competitive options, All-weather options, Swimming</t>
  </si>
  <si>
    <t>Swimming kit, Towels</t>
  </si>
  <si>
    <t>Family Swim.jpg</t>
  </si>
  <si>
    <t>P001-CLU-00006</t>
  </si>
  <si>
    <t>P001-CLU-00007</t>
  </si>
  <si>
    <t>Soothing Environment</t>
  </si>
  <si>
    <t>Team No Sleep Baby Group</t>
  </si>
  <si>
    <t>A drop-in stay-and-play built around babies and the parents who are keeping everything together around them! Cushioned mats, sensory toys, baby gyms and a soft play area give younger babies and crawlers plenty to explore, and you can arrive whenever suits you without feeling like you've missed anything. Older siblings are very much part of the welcome here too; crafts, toys and the outdoor park are all available to keep them busy while babies (and parents!) do their thing, which makes it easier to come along without needing to bring extra activities. The kettle is always on, and the chance to sit with other military families who understand the particular shape of your week is often quietly one of the better parts of the session.</t>
  </si>
  <si>
    <t>Gordon Messenger Centre</t>
  </si>
  <si>
    <t>Colouring, Clues / games, Indoor games (puzzles, boards), Swings, Slides, Climbing Frames, Indoor Play Space</t>
  </si>
  <si>
    <t>Hot Drinks, Comfy Seating / Sofas, WiFi, Clear Sightlines, Snacks, Sweet treats</t>
  </si>
  <si>
    <t>soft mats, low level toys, tummy time, free play, social connection, baby focused, baby group, baby toys</t>
  </si>
  <si>
    <t>Tactile materials, Quiet environment, Soft Lighting</t>
  </si>
  <si>
    <t>Baby Group Club.JPG</t>
  </si>
  <si>
    <t>P001-CLU-00001</t>
  </si>
  <si>
    <t>Master Enums List</t>
  </si>
  <si>
    <t>enum_name</t>
  </si>
  <si>
    <t>group_label</t>
  </si>
  <si>
    <t>value_key</t>
  </si>
  <si>
    <t>value_label</t>
  </si>
  <si>
    <t>applies_to_type</t>
  </si>
  <si>
    <t>status</t>
  </si>
  <si>
    <t>notes</t>
  </si>
  <si>
    <t>Icon name</t>
  </si>
  <si>
    <t>Opportunity Types</t>
  </si>
  <si>
    <t>Activity Venue</t>
  </si>
  <si>
    <t>all</t>
  </si>
  <si>
    <t>Active</t>
  </si>
  <si>
    <t>Route</t>
  </si>
  <si>
    <t>Club</t>
  </si>
  <si>
    <t>Event</t>
  </si>
  <si>
    <t>experience</t>
  </si>
  <si>
    <t>Experience</t>
  </si>
  <si>
    <t>inactive</t>
  </si>
  <si>
    <t>Future use / Military pilot only</t>
  </si>
  <si>
    <t>community</t>
  </si>
  <si>
    <t>Community</t>
  </si>
  <si>
    <t>support</t>
  </si>
  <si>
    <t>Support</t>
  </si>
  <si>
    <t>activity_group</t>
  </si>
  <si>
    <t>simple_reset</t>
  </si>
  <si>
    <t>active</t>
  </si>
  <si>
    <t>activities under X hours, X total cost, not high energy, not chaotic energy, something calming</t>
  </si>
  <si>
    <t>energy_burner</t>
  </si>
  <si>
    <t>high energy, intended to tire children out and burn off energy - will need to categorise this better</t>
  </si>
  <si>
    <t>low_effort</t>
  </si>
  <si>
    <t>low input needed from parents, something simple, closeby, that children can enjoy mostly independently</t>
  </si>
  <si>
    <t>special_day_out</t>
  </si>
  <si>
    <t>a special, more considered day out that requires half a day minimum</t>
  </si>
  <si>
    <t>moment_of_peace</t>
  </si>
  <si>
    <t>something where the parent can enjoy a coffee or a sit down without being required to rush about, something calm, minimal to no input, likely to keep  hildren engaged quietly</t>
  </si>
  <si>
    <t>under_the_radar</t>
  </si>
  <si>
    <t>something off the beaten track, local hidden gem, something worth making a bit more effort for</t>
  </si>
  <si>
    <t>wilder_adventure</t>
  </si>
  <si>
    <t>Wilder Adventure</t>
  </si>
  <si>
    <t>activities that are a little wilder, more of an adventure</t>
  </si>
  <si>
    <t>Interest Categories</t>
  </si>
  <si>
    <t>interest_category</t>
  </si>
  <si>
    <t>Interest Category</t>
  </si>
  <si>
    <t>nature_exploration</t>
  </si>
  <si>
    <t>Nature &amp; Exploration</t>
  </si>
  <si>
    <t>profile</t>
  </si>
  <si>
    <t>Outdoor discovery, nature connection</t>
  </si>
  <si>
    <t>icon_Nature &amp; Exploration.png</t>
  </si>
  <si>
    <t>movement_energy</t>
  </si>
  <si>
    <t>Movement &amp; Energy</t>
  </si>
  <si>
    <t>High-energy, physical play</t>
  </si>
  <si>
    <t>icon_Movement &amp; Energy.png</t>
  </si>
  <si>
    <t>creativity_imagination</t>
  </si>
  <si>
    <t>Creativity &amp; Imagination</t>
  </si>
  <si>
    <t>Making, pretending, expressing</t>
  </si>
  <si>
    <t>icon_Creative &amp; Imagination.png</t>
  </si>
  <si>
    <t>learning_curiosity</t>
  </si>
  <si>
    <t>Learning &amp; Curiosity</t>
  </si>
  <si>
    <t>Discovery, questions, learning</t>
  </si>
  <si>
    <t>icon_Learning &amp; Curiosity copy.png</t>
  </si>
  <si>
    <t>slowing_down</t>
  </si>
  <si>
    <t>Slowing Down</t>
  </si>
  <si>
    <t>Soothing, quiet, low stimulation</t>
  </si>
  <si>
    <t>icon_Special Days Out.png</t>
  </si>
  <si>
    <t>together_time</t>
  </si>
  <si>
    <t>Family Resets</t>
  </si>
  <si>
    <t>Shared, connective experiences</t>
  </si>
  <si>
    <t>icon_Family Resets.png</t>
  </si>
  <si>
    <t>special_memorable</t>
  </si>
  <si>
    <t>Special &amp; Memorable Days Out</t>
  </si>
  <si>
    <t>Novelty, excitement, big moments</t>
  </si>
  <si>
    <t>community_connection</t>
  </si>
  <si>
    <t>Community Connection</t>
  </si>
  <si>
    <t>Things that focus on doing something that fosters connection and / or belonging</t>
  </si>
  <si>
    <t>Opportunity Themes</t>
  </si>
  <si>
    <t>opportunity_theme</t>
  </si>
  <si>
    <t>Opportunity Theme</t>
  </si>
  <si>
    <t>scenic_walks</t>
  </si>
  <si>
    <t>route, event, club</t>
  </si>
  <si>
    <t>Walks chosen for views &amp; atmosphere</t>
  </si>
  <si>
    <t>icon_Scenic Walks &amp; Trails.png</t>
  </si>
  <si>
    <t>green_spaces</t>
  </si>
  <si>
    <t>venue, event, club</t>
  </si>
  <si>
    <t>Open spaces for free play</t>
  </si>
  <si>
    <t>icon_Green Open Spaces.png</t>
  </si>
  <si>
    <t>nature_wildlife</t>
  </si>
  <si>
    <t>route, venue, event, club</t>
  </si>
  <si>
    <t>Nature-rich, exploratory environments</t>
  </si>
  <si>
    <t>icon_Nature &amp; Wildlife Exploration.png</t>
  </si>
  <si>
    <t>coastal_adventures</t>
  </si>
  <si>
    <t>Coastal exploration &amp; play</t>
  </si>
  <si>
    <t>icon_Coastal Adventures.png</t>
  </si>
  <si>
    <t>gardens_outdoor</t>
  </si>
  <si>
    <t>Curated outdoor spaces</t>
  </si>
  <si>
    <t>icon_Gardens &amp; Curated Spaces.png</t>
  </si>
  <si>
    <t>active_play</t>
  </si>
  <si>
    <t>Large-scale, physical play</t>
  </si>
  <si>
    <t>icon_Playgrounds &amp; Adventure Parks.png</t>
  </si>
  <si>
    <t>sporty_activities</t>
  </si>
  <si>
    <t>Organised or casual sports</t>
  </si>
  <si>
    <t>icon_Sporty Activities.png</t>
  </si>
  <si>
    <t>wheels_routes</t>
  </si>
  <si>
    <t>Bike, scooter, wheeled routes</t>
  </si>
  <si>
    <t>icon_Rideable Routes.png</t>
  </si>
  <si>
    <t>water_fun</t>
  </si>
  <si>
    <t>Swimming, paddling, splash</t>
  </si>
  <si>
    <t>icon_Water Activities.png</t>
  </si>
  <si>
    <t>creative_play</t>
  </si>
  <si>
    <t>Art, making, performing</t>
  </si>
  <si>
    <t>icon_Creative Activities.png</t>
  </si>
  <si>
    <t>imaginative_play</t>
  </si>
  <si>
    <t>Imaginative &amp; Role Play</t>
  </si>
  <si>
    <t>Pretend &amp; story-led play</t>
  </si>
  <si>
    <t>icon_Imaginative &amp; Role Play.png</t>
  </si>
  <si>
    <t>sensory_soothing</t>
  </si>
  <si>
    <t>Regulation-focused experiences</t>
  </si>
  <si>
    <t>icon_Sensory or Calming Experiences.png</t>
  </si>
  <si>
    <t>hands_on_learning</t>
  </si>
  <si>
    <t>Hands-On Learning</t>
  </si>
  <si>
    <t>Learning by doing</t>
  </si>
  <si>
    <t>icon_Hands-On Learning.png</t>
  </si>
  <si>
    <t>interactive_museums</t>
  </si>
  <si>
    <t>Museums designed for children</t>
  </si>
  <si>
    <t>icon_Museums &amp; Discovery.png</t>
  </si>
  <si>
    <t>historical_cultural</t>
  </si>
  <si>
    <t>History &amp; Culture</t>
  </si>
  <si>
    <t>Heritage &amp; culture</t>
  </si>
  <si>
    <t>icon_History &amp; Culture.png</t>
  </si>
  <si>
    <t>animal_encounters</t>
  </si>
  <si>
    <t>Animals as the core draw</t>
  </si>
  <si>
    <t>icon_Animal Encounters.png</t>
  </si>
  <si>
    <t>soft_play</t>
  </si>
  <si>
    <t>venue, event</t>
  </si>
  <si>
    <t>Indoor physical play</t>
  </si>
  <si>
    <t>icon_Soft Play &amp; Indoor Active Play.png</t>
  </si>
  <si>
    <t>indoor_entertainment</t>
  </si>
  <si>
    <t>venue, club, event</t>
  </si>
  <si>
    <t>Indoor related activities</t>
  </si>
  <si>
    <t>icon_Indoor Entertainment.png</t>
  </si>
  <si>
    <t>vehicles_transport</t>
  </si>
  <si>
    <t>Trains, boats, machinery</t>
  </si>
  <si>
    <t>icon_Transport &amp; Engineering.png</t>
  </si>
  <si>
    <t>big_day_out</t>
  </si>
  <si>
    <t>Large, immersive attractions</t>
  </si>
  <si>
    <t>icon_A Big Day Out.png</t>
  </si>
  <si>
    <t>relaxed_cafe</t>
  </si>
  <si>
    <t>Informal café time</t>
  </si>
  <si>
    <t>icon_Cafés &amp; Coffee Stops.png</t>
  </si>
  <si>
    <t>family_dining</t>
  </si>
  <si>
    <t>Sit-down family meals</t>
  </si>
  <si>
    <t>icon_Family Dining.png</t>
  </si>
  <si>
    <t>seasonal</t>
  </si>
  <si>
    <t>Anything seasonally relevant or themed</t>
  </si>
  <si>
    <t>icon_Seasonal.png</t>
  </si>
  <si>
    <t>community_groups</t>
  </si>
  <si>
    <t>This can include playgroups, community based initiatives; you can become part of the group</t>
  </si>
  <si>
    <t>Interest Categories with their Opportunity Themes</t>
  </si>
  <si>
    <t>nature_exploration_opportunity_themes</t>
  </si>
  <si>
    <t>Nature &amp; Exploration Themes</t>
  </si>
  <si>
    <t>Scenic Walks &amp; Wanders</t>
  </si>
  <si>
    <t>Gardens &amp; Heritage Grounds</t>
  </si>
  <si>
    <t>9-hole golf course, acai bowls, accessible park, activity trail, adventure, adventure golf, adventure play, adventure playground, adventure walk, aerial walkway, Agatha Christie, agatha christie holiday home, agility, air bouncer, alpacas, ancient bridge, ancient history, ancient trees, ancient woodland, angora goats, shetland ponies, animal education talks, animal feeding sessions, animal keepers, animal pens, animal petting, animal rescue, animal sanctuary, animal sculptures, animal spotting trail, animal talks, animal welfare, animals, animated mythical creatures, animated scenes, apocalypse, apple trees, arcade games, archaeology, architecture, arctic foxes, art gallery, assault course, atmospheric railway, audio tour, auto belay, autumn colour, Avocet Line, avocets, baby zone, balance, balance and traversal trail, balance bikes, balance biking, balance challenges, balance elements, balance trail, ball games area, ball pit, ball python, bandstand, basket swing, basketball, basketball courts, bats, beach, beach balls, beach days, beach hut, beach-style pool entry, beachcombing, bear's hut, bears, beastie bags, beaver and otter spotting, beaver spotting, beavers, beech hedge maze, beer head, beginner cycling, beginner golf, beginner track for younger children, bike drops, bike jumps, bike route, bike track, bike trails, bikes, biodiversity, bird calls, bird feeders, bird feeding, bird feeding station, bird feeding stations, bird hide, bird migrations, bird spotting trail, birds, birds of prey, birds of prey display, birdwatching, birdwatching hides, bitterns, black swans, Black-a-Tor Copse, blossom, blue grade, bluebell woods, bluebells, BMX, bmx track, board training, boardwalk, boat, boat trips, boat watching, boathouse, bodyboarding, bog plants, books, botanical gardens, bottle feeding animals, boulder, bouldering, bounce and rhyme, bowl, bowling, brackish lagoon, branscombe beach, brass rubbing trail, brass rubbings, bread baking, breakwater walk, bridge, british landmarks in miniature, Bronze Age, brown bears, brown trout, browsing, Brunel, Budleigh Salterton, bug hotels, bug hunting, bug spotting, bug-hunting, bugs, bullfinches, burial mounds, bushcraft, butterfly, butterfly spotting, buzzards, Cadover Bridge, cafés, cakes, calves, campfire cooking, camping, canal, canoeing, capybara, carp fishing, carved wooden animals, carved wooden sculptures, castle, castle play structure, castle ruins, castles, caterpillar roller coaster, cats, cave, Celtic history, ceramics, cetti's warbler, chalk cliffs, champion trees, cheetah, chicken, chickens and ducks, chicks, children's activity trails, children's books, children's bookshelf, children's nature trail, children's play area, children's playground, children's rides, children's trail, chinchillas, christmas trail, cirl bunting, city exploring, city walls, civil war, clapper bridge, clapper bridges, clay, cliff, cliffs &amp; headlands, clifftop, climbable trees, climbing, climbing centre, climbing frame, climbing wall, climbing walls, coastal exploration, coastal village, coastal walk pit stops, coastal walking, coastal walks, coastal wildlife, cockatoos, cockle hunting, cockle picking, coderdojo club, coves, castles, coastlines, coastal views, countryside views, coffee, collecting, colourful flower borders, colourful harbour views, community orchards, competition wall, competitive play, confidence, conifer forest, conkers, conservation, conservation education, coral reefs, cormorants, country estate grounds, country parks, countryside cycling, countryside museum, countryside walks, coves &amp; inlets, cows, crabbing, craft, craft activities, craft events, craft festivals, craft gallery, craft workshops, crafting area, crafts, crazy golf, creative artwork, creative workshops, crocodiles, curlews, cycle trail, cycling, cycling skills, cycling space, daily keeper talks, dairy-free options, dam, dam building, damselfly, dark tunnels, dart valley, dartford warbler, Dartmoor, dartmoor ponies, dartmoor walk, dartmoor walking, deer, deer and llama hand feeding, deer park, deer park trails, deer spotting, deer train safari, den building, devon wildlife trust, Dewerstone Rock, diggable sand, digital drawing activity, dinosaur climbing frames, dinosaur spotting, dinosaur theme, dinosaur trail, dinosaurs, dippers, disused railway line, ditches, dive shows, dodgeball, dogs, dolphin spotting, dolphins, donkey, dormice, double swings, dragonfly, dragonfly spotting, dragons, drawing, dress up, dressing up, driving range, driving school, drop slide, drop tower, drop-slides, duck, duck feeding, duck spotting, ducklings, ducks and swans, earthworks, eels, egrets, electric cars, emus, endangered animals, engineering, escape room, estuary, estuary beach, estuary walks, estuary wildlife, Exe Estuary, Exe Estuary Trail, exe estuary views, exeter, exeter history, exeter ship canal, exhibits, Exmouth, exotic birds, exploration, extinct volcano, fairground rides, fairy doors, fairy garden, fairy houses, fairy village, falconry displays, family competition, family cycling, farm animals, farm trail, farm walk, farming museum, fern garden, fernery, ferns, ferret racing, ferries, ferry, fill and spill buckets, find wally, fireman's pole, firemans pole, fishing, fishing boat, fishing lake, fishing village, flamingos, flashing lights, flat bank, flatbanks, flour milling, flower arranging workshops, flower displays, flower fields, foam pit, folk festival, football, football field, football goals, football golf, football target game, footbridges, footgolf, forest adventures, forest school, forest school workshops, forest trails, forest walking, formal gardens, fort, fossil hunting, fountain, foxes, free activity, free drop-in craft activity, fresh water stream, freshwater lake, frisbees, funbox, fungi, games museum, garden trails, gardens, gatehouse, geology, geology discovery, geology-themed play, Geoneedle, georgian country house, ghost legend, giant airbag, giant bug spotting, giant chess, giant climbing net, giant dominoes, giant floating marble, giant marble run, giant rex rabbit, giant slide, giant tortoises, giraffes, glass, glassblowing demonstration, glazing, glow worms, go karts, goat, goat milking, goat walking, godwits, Golden Hind replica ship, golf lessons, gorge, gorge views, gorillas, gothic revival architecture, granite, granite crags, granite outcrops, granite tramway, granite way link, grass snakes, grassy areas, grebes, green open space, greenhouses, grey wagtails, ground trampoline, group challenge, Gruffalo, gruffalo trail, guided tour, guinea pigs, halloween, hand wheels, handling sessions, hands-on history, harbour, harbour wall jumping, harness climbing, harvest mice, headland, heather, heathland, hedge maze, hedgehogs, heights challenges, helter-skelter slide, herbaceous borders, heritage, heritage railways, herons, hidden characters, hidden coves, hidden paths, High Willhays, highland cattle, hill fort, hillfort, hips, historic buildings, historic fashion, historic fashion collection, historic glasshouses, historic house, historic houses, history, history trail, hobby, holiday park, horizontal bars, horses, hot chocolate, house mouse trail, house trail, hunter games, hut circles, ice age-themed play zone, ice cream, imaginative play, immersive storytelling, inclusive play design, inclusive swing seat, independent shops, indiana jones, indoor activity, indoor climbing, indoor play, indoor play area, indoor soft play, indoor swimming, indoor swimming pool, indoor trampolining, industrial heritage, insect spotting, interactive displays, interactive exhibits, interactive marble displays, intertidal habitat, inverted ride, Iron Age, islands, italian gardens, jazz festival, jellyfish, jersey barrier, julia donaldson, jungle, jungle theme, Jurassic Coast, jurassic-themed play zone, kayaking, keeper talks, kids pancakes, kingfishers, kites, lake, lake walk, landslip, lapwings, large bowl, laser tag, lawn bowls, lawn games, lead climbing, leap of faith, leat, ledges, legend, lego club, lemurs, light chaser games, lily pads, limestone cliffs, lions, live music nights, live nest box cctv, live shows, local food, local history, local legend, lock gates, locomotives, log flume, log stepping stones, log tunnels, logical thinking, low tide exploring, lundy island, lynx, magic, maize maze, map reading, marble museum, marble runs, marina, maritime history, marshmallow toasting, martial arts, maze, meadow exploring, meadows, medieval architecture, medieval history, medieval keep, medieval tunnels, meerkats, meet and greet, Meldon Reservoir, Meldon Viaduct, metal detecting, milkshakes, milling, milling demonstration, mini assault course, mini explorer zone, mini golf, miniature pigs, miniature ponies, miniature railway, miniature village, model railway, monkey bars, monkeys, moorland, moorland edge, motte and bailey, mountain biking, mud kitchen, muddy paths, multi-goal unit, multi-play climbing unit, multi-player arena, multi-use games area, murder mystery, mythical kingdom indoor walk-through, napoleonic battery, National Cycle Network Route 27, nature reserves, National Trust, national trust estate, natural boulders, natural history collection, natural play area, nature garden, nature interpretation centre, nature lovers, nature reserve, nature reserve walks, nature spotting, nature trail, nature trails, nature walk, nature-based toys, ness cove hidden beach, nightjar, ninja training, North Devon, nuthatches, oak woodland, object handling, obstacle course, obstacle courses, octopus, off-road cycling, off-road paths, off-road technique, okehampton, old railway, oldest public park, open air events, open air theatre, open fields, open meadows, open moorland, orangutans, orchard, orchard garden, orchids, Orcombe Point, orienteering, ornamental gardens, ostrich, otters, outdoor activity, outdoor cinema, outdoor play area, outdoor play areas, outdoor play equipment, outdoor swimming pool, outdoor tidal swimming pool, owls, packhorse bridge, paddleboarding, paddling, paddling pools, painting, park, parkland walking, parks, passenger ferry, pasties, pastries, peacocks, pearl-bordered fritillary, pebble and sand beach, pebble beach, Pebblebed Heaths, pedal tractors, peter's tower, petting animals, petting zoo, pheasants, pick your own flowers, pick your own fruit, pick your own pumpkins, pick your own soft fruit, pick your own vegetables, pig, pig racing, piglet cuddles, piglets, pirate ship, pirate ships, pitch and putt golf, pixie legend, pizza, play area, play equipment, playground, playing field, playmats, poetry trail, pond, pond dipping, pond spotting, pony, pony grooming, pooh sticks, pottery, pottery animals, pottery museum, pottery painting, powderham castle, prehistoric, prints, problem solving, progression riding, pump track, pushchairs, puzzle solving, pygmy goats, quarry remains, quarter pipes, quiet gardens, quirky café, quirky humour, rabbit, raccoons, rails, railway heritage, railway history, ramparts, ramps, ranger activity trail, raptors, rare breeds, rare butterflies, rays, reading corner, red cliffs, red deer, red grade, red pandas, red squirrel, red squirrels, reedbeds, reeds, reptiles, rescue animals, reservoir, reservoir history, rheas, rhinos, rhododendrons, RHS, rhs glow, ride on vehicles, ridge riding, river, river access, river avon, river beach, River Dart, River Meavy, River Otter, river paddling, River Plym, river walk route, riverside, riverside paths, riverside trails, riverside walk, riverside walking, riverside walks, RNLI, rock climbing, rock formations, rock pool touch tank, rock pooling, rock scrambling, rockpool nets, rocks to climb, roe deer, role play, roleplay toys, rollerblades, rollercoaster, Roman history, roman walls, Room on the Broom, rope climbing unit, rope swing, rose garden, rose gardens, rotating seesaw, roundabout, Royal Marines, rspb, ruby red devon cattle, ruins, running, salmon, saltmarsh, sand and water digging, sand dune exploring, sand dunes, sandcastles, sandpit, sandtoys, sandy and shingle beach, sandy beach, Saxon history, saxon village, scavenger hunt, scooter riding, scooter route, scooter track, scootering, scooters, scrambling, sculpture, sea turtle, seafront promenade, seafront views, seafront walking, seahorses, seal spotting, seals, seaside park, seasonal flowers, seasonal maize maze, seasonal trails, seawater pool, seesaw, self-guided trail, sensory garden, sensory room, sensory trail, sensory zone, shallow water, sharks, Shaugh Bridge, sheep, shell collecting, sheltered bay, sheltered beach, sheltered cove, sherman tank, shetland ponies, shingle beach, shipbuilding, Shipley Bridge, short walks, shrimping, sideshore, signal box, silver-studded blue, singletrack, skate ramps, skateboarding, skills development, skills practice, skills progression, skylark spotting, slides, small animals, smoke machine, smoothies, smugglers, smugglers caves, smugglers tunnel, snorkelling, soft play, soft play café, solitary bee watching, songbirds, Sooty, Sooty Land, sound and story garden, sourdough, South Dartmoor, South West Coast Path, southern damselfly, speed climbing, spinner bowls, splash zone, splashpad, spotting trail, sprayed concrete park, spring bulbs, spring flowers, squirrels, SSSI, stair set, standing seesaw, Start Point, statue, stay and play, steam railway, steam trains, steep walks, stepping stones, stiles, stingrays, stone skimming, stone throwing, stonechat, storytelling chair, storytime, storytime sessions, strawberry picking, stream, stream paddling, stream trains, street skating, strength, stunt zone, summer borders, summer concerts, sundew, surf lessons, surfing, suspension bridge, swan, swimming, swimming beach, swimming pool, swings, tall trees, tapir, team battles, team games, teamwork, technical cycling, ted hughes children's poetry trail, teens, ten-pin bowling, tennis, tennis courts, textiles, theme park, themed sheds, tidal habitat, tidal sea pool, tigers, tipping buckets, toddler area, toddler play area, toddler slide, toddler splash area, toddler splash zone, token rides, top rope climbing, tor, torchlit passages, tortoise, tortoises, Tottiford Reservoir, town exploring, town trail, toys, tractor rides, tractor trails, tractors, trail map, train, train ride, train spotting, trains, trampoline, transition skating, treasure hunts, treasure legend, treehouse, trees, Trenchford Reservoir, trilobite ride, tropical fish, trout, uk's deepest aquarium tank, valley walk, viaduct, victorian history, victorian house, victorian street, victorian walled garden, viewpoint, viewpoints, village exploring, vintage board games, vintage machinery, vintage tractor, vintage tractors, vintage vehicles, visiting birds, volcano challenge trail, volcano slide, VR, wading birds, local strolls, walk-through enclosures, walks, walking trails, trampolines, wallabies, walled garden, walled gardens, kitchen garden, war memorial, watching watersports, water birds, water flume, water hazards, water jets, water play, water play channel, water rides, water slide, water wheels, waterfall, watermill, watersports, watersports hub, watersports watching, waterwheel, wave machine, waymarked trails, weir, welly walks, welsh mountain sheep, West Okement River, wetland wildlife, wetland wildlife spotting, white cliffs, wild boar, wild garlic, wild swimming, wildflower, wildflower meadow, wildflower meadows, wildflower spotting, wildfowl, wildlife, wildlife displays, wildlife identification boards, wildlife pond, wildlife reserve, wildlife spotting, wildlife watching, willow warbler, windsurfing, witch legend, wizards, wobbly bridge, wolves, wood-fired pizza, Woodbury Common, wooden activity trail, wooden galleon, wooden junior climber, wooden structures, wooden toys, woodland, woodland cycling, woodland garden, woodland play area, woodland railway, woodland trails, woodland walk, woodland walking, woodland walks, woodpeckers, woolly mammoth, working watermill, world cultures galleries, world heritage site, World War Two, Wray Valley Trail, WWII history, yellowhammer, Yes Tor, zip line, zip lines, zip wire, zoo animals</t>
  </si>
  <si>
    <t>movement_energy_opportunity_themes</t>
  </si>
  <si>
    <t>active_play_climbing</t>
  </si>
  <si>
    <t>creativity_and_imagination_opportunity_themes</t>
  </si>
  <si>
    <t>learning_and_curiosity_opportunity_themes</t>
  </si>
  <si>
    <t>slowing_down_opportunity_themes</t>
  </si>
  <si>
    <t>family_reset__opportunity_themes</t>
  </si>
  <si>
    <t>special_and_memorable_opportunity_themes</t>
  </si>
  <si>
    <t>a_big_day_out</t>
  </si>
  <si>
    <t>community_activities_opportunity_themes</t>
  </si>
  <si>
    <t>Child Skills</t>
  </si>
  <si>
    <t>general_skill</t>
  </si>
  <si>
    <t>balance_bike_skill</t>
  </si>
  <si>
    <t>Balance Biking</t>
  </si>
  <si>
    <t>Show for Ages 1 - 4</t>
  </si>
  <si>
    <t>cycling_skill</t>
  </si>
  <si>
    <t>Cycling</t>
  </si>
  <si>
    <t>Show for Ages 4 and over</t>
  </si>
  <si>
    <t>scooter_skill</t>
  </si>
  <si>
    <t>Scootering</t>
  </si>
  <si>
    <t>Show for Ages 1 - 5</t>
  </si>
  <si>
    <t>hiking_skill</t>
  </si>
  <si>
    <t>Hiking</t>
  </si>
  <si>
    <t>Show for Age 8 and over</t>
  </si>
  <si>
    <t>swimming_skill</t>
  </si>
  <si>
    <t>Show for Age 6 and over</t>
  </si>
  <si>
    <t xml:space="preserve">Skills associated with each Interest Opportunity Theme. 
(This is shown when the child is likely to be building skill and parents are looking for dedicated clubs or events catering to them having shown a specific interest - not just general 'have a go' activities) </t>
  </si>
  <si>
    <t>nature_wildlife_skill</t>
  </si>
  <si>
    <t>navigation_skill</t>
  </si>
  <si>
    <t>Orienteering or Navigation</t>
  </si>
  <si>
    <t>Age 8 and over</t>
  </si>
  <si>
    <t>coastal_adventures_skill</t>
  </si>
  <si>
    <t>sailing_skill</t>
  </si>
  <si>
    <t>Sailing</t>
  </si>
  <si>
    <t>Age 6 and over</t>
  </si>
  <si>
    <t>coasteering_skill</t>
  </si>
  <si>
    <t>Coasteering</t>
  </si>
  <si>
    <t>water_fun_skill</t>
  </si>
  <si>
    <t>paddleboarding_skill</t>
  </si>
  <si>
    <t>Paddleboarding</t>
  </si>
  <si>
    <t>kayaking_skill</t>
  </si>
  <si>
    <t>Kayaking</t>
  </si>
  <si>
    <t>surfing_skill</t>
  </si>
  <si>
    <t>Surfing</t>
  </si>
  <si>
    <t>sporty_activities_skill</t>
  </si>
  <si>
    <t>climbing_skill</t>
  </si>
  <si>
    <t>football_skill</t>
  </si>
  <si>
    <t>Football</t>
  </si>
  <si>
    <t>tennis_skill</t>
  </si>
  <si>
    <t>Tennis</t>
  </si>
  <si>
    <t>Age 5 and over</t>
  </si>
  <si>
    <t>athletics_skill</t>
  </si>
  <si>
    <t>Athletics</t>
  </si>
  <si>
    <t>Age 7 and over</t>
  </si>
  <si>
    <t>gymnastics_skill</t>
  </si>
  <si>
    <t>Gymnastics</t>
  </si>
  <si>
    <t>martial_arts_skill</t>
  </si>
  <si>
    <t>skateboarding_skill</t>
  </si>
  <si>
    <t>Skateboarding</t>
  </si>
  <si>
    <t>rollerskates_skill</t>
  </si>
  <si>
    <t>Rollerblades / skates</t>
  </si>
  <si>
    <t>motorcross_skill</t>
  </si>
  <si>
    <t>Motorcross</t>
  </si>
  <si>
    <t>creative_play_skill</t>
  </si>
  <si>
    <t>dance_skill</t>
  </si>
  <si>
    <t>Dance</t>
  </si>
  <si>
    <t>music_skill</t>
  </si>
  <si>
    <t>Music</t>
  </si>
  <si>
    <t>creative_skill</t>
  </si>
  <si>
    <t>Creative Writing</t>
  </si>
  <si>
    <t>Age 10 and over</t>
  </si>
  <si>
    <t>acting_skill</t>
  </si>
  <si>
    <t>Drama / Acting</t>
  </si>
  <si>
    <t>imaginative_play_skill</t>
  </si>
  <si>
    <t>drama_skill</t>
  </si>
  <si>
    <t>hands_on_learning_skill</t>
  </si>
  <si>
    <t>coding_skill</t>
  </si>
  <si>
    <t>Coding</t>
  </si>
  <si>
    <t>animal_encounters_skill</t>
  </si>
  <si>
    <t>horse_riding_skill</t>
  </si>
  <si>
    <t>Horse Riding</t>
  </si>
  <si>
    <t>animal_husbandry_skill</t>
  </si>
  <si>
    <t>Animal Husbandry</t>
  </si>
  <si>
    <t>vehicles_transport_skill</t>
  </si>
  <si>
    <t>robotics_skill</t>
  </si>
  <si>
    <t>Robotics</t>
  </si>
  <si>
    <t>construction_skill</t>
  </si>
  <si>
    <t>Construction</t>
  </si>
  <si>
    <t>sensory_soothing_skill</t>
  </si>
  <si>
    <t>yoga_skill</t>
  </si>
  <si>
    <t>Yoga</t>
  </si>
  <si>
    <t>big_day_out_skill</t>
  </si>
  <si>
    <t>escape_room_skill</t>
  </si>
  <si>
    <t>Escape rooms</t>
  </si>
  <si>
    <t>indoor_entertainment_skill</t>
  </si>
  <si>
    <t>karting_skill</t>
  </si>
  <si>
    <t>Go-Karting</t>
  </si>
  <si>
    <t>Opportunity Themes mapped to each Opportunity Type</t>
  </si>
  <si>
    <t>opportunity_type_theme_options</t>
  </si>
  <si>
    <t>Route Themes</t>
  </si>
  <si>
    <t>route_themes</t>
  </si>
  <si>
    <t>Venue Themes</t>
  </si>
  <si>
    <t>venue_themes</t>
  </si>
  <si>
    <t>Club Themes</t>
  </si>
  <si>
    <t>club_themes</t>
  </si>
  <si>
    <t>Event Themes</t>
  </si>
  <si>
    <t>event_themes</t>
  </si>
  <si>
    <t>Opportunity Theme Variants</t>
  </si>
  <si>
    <t>opportunity_theme_variant_walks</t>
  </si>
  <si>
    <t>woodland_walk</t>
  </si>
  <si>
    <t>Tree-covered, shaded walks</t>
  </si>
  <si>
    <t>coastal_walk</t>
  </si>
  <si>
    <t>Sea views, cliffs</t>
  </si>
  <si>
    <t>riverside_walk</t>
  </si>
  <si>
    <t>Calm waterside walks</t>
  </si>
  <si>
    <t>nature_trail</t>
  </si>
  <si>
    <t>Nature Trail</t>
  </si>
  <si>
    <t>Signed or circular routes</t>
  </si>
  <si>
    <t>national_park</t>
  </si>
  <si>
    <t>National Park</t>
  </si>
  <si>
    <t>route, venue</t>
  </si>
  <si>
    <t>waymarked_trail</t>
  </si>
  <si>
    <t>Waymarked Trail</t>
  </si>
  <si>
    <t>estate_grounds</t>
  </si>
  <si>
    <t>Estate Grounds</t>
  </si>
  <si>
    <t>heathland</t>
  </si>
  <si>
    <t>feature_walk</t>
  </si>
  <si>
    <t>Destination-led</t>
  </si>
  <si>
    <t>gentle_wander</t>
  </si>
  <si>
    <t>Short, low-effort walks</t>
  </si>
  <si>
    <t>hilly_hike</t>
  </si>
  <si>
    <t>Challenging hikes on tricky terrain</t>
  </si>
  <si>
    <t>city_circuit</t>
  </si>
  <si>
    <t>Short loops in urban areas</t>
  </si>
  <si>
    <t>towpaths</t>
  </si>
  <si>
    <t>Simple towpaths</t>
  </si>
  <si>
    <t>opportunity_theme_variant</t>
  </si>
  <si>
    <t>Open Green Spaces</t>
  </si>
  <si>
    <t>country_parks</t>
  </si>
  <si>
    <t>Big open parks with space to roam</t>
  </si>
  <si>
    <t>open_parkland</t>
  </si>
  <si>
    <t>Wide, unfenced grassy areas</t>
  </si>
  <si>
    <t>village_greens</t>
  </si>
  <si>
    <t>Informal local green spaces</t>
  </si>
  <si>
    <t>village_parks</t>
  </si>
  <si>
    <t>Smaller local park options usually with some greenspace</t>
  </si>
  <si>
    <t>urban_green_spaces</t>
  </si>
  <si>
    <t>City-based open green areas</t>
  </si>
  <si>
    <t>castle_grounds</t>
  </si>
  <si>
    <t>Managed grounds open to the public</t>
  </si>
  <si>
    <t>nature_reserves</t>
  </si>
  <si>
    <t>Nature Reserve</t>
  </si>
  <si>
    <t>all, route</t>
  </si>
  <si>
    <t>Protected or unmanaged natural areas</t>
  </si>
  <si>
    <t>wildlife_spotting</t>
  </si>
  <si>
    <t>Wildlife Hotspot</t>
  </si>
  <si>
    <t>Birds, insects, deer</t>
  </si>
  <si>
    <t>hydes_cabins</t>
  </si>
  <si>
    <t>Hydes or Cabins</t>
  </si>
  <si>
    <t>Quiet observation</t>
  </si>
  <si>
    <t>learning_hut</t>
  </si>
  <si>
    <t>Information Hut or Learning Centre</t>
  </si>
  <si>
    <t>forest_school</t>
  </si>
  <si>
    <t>Lightly structured, nature-first learning</t>
  </si>
  <si>
    <t>natural_play_areas</t>
  </si>
  <si>
    <t>Play using natural materials, wild, unmanaged spaces</t>
  </si>
  <si>
    <t>den_building</t>
  </si>
  <si>
    <t>Den-Building &amp; Nature Craft</t>
  </si>
  <si>
    <t>Hands-on interaction with nature</t>
  </si>
  <si>
    <t>nature_trails</t>
  </si>
  <si>
    <t>Discovery Trail</t>
  </si>
  <si>
    <t>Trails designed to encourage exploration</t>
  </si>
  <si>
    <t>waterfall</t>
  </si>
  <si>
    <t>Waterfall</t>
  </si>
  <si>
    <t>reservoir</t>
  </si>
  <si>
    <t>sandy_beach</t>
  </si>
  <si>
    <t>Sand-focused play</t>
  </si>
  <si>
    <t>pebble_beach</t>
  </si>
  <si>
    <t>Pebble or Shingle Beach</t>
  </si>
  <si>
    <t>rnli_beach</t>
  </si>
  <si>
    <t>RNLI Beach</t>
  </si>
  <si>
    <t>Safe water entry</t>
  </si>
  <si>
    <t>coves_exploration</t>
  </si>
  <si>
    <t>Rocky Cove</t>
  </si>
  <si>
    <t>Smaller, enclosed bays</t>
  </si>
  <si>
    <t>coasteering_adventure</t>
  </si>
  <si>
    <t>Coasteering Beach</t>
  </si>
  <si>
    <t>club, experience, venue</t>
  </si>
  <si>
    <t>Coasterring as an activity or ideal preferred spot</t>
  </si>
  <si>
    <t>wild_open_beaches</t>
  </si>
  <si>
    <t>Wild or Remote Beach</t>
  </si>
  <si>
    <t>Exposed, expansive beaches</t>
  </si>
  <si>
    <t>dog_friendly_beaches</t>
  </si>
  <si>
    <t>Dog-Friendly Beach</t>
  </si>
  <si>
    <t>Dog access important</t>
  </si>
  <si>
    <t>mixed_sand_shingle</t>
  </si>
  <si>
    <t>Mixed Sand &amp; Shingle Beach</t>
  </si>
  <si>
    <t>cove_or_bay</t>
  </si>
  <si>
    <t>Sheltered Cove or Bay</t>
  </si>
  <si>
    <t>surf_beach</t>
  </si>
  <si>
    <t>Surf Beach</t>
  </si>
  <si>
    <t>harbour_beach</t>
  </si>
  <si>
    <t>estuary_beach</t>
  </si>
  <si>
    <t>Estuary Beach</t>
  </si>
  <si>
    <t>botanical_gardens</t>
  </si>
  <si>
    <t>Botanical Garden</t>
  </si>
  <si>
    <t>Plant collections</t>
  </si>
  <si>
    <t>arboretum</t>
  </si>
  <si>
    <t>Arboretum</t>
  </si>
  <si>
    <t>historic_estate_gardens</t>
  </si>
  <si>
    <t>Historic Estate Garden</t>
  </si>
  <si>
    <t>Manor, estate, heritage gardens</t>
  </si>
  <si>
    <t>formal_landscape_gardens</t>
  </si>
  <si>
    <t>Designed garden layouts</t>
  </si>
  <si>
    <t>community_gardens</t>
  </si>
  <si>
    <t>Community Garden</t>
  </si>
  <si>
    <t>Local gardens open to the public</t>
  </si>
  <si>
    <t>themed_gardens</t>
  </si>
  <si>
    <t>Themed Garden</t>
  </si>
  <si>
    <t>Art, sculpture, or concept-led gardens</t>
  </si>
  <si>
    <t>enclosed_gardens</t>
  </si>
  <si>
    <t>Enclosed Garden</t>
  </si>
  <si>
    <t>Contained, intimate spaces</t>
  </si>
  <si>
    <t>large_playgrounds</t>
  </si>
  <si>
    <t>Destination Playground</t>
  </si>
  <si>
    <t>Big, well-equipped playgrounds</t>
  </si>
  <si>
    <t>local_playgrouns</t>
  </si>
  <si>
    <t>Smaller, village parks</t>
  </si>
  <si>
    <t>adventure_playgrounds</t>
  </si>
  <si>
    <t>Adventure Playground</t>
  </si>
  <si>
    <t>More challenging, exploratory play</t>
  </si>
  <si>
    <t>natural_play</t>
  </si>
  <si>
    <t>Natural Obstacle Course</t>
  </si>
  <si>
    <t>Wood, ropes, nature-led design</t>
  </si>
  <si>
    <t>skate_park</t>
  </si>
  <si>
    <t>Skate Park</t>
  </si>
  <si>
    <t>actie</t>
  </si>
  <si>
    <t>Ramps, jumps, smoothed surface intended for skates</t>
  </si>
  <si>
    <t>orienteering_course</t>
  </si>
  <si>
    <t>Orienteering Course</t>
  </si>
  <si>
    <t>Height, obstacles, physical challenge</t>
  </si>
  <si>
    <t>letterboxing_course</t>
  </si>
  <si>
    <t>Letterboxing Site</t>
  </si>
  <si>
    <t>Fast-paced, physical play</t>
  </si>
  <si>
    <t>leisure_centre</t>
  </si>
  <si>
    <t>Leisure Centre</t>
  </si>
  <si>
    <t>assault-course</t>
  </si>
  <si>
    <t>Adventure / Assault Course</t>
  </si>
  <si>
    <t>climbing_centre</t>
  </si>
  <si>
    <t>multisports_activity_centre</t>
  </si>
  <si>
    <t>Multisports Centre</t>
  </si>
  <si>
    <t>sports_stadium</t>
  </si>
  <si>
    <t>Sport Stadium</t>
  </si>
  <si>
    <t>sports_arena</t>
  </si>
  <si>
    <t>Sport Arena</t>
  </si>
  <si>
    <t>swimming_pool</t>
  </si>
  <si>
    <t>community_centre</t>
  </si>
  <si>
    <t>range</t>
  </si>
  <si>
    <t>Range</t>
  </si>
  <si>
    <t>sports_track</t>
  </si>
  <si>
    <t>Sports Track</t>
  </si>
  <si>
    <t>indoor_courts</t>
  </si>
  <si>
    <t>Indoor Court</t>
  </si>
  <si>
    <t>outdoor_courts</t>
  </si>
  <si>
    <t>Outdoor Court</t>
  </si>
  <si>
    <t>specialist_sports_facility</t>
  </si>
  <si>
    <t>Specialist Facility</t>
  </si>
  <si>
    <t>outdoor_pitch</t>
  </si>
  <si>
    <t>gym</t>
  </si>
  <si>
    <t>Gym</t>
  </si>
  <si>
    <t>winter_wonderland</t>
  </si>
  <si>
    <t>Winter Wonderland</t>
  </si>
  <si>
    <t>ice_rink</t>
  </si>
  <si>
    <t>Ice-skating Rink</t>
  </si>
  <si>
    <t>festival_park</t>
  </si>
  <si>
    <t>Festival Park</t>
  </si>
  <si>
    <t>arena</t>
  </si>
  <si>
    <t>Arena</t>
  </si>
  <si>
    <t>statium</t>
  </si>
  <si>
    <t>Stadium</t>
  </si>
  <si>
    <t>showground</t>
  </si>
  <si>
    <t>Showground</t>
  </si>
  <si>
    <t>fairground</t>
  </si>
  <si>
    <t>Fairground</t>
  </si>
  <si>
    <t>pick_your_own</t>
  </si>
  <si>
    <t>light_trail</t>
  </si>
  <si>
    <t>Lights Trail</t>
  </si>
  <si>
    <t>patch</t>
  </si>
  <si>
    <t>opportunity_theme_variant_rideable</t>
  </si>
  <si>
    <t>quick_spin</t>
  </si>
  <si>
    <t>“Easy win / quick reset” energy. Keeps it broad (bike/scooter/etc.) without specifying kit.</t>
  </si>
  <si>
    <t>longer_ride</t>
  </si>
  <si>
    <t>Signals a more committed outing without implying distance, difficulty, or route shape (handled elsewhere).</t>
  </si>
  <si>
    <t>practise_route</t>
  </si>
  <si>
    <t>Practise Space</t>
  </si>
  <si>
    <t>Parent intent: learning, improving, settling nerves. Covers “learn to ride” and skill progression without age bands.</t>
  </si>
  <si>
    <t>skills_and_stunts</t>
  </si>
  <si>
    <t>Captures pump tracks / ramps / jumps as a feel (high-energy, skill-testing) without naming facilities or disciplines.</t>
  </si>
  <si>
    <t>paddle_spot</t>
  </si>
  <si>
    <t>Paddle Spot</t>
  </si>
  <si>
    <t>Activity Venue, Route</t>
  </si>
  <si>
    <t>Core hot-weather intent. Covers paddling, shallow water, splashy play without naming water type.</t>
  </si>
  <si>
    <t>water_play</t>
  </si>
  <si>
    <t>Water play</t>
  </si>
  <si>
    <t>Signals calm, low-risk, sensory water experiences (streams, edges, shallow areas).</t>
  </si>
  <si>
    <t>river_beach</t>
  </si>
  <si>
    <t>River Beach</t>
  </si>
  <si>
    <t>Calm water, shade, inland feel</t>
  </si>
  <si>
    <t>water_park</t>
  </si>
  <si>
    <t>Waterparks</t>
  </si>
  <si>
    <t>Parent-recognisable phrase for splash parks / fountains without facility lists.</t>
  </si>
  <si>
    <t>water_rides</t>
  </si>
  <si>
    <t>On The Water</t>
  </si>
  <si>
    <t>activity, venue, club</t>
  </si>
  <si>
    <t>water_adventure</t>
  </si>
  <si>
    <t>Water Adventure</t>
  </si>
  <si>
    <t>Slightly braver, exploratory water experiences (wading, flowing water) without tipping into Beach or Sporty.</t>
  </si>
  <si>
    <t>swimming_lido</t>
  </si>
  <si>
    <t>Lido</t>
  </si>
  <si>
    <t>Venue, Club, Event</t>
  </si>
  <si>
    <t>water_sports</t>
  </si>
  <si>
    <t>Watersports</t>
  </si>
  <si>
    <t>fishing_spot</t>
  </si>
  <si>
    <t>Fishing Spot</t>
  </si>
  <si>
    <t>making_and_creating</t>
  </si>
  <si>
    <t>Activity Venue, Club, Event</t>
  </si>
  <si>
    <t>Hands-on creative output: art, craft, clay, textiles. Medium-agnostic by design.</t>
  </si>
  <si>
    <t>expressive_movement_and_music</t>
  </si>
  <si>
    <t>Music &amp; Movement</t>
  </si>
  <si>
    <t>Singing, dancing, rhythm, performance through the body; not fitness-led.</t>
  </si>
  <si>
    <t>creative_expression</t>
  </si>
  <si>
    <t>Creative Expression</t>
  </si>
  <si>
    <t>creative writing, poetry, spoken verse, storytelling</t>
  </si>
  <si>
    <t>performing_and_putting_on_a_show</t>
  </si>
  <si>
    <t>Performative Arts</t>
  </si>
  <si>
    <t>Drama, theatre-style play, confidence-building expression in front of others.</t>
  </si>
  <si>
    <t>film_photography</t>
  </si>
  <si>
    <t>Film or Media</t>
  </si>
  <si>
    <t>Photography, film, creative documentation framed as meaning-making, not tech skills.</t>
  </si>
  <si>
    <t>art_gallery</t>
  </si>
  <si>
    <t>Gallery or Exhbit</t>
  </si>
  <si>
    <t>role_play_and_characters</t>
  </si>
  <si>
    <t>Character-Led Play</t>
  </si>
  <si>
    <t>Neutral, scalable phrasing that works from dressing up through to character-led re-enactment.</t>
  </si>
  <si>
    <t>immersive_worlds</t>
  </si>
  <si>
    <t>Immersive Worlds</t>
  </si>
  <si>
    <t>Activity Venue, Event</t>
  </si>
  <si>
    <t>Signals depth and escapism without sounding provider-led or age-specific.</t>
  </si>
  <si>
    <t>scenario_and_world_play</t>
  </si>
  <si>
    <t>Scenario &amp; World play</t>
  </si>
  <si>
    <t>Activity Venue, Club</t>
  </si>
  <si>
    <t>Broad enough to include small-world play and complex scenario building or re-enactment.</t>
  </si>
  <si>
    <t>narrative_led_experiences</t>
  </si>
  <si>
    <t>Narrative-led experiences</t>
  </si>
  <si>
    <t>Slightly more mature phrasing for story-driven experiences without tipping into academic tone.</t>
  </si>
  <si>
    <t>sensory_garden</t>
  </si>
  <si>
    <t>Sensory garden</t>
  </si>
  <si>
    <t>Recognisable parent term; outdoor, designed-for-senses, calming by intent.</t>
  </si>
  <si>
    <t>sensory_room_or_space</t>
  </si>
  <si>
    <t>Sensory Space</t>
  </si>
  <si>
    <t>Dedicated indoor sensory rooms or permanent calming spaces.</t>
  </si>
  <si>
    <t>calming_designed_environment</t>
  </si>
  <si>
    <t>Intentionally gentle environments or installations without clinical framing.</t>
  </si>
  <si>
    <t>light_touch_sensory_experience</t>
  </si>
  <si>
    <t>Light-touch Sensory</t>
  </si>
  <si>
    <t>Sensory-focused but explicitly not intense or overwhelming.</t>
  </si>
  <si>
    <t>public_library</t>
  </si>
  <si>
    <t>Library</t>
  </si>
  <si>
    <t>experiments</t>
  </si>
  <si>
    <t>Experiments</t>
  </si>
  <si>
    <t>Science-style exploration, trial &amp; error</t>
  </si>
  <si>
    <t>discovery_challenges</t>
  </si>
  <si>
    <t>Discovery-Based Challenges</t>
  </si>
  <si>
    <t>learning_through_play</t>
  </si>
  <si>
    <t>Learning Through Play</t>
  </si>
  <si>
    <t>Play-led learning environments</t>
  </si>
  <si>
    <t>interactive_exhibits</t>
  </si>
  <si>
    <t>Interactive Exhibits</t>
  </si>
  <si>
    <t>Touch, build, manipulate</t>
  </si>
  <si>
    <t>problem_solving</t>
  </si>
  <si>
    <t>Problem-Solving</t>
  </si>
  <si>
    <t>Puzzles, logic, engineering-style tasks</t>
  </si>
  <si>
    <t>construction_activity</t>
  </si>
  <si>
    <t>Construction Activities</t>
  </si>
  <si>
    <t>Constructing, assembling, creating</t>
  </si>
  <si>
    <t>science_and_discovery</t>
  </si>
  <si>
    <t>Science &amp; Discovery</t>
  </si>
  <si>
    <t>Science centres, discovery museums</t>
  </si>
  <si>
    <t>technology_and_innovation</t>
  </si>
  <si>
    <t>Technology &amp; Innovation</t>
  </si>
  <si>
    <t>Tech, engineering, innovation spaces</t>
  </si>
  <si>
    <t>history_made_interactive</t>
  </si>
  <si>
    <t>History &amp; Pastimes</t>
  </si>
  <si>
    <t>History presented interactively</t>
  </si>
  <si>
    <t>world_and_cultures</t>
  </si>
  <si>
    <t>World &amp; Cultures</t>
  </si>
  <si>
    <t>Geography, people, global cultures</t>
  </si>
  <si>
    <t>children_focused_discovery</t>
  </si>
  <si>
    <t>Child-Focused Discovery</t>
  </si>
  <si>
    <t>Designed specifically for children</t>
  </si>
  <si>
    <t>farm_and_smallholding</t>
  </si>
  <si>
    <t>Farm or Smallholding</t>
  </si>
  <si>
    <t>Petting farms, open farms, smallholdings</t>
  </si>
  <si>
    <t>wildlife_reserve</t>
  </si>
  <si>
    <t>Wildlife Reserve</t>
  </si>
  <si>
    <t>animal_parks</t>
  </si>
  <si>
    <t>Animal Park or Zoo</t>
  </si>
  <si>
    <t>Zoos, safari parks, wildlife parks</t>
  </si>
  <si>
    <t>conservation_project</t>
  </si>
  <si>
    <t>Conservation Project</t>
  </si>
  <si>
    <t>animal_sanctuary</t>
  </si>
  <si>
    <t>Animal Sanctuary</t>
  </si>
  <si>
    <t>sealife_aquarium</t>
  </si>
  <si>
    <t>Marine Aquarium</t>
  </si>
  <si>
    <t>Aquatic animal centres</t>
  </si>
  <si>
    <t>reptiles_and_exotics</t>
  </si>
  <si>
    <t>Reptiles &amp; Exotics</t>
  </si>
  <si>
    <t>Reptile centres, specialist collections</t>
  </si>
  <si>
    <t>birds_of_prey</t>
  </si>
  <si>
    <t>Bird of Prey Centre</t>
  </si>
  <si>
    <t>stables_yard</t>
  </si>
  <si>
    <t>Stables or Yard</t>
  </si>
  <si>
    <t>venue, club, experience</t>
  </si>
  <si>
    <t>Riding, grooming, pony encounters</t>
  </si>
  <si>
    <t>ancient_sites</t>
  </si>
  <si>
    <t>Ancient Site</t>
  </si>
  <si>
    <t>venue, route</t>
  </si>
  <si>
    <t>Castles, fortresses, ruins</t>
  </si>
  <si>
    <t>historic_houses</t>
  </si>
  <si>
    <t>Historic Estate</t>
  </si>
  <si>
    <t>Manor houses, estates, heritage homes</t>
  </si>
  <si>
    <t>living_history</t>
  </si>
  <si>
    <t>Living History</t>
  </si>
  <si>
    <t>Re-enactment, costumed history</t>
  </si>
  <si>
    <t>open_museum</t>
  </si>
  <si>
    <t>Open-Air Museum</t>
  </si>
  <si>
    <t>industrial_history</t>
  </si>
  <si>
    <t>Industrial &amp; Working History</t>
  </si>
  <si>
    <t>Mills, railways, mines, docks</t>
  </si>
  <si>
    <t>archaeological_sites</t>
  </si>
  <si>
    <t>Archaeological</t>
  </si>
  <si>
    <t>Fossil spots, archaeological sites of interest</t>
  </si>
  <si>
    <t>cultural_heritage</t>
  </si>
  <si>
    <t>Cultural Heritage Site</t>
  </si>
  <si>
    <t>Cultural exhibitions, heritage centres</t>
  </si>
  <si>
    <t>historic_religious</t>
  </si>
  <si>
    <t>Historic Religious Building</t>
  </si>
  <si>
    <t>Cathedrals, abbeys, historic churches</t>
  </si>
  <si>
    <t>large_soft_play</t>
  </si>
  <si>
    <t>Soft Play Centre</t>
  </si>
  <si>
    <t>Multi-level, slides, big structures</t>
  </si>
  <si>
    <t>opporunity_theme_variant</t>
  </si>
  <si>
    <t>play_cafe</t>
  </si>
  <si>
    <t>toddler_soft_play</t>
  </si>
  <si>
    <t>Toddler Play Space</t>
  </si>
  <si>
    <t>Designed for under 5s</t>
  </si>
  <si>
    <t>indoor_climbing</t>
  </si>
  <si>
    <t>Indoor Climbing</t>
  </si>
  <si>
    <t>Climbing walls, obstacle-style energy</t>
  </si>
  <si>
    <t>indoor_course</t>
  </si>
  <si>
    <t>Inside Course</t>
  </si>
  <si>
    <t>Assault course, ninja course, obstacles</t>
  </si>
  <si>
    <t>trampoline_park</t>
  </si>
  <si>
    <t>Trampoline Park</t>
  </si>
  <si>
    <t>Trampolines, bounce parks</t>
  </si>
  <si>
    <t>indoor_multi_activity</t>
  </si>
  <si>
    <t>Multi-Activity Centre</t>
  </si>
  <si>
    <t>Mixed zones: soft play + trampolines etc</t>
  </si>
  <si>
    <t>cinema</t>
  </si>
  <si>
    <t>Cinema</t>
  </si>
  <si>
    <t>event, club</t>
  </si>
  <si>
    <t>theature_panto</t>
  </si>
  <si>
    <t>Stage-Show</t>
  </si>
  <si>
    <t>live_events</t>
  </si>
  <si>
    <t>Live Events</t>
  </si>
  <si>
    <t>gaming</t>
  </si>
  <si>
    <t>Gaming &amp; VR</t>
  </si>
  <si>
    <t>escape_room</t>
  </si>
  <si>
    <t>Escape Room</t>
  </si>
  <si>
    <t>improvised_performance</t>
  </si>
  <si>
    <t>Improvised Performance</t>
  </si>
  <si>
    <t>comedy_club</t>
  </si>
  <si>
    <t>Comedy</t>
  </si>
  <si>
    <t>karaoke_club</t>
  </si>
  <si>
    <t>Karaoke</t>
  </si>
  <si>
    <t>arcade_hall</t>
  </si>
  <si>
    <t>Arcade / Amusements</t>
  </si>
  <si>
    <t>laser_tag</t>
  </si>
  <si>
    <t>bowling_alley</t>
  </si>
  <si>
    <t>trains_and_rail</t>
  </si>
  <si>
    <t>Trains &amp; Railways</t>
  </si>
  <si>
    <t>Steam, heritage, miniature railways</t>
  </si>
  <si>
    <t>boat_trips</t>
  </si>
  <si>
    <t>Boat Trips &amp; Ferries</t>
  </si>
  <si>
    <t>route, event</t>
  </si>
  <si>
    <t>Ferries, sightseeing boat trips</t>
  </si>
  <si>
    <t>harbours_and_marinas</t>
  </si>
  <si>
    <t>Harbours &amp; Marinas</t>
  </si>
  <si>
    <t>Watching boats, ports, docks</t>
  </si>
  <si>
    <t>aviation_experiences</t>
  </si>
  <si>
    <t>Aircraft &amp; Aviation</t>
  </si>
  <si>
    <t>Museums, viewing areas, airfields</t>
  </si>
  <si>
    <t>transport_museums</t>
  </si>
  <si>
    <t>Transport Museum</t>
  </si>
  <si>
    <t>Cars, buses, mixed vehicle collections</t>
  </si>
  <si>
    <t>working_transport_hubs</t>
  </si>
  <si>
    <t>Working Transport Hubs</t>
  </si>
  <si>
    <t>Stations, depots, logistics hubs</t>
  </si>
  <si>
    <t>themepark</t>
  </si>
  <si>
    <t>Ride-based parks</t>
  </si>
  <si>
    <t>amusement_park</t>
  </si>
  <si>
    <t>Amusement Park</t>
  </si>
  <si>
    <t>arcades</t>
  </si>
  <si>
    <t>major_animal_attractions</t>
  </si>
  <si>
    <t>Major Animal Attractions</t>
  </si>
  <si>
    <t>Zoos, safari parks</t>
  </si>
  <si>
    <t>large_scale_outdoor</t>
  </si>
  <si>
    <t>Large-Scale Outdoor Attractions</t>
  </si>
  <si>
    <t>Estates, expansive outdoor sites</t>
  </si>
  <si>
    <t>major_indoor</t>
  </si>
  <si>
    <t>Major Indoor Attractions</t>
  </si>
  <si>
    <t>Large indoor destinations</t>
  </si>
  <si>
    <t>seasonal_and_themed</t>
  </si>
  <si>
    <t>Seasonal &amp; Themed Events</t>
  </si>
  <si>
    <t>Christmas trails, festivals, themed days</t>
  </si>
  <si>
    <t>airshow</t>
  </si>
  <si>
    <t>Airshow</t>
  </si>
  <si>
    <t>regatta</t>
  </si>
  <si>
    <t>Regatta</t>
  </si>
  <si>
    <t>county_show</t>
  </si>
  <si>
    <t>County or Agricultural Show</t>
  </si>
  <si>
    <t>family_friendly_cafes</t>
  </si>
  <si>
    <t>Family-Friendly Cafés</t>
  </si>
  <si>
    <t>Welcoming, space for kids</t>
  </si>
  <si>
    <t>cafe_with_play</t>
  </si>
  <si>
    <t>Quiet Cafés</t>
  </si>
  <si>
    <t>Toys, books, colouring</t>
  </si>
  <si>
    <t>cafe_with_outdoor_space</t>
  </si>
  <si>
    <t>Cafés with Outdoor Space</t>
  </si>
  <si>
    <t>Gardens, courtyards, terraces</t>
  </si>
  <si>
    <t>coffee_cabin</t>
  </si>
  <si>
    <t>Coffee Cabin / Truck</t>
  </si>
  <si>
    <t>Small mobile coffee stations with nearby seating / views</t>
  </si>
  <si>
    <t>pit_stop_cafes</t>
  </si>
  <si>
    <t>Easy Pit-Stops</t>
  </si>
  <si>
    <t>On routes, parks, attractions</t>
  </si>
  <si>
    <t>casual_family_restaurants</t>
  </si>
  <si>
    <t>Relaxed, unfussy, welcoming</t>
  </si>
  <si>
    <t>dining_with_space</t>
  </si>
  <si>
    <t>Outdoor Family Dining</t>
  </si>
  <si>
    <t>Gardens, play corners, outdoor areas</t>
  </si>
  <si>
    <t>destination_dining</t>
  </si>
  <si>
    <t>Destination Family Dining</t>
  </si>
  <si>
    <t>Food as part of a wider outing</t>
  </si>
  <si>
    <t>food_festival</t>
  </si>
  <si>
    <t>Food Festivals</t>
  </si>
  <si>
    <t>play_group</t>
  </si>
  <si>
    <t>club, event</t>
  </si>
  <si>
    <t>meet_up</t>
  </si>
  <si>
    <t>Meet-Up</t>
  </si>
  <si>
    <t>knitting_circle</t>
  </si>
  <si>
    <t>Knitting Circle</t>
  </si>
  <si>
    <t>book_club</t>
  </si>
  <si>
    <t>Book Club</t>
  </si>
  <si>
    <t>youth_group</t>
  </si>
  <si>
    <t>Youth Group</t>
  </si>
  <si>
    <t>toddler_group</t>
  </si>
  <si>
    <t>Toddler Group</t>
  </si>
  <si>
    <t>social_club</t>
  </si>
  <si>
    <t>detailed_weather_suitability</t>
  </si>
  <si>
    <t>Weather Conditions</t>
  </si>
  <si>
    <t>wet_rain</t>
  </si>
  <si>
    <t>Raining / wet</t>
  </si>
  <si>
    <t>icon_Cloud and light rain.png</t>
  </si>
  <si>
    <t>windy</t>
  </si>
  <si>
    <t>Windy (&gt; X mph)</t>
  </si>
  <si>
    <t>icon_Windy.png</t>
  </si>
  <si>
    <t>sunshine</t>
  </si>
  <si>
    <t>Sunshine</t>
  </si>
  <si>
    <t>icon_Snow - frost - Ice.png</t>
  </si>
  <si>
    <t>snow_ice</t>
  </si>
  <si>
    <t>Snow / sleet / ice</t>
  </si>
  <si>
    <t>icon_Sunny.png</t>
  </si>
  <si>
    <t>overcast</t>
  </si>
  <si>
    <t>Overcast / cloudy</t>
  </si>
  <si>
    <t>icon_Cloudy.png</t>
  </si>
  <si>
    <t>storm_heavy_rain</t>
  </si>
  <si>
    <t>Stormy / heavy rain / thunderstorms</t>
  </si>
  <si>
    <t>icon_Cloud and thunderstorms.png</t>
  </si>
  <si>
    <t>dry_mild</t>
  </si>
  <si>
    <t>Dry &amp; mild</t>
  </si>
  <si>
    <t>X–X°C</t>
  </si>
  <si>
    <t>dry_cold</t>
  </si>
  <si>
    <t>Dry &amp; cold</t>
  </si>
  <si>
    <t>&lt; X°C</t>
  </si>
  <si>
    <t>dry_warm</t>
  </si>
  <si>
    <t>Dry &amp; warm</t>
  </si>
  <si>
    <t>dry_hot</t>
  </si>
  <si>
    <t>Dry &amp; hot</t>
  </si>
  <si>
    <t>&gt; X°C</t>
  </si>
  <si>
    <t>Physical Setting</t>
  </si>
  <si>
    <t>physical_setting</t>
  </si>
  <si>
    <t>inside</t>
  </si>
  <si>
    <t>outside</t>
  </si>
  <si>
    <t>mixed_covering</t>
  </si>
  <si>
    <t>Age Suitability Bands</t>
  </si>
  <si>
    <t>age_suitability</t>
  </si>
  <si>
    <t>under_one</t>
  </si>
  <si>
    <t>Under 1's</t>
  </si>
  <si>
    <t>1_years</t>
  </si>
  <si>
    <t>2_years</t>
  </si>
  <si>
    <t>3_years</t>
  </si>
  <si>
    <t>4_years</t>
  </si>
  <si>
    <t>5_years</t>
  </si>
  <si>
    <t>6_years</t>
  </si>
  <si>
    <t>7_years</t>
  </si>
  <si>
    <t>8_years</t>
  </si>
  <si>
    <t>9_years</t>
  </si>
  <si>
    <t>10_years</t>
  </si>
  <si>
    <t>11_years</t>
  </si>
  <si>
    <t>12_years</t>
  </si>
  <si>
    <t>13_years</t>
  </si>
  <si>
    <t>13+</t>
  </si>
  <si>
    <t>16_years</t>
  </si>
  <si>
    <t>Estimated Time To Spend</t>
  </si>
  <si>
    <t>estimated_duration</t>
  </si>
  <si>
    <t>Estimated Duration</t>
  </si>
  <si>
    <t>under_thirty_mins</t>
  </si>
  <si>
    <t>icon_Duration.png</t>
  </si>
  <si>
    <t>thirty_sixty_mins</t>
  </si>
  <si>
    <t>one_two_hours</t>
  </si>
  <si>
    <t>two_three_hours</t>
  </si>
  <si>
    <t>2-3hrs</t>
  </si>
  <si>
    <t>four_plus</t>
  </si>
  <si>
    <t>4+ hours</t>
  </si>
  <si>
    <t>whole_day</t>
  </si>
  <si>
    <t>Whole Day</t>
  </si>
  <si>
    <t>functional_facility</t>
  </si>
  <si>
    <t>toilets</t>
  </si>
  <si>
    <t>icon_Toilets.png</t>
  </si>
  <si>
    <t>disabled_toilets</t>
  </si>
  <si>
    <t>Disabled toilets</t>
  </si>
  <si>
    <t>icon_Disabled toilets.png</t>
  </si>
  <si>
    <t>baby_changing</t>
  </si>
  <si>
    <t>Baby changing</t>
  </si>
  <si>
    <t>icon_Baby changing.png</t>
  </si>
  <si>
    <t>showers_changing</t>
  </si>
  <si>
    <t>Showers / changing facilities</t>
  </si>
  <si>
    <t>icon_Showers - changing facilities.png</t>
  </si>
  <si>
    <t>benches</t>
  </si>
  <si>
    <t>Bench Seating</t>
  </si>
  <si>
    <t>icon_Bench Seating.png</t>
  </si>
  <si>
    <t>picnic_benches</t>
  </si>
  <si>
    <t>Picnic Benches</t>
  </si>
  <si>
    <t>icon_Picnic Benches.png</t>
  </si>
  <si>
    <t>picnic_friendly</t>
  </si>
  <si>
    <t>BYO Picnic</t>
  </si>
  <si>
    <t>icon_Slowing Down.png</t>
  </si>
  <si>
    <t>parties_available</t>
  </si>
  <si>
    <t>Parties</t>
  </si>
  <si>
    <t>icon_Buggy friendly.png</t>
  </si>
  <si>
    <t>Buggy Friendly</t>
  </si>
  <si>
    <t>icon_Wheelchair friendly.png</t>
  </si>
  <si>
    <t>highchairs</t>
  </si>
  <si>
    <t>Highchairs</t>
  </si>
  <si>
    <t>icon_Highchairs.png</t>
  </si>
  <si>
    <t>indoor_seating</t>
  </si>
  <si>
    <t>Indoor Seating</t>
  </si>
  <si>
    <t>icon_Indoor Seating.png</t>
  </si>
  <si>
    <t>dogs_allowed</t>
  </si>
  <si>
    <t>icon_Dogs Allowed.png</t>
  </si>
  <si>
    <t>guided_tour</t>
  </si>
  <si>
    <t>Guided Tour</t>
  </si>
  <si>
    <t>icon_Guided Tour.png</t>
  </si>
  <si>
    <t>service_dogs_only</t>
  </si>
  <si>
    <t>Service Dogs Only</t>
  </si>
  <si>
    <t>icon_Service Dogs Only.png</t>
  </si>
  <si>
    <t>buggy loan</t>
  </si>
  <si>
    <t>Buggy Loan</t>
  </si>
  <si>
    <t>carrier_loan</t>
  </si>
  <si>
    <t>Baby Carrier Loan</t>
  </si>
  <si>
    <t>icon_Baby Carrier Hire.png</t>
  </si>
  <si>
    <t>outdoor_seating</t>
  </si>
  <si>
    <t>Outdoor Seating</t>
  </si>
  <si>
    <t>icon_Outdoor Seating.png</t>
  </si>
  <si>
    <t>camping_site</t>
  </si>
  <si>
    <t>Campsite</t>
  </si>
  <si>
    <t>icon_Campsite copy.png</t>
  </si>
  <si>
    <t>water_refill</t>
  </si>
  <si>
    <t>Water Refill</t>
  </si>
  <si>
    <t>icon_Water refill station.png</t>
  </si>
  <si>
    <t>parent_facility</t>
  </si>
  <si>
    <t>hot_drinks</t>
  </si>
  <si>
    <t>Hot Drinks</t>
  </si>
  <si>
    <t>icon_Hot Drinks.png</t>
  </si>
  <si>
    <t>comfy_seating</t>
  </si>
  <si>
    <t>Comfy Seating / Sofas</t>
  </si>
  <si>
    <t>icon_Comfy Seating - Sofas.png</t>
  </si>
  <si>
    <t>sunloungers</t>
  </si>
  <si>
    <t>Sunloungers</t>
  </si>
  <si>
    <t>icon_Sunloungers.png</t>
  </si>
  <si>
    <t>wifi</t>
  </si>
  <si>
    <t>WiFi</t>
  </si>
  <si>
    <t>icon_WiFi.png</t>
  </si>
  <si>
    <t>hot_cold_food</t>
  </si>
  <si>
    <t>Hot &amp; Cold food</t>
  </si>
  <si>
    <t>icon_Hot &amp; Cold food.png</t>
  </si>
  <si>
    <t>clear_sightlines</t>
  </si>
  <si>
    <t>icon_Clear Sightlines.png</t>
  </si>
  <si>
    <t>snacks</t>
  </si>
  <si>
    <t>Snacks</t>
  </si>
  <si>
    <t>icon_Snacks.png</t>
  </si>
  <si>
    <t>drinks_stand</t>
  </si>
  <si>
    <t>Drinks stand</t>
  </si>
  <si>
    <t>icon_Drinks stand.png</t>
  </si>
  <si>
    <t>sweet_treats</t>
  </si>
  <si>
    <t>Sweet treats</t>
  </si>
  <si>
    <t>icon_Sweet treats.png</t>
  </si>
  <si>
    <t>log_burner</t>
  </si>
  <si>
    <t>Log burner</t>
  </si>
  <si>
    <t>icon_Log burner.png</t>
  </si>
  <si>
    <t>book_shop</t>
  </si>
  <si>
    <t>Bookshop</t>
  </si>
  <si>
    <t>icon_Bookshop.png</t>
  </si>
  <si>
    <t>gift_shop</t>
  </si>
  <si>
    <t>Giftshop</t>
  </si>
  <si>
    <t>icon_Giftshop.png</t>
  </si>
  <si>
    <t>outdoor_terrace</t>
  </si>
  <si>
    <t>Outdoor terrace</t>
  </si>
  <si>
    <t>child_facility</t>
  </si>
  <si>
    <t>Kid Facilities</t>
  </si>
  <si>
    <t>colouring</t>
  </si>
  <si>
    <t>Colouring</t>
  </si>
  <si>
    <t>icon_Colouring.png</t>
  </si>
  <si>
    <t>ice_creams</t>
  </si>
  <si>
    <t>Ice creams</t>
  </si>
  <si>
    <t>icon_Ice creams.png</t>
  </si>
  <si>
    <t>activity_sheets</t>
  </si>
  <si>
    <t>Activity Sheets or Signs</t>
  </si>
  <si>
    <t>icon_Colouring copy.png</t>
  </si>
  <si>
    <t>activity_trail</t>
  </si>
  <si>
    <t>icon_Activity trail.png</t>
  </si>
  <si>
    <t>treasure_hunt</t>
  </si>
  <si>
    <t>Treasure hunt</t>
  </si>
  <si>
    <t xml:space="preserve"> icon_Treasure Hunt.png</t>
  </si>
  <si>
    <t>childrens_trail</t>
  </si>
  <si>
    <t>Children’s trail</t>
  </si>
  <si>
    <t>icon_Compass Star.png</t>
  </si>
  <si>
    <t>clues_games</t>
  </si>
  <si>
    <t>Clues / games</t>
  </si>
  <si>
    <t>icon_Clues - games.png</t>
  </si>
  <si>
    <t>indoor_games</t>
  </si>
  <si>
    <t>Indoor games (puzzles, boards)</t>
  </si>
  <si>
    <t>icon_Indoor games.png</t>
  </si>
  <si>
    <t>sandpit</t>
  </si>
  <si>
    <t>Sandpit</t>
  </si>
  <si>
    <t>icon_Sandpit.png</t>
  </si>
  <si>
    <t>zip_line</t>
  </si>
  <si>
    <t>Zip Line</t>
  </si>
  <si>
    <t>icon_Zip Line.png</t>
  </si>
  <si>
    <t>rope_swings</t>
  </si>
  <si>
    <t>Rope Swings</t>
  </si>
  <si>
    <t>icon_Rope Swings.png</t>
  </si>
  <si>
    <t>ride_on_vehicles</t>
  </si>
  <si>
    <t>Ride on Vehicles</t>
  </si>
  <si>
    <t>icon_Ride on Vehicles.png</t>
  </si>
  <si>
    <t>tractor_rides</t>
  </si>
  <si>
    <t>Tractor Rides</t>
  </si>
  <si>
    <t>icon_Tractor Rides.png</t>
  </si>
  <si>
    <t>childrens_menu</t>
  </si>
  <si>
    <t>Children's Menu</t>
  </si>
  <si>
    <t>icon_Children's Menu.png</t>
  </si>
  <si>
    <t>swings_slides</t>
  </si>
  <si>
    <t>Swings, Slides, Climbing Frames</t>
  </si>
  <si>
    <t>icon_Swings, Slides, Climbing Frames.png</t>
  </si>
  <si>
    <t>soft_play_space</t>
  </si>
  <si>
    <t>Indoor Play Space</t>
  </si>
  <si>
    <t>icon_Indoor Play Space.png</t>
  </si>
  <si>
    <t>play_equipment</t>
  </si>
  <si>
    <t>Outdoor play equipment</t>
  </si>
  <si>
    <t>dog_facility</t>
  </si>
  <si>
    <t>dog_bins</t>
  </si>
  <si>
    <t>Poo Bins</t>
  </si>
  <si>
    <t>icon_Dog facilities.png</t>
  </si>
  <si>
    <t>dog_wash</t>
  </si>
  <si>
    <t>Dog Wash</t>
  </si>
  <si>
    <t>dog_kennels</t>
  </si>
  <si>
    <t>(Free) Dog Kennels</t>
  </si>
  <si>
    <t>lead_only</t>
  </si>
  <si>
    <t>parking_provision</t>
  </si>
  <si>
    <t>car_parking_paid</t>
  </si>
  <si>
    <t>icon_Car Parking.png</t>
  </si>
  <si>
    <t>car_parking_free</t>
  </si>
  <si>
    <t>car_parking_members_only</t>
  </si>
  <si>
    <t>Members Only Car Park</t>
  </si>
  <si>
    <t>on_street_nearby</t>
  </si>
  <si>
    <t>disabled_bays</t>
  </si>
  <si>
    <t>Disabled parking bays</t>
  </si>
  <si>
    <t>horse_parking</t>
  </si>
  <si>
    <t>Horse “parking”</t>
  </si>
  <si>
    <t>bike_racks</t>
  </si>
  <si>
    <t>Bike racks / bays</t>
  </si>
  <si>
    <t>extra_kit</t>
  </si>
  <si>
    <t>Extra Kit: Pushchair &amp; carrying</t>
  </si>
  <si>
    <t>pram_buggy_road</t>
  </si>
  <si>
    <t>Pram / buggy (road surfaces)</t>
  </si>
  <si>
    <t>xcountry_buggy</t>
  </si>
  <si>
    <t>XC Buggy</t>
  </si>
  <si>
    <t>sling_carrier</t>
  </si>
  <si>
    <t>Sling / baby carrier</t>
  </si>
  <si>
    <t>toddler_carrier</t>
  </si>
  <si>
    <t>Infant / toddler carrier</t>
  </si>
  <si>
    <t>Extra Kit: Water &amp; beach</t>
  </si>
  <si>
    <t>swimming_kit</t>
  </si>
  <si>
    <t>Swimming kit</t>
  </si>
  <si>
    <t>towels</t>
  </si>
  <si>
    <t>Towels</t>
  </si>
  <si>
    <t>water_shoes</t>
  </si>
  <si>
    <t>Water shoes</t>
  </si>
  <si>
    <t>beach_toys</t>
  </si>
  <si>
    <t>Beach toys</t>
  </si>
  <si>
    <t>sand_toys</t>
  </si>
  <si>
    <t>tide_times</t>
  </si>
  <si>
    <t>Tide timetable</t>
  </si>
  <si>
    <t>dry_bags</t>
  </si>
  <si>
    <t>Dry bags</t>
  </si>
  <si>
    <t>fishing_nets</t>
  </si>
  <si>
    <t>Buckets &amp; nets</t>
  </si>
  <si>
    <t>fishing_rods_bait</t>
  </si>
  <si>
    <t>Fishing rods &amp; bait</t>
  </si>
  <si>
    <t>wetsuits</t>
  </si>
  <si>
    <t>Wetsuits</t>
  </si>
  <si>
    <t>wetsuit_boots</t>
  </si>
  <si>
    <t>Wetsuit Boots</t>
  </si>
  <si>
    <t>snorkel_mask</t>
  </si>
  <si>
    <t>Snorkel &amp; Mask</t>
  </si>
  <si>
    <t>Extra Kit: Weather &amp; clothing</t>
  </si>
  <si>
    <t>sunshine_kit</t>
  </si>
  <si>
    <t>Sun kit (SPF, hats, sunglasses)</t>
  </si>
  <si>
    <t>waterproofs</t>
  </si>
  <si>
    <t>Waterproof clothing</t>
  </si>
  <si>
    <t>wellies</t>
  </si>
  <si>
    <t>warm_clothes</t>
  </si>
  <si>
    <t>Change of clothes</t>
  </si>
  <si>
    <t>sturdy_footwear</t>
  </si>
  <si>
    <t>Sturdy footwear</t>
  </si>
  <si>
    <t>Extra Kit: Visibility &amp; gear</t>
  </si>
  <si>
    <t>torch</t>
  </si>
  <si>
    <t>Torch</t>
  </si>
  <si>
    <t>headtorch</t>
  </si>
  <si>
    <t>Headtorch</t>
  </si>
  <si>
    <t>binoculars</t>
  </si>
  <si>
    <t>Binoculars</t>
  </si>
  <si>
    <t>Extra Kit: Other</t>
  </si>
  <si>
    <t>activity_specific_clothing</t>
  </si>
  <si>
    <t>chalk_bag</t>
  </si>
  <si>
    <t>Chalk Bag</t>
  </si>
  <si>
    <t>kite_play</t>
  </si>
  <si>
    <t>Kite</t>
  </si>
  <si>
    <t>indoor_activities_kit</t>
  </si>
  <si>
    <t>Indoor activities (colouring, puzzles)</t>
  </si>
  <si>
    <t>cash_payments</t>
  </si>
  <si>
    <t>Cash - no card payments</t>
  </si>
  <si>
    <t>cashless_payments_only</t>
  </si>
  <si>
    <t>Cashless - bring a bank card</t>
  </si>
  <si>
    <t>camping_gear</t>
  </si>
  <si>
    <t>Camping Gear</t>
  </si>
  <si>
    <t>Seasonal Tags</t>
  </si>
  <si>
    <t>seasonal_tag</t>
  </si>
  <si>
    <t>christmas</t>
  </si>
  <si>
    <t>Christmas</t>
  </si>
  <si>
    <t>advent</t>
  </si>
  <si>
    <t>Advent</t>
  </si>
  <si>
    <t>winter</t>
  </si>
  <si>
    <t>Winter</t>
  </si>
  <si>
    <t>valentines</t>
  </si>
  <si>
    <t>Valentine’s</t>
  </si>
  <si>
    <t>winter_solstice</t>
  </si>
  <si>
    <t>Winter solstice</t>
  </si>
  <si>
    <t>spring_flowers</t>
  </si>
  <si>
    <t>easter</t>
  </si>
  <si>
    <t>Easter</t>
  </si>
  <si>
    <t>lent</t>
  </si>
  <si>
    <t>Lent</t>
  </si>
  <si>
    <t>autumn</t>
  </si>
  <si>
    <t>Autumn</t>
  </si>
  <si>
    <t>summer</t>
  </si>
  <si>
    <t>summer_solstice</t>
  </si>
  <si>
    <t>Summer solstice</t>
  </si>
  <si>
    <t>autumn_colours</t>
  </si>
  <si>
    <t>Autumn colours</t>
  </si>
  <si>
    <t>halloween</t>
  </si>
  <si>
    <t>Halloween</t>
  </si>
  <si>
    <t>guy_fawkes</t>
  </si>
  <si>
    <t>Guy Fawkes</t>
  </si>
  <si>
    <t>summer_holiday_clubs</t>
  </si>
  <si>
    <t>Summer holiday clubs</t>
  </si>
  <si>
    <t>half_term_clubs</t>
  </si>
  <si>
    <t>Half term clubs</t>
  </si>
  <si>
    <t>seasonal_highlights</t>
  </si>
  <si>
    <t>Spring Highlights</t>
  </si>
  <si>
    <t>seasonal_highlights_spring</t>
  </si>
  <si>
    <t>Birdsong</t>
  </si>
  <si>
    <t>icon_Spring highlight.png</t>
  </si>
  <si>
    <t>Bluebells</t>
  </si>
  <si>
    <t>Daffodills</t>
  </si>
  <si>
    <t>Foals</t>
  </si>
  <si>
    <t>Baby Lambs</t>
  </si>
  <si>
    <t>Seasonal Flowers</t>
  </si>
  <si>
    <t>Returning swallows, swifts (birds)</t>
  </si>
  <si>
    <t>New Ponies</t>
  </si>
  <si>
    <t>Summer Highlights</t>
  </si>
  <si>
    <t>seasonal_highlights_summer</t>
  </si>
  <si>
    <t>Wildflower Meadows</t>
  </si>
  <si>
    <t>icon_Summer highlight.png</t>
  </si>
  <si>
    <t>Butterflies</t>
  </si>
  <si>
    <t>Seabird Colonies</t>
  </si>
  <si>
    <t>PYO Flowers</t>
  </si>
  <si>
    <t>PYO Fruit</t>
  </si>
  <si>
    <t>PYO Vegetables</t>
  </si>
  <si>
    <t>Maize Maze</t>
  </si>
  <si>
    <t>Kingfisher Spotting</t>
  </si>
  <si>
    <t>River wildlife spotting</t>
  </si>
  <si>
    <t>Glow worms</t>
  </si>
  <si>
    <t>Wildflowers</t>
  </si>
  <si>
    <t>Marine Wildlife Spotting</t>
  </si>
  <si>
    <t>Seasonal water fun</t>
  </si>
  <si>
    <t>Watersports Hire</t>
  </si>
  <si>
    <t>Ice Creams</t>
  </si>
  <si>
    <t>Garden games</t>
  </si>
  <si>
    <t>Marine Life</t>
  </si>
  <si>
    <t>Fruit Picking</t>
  </si>
  <si>
    <t>Dragonflies &amp; Damselflies</t>
  </si>
  <si>
    <t>Autumn Highlights</t>
  </si>
  <si>
    <t>seasonal_highlights_autumn</t>
  </si>
  <si>
    <t>Autumn pony drifts</t>
  </si>
  <si>
    <t>icon_Autumn highlight.png</t>
  </si>
  <si>
    <t>Truffling Pigs</t>
  </si>
  <si>
    <t>Red Deer Ruts</t>
  </si>
  <si>
    <t>Fungi</t>
  </si>
  <si>
    <t>Apple Picking</t>
  </si>
  <si>
    <t>Blackberry Picking</t>
  </si>
  <si>
    <t>Autumnal Drinks</t>
  </si>
  <si>
    <t>Migrating Birds</t>
  </si>
  <si>
    <t>Autumn Leaves</t>
  </si>
  <si>
    <t>Berries, Nuts, Conkers</t>
  </si>
  <si>
    <t>Winter Highlights</t>
  </si>
  <si>
    <t>seasonal_highlights_winter</t>
  </si>
  <si>
    <t>Snowdrops</t>
  </si>
  <si>
    <t>icon_Winter highlight.png</t>
  </si>
  <si>
    <t>Crocus Lawn</t>
  </si>
  <si>
    <t>Starling Murmurations</t>
  </si>
  <si>
    <t>Festive Displays</t>
  </si>
  <si>
    <t>Barn Owl Spotting</t>
  </si>
  <si>
    <t>Sledging Spot</t>
  </si>
  <si>
    <t>Route Specific</t>
  </si>
  <si>
    <t>circular</t>
  </si>
  <si>
    <t>icon_Circular (route type).png</t>
  </si>
  <si>
    <t>out_and_back</t>
  </si>
  <si>
    <t>icon_Out-and-back (route type).png</t>
  </si>
  <si>
    <t>point_to_point</t>
  </si>
  <si>
    <t>Point to point</t>
  </si>
  <si>
    <t>icon_Point to point (route type).png</t>
  </si>
  <si>
    <t>loop_with_variations</t>
  </si>
  <si>
    <t>trail_network</t>
  </si>
  <si>
    <t>Trail network</t>
  </si>
  <si>
    <t>icon_Trail network (route type).png</t>
  </si>
  <si>
    <t>buggy_friendly</t>
  </si>
  <si>
    <t>Buggy friendly</t>
  </si>
  <si>
    <t>dog_friendly</t>
  </si>
  <si>
    <t>Dog friendly</t>
  </si>
  <si>
    <t>icon_Dog friendly.png</t>
  </si>
  <si>
    <t>scooter_route</t>
  </si>
  <si>
    <t>Scooter route</t>
  </si>
  <si>
    <t>icon_Scooter route.png</t>
  </si>
  <si>
    <t>cycle_route</t>
  </si>
  <si>
    <t>Cycle route</t>
  </si>
  <si>
    <t>icon_Cycle route.png</t>
  </si>
  <si>
    <t>bike_route</t>
  </si>
  <si>
    <t>icon_Mountain Bikes Only.png</t>
  </si>
  <si>
    <t>wheelchair_friendly</t>
  </si>
  <si>
    <t>Wheelchair friendly</t>
  </si>
  <si>
    <t>carrier_only</t>
  </si>
  <si>
    <t>Carrier Only</t>
  </si>
  <si>
    <t>icon_Kids Carrier Only.png</t>
  </si>
  <si>
    <t>offroad_buggy_only</t>
  </si>
  <si>
    <t>Off-road Buggies only</t>
  </si>
  <si>
    <t>icon_Off-road Buggies only.png</t>
  </si>
  <si>
    <t>terrain_type</t>
  </si>
  <si>
    <t>steep</t>
  </si>
  <si>
    <t>Steep</t>
  </si>
  <si>
    <t>icon_Terrain Type.png</t>
  </si>
  <si>
    <t>undulating</t>
  </si>
  <si>
    <t>Undulating</t>
  </si>
  <si>
    <t>flat</t>
  </si>
  <si>
    <t>Flat</t>
  </si>
  <si>
    <t>mixed</t>
  </si>
  <si>
    <t>steps</t>
  </si>
  <si>
    <t>Steps</t>
  </si>
  <si>
    <t>rocky</t>
  </si>
  <si>
    <t>Rocky</t>
  </si>
  <si>
    <t>gravel</t>
  </si>
  <si>
    <t>Gravel</t>
  </si>
  <si>
    <t>uneven</t>
  </si>
  <si>
    <t>Uneven</t>
  </si>
  <si>
    <t>surfaced_smooth</t>
  </si>
  <si>
    <t>Surfaced / smooth</t>
  </si>
  <si>
    <t>sand</t>
  </si>
  <si>
    <t>Sand</t>
  </si>
  <si>
    <t>woodland_track</t>
  </si>
  <si>
    <t>Route Difficulty</t>
  </si>
  <si>
    <t>easy</t>
  </si>
  <si>
    <t>moderate</t>
  </si>
  <si>
    <t>challenging</t>
  </si>
  <si>
    <t>Club Specific</t>
  </si>
  <si>
    <t>workshop</t>
  </si>
  <si>
    <t>stay_and_play_supervised</t>
  </si>
  <si>
    <t>lesson</t>
  </si>
  <si>
    <t>free_play_unsupervised</t>
  </si>
  <si>
    <t>training</t>
  </si>
  <si>
    <t>Club Frequency</t>
  </si>
  <si>
    <t>one_off</t>
  </si>
  <si>
    <t>One-off</t>
  </si>
  <si>
    <t>daily</t>
  </si>
  <si>
    <t>weekly</t>
  </si>
  <si>
    <t>monthly</t>
  </si>
  <si>
    <t>annual</t>
  </si>
  <si>
    <t>Annual</t>
  </si>
  <si>
    <t>Club Break Schedule</t>
  </si>
  <si>
    <t>term_time</t>
  </si>
  <si>
    <t>all_year</t>
  </si>
  <si>
    <t>holiday_only</t>
  </si>
  <si>
    <t>variable</t>
  </si>
  <si>
    <t>Variable</t>
  </si>
  <si>
    <t>Club Committment</t>
  </si>
  <si>
    <t>payg_one_off</t>
  </si>
  <si>
    <t>termly_blocks</t>
  </si>
  <si>
    <t>annually</t>
  </si>
  <si>
    <t>Annually</t>
  </si>
  <si>
    <t>membership</t>
  </si>
  <si>
    <t>Membership</t>
  </si>
  <si>
    <t>skill_area</t>
  </si>
  <si>
    <t>club, event, venue</t>
  </si>
  <si>
    <t>ability_level</t>
  </si>
  <si>
    <t>novice</t>
  </si>
  <si>
    <t>beginner</t>
  </si>
  <si>
    <t>intermediate</t>
  </si>
  <si>
    <t>expert</t>
  </si>
  <si>
    <t>Event Specific</t>
  </si>
  <si>
    <t>social_gathering</t>
  </si>
  <si>
    <t>Social Gathering</t>
  </si>
  <si>
    <t>shared_meal</t>
  </si>
  <si>
    <t>Shared Meal</t>
  </si>
  <si>
    <t>workshop_or_talk</t>
  </si>
  <si>
    <t>Workshop or talk</t>
  </si>
  <si>
    <t>crafty_making</t>
  </si>
  <si>
    <t>Craft- or Skills-based</t>
  </si>
  <si>
    <t>festive</t>
  </si>
  <si>
    <t>Festive</t>
  </si>
  <si>
    <t>nature_based</t>
  </si>
  <si>
    <t>formal_event</t>
  </si>
  <si>
    <t>Formal Event or Dinner</t>
  </si>
  <si>
    <t>country_show</t>
  </si>
  <si>
    <t>Agricultural or County Show</t>
  </si>
  <si>
    <t>festival</t>
  </si>
  <si>
    <t>Festival</t>
  </si>
  <si>
    <t>music_event</t>
  </si>
  <si>
    <t>performance</t>
  </si>
  <si>
    <t>Performance</t>
  </si>
  <si>
    <t>entertainment</t>
  </si>
  <si>
    <t>Entertainment</t>
  </si>
  <si>
    <t>sport_based</t>
  </si>
  <si>
    <t>Sporting</t>
  </si>
  <si>
    <t>foraging</t>
  </si>
  <si>
    <t>Foraging, Fruit Picking</t>
  </si>
  <si>
    <t>tasting_event</t>
  </si>
  <si>
    <t>Tasting Event</t>
  </si>
  <si>
    <t>themed</t>
  </si>
  <si>
    <t>PYO</t>
  </si>
  <si>
    <t>family_fun_day</t>
  </si>
  <si>
    <t>booking_type</t>
  </si>
  <si>
    <t>advance_book</t>
  </si>
  <si>
    <t>icon_Book Tickets.png</t>
  </si>
  <si>
    <t>pay_on_arrival</t>
  </si>
  <si>
    <t>open_access</t>
  </si>
  <si>
    <t>pre_register</t>
  </si>
  <si>
    <t>Pre-Register</t>
  </si>
  <si>
    <t>members_only</t>
  </si>
  <si>
    <t>Memberships</t>
  </si>
  <si>
    <t>ticket_variant</t>
  </si>
  <si>
    <t>baby</t>
  </si>
  <si>
    <t>Baby</t>
  </si>
  <si>
    <t>venue, event, club, route</t>
  </si>
  <si>
    <t>fixed_child</t>
  </si>
  <si>
    <t>young_child</t>
  </si>
  <si>
    <t>older_child</t>
  </si>
  <si>
    <t>adult</t>
  </si>
  <si>
    <t>Adult</t>
  </si>
  <si>
    <t>concession</t>
  </si>
  <si>
    <t>Concession</t>
  </si>
  <si>
    <t>group</t>
  </si>
  <si>
    <t>Attractions / Highlights</t>
  </si>
  <si>
    <t>scenic_walks_attraction</t>
  </si>
  <si>
    <t>waterfalls</t>
  </si>
  <si>
    <t>Waterfalls</t>
  </si>
  <si>
    <t>rivers_and_streams</t>
  </si>
  <si>
    <t>Rivers &amp; streams</t>
  </si>
  <si>
    <t>natural_paddling</t>
  </si>
  <si>
    <t>Natural paddling spots</t>
  </si>
  <si>
    <t>lakes_reservoirs</t>
  </si>
  <si>
    <t>Lakes &amp; reservoirs</t>
  </si>
  <si>
    <t>beaches_coves</t>
  </si>
  <si>
    <t>Beaches or coves</t>
  </si>
  <si>
    <t>rockpools</t>
  </si>
  <si>
    <t>Rockpools</t>
  </si>
  <si>
    <t>cliffs_headlands</t>
  </si>
  <si>
    <t>ancient_trees</t>
  </si>
  <si>
    <t>bridges</t>
  </si>
  <si>
    <t>stepping_stones</t>
  </si>
  <si>
    <t>rock_formations</t>
  </si>
  <si>
    <t>panoramic_views</t>
  </si>
  <si>
    <t>coastal_views</t>
  </si>
  <si>
    <t>countryside_views</t>
  </si>
  <si>
    <t>elevated_viewpoints</t>
  </si>
  <si>
    <t>scenic_valleys</t>
  </si>
  <si>
    <t>historic_ruins</t>
  </si>
  <si>
    <t>waymarked_features</t>
  </si>
  <si>
    <t>green_spaces_attraction</t>
  </si>
  <si>
    <t>Room to run freely</t>
  </si>
  <si>
    <t>Open sightlines</t>
  </si>
  <si>
    <t>Scenic backdrops</t>
  </si>
  <si>
    <t>Rolling landscapes</t>
  </si>
  <si>
    <t>Natural play features (logs, slopes, rocks)</t>
  </si>
  <si>
    <t>Climbable trees</t>
  </si>
  <si>
    <t>Grassy banks</t>
  </si>
  <si>
    <t>Small hills / mounds</t>
  </si>
  <si>
    <t>Play equipment</t>
  </si>
  <si>
    <t>Football or Rugby Posts</t>
  </si>
  <si>
    <t>Marked Trails</t>
  </si>
  <si>
    <t>Children’s Activity Trails</t>
  </si>
  <si>
    <t>nature_wildlife_attraction</t>
  </si>
  <si>
    <t>Climbing Logs or balance beams</t>
  </si>
  <si>
    <t>Mud kitchens</t>
  </si>
  <si>
    <t>Sand, soil, and loose materials</t>
  </si>
  <si>
    <t>Den-building materials</t>
  </si>
  <si>
    <t>Natural construction zones</t>
  </si>
  <si>
    <t>Mud and puddles</t>
  </si>
  <si>
    <t>Shallow water play (streams, channels)</t>
  </si>
  <si>
    <t>Forest school activities</t>
  </si>
  <si>
    <t>Guided outdoor learning prompts</t>
  </si>
  <si>
    <t>Letterboxing</t>
  </si>
  <si>
    <t>Fossil Hunting</t>
  </si>
  <si>
    <t>Farming school activities</t>
  </si>
  <si>
    <t>Simple tool use (supervised)</t>
  </si>
  <si>
    <t>Fire pits (when part of structured sessions)</t>
  </si>
  <si>
    <t>Immersive natural surroundings</t>
  </si>
  <si>
    <t>Quiet or low-intervention spaces</t>
  </si>
  <si>
    <t>Enclosed or defined play zones</t>
  </si>
  <si>
    <t>coastal_adventures_attraction</t>
  </si>
  <si>
    <t>Seaweed beds</t>
  </si>
  <si>
    <t>Shell or seaglass collecting</t>
  </si>
  <si>
    <t>Crabbing</t>
  </si>
  <si>
    <t>Diggable sand (Sandcastles)</t>
  </si>
  <si>
    <t>Smooth pebbles</t>
  </si>
  <si>
    <t>Shallow paddling</t>
  </si>
  <si>
    <t>Streams or channels</t>
  </si>
  <si>
    <t>Coves &amp; inlets</t>
  </si>
  <si>
    <t>Rock formations</t>
  </si>
  <si>
    <t>Cliffs Or Headlands</t>
  </si>
  <si>
    <t>Caves</t>
  </si>
  <si>
    <t>Sand dunes</t>
  </si>
  <si>
    <t>Estuary edges</t>
  </si>
  <si>
    <t>Coastal Wildlife</t>
  </si>
  <si>
    <t>Equipment Hire</t>
  </si>
  <si>
    <t>Watersports Lessons</t>
  </si>
  <si>
    <t>Bodyboarding</t>
  </si>
  <si>
    <t>Kayaking / SUP</t>
  </si>
  <si>
    <t>Slipway</t>
  </si>
  <si>
    <t>Harbour</t>
  </si>
  <si>
    <t>Seasonally Lifeguarded</t>
  </si>
  <si>
    <t>Dog Friendly - seasonal leads</t>
  </si>
  <si>
    <t>Dog Friendly - off lead all year</t>
  </si>
  <si>
    <t>Boat trips nearby</t>
  </si>
  <si>
    <t>Toilets nearby</t>
  </si>
  <si>
    <t>Beach Cafe</t>
  </si>
  <si>
    <t>Promenade</t>
  </si>
  <si>
    <t>gardens_outdoor_attraction</t>
  </si>
  <si>
    <t>Designed or sculpted landscapes</t>
  </si>
  <si>
    <t>Seasonal foliage</t>
  </si>
  <si>
    <t>Seasonal or curated displays</t>
  </si>
  <si>
    <t>Meadows &amp; wild grass</t>
  </si>
  <si>
    <t>Lakes or wildlife ponds</t>
  </si>
  <si>
    <t>Vegetable gardens &amp; growing spaces</t>
  </si>
  <si>
    <t>Meandering paths</t>
  </si>
  <si>
    <t>Hidden corners, passageways, gates &amp; gardens</t>
  </si>
  <si>
    <t>Garden “rooms”</t>
  </si>
  <si>
    <t>Bug hotels, discovery boards</t>
  </si>
  <si>
    <t>Bird Hydes &amp; Viewing Platforms</t>
  </si>
  <si>
    <t>Historic features</t>
  </si>
  <si>
    <t>Statues &amp; sculptures</t>
  </si>
  <si>
    <t>Maze</t>
  </si>
  <si>
    <t>Greenhouses &amp; tropical plants</t>
  </si>
  <si>
    <t>Biomes &amp; unusual environments</t>
  </si>
  <si>
    <t>Conservation displays or learning</t>
  </si>
  <si>
    <t>active_play_attraction</t>
  </si>
  <si>
    <t>Rope bridges</t>
  </si>
  <si>
    <t>Climbing frames</t>
  </si>
  <si>
    <t>Balance elements</t>
  </si>
  <si>
    <t>Scramble nets</t>
  </si>
  <si>
    <t>Stepping obstacles</t>
  </si>
  <si>
    <t>Towers and platforms</t>
  </si>
  <si>
    <t>Slides</t>
  </si>
  <si>
    <t>Zip wires</t>
  </si>
  <si>
    <t>Fireman's poles</t>
  </si>
  <si>
    <t>Ropes &amp; aerial adventures</t>
  </si>
  <si>
    <t>Climbing rocks or bouldering</t>
  </si>
  <si>
    <t>Climbing wall</t>
  </si>
  <si>
    <t>Rope swings</t>
  </si>
  <si>
    <t>Abseiling or high ropes</t>
  </si>
  <si>
    <t>Fort-style structures</t>
  </si>
  <si>
    <t>Lookout points</t>
  </si>
  <si>
    <t>Tunnels and crawl spaces</t>
  </si>
  <si>
    <t>Obstacle courses</t>
  </si>
  <si>
    <t>Mixed-difficulty zones</t>
  </si>
  <si>
    <t>Enclosed adventure zones</t>
  </si>
  <si>
    <t>Clear sightlines for adults</t>
  </si>
  <si>
    <t>Orienteering</t>
  </si>
  <si>
    <t>Water play features</t>
  </si>
  <si>
    <t>Swings</t>
  </si>
  <si>
    <t>Basket / nest swings</t>
  </si>
  <si>
    <t>Roundabouts</t>
  </si>
  <si>
    <t>Seesaws</t>
  </si>
  <si>
    <t>Springers / rockers</t>
  </si>
  <si>
    <t>Ground trampolines</t>
  </si>
  <si>
    <t>Sand play area</t>
  </si>
  <si>
    <t>Mud kitchen</t>
  </si>
  <si>
    <t>Den building area</t>
  </si>
  <si>
    <t>Log balance trail</t>
  </si>
  <si>
    <t>Natural boulders</t>
  </si>
  <si>
    <t>Stream or water channel</t>
  </si>
  <si>
    <t>Wooded setting</t>
  </si>
  <si>
    <t>Open grass / running space</t>
  </si>
  <si>
    <t>Bowl</t>
  </si>
  <si>
    <t>Quarter pipes</t>
  </si>
  <si>
    <t>Street skating features</t>
  </si>
  <si>
    <t>Pump track</t>
  </si>
  <si>
    <t>BMX track</t>
  </si>
  <si>
    <t>Dirt jumps</t>
  </si>
  <si>
    <t>Wheelchair accessible equipment</t>
  </si>
  <si>
    <t>Inclusive swings</t>
  </si>
  <si>
    <t>Sensory play features</t>
  </si>
  <si>
    <t>sporty_activities_attraction</t>
  </si>
  <si>
    <t>Early access introduction</t>
  </si>
  <si>
    <t>Skill progression</t>
  </si>
  <si>
    <t>Confidence building</t>
  </si>
  <si>
    <t>Coordination &amp; balance</t>
  </si>
  <si>
    <t>Strength &amp; agility</t>
  </si>
  <si>
    <t>Structured coaching</t>
  </si>
  <si>
    <t>Mixed-ability sessions</t>
  </si>
  <si>
    <t>Team-based</t>
  </si>
  <si>
    <t>Friendly competition</t>
  </si>
  <si>
    <t>Non-competitive options</t>
  </si>
  <si>
    <t>Indoor sports halls</t>
  </si>
  <si>
    <t>Outdoor pitches</t>
  </si>
  <si>
    <t>Purpose-built facilities</t>
  </si>
  <si>
    <t>Safe enclosed spaces</t>
  </si>
  <si>
    <t>All-weather options</t>
  </si>
  <si>
    <t>Sea-sports</t>
  </si>
  <si>
    <t>Athletics &amp; Running</t>
  </si>
  <si>
    <t>Parkour &amp; freerunning</t>
  </si>
  <si>
    <t>Racquet sports</t>
  </si>
  <si>
    <t>Ninja warrior style courses</t>
  </si>
  <si>
    <t>Assault courses</t>
  </si>
  <si>
    <t>Aerial / high ropes (indoor)</t>
  </si>
  <si>
    <t>Ball Sports</t>
  </si>
  <si>
    <t>Outdoor Fitness</t>
  </si>
  <si>
    <t>Dance &amp; Movement</t>
  </si>
  <si>
    <t>Movement skills training</t>
  </si>
  <si>
    <t>wheels_routes_attraction</t>
  </si>
  <si>
    <t>Traffic-free sections</t>
  </si>
  <si>
    <t>Wide pathways</t>
  </si>
  <si>
    <t>Clear sightlines</t>
  </si>
  <si>
    <t>Riverside stretches</t>
  </si>
  <si>
    <t>Canal views</t>
  </si>
  <si>
    <t>Parkland surroundings</t>
  </si>
  <si>
    <t>Coastal promenades</t>
  </si>
  <si>
    <t>Bridges and landmarks</t>
  </si>
  <si>
    <t>Natural jumps, ramps or fun features</t>
  </si>
  <si>
    <t>Scooter-friendly</t>
  </si>
  <si>
    <t>High-adrenaline routes, jumps or terrain</t>
  </si>
  <si>
    <t>Points of interest along the way</t>
  </si>
  <si>
    <t>Play areas en route</t>
  </si>
  <si>
    <t>Stops for snacks or picnics</t>
  </si>
  <si>
    <t>Short loops</t>
  </si>
  <si>
    <t>Multiple access points</t>
  </si>
  <si>
    <t>Easy parking nearby</t>
  </si>
  <si>
    <t>Cafés or facilities along the route</t>
  </si>
  <si>
    <t>water_fun_attraction</t>
  </si>
  <si>
    <t>Shallow water</t>
  </si>
  <si>
    <t>Deep water or plunge pools</t>
  </si>
  <si>
    <t>Paddling spots</t>
  </si>
  <si>
    <t>Natural Swimming Spots</t>
  </si>
  <si>
    <t>Sheltered or shaded options</t>
  </si>
  <si>
    <t>Predictable tides or flow</t>
  </si>
  <si>
    <t>Lifeguarded areas (where applicable)</t>
  </si>
  <si>
    <t>Instructor support</t>
  </si>
  <si>
    <t>Splash-friendly areas</t>
  </si>
  <si>
    <t>Opportunities to explore</t>
  </si>
  <si>
    <t>Fishing licenses; fishing spot</t>
  </si>
  <si>
    <t>Jetty</t>
  </si>
  <si>
    <t>River access for small boats or paddleboards</t>
  </si>
  <si>
    <t>White water for experienced kayaking</t>
  </si>
  <si>
    <t>Rowing boats or small crafts</t>
  </si>
  <si>
    <t>Lakes or reservoirs</t>
  </si>
  <si>
    <t>Rivers or estuaries</t>
  </si>
  <si>
    <t>Blue Flag Beach</t>
  </si>
  <si>
    <t>Raft Building</t>
  </si>
  <si>
    <t>Splash Pads / Sprinklers</t>
  </si>
  <si>
    <t>Water slides</t>
  </si>
  <si>
    <t>Inflatables</t>
  </si>
  <si>
    <t>Wave machines</t>
  </si>
  <si>
    <t>Water rides</t>
  </si>
  <si>
    <t>Woodland or countryside setting</t>
  </si>
  <si>
    <t>creative_play_attraction</t>
  </si>
  <si>
    <t>Messy, hands-on crafts</t>
  </si>
  <si>
    <t>Music or singing</t>
  </si>
  <si>
    <t>Take-home creations</t>
  </si>
  <si>
    <t>Drawing or sketching</t>
  </si>
  <si>
    <t>Guided creative sessions</t>
  </si>
  <si>
    <t>Drama &amp; Theatre</t>
  </si>
  <si>
    <t>Open-ended creativity</t>
  </si>
  <si>
    <t>Small group workshops</t>
  </si>
  <si>
    <t>Drop-in creative tables</t>
  </si>
  <si>
    <t>Pottery, ceramics or clay</t>
  </si>
  <si>
    <t>Painting or brushwork</t>
  </si>
  <si>
    <t>Needlecraft instruction, lessons or talks</t>
  </si>
  <si>
    <t>Storytelling or Creative Writing</t>
  </si>
  <si>
    <t>Photography opportunities</t>
  </si>
  <si>
    <t>Performance opportunities</t>
  </si>
  <si>
    <t>Imaginative freedom</t>
  </si>
  <si>
    <t>Confidence-building environments</t>
  </si>
  <si>
    <t>Supportive facilitators</t>
  </si>
  <si>
    <t>Calm, focused spaces</t>
  </si>
  <si>
    <t>Creative studios</t>
  </si>
  <si>
    <t>Informal, welcoming environments</t>
  </si>
  <si>
    <t>imaginative_play_attraction</t>
  </si>
  <si>
    <t>Themed environments</t>
  </si>
  <si>
    <t>Immersive settings</t>
  </si>
  <si>
    <t>Dressing Up Clothes</t>
  </si>
  <si>
    <t>Ride-on vehicles or toys</t>
  </si>
  <si>
    <t>Narrative backdrops</t>
  </si>
  <si>
    <t>Role-based scenarios</t>
  </si>
  <si>
    <t>Character-led play</t>
  </si>
  <si>
    <t>Story-led experiences</t>
  </si>
  <si>
    <t>Mission or quest elements</t>
  </si>
  <si>
    <t>Problem-solving within a storyline</t>
  </si>
  <si>
    <t>Cooperative scenarios</t>
  </si>
  <si>
    <t>Group problem-solving</t>
  </si>
  <si>
    <t>Shared imaginative spaces</t>
  </si>
  <si>
    <t>Social role negotiation</t>
  </si>
  <si>
    <t>Open-ended play structure</t>
  </si>
  <si>
    <t>sensory_soothing_attraction</t>
  </si>
  <si>
    <t>Sensory &amp; Soothing Experiences</t>
  </si>
  <si>
    <t>Tactile materials</t>
  </si>
  <si>
    <t>Quiet environment</t>
  </si>
  <si>
    <t>Sensory toys or games</t>
  </si>
  <si>
    <t>Soft Lighting</t>
  </si>
  <si>
    <t>indoor_entertainment_attraction</t>
  </si>
  <si>
    <t>Arcade games</t>
  </si>
  <si>
    <t>VR goggles</t>
  </si>
  <si>
    <t>Pool or snooker table</t>
  </si>
  <si>
    <t>Bowling lanes</t>
  </si>
  <si>
    <t>Laser tag</t>
  </si>
  <si>
    <t>Trampolining</t>
  </si>
  <si>
    <t>Bar / licensed venue</t>
  </si>
  <si>
    <t>Café or restaurant</t>
  </si>
  <si>
    <t>Private hire / party packages</t>
  </si>
  <si>
    <t>Meet and greet</t>
  </si>
  <si>
    <t>VIP / premier experience</t>
  </si>
  <si>
    <t>Live music</t>
  </si>
  <si>
    <t>Comedy / stand-up</t>
  </si>
  <si>
    <t>Theatre / stage performance</t>
  </si>
  <si>
    <t>Pantomime</t>
  </si>
  <si>
    <t>Musical theatre</t>
  </si>
  <si>
    <t>Open mic</t>
  </si>
  <si>
    <t>Q&amp;A / live interview</t>
  </si>
  <si>
    <t>Cinema screen</t>
  </si>
  <si>
    <t>Immersive experience</t>
  </si>
  <si>
    <t>hands_on_learning_attraction</t>
  </si>
  <si>
    <t>Touch-and-try exhibits</t>
  </si>
  <si>
    <t>Interactive displays</t>
  </si>
  <si>
    <t>Engineering &amp; Building</t>
  </si>
  <si>
    <t>Navigation &amp; Map Reading</t>
  </si>
  <si>
    <t>Buttons, levers, and mechanisms</t>
  </si>
  <si>
    <t>Build-and-test stations</t>
  </si>
  <si>
    <t>Bushcraft &amp; Forest Skills</t>
  </si>
  <si>
    <t>Survival Skills</t>
  </si>
  <si>
    <t>Cause-and-effect activities</t>
  </si>
  <si>
    <t>Problem-solving challenges</t>
  </si>
  <si>
    <t>Experimentation</t>
  </si>
  <si>
    <t>Mix of calm and energetic zones</t>
  </si>
  <si>
    <t>Facilitated demo sessions (optional)</t>
  </si>
  <si>
    <t>interactive_museums_attraction</t>
  </si>
  <si>
    <t>Science and engineering themes</t>
  </si>
  <si>
    <t>Technology and robotics</t>
  </si>
  <si>
    <t>Nature and the environment</t>
  </si>
  <si>
    <t>History brought to life</t>
  </si>
  <si>
    <t>Space and exploration</t>
  </si>
  <si>
    <t>Rotating or seasonal exhibits</t>
  </si>
  <si>
    <t>historical_cultural_attraction</t>
  </si>
  <si>
    <t>Historic buildings</t>
  </si>
  <si>
    <t>Costumed interpretation</t>
  </si>
  <si>
    <t>Recreated environments</t>
  </si>
  <si>
    <t>Period features</t>
  </si>
  <si>
    <t>Ruins to explore</t>
  </si>
  <si>
    <t>Dungeons</t>
  </si>
  <si>
    <t>Towers, walls, and tunnels</t>
  </si>
  <si>
    <t>Fossils</t>
  </si>
  <si>
    <t>Castles or Fortresses</t>
  </si>
  <si>
    <t>Hidden rooms or passages</t>
  </si>
  <si>
    <t>Outdoor grounds</t>
  </si>
  <si>
    <t>Story-led interpretation</t>
  </si>
  <si>
    <t>Audio guides or trails</t>
  </si>
  <si>
    <t>Visual displays</t>
  </si>
  <si>
    <t>Interactive elements</t>
  </si>
  <si>
    <t>Discovery trails</t>
  </si>
  <si>
    <t>Hands-on exhibits</t>
  </si>
  <si>
    <t>Dress-up areas</t>
  </si>
  <si>
    <t>Re-enactment days</t>
  </si>
  <si>
    <t>Craft or heritage activities</t>
  </si>
  <si>
    <t>Demonstrations</t>
  </si>
  <si>
    <t>animal_encounters_attraction</t>
  </si>
  <si>
    <t>Hands-on Petting</t>
  </si>
  <si>
    <t>Animal feeding</t>
  </si>
  <si>
    <t>Close-up viewing</t>
  </si>
  <si>
    <t>Keeper talks</t>
  </si>
  <si>
    <t>Animal Experience Day</t>
  </si>
  <si>
    <t>Trekking, rides or hacking</t>
  </si>
  <si>
    <t>Guided walks</t>
  </si>
  <si>
    <t>Animal husbandry</t>
  </si>
  <si>
    <t>Tractor rides</t>
  </si>
  <si>
    <t>Animal races</t>
  </si>
  <si>
    <t>Animal displays or shows</t>
  </si>
  <si>
    <t>Drive-through Safari</t>
  </si>
  <si>
    <t>Litter Farmer Experiences</t>
  </si>
  <si>
    <t>Multiple species</t>
  </si>
  <si>
    <t>Rare or exotic animals</t>
  </si>
  <si>
    <t>Conservation</t>
  </si>
  <si>
    <t>Baby animals (seasonal)</t>
  </si>
  <si>
    <t>Walk-through enclosures</t>
  </si>
  <si>
    <t>Rides or Treks</t>
  </si>
  <si>
    <t>Outdoor animal areas</t>
  </si>
  <si>
    <t>Farm-based activities (e.g. egg collecting)</t>
  </si>
  <si>
    <t>soft_play_attraction</t>
  </si>
  <si>
    <t>Soft climbing structures</t>
  </si>
  <si>
    <t>Ball pools</t>
  </si>
  <si>
    <t>Enclosed space</t>
  </si>
  <si>
    <t>Seating for adults</t>
  </si>
  <si>
    <t>Café or refreshment area</t>
  </si>
  <si>
    <t>Separate toddler area</t>
  </si>
  <si>
    <t>Age-zoned play areas</t>
  </si>
  <si>
    <t>Calm or quieter zones</t>
  </si>
  <si>
    <t>vehicles_transport_attraction</t>
  </si>
  <si>
    <t>Trains and locomotives</t>
  </si>
  <si>
    <t>Boats and ships</t>
  </si>
  <si>
    <t>Aircraft and helicopters</t>
  </si>
  <si>
    <t>Vintage vehicles</t>
  </si>
  <si>
    <t>Working machinery</t>
  </si>
  <si>
    <t>Rides or journeys</t>
  </si>
  <si>
    <t>Vehicles in operation</t>
  </si>
  <si>
    <t>Demonstrations or displays</t>
  </si>
  <si>
    <t>Cab or cockpit viewing</t>
  </si>
  <si>
    <t>Engineering features</t>
  </si>
  <si>
    <t>big_day_out_attraction</t>
  </si>
  <si>
    <t>Rides &amp; attractions</t>
  </si>
  <si>
    <t>Animals or animal experiences</t>
  </si>
  <si>
    <t>Live shows or performances</t>
  </si>
  <si>
    <t>Large interactive exhibits</t>
  </si>
  <si>
    <t>Immersive or themed environments</t>
  </si>
  <si>
    <t>Meet &amp; greet characters or people</t>
  </si>
  <si>
    <t>Hands-on activities</t>
  </si>
  <si>
    <t>Challenges or missions</t>
  </si>
  <si>
    <t>Play or activity zones</t>
  </si>
  <si>
    <t>Landmark features</t>
  </si>
  <si>
    <t>Iconic structures or rides</t>
  </si>
  <si>
    <t>Water features</t>
  </si>
  <si>
    <t>Scenic or dramatic settings</t>
  </si>
  <si>
    <t>Themed trails (e.g. Halloween, Christmas, Easter)</t>
  </si>
  <si>
    <t>relaxed_cafe_attraction</t>
  </si>
  <si>
    <t>Dedicated play area</t>
  </si>
  <si>
    <t>Toy corner or play table</t>
  </si>
  <si>
    <t>Puzzles or games</t>
  </si>
  <si>
    <t>Space to run around</t>
  </si>
  <si>
    <t>Outdoor play area nearby</t>
  </si>
  <si>
    <t>Farm animals nearby</t>
  </si>
  <si>
    <t>Shop or browsing area (e.g. farm shop, garden centre)</t>
  </si>
  <si>
    <t>Combined with a walk or attraction</t>
  </si>
  <si>
    <t>Book swap or exchange library</t>
  </si>
  <si>
    <t>family_dining_attraction</t>
  </si>
  <si>
    <t>Children’s menu</t>
  </si>
  <si>
    <t>Flexible seating for families</t>
  </si>
  <si>
    <t>Space for children to move a little</t>
  </si>
  <si>
    <t>Play area or outdoor play space</t>
  </si>
  <si>
    <t>Relaxed, family-welcoming feel</t>
  </si>
  <si>
    <t>Outdoor seating or garden</t>
  </si>
  <si>
    <t>Rural or scenic setting</t>
  </si>
  <si>
    <t>On-site grounds to explore</t>
  </si>
  <si>
    <t>Farm animals or gardens</t>
  </si>
  <si>
    <t>seasonal_attraction</t>
  </si>
  <si>
    <t>Meet Father Christmas</t>
  </si>
  <si>
    <t>Festive Shows</t>
  </si>
  <si>
    <t>Singing figures or characters</t>
  </si>
  <si>
    <t>Seasonal Hot Chocolates</t>
  </si>
  <si>
    <t>Themed Areas</t>
  </si>
  <si>
    <t>Themed Food</t>
  </si>
  <si>
    <t>Easter Egg Hunts</t>
  </si>
  <si>
    <t>Clues or Treasure Hunts</t>
  </si>
  <si>
    <t>Meet the Easter Bunny</t>
  </si>
  <si>
    <t>Costumes or Fancy Dress-up</t>
  </si>
  <si>
    <t>Firework Displays</t>
  </si>
  <si>
    <t>Roasting Marshmallows</t>
  </si>
  <si>
    <t>Bonfires</t>
  </si>
  <si>
    <t>Solstice Rituals</t>
  </si>
  <si>
    <t>Seasonal Fruit Picking</t>
  </si>
  <si>
    <t>Maize Mazes</t>
  </si>
  <si>
    <t>Flower collecting or displays</t>
  </si>
  <si>
    <t>Splash Parks</t>
  </si>
  <si>
    <t>Inflatables Sessions</t>
  </si>
  <si>
    <t>BBQs</t>
  </si>
  <si>
    <t>Surf &amp; Turf</t>
  </si>
  <si>
    <t>Wildlife Spotting</t>
  </si>
  <si>
    <t>Sea Safari</t>
  </si>
  <si>
    <t>Airshows or displays</t>
  </si>
  <si>
    <t>Food stands &amp; stalls</t>
  </si>
  <si>
    <t>Live Performance</t>
  </si>
  <si>
    <t>Live Music</t>
  </si>
  <si>
    <t>community_groups_attraction</t>
  </si>
  <si>
    <t>Welcoming space</t>
  </si>
  <si>
    <t>Storytelling</t>
  </si>
  <si>
    <t>Craft Tables or Activities</t>
  </si>
  <si>
    <t>Toys, toy corners</t>
  </si>
  <si>
    <t>Refreshments Provided</t>
  </si>
  <si>
    <t>Talks or Guest Speakers</t>
  </si>
  <si>
    <t>Local parent hangout</t>
  </si>
  <si>
    <t>Like-minded families</t>
  </si>
  <si>
    <t>Facilitated Session</t>
  </si>
  <si>
    <t>Relaxed, child-friendly setting</t>
  </si>
  <si>
    <t>Play areas or equipment</t>
  </si>
  <si>
    <t>Expert Drop-ins</t>
  </si>
  <si>
    <t>Flexible timings (relaxed start/end times)</t>
  </si>
  <si>
    <t>Hobby-based meet-up</t>
  </si>
  <si>
    <t>Interest-based gathering</t>
  </si>
  <si>
    <t>Interactive workshop</t>
  </si>
  <si>
    <t>Newbie-friendly!</t>
  </si>
  <si>
    <t>Parent-child activities</t>
  </si>
  <si>
    <t>coached_sessions</t>
  </si>
  <si>
    <t>Coached Sessions</t>
  </si>
  <si>
    <t>venue, club</t>
  </si>
  <si>
    <t>One-off or drop-in coaching</t>
  </si>
  <si>
    <t>structured_lessons</t>
  </si>
  <si>
    <t>Structured Lessons</t>
  </si>
  <si>
    <t>club, venue</t>
  </si>
  <si>
    <t>Progressive learning (e.g. weekly classes)</t>
  </si>
  <si>
    <t>clubs_and_teams</t>
  </si>
  <si>
    <t>Club or Team</t>
  </si>
  <si>
    <t>Membership-based, ongoing</t>
  </si>
  <si>
    <t>training_and_drills</t>
  </si>
  <si>
    <t>Training or Skills Focus</t>
  </si>
  <si>
    <t>Drills, skills sessions, practice</t>
  </si>
  <si>
    <t>kit_hire</t>
  </si>
  <si>
    <t>Kit &amp; Equipment Hire</t>
  </si>
  <si>
    <t>Kit hire, equipment loans</t>
  </si>
  <si>
    <t>hire_and_free_practice</t>
  </si>
  <si>
    <t>Hireable Court/Pitch</t>
  </si>
  <si>
    <t>Courts, pitches,</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</si>
</sst>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809]#,##0.00"/>
    <numFmt numFmtId="165" formatCode="dd/MM/yyyy"/>
    <numFmt numFmtId="166" formatCode="General"/>
    <numFmt numFmtId="167" formatCode="hh:mm"/>
    <numFmt numFmtId="168" formatCode="d/m/yyyy"/>
    <numFmt numFmtId="169" formatCode="&quot;£&quot;#,##0"/>
    <numFmt numFmtId="170" formatCode="HH:mm"/>
    <numFmt numFmtId="171" formatCode="[hh]:mm:ss"/>
    <numFmt numFmtId="172" formatCode="dd/mm/yyyy"/>
    <numFmt numFmtId="173" formatCode="d-m"/>
    <numFmt numFmtId="174" formatCode="HH:mm:ss"/>
    <numFmt numFmtId="175" formatCode="&quot;£&quot;#,##0.00"/>
  </numFmts>
  <fonts count="58">
    <font>
      <sz val="10.0"/>
      <color rgb="FF000000"/>
      <name val="Arial"/>
      <scheme val="minor"/>
    </font>
    <font>
      <b/>
      <color rgb="FFFFFFFF"/>
      <name val="Inter"/>
    </font>
    <font>
      <b/>
      <color theme="0"/>
      <name val="Inter"/>
    </font>
    <font>
      <b/>
      <color theme="0"/>
      <name val="Roboto"/>
    </font>
    <font>
      <b/>
      <sz val="10.0"/>
      <color rgb="FFFFFFFF"/>
      <name val="Roboto"/>
    </font>
    <font>
      <b/>
      <sz val="10.0"/>
      <color theme="0"/>
      <name val="Arial"/>
      <scheme val="minor"/>
    </font>
    <font>
      <b/>
      <color rgb="FF000000"/>
      <name val="Arial"/>
    </font>
    <font>
      <b/>
      <sz val="10.0"/>
      <color rgb="FFFFFFFF"/>
      <name val="Arial"/>
      <scheme val="minor"/>
    </font>
    <font>
      <b/>
      <color theme="0"/>
      <name val="Arial"/>
    </font>
    <font>
      <b/>
      <sz val="8.0"/>
      <color theme="0"/>
      <name val="Arial"/>
      <scheme val="minor"/>
    </font>
    <font>
      <color rgb="FFFFFFFF"/>
      <name val="Inter"/>
    </font>
    <font>
      <color theme="1"/>
      <name val="Arial"/>
    </font>
    <font>
      <b/>
      <color theme="0"/>
      <name val="Arial"/>
      <scheme val="minor"/>
    </font>
    <font>
      <b/>
      <color theme="1"/>
      <name val="Arial"/>
      <scheme val="minor"/>
    </font>
    <font>
      <b/>
      <color rgb="FFFFFFFF"/>
      <name val="Arial"/>
    </font>
    <font>
      <b/>
      <sz val="9.0"/>
      <color theme="0"/>
      <name val="Arial"/>
      <scheme val="minor"/>
    </font>
    <font/>
    <font>
      <sz val="9.0"/>
      <color rgb="FFFFFFFF"/>
      <name val="Inter"/>
    </font>
    <font>
      <b/>
      <sz val="10.0"/>
      <color theme="0"/>
      <name val="Inter"/>
    </font>
    <font>
      <color theme="0"/>
      <name val="Inter"/>
    </font>
    <font>
      <sz val="9.0"/>
      <color theme="1"/>
      <name val="Inter"/>
    </font>
    <font>
      <sz val="9.0"/>
      <color theme="0"/>
      <name val="Arial"/>
      <scheme val="minor"/>
    </font>
    <font>
      <sz val="8.0"/>
      <color rgb="FFFFFFFF"/>
      <name val="Inter"/>
    </font>
    <font>
      <sz val="9.0"/>
      <color rgb="FFFFFFFF"/>
      <name val="Arial"/>
      <scheme val="minor"/>
    </font>
    <font>
      <sz val="8.0"/>
      <color theme="0"/>
      <name val="Inter"/>
    </font>
    <font>
      <sz val="9.0"/>
      <color theme="0"/>
      <name val="Roboto"/>
    </font>
    <font>
      <sz val="9.0"/>
      <color theme="1"/>
      <name val="Arial"/>
    </font>
    <font>
      <sz val="10.0"/>
      <color theme="0"/>
      <name val="Roboto"/>
    </font>
    <font>
      <b/>
      <sz val="9.0"/>
      <color theme="1"/>
      <name val="Arial"/>
      <scheme val="minor"/>
    </font>
    <font>
      <sz val="9.0"/>
      <color theme="0"/>
      <name val="Arial"/>
    </font>
    <font>
      <sz val="8.0"/>
      <color theme="0"/>
      <name val="Roboto"/>
    </font>
    <font>
      <sz val="8.0"/>
      <color theme="1"/>
      <name val="Inter"/>
    </font>
    <font>
      <sz val="8.0"/>
      <color theme="0"/>
      <name val="Arial"/>
    </font>
    <font>
      <sz val="8.0"/>
      <color theme="1"/>
      <name val="Arial"/>
    </font>
    <font>
      <sz val="9.0"/>
      <color theme="0"/>
      <name val="Inter"/>
    </font>
    <font>
      <u/>
      <sz val="9.0"/>
      <color rgb="FFFFFFFF"/>
    </font>
    <font>
      <sz val="8.0"/>
      <color theme="1"/>
      <name val="Arial"/>
      <scheme val="minor"/>
    </font>
    <font>
      <sz val="9.0"/>
      <color rgb="FFFFFFFF"/>
      <name val="Roboto"/>
    </font>
    <font>
      <sz val="8.0"/>
      <color rgb="FF000000"/>
      <name val="Arial"/>
      <scheme val="minor"/>
    </font>
    <font>
      <sz val="9.0"/>
      <color rgb="FFFFFFFF"/>
      <name val="Arial"/>
    </font>
    <font>
      <sz val="8.0"/>
      <color rgb="FF000000"/>
      <name val="Roboto"/>
    </font>
    <font>
      <color theme="1"/>
      <name val="Arial"/>
      <scheme val="minor"/>
    </font>
    <font>
      <sz val="8.0"/>
      <color rgb="FF000000"/>
      <name val="Arial"/>
    </font>
    <font>
      <b/>
      <sz val="8.0"/>
      <color theme="1"/>
      <name val="Inter"/>
    </font>
    <font>
      <sz val="9.0"/>
      <color theme="1"/>
      <name val="Arial"/>
      <scheme val="minor"/>
    </font>
    <font>
      <b/>
      <sz val="10.0"/>
      <color rgb="FFFFFFFF"/>
      <name val="Inter"/>
    </font>
    <font>
      <sz val="10.0"/>
      <color rgb="FFFFFFFF"/>
      <name val="Inter"/>
    </font>
    <font>
      <sz val="8.0"/>
      <color rgb="FF000000"/>
      <name val="Inter"/>
    </font>
    <font>
      <b/>
      <sz val="14.0"/>
      <color theme="1"/>
      <name val="Inter"/>
    </font>
    <font>
      <b/>
      <sz val="9.0"/>
      <color theme="1"/>
      <name val="Inter"/>
    </font>
    <font>
      <b/>
      <color theme="1"/>
      <name val="Inter"/>
    </font>
    <font>
      <color theme="1"/>
      <name val="Inter"/>
    </font>
    <font>
      <sz val="9.0"/>
      <color rgb="FF47D1A3"/>
      <name val="Inter"/>
    </font>
    <font>
      <color rgb="FF47D1A3"/>
      <name val="Inter"/>
    </font>
    <font>
      <sz val="9.0"/>
      <color rgb="FF47D1A3"/>
      <name val="Arial"/>
    </font>
    <font>
      <i/>
      <sz val="9.0"/>
      <color rgb="FFFF0000"/>
      <name val="Inter"/>
    </font>
    <font>
      <strike/>
      <sz val="9.0"/>
      <color theme="1"/>
      <name val="Inter"/>
    </font>
    <font>
      <b/>
      <sz val="11.0"/>
      <color theme="1"/>
      <name val="Inter"/>
    </font>
  </fonts>
  <fills count="12">
    <fill>
      <patternFill patternType="none"/>
    </fill>
    <fill>
      <patternFill patternType="lightGray"/>
    </fill>
    <fill>
      <patternFill patternType="solid">
        <fgColor rgb="FF668CDE"/>
        <bgColor rgb="FF668CDE"/>
      </patternFill>
    </fill>
    <fill>
      <patternFill patternType="solid">
        <fgColor rgb="FF47D1A3"/>
        <bgColor rgb="FF47D1A3"/>
      </patternFill>
    </fill>
    <fill>
      <patternFill patternType="solid">
        <fgColor rgb="FFF3F3F3"/>
        <bgColor rgb="FFF3F3F3"/>
      </patternFill>
    </fill>
    <fill>
      <patternFill patternType="solid">
        <fgColor rgb="FFFFFF00"/>
        <bgColor rgb="FFFFFF00"/>
      </patternFill>
    </fill>
    <fill>
      <patternFill patternType="solid">
        <fgColor rgb="FFD9EAD3"/>
        <bgColor rgb="FFD9EAD3"/>
      </patternFill>
    </fill>
    <fill>
      <patternFill patternType="solid">
        <fgColor rgb="FFEFEFEF"/>
        <bgColor rgb="FFEFEFEF"/>
      </patternFill>
    </fill>
    <fill>
      <patternFill patternType="solid">
        <fgColor rgb="FFFF00FF"/>
        <bgColor rgb="FFFF00FF"/>
      </patternFill>
    </fill>
    <fill>
      <patternFill patternType="solid">
        <fgColor rgb="FFFFFFFF"/>
        <bgColor rgb="FFFFFFFF"/>
      </patternFill>
    </fill>
    <fill>
      <patternFill patternType="solid">
        <fgColor rgb="FFFFFDF8"/>
        <bgColor rgb="FFFFFDF8"/>
      </patternFill>
    </fill>
    <fill>
      <patternFill patternType="solid">
        <fgColor rgb="FFFF6D01"/>
        <bgColor rgb="FFFF6D01"/>
      </patternFill>
    </fill>
  </fills>
  <borders count="16">
    <border/>
    <border>
      <left style="thin">
        <color rgb="FF000000"/>
      </left>
    </border>
    <border>
      <left style="thick">
        <color rgb="FFFF6D01"/>
      </left>
      <right style="thick">
        <color rgb="FFFF6D01"/>
      </right>
      <top style="thick">
        <color rgb="FFFF6D01"/>
      </top>
    </border>
    <border>
      <left style="thick">
        <color rgb="FFFF6D01"/>
      </left>
      <top style="thick">
        <color rgb="FFFF6D01"/>
      </top>
    </border>
    <border>
      <right style="thick">
        <color rgb="FFFF6D01"/>
      </right>
      <top style="thick">
        <color rgb="FFFF6D01"/>
      </top>
    </border>
    <border>
      <left style="thick">
        <color rgb="FFFF6D01"/>
      </left>
      <right style="thick">
        <color rgb="FFFF6D01"/>
      </right>
      <top style="thick">
        <color rgb="FFFF6D01"/>
      </top>
      <bottom style="thick">
        <color rgb="FFFF6D01"/>
      </bottom>
    </border>
    <border>
      <top style="thick">
        <color rgb="FFFF6D01"/>
      </top>
    </border>
    <border>
      <top style="thick">
        <color rgb="FF34A853"/>
      </top>
    </border>
    <border>
      <left style="thick">
        <color rgb="FFFF6D01"/>
      </left>
      <right style="thick">
        <color rgb="FFFF6D01"/>
      </right>
      <bottom style="thick">
        <color rgb="FFFF6D01"/>
      </bottom>
    </border>
    <border>
      <right style="thin">
        <color rgb="FF000000"/>
      </right>
    </border>
    <border>
      <left style="thick">
        <color rgb="FFFF6D01"/>
      </left>
      <bottom style="thick">
        <color rgb="FFFF6D01"/>
      </bottom>
    </border>
    <border>
      <bottom style="thick">
        <color rgb="FFFF6D01"/>
      </bottom>
    </border>
    <border>
      <right style="thick">
        <color rgb="FFFF6D01"/>
      </right>
      <bottom style="thick">
        <color rgb="FFFF6D01"/>
      </bottom>
    </border>
    <border>
      <left style="thin">
        <color rgb="FF000000"/>
      </left>
      <right style="thin">
        <color rgb="FF000000"/>
      </right>
      <top style="thin">
        <color rgb="FF000000"/>
      </top>
      <bottom style="thin">
        <color rgb="FF000000"/>
      </bottom>
    </border>
    <border>
      <top style="thin">
        <color rgb="FF000000"/>
      </top>
    </border>
    <border>
      <bottom style="thin">
        <color rgb="FF000000"/>
      </bottom>
    </border>
  </borders>
  <cellStyleXfs count="1">
    <xf borderId="0" fillId="0" fontId="0" numFmtId="0" applyAlignment="1" applyFont="1"/>
  </cellStyleXfs>
  <cellXfs count="340">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2" fontId="2" numFmtId="0" xfId="0" applyAlignment="1" applyFill="1" applyFont="1">
      <alignment horizontal="center" readingOrder="0" shrinkToFit="0" vertical="center" wrapText="1"/>
    </xf>
    <xf borderId="0" fillId="2" fontId="3" numFmtId="0" xfId="0" applyAlignment="1" applyFill="1" applyFont="1">
      <alignment horizontal="center" readingOrder="0" shrinkToFit="0" vertical="center" wrapText="1"/>
    </xf>
    <xf borderId="0" fillId="2" fontId="1" numFmtId="0" xfId="0" applyAlignment="1" applyFill="1" applyFont="1">
      <alignment horizontal="center" readingOrder="0" shrinkToFit="0" vertical="center" wrapText="1"/>
    </xf>
    <xf borderId="0" fillId="2" fontId="4" numFmtId="0" xfId="0" applyAlignment="1" applyFill="1" applyFont="1">
      <alignment horizontal="center" readingOrder="0" shrinkToFit="0" vertical="center" wrapText="1"/>
    </xf>
    <xf borderId="0" fillId="2" fontId="5" numFmtId="0" xfId="0" applyAlignment="1" applyFill="1" applyFont="1">
      <alignment horizontal="center" readingOrder="0" shrinkToFit="0" vertical="center" wrapText="1"/>
    </xf>
    <xf borderId="0" fillId="2" fontId="6" numFmtId="0" xfId="0" applyAlignment="1" applyFill="1" applyFont="1">
      <alignment horizontal="center" readingOrder="0" shrinkToFit="0" vertical="center" wrapText="1"/>
    </xf>
    <xf borderId="0" fillId="2" fontId="7" numFmtId="0" xfId="0" applyAlignment="1" applyFill="1" applyFont="1">
      <alignment horizontal="center" readingOrder="0" shrinkToFit="0" vertical="center" wrapText="1"/>
    </xf>
    <xf borderId="0" fillId="2" fontId="8" numFmtId="0" xfId="0" applyAlignment="1" applyFill="1" applyFont="1">
      <alignment horizontal="center" readingOrder="0" shrinkToFit="0" vertical="center" wrapText="1"/>
    </xf>
    <xf borderId="0" fillId="2" fontId="9" numFmtId="0" xfId="0" applyAlignment="1" applyFill="1" applyFont="1">
      <alignment horizontal="center" readingOrder="0" shrinkToFit="0" vertical="center" wrapText="1"/>
    </xf>
    <xf borderId="0" fillId="2" fontId="10" numFmtId="0" xfId="0" applyAlignment="1" applyFill="1" applyFont="1">
      <alignment horizontal="center" shrinkToFit="0" vertical="center" wrapText="1"/>
    </xf>
    <xf borderId="0" fillId="2" fontId="11" numFmtId="0" xfId="0" applyAlignment="1" applyFill="1" applyFont="1">
      <alignment vertical="center"/>
    </xf>
    <xf borderId="0" fillId="2" fontId="12" numFmtId="0" xfId="0" applyAlignment="1" applyFill="1" applyFont="1">
      <alignment horizontal="center" readingOrder="0" shrinkToFit="0" vertical="center" wrapText="1"/>
    </xf>
    <xf borderId="1" fillId="3" fontId="13" numFmtId="0" xfId="0" applyAlignment="1" applyBorder="1" applyFill="1" applyFont="1">
      <alignment horizontal="center" readingOrder="0" shrinkToFit="0" vertical="center" wrapText="1"/>
    </xf>
    <xf borderId="0" fillId="3" fontId="13" numFmtId="0" xfId="0" applyAlignment="1" applyFill="1" applyFont="1">
      <alignment horizontal="center" readingOrder="0" shrinkToFit="0" vertical="center" wrapText="1"/>
    </xf>
    <xf borderId="0" fillId="2" fontId="10" numFmtId="0" xfId="0" applyAlignment="1" applyFill="1" applyFont="1">
      <alignment horizontal="center" shrinkToFit="0" vertical="center" wrapText="1"/>
    </xf>
    <xf borderId="0" fillId="2" fontId="14" numFmtId="0" xfId="0" applyAlignment="1" applyFill="1" applyFont="1">
      <alignment horizontal="center" readingOrder="0" shrinkToFit="0" vertical="center" wrapText="1"/>
    </xf>
    <xf borderId="0" fillId="2" fontId="15" numFmtId="0" xfId="0" applyAlignment="1" applyFill="1" applyFont="1">
      <alignment horizontal="center" readingOrder="0" shrinkToFit="0" vertical="center" wrapText="1"/>
    </xf>
    <xf borderId="1" fillId="0" fontId="16" numFmtId="0" xfId="0" applyBorder="1" applyFont="1"/>
    <xf borderId="0" fillId="2" fontId="17" numFmtId="0" xfId="0" applyAlignment="1" applyFill="1" applyFont="1">
      <alignment horizontal="center" shrinkToFit="0" vertical="center" wrapText="1"/>
    </xf>
    <xf borderId="0" fillId="2" fontId="18" numFmtId="0" xfId="0" applyAlignment="1" applyFill="1" applyFont="1">
      <alignment horizontal="center" readingOrder="0" shrinkToFit="0" vertical="center" wrapText="1"/>
    </xf>
    <xf borderId="0" fillId="2" fontId="17" numFmtId="0" xfId="0" applyAlignment="1" applyFill="1" applyFont="1">
      <alignment horizontal="center" shrinkToFit="0" vertical="center" wrapText="1"/>
    </xf>
    <xf borderId="2" fillId="2" fontId="17" numFmtId="0" xfId="0" applyAlignment="1" applyBorder="1" applyFill="1" applyFont="1">
      <alignment horizontal="center" shrinkToFit="0" vertical="center" wrapText="1"/>
    </xf>
    <xf borderId="0" fillId="2" fontId="19" numFmtId="0" xfId="0" applyAlignment="1" applyFill="1" applyFont="1">
      <alignment shrinkToFit="0" vertical="center" wrapText="1"/>
    </xf>
    <xf borderId="3" fillId="0" fontId="20" numFmtId="0" xfId="0" applyAlignment="1" applyBorder="1" applyFont="1">
      <alignment horizontal="center" shrinkToFit="0" vertical="center" wrapText="1"/>
    </xf>
    <xf borderId="0" fillId="2" fontId="14" numFmtId="0" xfId="0" applyAlignment="1" applyFill="1" applyFont="1">
      <alignment horizontal="center" shrinkToFit="0" vertical="center" wrapText="1"/>
    </xf>
    <xf borderId="4" fillId="0" fontId="20" numFmtId="0" xfId="0" applyAlignment="1" applyBorder="1" applyFont="1">
      <alignment horizontal="center" shrinkToFit="0" vertical="center" wrapText="1"/>
    </xf>
    <xf borderId="0" fillId="2" fontId="21" numFmtId="0" xfId="0" applyAlignment="1" applyFill="1" applyFont="1">
      <alignment shrinkToFit="0" vertical="center" wrapText="1"/>
    </xf>
    <xf borderId="0" fillId="2" fontId="21" numFmtId="0" xfId="0" applyAlignment="1" applyFill="1" applyFont="1">
      <alignment readingOrder="0" shrinkToFit="0" vertical="center" wrapText="1"/>
    </xf>
    <xf borderId="0" fillId="2" fontId="21" numFmtId="0" xfId="0" applyAlignment="1" applyFill="1" applyFont="1">
      <alignment horizontal="center" shrinkToFit="0" vertical="center" wrapText="1"/>
    </xf>
    <xf borderId="5" fillId="2" fontId="17" numFmtId="0" xfId="0" applyAlignment="1" applyBorder="1" applyFill="1" applyFont="1">
      <alignment horizontal="center" shrinkToFit="0" vertical="center" wrapText="1"/>
    </xf>
    <xf borderId="0" fillId="3" fontId="11" numFmtId="0" xfId="0" applyAlignment="1" applyFill="1" applyFont="1">
      <alignment vertical="center"/>
    </xf>
    <xf borderId="3" fillId="0" fontId="20" numFmtId="0" xfId="0" applyAlignment="1" applyBorder="1" applyFont="1">
      <alignment horizontal="center" shrinkToFit="0" vertical="center" wrapText="1"/>
    </xf>
    <xf borderId="6" fillId="0" fontId="20" numFmtId="0" xfId="0" applyAlignment="1" applyBorder="1" applyFont="1">
      <alignment horizontal="center" shrinkToFit="0" vertical="center" wrapText="1"/>
    </xf>
    <xf borderId="0" fillId="2" fontId="21" numFmtId="0" xfId="0" applyAlignment="1" applyFill="1" applyFont="1">
      <alignment horizontal="center" readingOrder="0" shrinkToFit="0" vertical="center" wrapText="1"/>
    </xf>
    <xf borderId="6" fillId="0" fontId="20" numFmtId="0" xfId="0" applyAlignment="1" applyBorder="1" applyFont="1">
      <alignment horizontal="center" shrinkToFit="0" vertical="center" wrapText="1"/>
    </xf>
    <xf borderId="6" fillId="0" fontId="20" numFmtId="164" xfId="0" applyAlignment="1" applyBorder="1" applyFont="1" applyNumberFormat="1">
      <alignment horizontal="center" shrinkToFit="0" vertical="center" wrapText="1"/>
    </xf>
    <xf borderId="0" fillId="2" fontId="19" numFmtId="0" xfId="0" applyAlignment="1" applyFill="1" applyFont="1">
      <alignment readingOrder="0" shrinkToFit="0" vertical="center" wrapText="1"/>
    </xf>
    <xf borderId="0" fillId="2" fontId="17" numFmtId="164" xfId="0" applyAlignment="1" applyFill="1" applyFont="1" applyNumberFormat="1">
      <alignment horizontal="center" shrinkToFit="0" vertical="center" wrapText="1"/>
    </xf>
    <xf borderId="0" fillId="2" fontId="17" numFmtId="0" xfId="0" applyAlignment="1" applyFill="1" applyFont="1">
      <alignment horizontal="center" readingOrder="0" shrinkToFit="0" vertical="center" wrapText="1"/>
    </xf>
    <xf borderId="0" fillId="2" fontId="10" numFmtId="0" xfId="0" applyAlignment="1" applyFill="1" applyFont="1">
      <alignment readingOrder="0" shrinkToFit="0" vertical="center" wrapText="1"/>
    </xf>
    <xf borderId="0" fillId="2" fontId="22" numFmtId="0" xfId="0" applyAlignment="1" applyFill="1" applyFont="1">
      <alignment horizontal="center" shrinkToFit="0" vertical="center" wrapText="1"/>
    </xf>
    <xf borderId="0" fillId="2" fontId="22" numFmtId="164" xfId="0" applyAlignment="1" applyFill="1" applyFont="1" applyNumberFormat="1">
      <alignment horizontal="center" shrinkToFit="0" vertical="center" wrapText="1"/>
    </xf>
    <xf borderId="0" fillId="2" fontId="23" numFmtId="0" xfId="0" applyAlignment="1" applyFill="1" applyFont="1">
      <alignment readingOrder="0" shrinkToFit="0" vertical="center" wrapText="1"/>
    </xf>
    <xf borderId="0" fillId="2" fontId="24" numFmtId="0" xfId="0" applyAlignment="1" applyFill="1" applyFont="1">
      <alignment horizontal="left" shrinkToFit="0" vertical="center" wrapText="1"/>
    </xf>
    <xf borderId="0" fillId="2" fontId="22" numFmtId="0" xfId="0" applyAlignment="1" applyFill="1" applyFont="1">
      <alignment horizontal="center" shrinkToFit="0" vertical="center" wrapText="1"/>
    </xf>
    <xf borderId="0" fillId="2" fontId="17" numFmtId="0" xfId="0" applyAlignment="1" applyFill="1" applyFont="1">
      <alignment readingOrder="0" shrinkToFit="0" vertical="center" wrapText="1"/>
    </xf>
    <xf borderId="0" fillId="2" fontId="22" numFmtId="0" xfId="0" applyAlignment="1" applyFill="1" applyFont="1">
      <alignment horizontal="left" readingOrder="0" shrinkToFit="0" vertical="center" wrapText="1"/>
    </xf>
    <xf borderId="0" fillId="2" fontId="24" numFmtId="0" xfId="0" applyAlignment="1" applyFill="1" applyFont="1">
      <alignment horizontal="left" readingOrder="0" shrinkToFit="0" vertical="center" wrapText="1"/>
    </xf>
    <xf borderId="0" fillId="2" fontId="21" numFmtId="164" xfId="0" applyAlignment="1" applyFill="1" applyFont="1" applyNumberFormat="1">
      <alignment readingOrder="0" shrinkToFit="0" vertical="center" wrapText="1"/>
    </xf>
    <xf borderId="0" fillId="2" fontId="25" numFmtId="0" xfId="0" applyAlignment="1" applyFill="1" applyFont="1">
      <alignment shrinkToFit="0" vertical="center" wrapText="1"/>
    </xf>
    <xf borderId="0" fillId="2" fontId="21" numFmtId="164" xfId="0" applyAlignment="1" applyFill="1" applyFont="1" applyNumberFormat="1">
      <alignment shrinkToFit="0" vertical="center" wrapText="1"/>
    </xf>
    <xf borderId="0" fillId="2" fontId="25" numFmtId="0" xfId="0" applyAlignment="1" applyFill="1" applyFont="1">
      <alignment readingOrder="0" shrinkToFit="0" vertical="center" wrapText="1"/>
    </xf>
    <xf borderId="0" fillId="2" fontId="10" numFmtId="165" xfId="0" applyAlignment="1" applyFill="1" applyFont="1" applyNumberFormat="1">
      <alignment horizontal="center" readingOrder="0" shrinkToFit="0" vertical="center" wrapText="1"/>
    </xf>
    <xf borderId="7" fillId="0" fontId="26" numFmtId="0" xfId="0" applyAlignment="1" applyBorder="1" applyFont="1">
      <alignment horizontal="center" shrinkToFit="0" vertical="center" wrapText="1"/>
    </xf>
    <xf borderId="0" fillId="2" fontId="25" numFmtId="0" xfId="0" applyAlignment="1" applyFill="1" applyFont="1">
      <alignment horizontal="center" readingOrder="0" shrinkToFit="0" vertical="center" wrapText="1"/>
    </xf>
    <xf borderId="0" fillId="2" fontId="20" numFmtId="0" xfId="0" applyAlignment="1" applyFill="1" applyFont="1">
      <alignment horizontal="center" shrinkToFit="0" vertical="center" wrapText="1"/>
    </xf>
    <xf borderId="0" fillId="2" fontId="27" numFmtId="0" xfId="0" applyAlignment="1" applyFill="1" applyFont="1">
      <alignment readingOrder="0" shrinkToFit="0" vertical="center" wrapText="1"/>
    </xf>
    <xf borderId="1" fillId="3" fontId="28" numFmtId="0" xfId="0" applyAlignment="1" applyBorder="1" applyFill="1" applyFont="1">
      <alignment horizontal="center" readingOrder="0" shrinkToFit="0" vertical="center" wrapText="1"/>
    </xf>
    <xf borderId="0" fillId="2" fontId="27" numFmtId="0" xfId="0" applyAlignment="1" applyFill="1" applyFont="1">
      <alignment horizontal="center" readingOrder="0" shrinkToFit="0" vertical="center" wrapText="1"/>
    </xf>
    <xf borderId="0" fillId="2" fontId="27" numFmtId="0" xfId="0" applyAlignment="1" applyFill="1" applyFont="1">
      <alignment shrinkToFit="0" vertical="center" wrapText="1"/>
    </xf>
    <xf borderId="0" fillId="3" fontId="28" numFmtId="0" xfId="0" applyAlignment="1" applyFill="1" applyFont="1">
      <alignment horizontal="center" readingOrder="0" shrinkToFit="0" vertical="center" wrapText="1"/>
    </xf>
    <xf borderId="0" fillId="2" fontId="29" numFmtId="0" xfId="0" applyAlignment="1" applyFill="1" applyFont="1">
      <alignment horizontal="center" shrinkToFit="0" vertical="center" wrapText="1"/>
    </xf>
    <xf borderId="0" fillId="4" fontId="20" numFmtId="0" xfId="0" applyAlignment="1" applyFill="1" applyFont="1">
      <alignment horizontal="center" shrinkToFit="0" vertical="center" wrapText="1"/>
    </xf>
    <xf borderId="0" fillId="2" fontId="30" numFmtId="0" xfId="0" applyAlignment="1" applyFill="1" applyFont="1">
      <alignment readingOrder="0" shrinkToFit="0" vertical="center" wrapText="1"/>
    </xf>
    <xf borderId="0" fillId="4" fontId="20" numFmtId="0" xfId="0" applyAlignment="1" applyFill="1" applyFont="1">
      <alignment shrinkToFit="0" vertical="center" wrapText="1"/>
    </xf>
    <xf borderId="0" fillId="4" fontId="20" numFmtId="0" xfId="0" applyAlignment="1" applyFill="1" applyFont="1">
      <alignment horizontal="center" shrinkToFit="0" vertical="center" wrapText="1"/>
    </xf>
    <xf borderId="0" fillId="2" fontId="29" numFmtId="0" xfId="0" applyAlignment="1" applyFill="1" applyFont="1">
      <alignment horizontal="center" readingOrder="0" shrinkToFit="0" vertical="center" wrapText="1"/>
    </xf>
    <xf borderId="0" fillId="4" fontId="20" numFmtId="0" xfId="0" applyAlignment="1" applyFill="1" applyFont="1">
      <alignment shrinkToFit="0" vertical="center" wrapText="1"/>
    </xf>
    <xf borderId="0" fillId="2" fontId="29" numFmtId="0" xfId="0" applyAlignment="1" applyFill="1" applyFont="1">
      <alignment readingOrder="0" shrinkToFit="0" vertical="center" wrapText="1"/>
    </xf>
    <xf borderId="8" fillId="0" fontId="31" numFmtId="0" xfId="0" applyAlignment="1" applyBorder="1" applyFont="1">
      <alignment horizontal="center" shrinkToFit="0" vertical="center" wrapText="1"/>
    </xf>
    <xf borderId="0" fillId="2" fontId="32" numFmtId="0" xfId="0" applyAlignment="1" applyFill="1" applyFont="1">
      <alignment readingOrder="0" shrinkToFit="0" vertical="center" wrapText="1"/>
    </xf>
    <xf borderId="0" fillId="0" fontId="33" numFmtId="0" xfId="0" applyAlignment="1" applyFont="1">
      <alignment shrinkToFit="0" vertical="center" wrapText="1"/>
    </xf>
    <xf borderId="0" fillId="2" fontId="32" numFmtId="0" xfId="0" applyAlignment="1" applyFill="1" applyFont="1">
      <alignment shrinkToFit="0" vertical="center" wrapText="1"/>
    </xf>
    <xf borderId="9" fillId="0" fontId="33" numFmtId="0" xfId="0" applyAlignment="1" applyBorder="1" applyFont="1">
      <alignment shrinkToFit="0" vertical="center" wrapText="1"/>
    </xf>
    <xf borderId="0" fillId="2" fontId="10" numFmtId="0" xfId="0" applyAlignment="1" applyFill="1" applyFont="1">
      <alignment shrinkToFit="0" vertical="center" wrapText="1"/>
    </xf>
    <xf borderId="10" fillId="0" fontId="20" numFmtId="0" xfId="0" applyAlignment="1" applyBorder="1" applyFont="1">
      <alignment shrinkToFit="0" vertical="center" wrapText="1"/>
    </xf>
    <xf borderId="11" fillId="0" fontId="20" numFmtId="0" xfId="0" applyAlignment="1" applyBorder="1" applyFont="1">
      <alignment shrinkToFit="0" vertical="center" wrapText="1"/>
    </xf>
    <xf borderId="0" fillId="2" fontId="34" numFmtId="0" xfId="0" applyAlignment="1" applyFill="1" applyFont="1">
      <alignment shrinkToFit="0" vertical="center" wrapText="1"/>
    </xf>
    <xf borderId="0" fillId="2" fontId="34" numFmtId="164" xfId="0" applyAlignment="1" applyFill="1" applyFont="1" applyNumberFormat="1">
      <alignment readingOrder="0" shrinkToFit="0" vertical="center" wrapText="1"/>
    </xf>
    <xf borderId="12" fillId="0" fontId="20" numFmtId="164" xfId="0" applyAlignment="1" applyBorder="1" applyFont="1" applyNumberFormat="1">
      <alignment shrinkToFit="0" vertical="center" wrapText="1"/>
    </xf>
    <xf borderId="0" fillId="2" fontId="35" numFmtId="0" xfId="0" applyAlignment="1" applyFill="1" applyFont="1">
      <alignment readingOrder="0" shrinkToFit="0" vertical="center" wrapText="1"/>
    </xf>
    <xf borderId="0" fillId="4" fontId="20" numFmtId="164" xfId="0" applyAlignment="1" applyFill="1" applyFont="1" applyNumberFormat="1">
      <alignment shrinkToFit="0" vertical="center" wrapText="1"/>
    </xf>
    <xf borderId="0" fillId="2" fontId="32" numFmtId="164" xfId="0" applyAlignment="1" applyFill="1" applyFont="1" applyNumberFormat="1">
      <alignment readingOrder="0" shrinkToFit="0" vertical="center" wrapText="1"/>
    </xf>
    <xf borderId="0" fillId="4" fontId="36" numFmtId="0" xfId="0" applyAlignment="1" applyFill="1" applyFont="1">
      <alignment shrinkToFit="0" vertical="center" wrapText="1"/>
    </xf>
    <xf borderId="0" fillId="2" fontId="36" numFmtId="0" xfId="0" applyAlignment="1" applyFill="1" applyFont="1">
      <alignment horizontal="center" readingOrder="0" shrinkToFit="0" vertical="center" wrapText="1"/>
    </xf>
    <xf borderId="0" fillId="2" fontId="34" numFmtId="164" xfId="0" applyAlignment="1" applyFill="1" applyFont="1" applyNumberFormat="1">
      <alignment shrinkToFit="0" vertical="center" wrapText="1"/>
    </xf>
    <xf borderId="0" fillId="2" fontId="32" numFmtId="164" xfId="0" applyAlignment="1" applyFill="1" applyFont="1" applyNumberFormat="1">
      <alignment shrinkToFit="0" vertical="center" wrapText="1"/>
    </xf>
    <xf borderId="0" fillId="4" fontId="36" numFmtId="0" xfId="0" applyAlignment="1" applyFill="1" applyFont="1">
      <alignment horizontal="center" shrinkToFit="0" vertical="center" wrapText="1"/>
    </xf>
    <xf borderId="0" fillId="4" fontId="36" numFmtId="0" xfId="0" applyAlignment="1" applyFill="1" applyFont="1">
      <alignment horizontal="center" shrinkToFit="0" vertical="center" wrapText="1"/>
    </xf>
    <xf borderId="0" fillId="2" fontId="34" numFmtId="0" xfId="0" applyAlignment="1" applyFill="1" applyFont="1">
      <alignment readingOrder="0" shrinkToFit="0" vertical="center" wrapText="1"/>
    </xf>
    <xf borderId="0" fillId="2" fontId="37" numFmtId="0" xfId="0" applyAlignment="1" applyFill="1" applyFont="1">
      <alignment readingOrder="0" shrinkToFit="0" vertical="center" wrapText="1"/>
    </xf>
    <xf borderId="0" fillId="4" fontId="38" numFmtId="0" xfId="0" applyAlignment="1" applyFill="1" applyFont="1">
      <alignment readingOrder="0" shrinkToFit="0" vertical="center" wrapText="1"/>
    </xf>
    <xf borderId="0" fillId="4" fontId="31" numFmtId="0" xfId="0" applyAlignment="1" applyFill="1" applyFont="1">
      <alignment shrinkToFit="0" vertical="center" wrapText="1"/>
    </xf>
    <xf borderId="0" fillId="0" fontId="33" numFmtId="0" xfId="0" applyAlignment="1" applyFont="1">
      <alignment horizontal="center" shrinkToFit="0" vertical="center" wrapText="1"/>
    </xf>
    <xf borderId="0" fillId="4" fontId="36" numFmtId="0" xfId="0" applyAlignment="1" applyFill="1" applyFont="1">
      <alignment horizontal="center" readingOrder="0" shrinkToFit="0" vertical="center" wrapText="1"/>
    </xf>
    <xf borderId="0" fillId="2" fontId="39" numFmtId="0" xfId="0" applyAlignment="1" applyFill="1" applyFont="1">
      <alignment shrinkToFit="0" vertical="center" wrapText="1"/>
    </xf>
    <xf borderId="1" fillId="4" fontId="38" numFmtId="0" xfId="0" applyAlignment="1" applyBorder="1" applyFill="1" applyFont="1">
      <alignment horizontal="center" readingOrder="0" shrinkToFit="0" vertical="center" wrapText="1"/>
    </xf>
    <xf borderId="0" fillId="4" fontId="36" numFmtId="0" xfId="0" applyAlignment="1" applyFill="1" applyFont="1">
      <alignment readingOrder="0" shrinkToFit="0" vertical="center" wrapText="1"/>
    </xf>
    <xf borderId="0" fillId="2" fontId="29" numFmtId="0" xfId="0" applyAlignment="1" applyFill="1" applyFont="1">
      <alignment shrinkToFit="0" vertical="center" wrapText="1"/>
    </xf>
    <xf borderId="0" fillId="4" fontId="38" numFmtId="0" xfId="0" applyAlignment="1" applyFill="1" applyFont="1">
      <alignment horizontal="center" readingOrder="0" shrinkToFit="0" vertical="center" wrapText="1"/>
    </xf>
    <xf borderId="0" fillId="0" fontId="26" numFmtId="166" xfId="0" applyAlignment="1" applyFont="1" applyNumberFormat="1">
      <alignment readingOrder="0" shrinkToFit="0" vertical="center" wrapText="1"/>
    </xf>
    <xf borderId="0" fillId="3" fontId="20" numFmtId="0" xfId="0" applyAlignment="1" applyFill="1" applyFont="1">
      <alignment horizontal="center" shrinkToFit="0" vertical="center" wrapText="1"/>
    </xf>
    <xf borderId="0" fillId="2" fontId="20" numFmtId="0" xfId="0" applyAlignment="1" applyFill="1" applyFont="1">
      <alignment horizontal="center" readingOrder="0" shrinkToFit="0" vertical="center" wrapText="1"/>
    </xf>
    <xf borderId="0" fillId="0" fontId="11" numFmtId="166" xfId="0" applyAlignment="1" applyFont="1" applyNumberFormat="1">
      <alignment readingOrder="0" shrinkToFit="0" vertical="center" wrapText="1"/>
    </xf>
    <xf borderId="0" fillId="0" fontId="11" numFmtId="166" xfId="0" applyAlignment="1" applyFont="1" applyNumberFormat="1">
      <alignment shrinkToFit="0" vertical="center" wrapText="1"/>
    </xf>
    <xf borderId="0" fillId="0" fontId="26" numFmtId="166" xfId="0" applyAlignment="1" applyFont="1" applyNumberFormat="1">
      <alignment horizontal="right" readingOrder="0" shrinkToFit="0" vertical="center" wrapText="1"/>
    </xf>
    <xf borderId="0" fillId="0" fontId="20" numFmtId="166" xfId="0" applyAlignment="1" applyFont="1" applyNumberFormat="1">
      <alignment readingOrder="0" shrinkToFit="0" vertical="center" wrapText="1"/>
    </xf>
    <xf borderId="0" fillId="4" fontId="31" numFmtId="0" xfId="0" applyAlignment="1" applyFill="1" applyFont="1">
      <alignment shrinkToFit="0" vertical="center" wrapText="1"/>
    </xf>
    <xf borderId="0" fillId="4" fontId="31" numFmtId="0" xfId="0" applyAlignment="1" applyFill="1" applyFont="1">
      <alignment readingOrder="0" shrinkToFit="0" vertical="center" wrapText="1"/>
    </xf>
    <xf borderId="0" fillId="4" fontId="33" numFmtId="0" xfId="0" applyAlignment="1" applyFill="1" applyFont="1">
      <alignment horizontal="center" shrinkToFit="0" vertical="center" wrapText="1"/>
    </xf>
    <xf borderId="1" fillId="0" fontId="33" numFmtId="0" xfId="0" applyAlignment="1" applyBorder="1" applyFont="1">
      <alignment horizontal="center" shrinkToFit="0" vertical="center" wrapText="1"/>
    </xf>
    <xf borderId="0" fillId="0" fontId="26" numFmtId="166" xfId="0" applyAlignment="1" applyFont="1" applyNumberFormat="1">
      <alignment horizontal="center" readingOrder="0" shrinkToFit="0" vertical="center" wrapText="1"/>
    </xf>
    <xf borderId="0" fillId="4" fontId="40" numFmtId="0" xfId="0" applyAlignment="1" applyFill="1" applyFont="1">
      <alignment readingOrder="0" shrinkToFit="0" vertical="center" wrapText="1"/>
    </xf>
    <xf borderId="0" fillId="4" fontId="31" numFmtId="0" xfId="0" applyAlignment="1" applyFill="1" applyFont="1">
      <alignment horizontal="center" shrinkToFit="0" vertical="center" wrapText="1"/>
    </xf>
    <xf borderId="0" fillId="0" fontId="26" numFmtId="165" xfId="0" applyAlignment="1" applyFont="1" applyNumberFormat="1">
      <alignment horizontal="right" readingOrder="0" shrinkToFit="0" vertical="center" wrapText="1"/>
    </xf>
    <xf borderId="0" fillId="4" fontId="36" numFmtId="0" xfId="0" applyAlignment="1" applyFill="1" applyFont="1">
      <alignment shrinkToFit="0" vertical="center" wrapText="1"/>
    </xf>
    <xf borderId="0" fillId="4" fontId="33" numFmtId="0" xfId="0" applyAlignment="1" applyFill="1" applyFont="1">
      <alignment horizontal="center" readingOrder="0" shrinkToFit="0" vertical="center" wrapText="1"/>
    </xf>
    <xf borderId="0" fillId="0" fontId="41" numFmtId="166" xfId="0" applyAlignment="1" applyFont="1" applyNumberFormat="1">
      <alignment readingOrder="0"/>
    </xf>
    <xf borderId="0" fillId="4" fontId="40" numFmtId="0" xfId="0" applyAlignment="1" applyFill="1" applyFont="1">
      <alignment horizontal="center" readingOrder="0" shrinkToFit="0" vertical="center" wrapText="1"/>
    </xf>
    <xf borderId="0" fillId="4" fontId="36" numFmtId="164" xfId="0" applyAlignment="1" applyFill="1" applyFont="1" applyNumberFormat="1">
      <alignment shrinkToFit="0" vertical="center" wrapText="1"/>
    </xf>
    <xf borderId="0" fillId="0" fontId="26" numFmtId="167" xfId="0" applyAlignment="1" applyFont="1" applyNumberFormat="1">
      <alignment horizontal="right" readingOrder="0" shrinkToFit="0" vertical="center" wrapText="1"/>
    </xf>
    <xf borderId="0" fillId="4" fontId="31" numFmtId="165" xfId="0" applyAlignment="1" applyFill="1" applyFont="1" applyNumberFormat="1">
      <alignment readingOrder="0" shrinkToFit="0" vertical="center" wrapText="1"/>
    </xf>
    <xf borderId="0" fillId="0" fontId="31" numFmtId="0" xfId="0" applyAlignment="1" applyFont="1">
      <alignment horizontal="center" shrinkToFit="0" vertical="center" wrapText="1"/>
    </xf>
    <xf borderId="0" fillId="4" fontId="33" numFmtId="0" xfId="0" applyAlignment="1" applyFill="1" applyFont="1">
      <alignment shrinkToFit="0" vertical="center" wrapText="1"/>
    </xf>
    <xf borderId="0" fillId="4" fontId="33" numFmtId="0" xfId="0" applyAlignment="1" applyFill="1" applyFont="1">
      <alignment shrinkToFit="0" vertical="center" wrapText="1"/>
    </xf>
    <xf borderId="0" fillId="0" fontId="26" numFmtId="168" xfId="0" applyAlignment="1" applyFont="1" applyNumberFormat="1">
      <alignment horizontal="right" readingOrder="0" shrinkToFit="0" vertical="center" wrapText="1"/>
    </xf>
    <xf borderId="0" fillId="0" fontId="26" numFmtId="164" xfId="0" applyAlignment="1" applyFont="1" applyNumberFormat="1">
      <alignment readingOrder="0" shrinkToFit="0" vertical="center" wrapText="1"/>
    </xf>
    <xf borderId="0" fillId="4" fontId="42" numFmtId="0" xfId="0" applyAlignment="1" applyFill="1" applyFont="1">
      <alignment readingOrder="0" shrinkToFit="0" vertical="center" wrapText="1"/>
    </xf>
    <xf borderId="0" fillId="0" fontId="26" numFmtId="164" xfId="0" applyAlignment="1" applyFont="1" applyNumberFormat="1">
      <alignment horizontal="right" readingOrder="0" shrinkToFit="0" vertical="center" wrapText="1"/>
    </xf>
    <xf borderId="0" fillId="0" fontId="33" numFmtId="0" xfId="0" applyAlignment="1" applyFont="1">
      <alignment shrinkToFit="0" vertical="bottom" wrapText="1"/>
    </xf>
    <xf borderId="0" fillId="0" fontId="26" numFmtId="169" xfId="0" applyAlignment="1" applyFont="1" applyNumberFormat="1">
      <alignment readingOrder="0" shrinkToFit="0" vertical="center" wrapText="1"/>
    </xf>
    <xf borderId="9" fillId="0" fontId="33" numFmtId="0" xfId="0" applyAlignment="1" applyBorder="1" applyFont="1">
      <alignment shrinkToFit="0" vertical="bottom" wrapText="1"/>
    </xf>
    <xf borderId="0" fillId="4" fontId="33" numFmtId="0" xfId="0" applyAlignment="1" applyFill="1" applyFont="1">
      <alignment readingOrder="0" shrinkToFit="0" vertical="center" wrapText="1"/>
    </xf>
    <xf borderId="0" fillId="0" fontId="43" numFmtId="0" xfId="0" applyAlignment="1" applyFont="1">
      <alignment horizontal="center" readingOrder="0" shrinkToFit="0" vertical="center" wrapText="1"/>
    </xf>
    <xf borderId="0" fillId="4" fontId="42" numFmtId="0" xfId="0" applyAlignment="1" applyFill="1" applyFont="1">
      <alignment shrinkToFit="0" vertical="center" wrapText="1"/>
    </xf>
    <xf borderId="0" fillId="0" fontId="44" numFmtId="166" xfId="0" applyAlignment="1" applyFont="1" applyNumberFormat="1">
      <alignment readingOrder="0" shrinkToFit="0" vertical="center" wrapText="1"/>
    </xf>
    <xf borderId="0" fillId="4" fontId="31" numFmtId="164" xfId="0" applyAlignment="1" applyFill="1" applyFont="1" applyNumberFormat="1">
      <alignment shrinkToFit="0" vertical="center" wrapText="1"/>
    </xf>
    <xf borderId="0" fillId="0" fontId="41" numFmtId="166" xfId="0" applyAlignment="1" applyFont="1" applyNumberFormat="1">
      <alignment readingOrder="0" shrinkToFit="0" wrapText="1"/>
    </xf>
    <xf borderId="0" fillId="0" fontId="41" numFmtId="166" xfId="0" applyAlignment="1" applyFont="1" applyNumberFormat="1">
      <alignment shrinkToFit="0" wrapText="1"/>
    </xf>
    <xf borderId="0" fillId="0" fontId="26" numFmtId="166" xfId="0" applyAlignment="1" applyFont="1" applyNumberFormat="1">
      <alignment shrinkToFit="0" vertical="center" wrapText="1"/>
    </xf>
    <xf borderId="1" fillId="0" fontId="26" numFmtId="166" xfId="0" applyAlignment="1" applyBorder="1" applyFont="1" applyNumberFormat="1">
      <alignment horizontal="center" readingOrder="0" shrinkToFit="0" vertical="center" wrapText="1"/>
    </xf>
    <xf borderId="0" fillId="0" fontId="44" numFmtId="166" xfId="0" applyAlignment="1" applyFont="1" applyNumberFormat="1">
      <alignment horizontal="right" readingOrder="0" shrinkToFit="0" vertical="center" wrapText="1"/>
    </xf>
    <xf borderId="0" fillId="0" fontId="11" numFmtId="165" xfId="0" applyAlignment="1" applyFont="1" applyNumberFormat="1">
      <alignment readingOrder="0" shrinkToFit="0" vertical="center" wrapText="1"/>
    </xf>
    <xf borderId="0" fillId="0" fontId="41" numFmtId="166" xfId="0" applyAlignment="1" applyFont="1" applyNumberFormat="1">
      <alignment shrinkToFit="0" vertical="center" wrapText="1"/>
    </xf>
    <xf borderId="0" fillId="4" fontId="33" numFmtId="164" xfId="0" applyAlignment="1" applyFill="1" applyFont="1" applyNumberFormat="1">
      <alignment shrinkToFit="0" vertical="center" wrapText="1"/>
    </xf>
    <xf borderId="0" fillId="0" fontId="44" numFmtId="166" xfId="0" applyAlignment="1" applyFont="1" applyNumberFormat="1">
      <alignment horizontal="center" readingOrder="0" shrinkToFit="0" vertical="center" wrapText="1"/>
    </xf>
    <xf borderId="0" fillId="0" fontId="44" numFmtId="170" xfId="0" applyAlignment="1" applyFont="1" applyNumberFormat="1">
      <alignment horizontal="right" readingOrder="0" shrinkToFit="0" vertical="center" wrapText="1"/>
    </xf>
    <xf borderId="0" fillId="0" fontId="44" numFmtId="171" xfId="0" applyAlignment="1" applyFont="1" applyNumberFormat="1">
      <alignment horizontal="right" readingOrder="0" shrinkToFit="0" vertical="center" wrapText="1"/>
    </xf>
    <xf borderId="0" fillId="0" fontId="44" numFmtId="0" xfId="0" applyAlignment="1" applyFont="1">
      <alignment horizontal="right" readingOrder="0" shrinkToFit="0" vertical="center" wrapText="1"/>
    </xf>
    <xf borderId="0" fillId="0" fontId="44" numFmtId="0" xfId="0" applyAlignment="1" applyFont="1">
      <alignment readingOrder="0" shrinkToFit="0" vertical="center" wrapText="1"/>
    </xf>
    <xf borderId="0" fillId="0" fontId="41" numFmtId="166" xfId="0" applyAlignment="1" applyFont="1" applyNumberFormat="1">
      <alignment readingOrder="0" shrinkToFit="0" vertical="center" wrapText="1"/>
    </xf>
    <xf borderId="0" fillId="0" fontId="11" numFmtId="166" xfId="0" applyAlignment="1" applyFont="1" applyNumberFormat="1">
      <alignment readingOrder="0" vertical="center"/>
    </xf>
    <xf borderId="0" fillId="0" fontId="11" numFmtId="166" xfId="0" applyAlignment="1" applyFont="1" applyNumberFormat="1">
      <alignment vertical="center"/>
    </xf>
    <xf borderId="0" fillId="0" fontId="20" numFmtId="172" xfId="0" applyAlignment="1" applyFont="1" applyNumberFormat="1">
      <alignment horizontal="right" readingOrder="0" shrinkToFit="0" vertical="center" wrapText="1"/>
    </xf>
    <xf borderId="0" fillId="0" fontId="44" numFmtId="164" xfId="0" applyAlignment="1" applyFont="1" applyNumberFormat="1">
      <alignment readingOrder="0" shrinkToFit="0" vertical="center" wrapText="1"/>
    </xf>
    <xf borderId="0" fillId="0" fontId="11" numFmtId="172" xfId="0" applyAlignment="1" applyFont="1" applyNumberFormat="1">
      <alignment readingOrder="0" vertical="center"/>
    </xf>
    <xf borderId="0" fillId="0" fontId="20" numFmtId="166" xfId="0" applyAlignment="1" applyFont="1" applyNumberFormat="1">
      <alignment horizontal="center" readingOrder="0" shrinkToFit="0" vertical="center" wrapText="1"/>
    </xf>
    <xf borderId="0" fillId="0" fontId="11" numFmtId="167" xfId="0" applyAlignment="1" applyFont="1" applyNumberFormat="1">
      <alignment vertical="center"/>
    </xf>
    <xf borderId="0" fillId="0" fontId="41" numFmtId="166" xfId="0" applyFont="1" applyNumberFormat="1"/>
    <xf borderId="0" fillId="0" fontId="41" numFmtId="166" xfId="0" applyAlignment="1" applyFont="1" applyNumberFormat="1">
      <alignment horizontal="center" readingOrder="0" shrinkToFit="0" vertical="center" wrapText="1"/>
    </xf>
    <xf borderId="0" fillId="0" fontId="20" numFmtId="170" xfId="0" applyAlignment="1" applyFont="1" applyNumberFormat="1">
      <alignment horizontal="right" readingOrder="0" shrinkToFit="0" vertical="center" wrapText="1"/>
    </xf>
    <xf borderId="0" fillId="0" fontId="44" numFmtId="172" xfId="0" applyAlignment="1" applyFont="1" applyNumberFormat="1">
      <alignment horizontal="center" readingOrder="0" shrinkToFit="0" vertical="center" wrapText="1"/>
    </xf>
    <xf borderId="0" fillId="0" fontId="28" numFmtId="166" xfId="0" applyAlignment="1" applyFont="1" applyNumberFormat="1">
      <alignment readingOrder="0" shrinkToFit="0" vertical="center" wrapText="1"/>
    </xf>
    <xf borderId="0" fillId="0" fontId="26" numFmtId="173" xfId="0" applyAlignment="1" applyFont="1" applyNumberFormat="1">
      <alignment readingOrder="0" shrinkToFit="0" vertical="center" wrapText="1"/>
    </xf>
    <xf borderId="0" fillId="0" fontId="26" numFmtId="166" xfId="0" applyAlignment="1" applyFont="1" applyNumberFormat="1">
      <alignment horizontal="right" shrinkToFit="0" vertical="center" wrapText="1"/>
    </xf>
    <xf borderId="0" fillId="0" fontId="44" numFmtId="49" xfId="0" applyAlignment="1" applyFont="1" applyNumberFormat="1">
      <alignment horizontal="right" readingOrder="0" shrinkToFit="0" vertical="center" wrapText="1"/>
    </xf>
    <xf borderId="0" fillId="0" fontId="20" numFmtId="164" xfId="0" applyAlignment="1" applyFont="1" applyNumberFormat="1">
      <alignment readingOrder="0" shrinkToFit="0" vertical="center" wrapText="1"/>
    </xf>
    <xf borderId="0" fillId="0" fontId="11" numFmtId="165" xfId="0" applyAlignment="1" applyFont="1" applyNumberFormat="1">
      <alignment readingOrder="0" shrinkToFit="0" vertical="center" wrapText="1"/>
    </xf>
    <xf borderId="0" fillId="0" fontId="44" numFmtId="170" xfId="0" applyAlignment="1" applyFont="1" applyNumberFormat="1">
      <alignment readingOrder="0" shrinkToFit="0" vertical="center" wrapText="1"/>
    </xf>
    <xf borderId="0" fillId="0" fontId="20" numFmtId="166" xfId="0" applyAlignment="1" applyFont="1" applyNumberFormat="1">
      <alignment shrinkToFit="0" vertical="center" wrapText="1"/>
    </xf>
    <xf borderId="1" fillId="0" fontId="20" numFmtId="166" xfId="0" applyAlignment="1" applyBorder="1" applyFont="1" applyNumberFormat="1">
      <alignment horizontal="center" readingOrder="0" shrinkToFit="0" vertical="center" wrapText="1"/>
    </xf>
    <xf borderId="0" fillId="0" fontId="11" numFmtId="165" xfId="0" applyAlignment="1" applyFont="1" applyNumberFormat="1">
      <alignment readingOrder="0" vertical="center"/>
    </xf>
    <xf borderId="0" fillId="0" fontId="11" numFmtId="3" xfId="0" applyAlignment="1" applyFont="1" applyNumberFormat="1">
      <alignment readingOrder="0" vertical="center"/>
    </xf>
    <xf borderId="0" fillId="0" fontId="26" numFmtId="172" xfId="0" applyAlignment="1" applyFont="1" applyNumberFormat="1">
      <alignment horizontal="right" readingOrder="0" shrinkToFit="0" vertical="center" wrapText="1"/>
    </xf>
    <xf borderId="0" fillId="0" fontId="44" numFmtId="173" xfId="0" applyAlignment="1" applyFont="1" applyNumberFormat="1">
      <alignment readingOrder="0" shrinkToFit="0" vertical="center" wrapText="1"/>
    </xf>
    <xf borderId="0" fillId="0" fontId="20" numFmtId="166" xfId="0" applyAlignment="1" applyFont="1" applyNumberFormat="1">
      <alignment vertical="center"/>
    </xf>
    <xf borderId="0" fillId="0" fontId="11" numFmtId="0" xfId="0" applyAlignment="1" applyFont="1">
      <alignment readingOrder="0" vertical="center"/>
    </xf>
    <xf borderId="0" fillId="0" fontId="26" numFmtId="167" xfId="0" applyAlignment="1" applyFont="1" applyNumberFormat="1">
      <alignment horizontal="right" readingOrder="0" shrinkToFit="0" vertical="center" wrapText="1"/>
    </xf>
    <xf borderId="0" fillId="0" fontId="41" numFmtId="0" xfId="0" applyAlignment="1" applyFont="1">
      <alignment readingOrder="0"/>
    </xf>
    <xf borderId="0" fillId="0" fontId="41" numFmtId="0" xfId="0" applyAlignment="1" applyFont="1">
      <alignment shrinkToFit="0" wrapText="1"/>
    </xf>
    <xf borderId="0" fillId="0" fontId="44" numFmtId="169" xfId="0" applyAlignment="1" applyFont="1" applyNumberFormat="1">
      <alignment readingOrder="0" shrinkToFit="0" vertical="center" wrapText="1"/>
    </xf>
    <xf borderId="0" fillId="0" fontId="26" numFmtId="0" xfId="0" applyAlignment="1" applyFont="1">
      <alignment shrinkToFit="0" vertical="center" wrapText="1"/>
    </xf>
    <xf borderId="0" fillId="0" fontId="11" numFmtId="0" xfId="0" applyAlignment="1" applyFont="1">
      <alignment vertical="center"/>
    </xf>
    <xf borderId="0" fillId="0" fontId="11" numFmtId="0" xfId="0" applyAlignment="1" applyFont="1">
      <alignment vertical="center"/>
    </xf>
    <xf borderId="0" fillId="0" fontId="26" numFmtId="0" xfId="0" applyAlignment="1" applyFont="1">
      <alignment horizontal="right" readingOrder="0" shrinkToFit="0" vertical="center" wrapText="1"/>
    </xf>
    <xf borderId="0" fillId="0" fontId="26" numFmtId="172" xfId="0" applyAlignment="1" applyFont="1" applyNumberFormat="1">
      <alignment horizontal="right" shrinkToFit="0" vertical="center" wrapText="1"/>
    </xf>
    <xf borderId="0" fillId="0" fontId="26" numFmtId="0" xfId="0" applyAlignment="1" applyFont="1">
      <alignment horizontal="right" shrinkToFit="0" vertical="center" wrapText="1"/>
    </xf>
    <xf borderId="0" fillId="0" fontId="26" numFmtId="0" xfId="0" applyAlignment="1" applyFont="1">
      <alignment horizontal="center" shrinkToFit="0" vertical="center" wrapText="1"/>
    </xf>
    <xf borderId="0" fillId="0" fontId="26" numFmtId="167" xfId="0" applyAlignment="1" applyFont="1" applyNumberFormat="1">
      <alignment horizontal="right" shrinkToFit="0" vertical="center" wrapText="1"/>
    </xf>
    <xf borderId="0" fillId="0" fontId="26" numFmtId="0" xfId="0" applyAlignment="1" applyFont="1">
      <alignment horizontal="center" shrinkToFit="0" vertical="center" wrapText="1"/>
    </xf>
    <xf borderId="0" fillId="0" fontId="26" numFmtId="0" xfId="0" applyAlignment="1" applyFont="1">
      <alignment shrinkToFit="0" vertical="center" wrapText="1"/>
    </xf>
    <xf borderId="0" fillId="0" fontId="26" numFmtId="164" xfId="0" applyAlignment="1" applyFont="1" applyNumberFormat="1">
      <alignment shrinkToFit="0" vertical="center" wrapText="1"/>
    </xf>
    <xf borderId="0" fillId="0" fontId="26" numFmtId="164" xfId="0" applyAlignment="1" applyFont="1" applyNumberFormat="1">
      <alignment horizontal="right" shrinkToFit="0" vertical="center" wrapText="1"/>
    </xf>
    <xf borderId="1" fillId="0" fontId="26" numFmtId="0" xfId="0" applyAlignment="1" applyBorder="1" applyFont="1">
      <alignment horizontal="center" shrinkToFit="0" vertical="center" wrapText="1"/>
    </xf>
    <xf borderId="0" fillId="0" fontId="11" numFmtId="0" xfId="0" applyAlignment="1" applyFont="1">
      <alignment readingOrder="0" vertical="center"/>
    </xf>
    <xf borderId="0" fillId="0" fontId="26" numFmtId="0" xfId="0" applyAlignment="1" applyFont="1">
      <alignment horizontal="center" readingOrder="0" shrinkToFit="0" vertical="center" wrapText="1"/>
    </xf>
    <xf borderId="0" fillId="2" fontId="45" numFmtId="0" xfId="0" applyAlignment="1" applyFill="1" applyFont="1">
      <alignment horizontal="center" readingOrder="0" shrinkToFit="0" vertical="center" wrapText="1"/>
    </xf>
    <xf borderId="0" fillId="2" fontId="46" numFmtId="0" xfId="0" applyAlignment="1" applyFill="1" applyFont="1">
      <alignment shrinkToFit="0" vertical="center" wrapText="1"/>
    </xf>
    <xf borderId="0" fillId="2" fontId="24" numFmtId="0" xfId="0" applyAlignment="1" applyFill="1" applyFont="1">
      <alignment horizontal="center" shrinkToFit="0" vertical="center" wrapText="1"/>
    </xf>
    <xf borderId="0" fillId="2" fontId="22" numFmtId="0" xfId="0" applyAlignment="1" applyFill="1" applyFont="1">
      <alignment horizontal="center" readingOrder="0" shrinkToFit="0" vertical="center" wrapText="1"/>
    </xf>
    <xf borderId="0" fillId="2" fontId="24" numFmtId="0" xfId="0" applyAlignment="1" applyFill="1" applyFont="1">
      <alignment readingOrder="0" shrinkToFit="0" vertical="center" wrapText="1"/>
    </xf>
    <xf borderId="0" fillId="0" fontId="44" numFmtId="0" xfId="0" applyAlignment="1" applyFont="1">
      <alignment horizontal="center" readingOrder="0" shrinkToFit="0" vertical="center" wrapText="1"/>
    </xf>
    <xf borderId="0" fillId="0" fontId="44" numFmtId="167" xfId="0" applyAlignment="1" applyFont="1" applyNumberFormat="1">
      <alignment horizontal="right" readingOrder="0" shrinkToFit="0" vertical="center" wrapText="1"/>
    </xf>
    <xf borderId="0" fillId="2" fontId="19" numFmtId="0" xfId="0" applyAlignment="1" applyFill="1" applyFont="1">
      <alignment horizontal="center" readingOrder="0" shrinkToFit="0" vertical="center" wrapText="1"/>
    </xf>
    <xf borderId="0" fillId="0" fontId="20" numFmtId="167" xfId="0" applyAlignment="1" applyFont="1" applyNumberFormat="1">
      <alignment horizontal="right" readingOrder="0" shrinkToFit="0" vertical="center" wrapText="1"/>
    </xf>
    <xf borderId="0" fillId="0" fontId="20" numFmtId="170" xfId="0" applyAlignment="1" applyFont="1" applyNumberFormat="1">
      <alignment readingOrder="0" shrinkToFit="0" vertical="center" wrapText="1"/>
    </xf>
    <xf borderId="0" fillId="0" fontId="20" numFmtId="174" xfId="0" applyAlignment="1" applyFont="1" applyNumberFormat="1">
      <alignment readingOrder="0" shrinkToFit="0" vertical="center" wrapText="1"/>
    </xf>
    <xf borderId="0" fillId="5" fontId="44" numFmtId="166" xfId="0" applyAlignment="1" applyFill="1" applyFont="1" applyNumberFormat="1">
      <alignment readingOrder="0" shrinkToFit="0" vertical="center" wrapText="1"/>
    </xf>
    <xf borderId="0" fillId="5" fontId="44" numFmtId="166" xfId="0" applyAlignment="1" applyFill="1" applyFont="1" applyNumberFormat="1">
      <alignment horizontal="right" readingOrder="0" shrinkToFit="0" vertical="center" wrapText="1"/>
    </xf>
    <xf borderId="0" fillId="5" fontId="41" numFmtId="166" xfId="0" applyAlignment="1" applyFill="1" applyFont="1" applyNumberFormat="1">
      <alignment shrinkToFit="0" vertical="center" wrapText="1"/>
    </xf>
    <xf borderId="0" fillId="5" fontId="44" numFmtId="49" xfId="0" applyAlignment="1" applyFill="1" applyFont="1" applyNumberFormat="1">
      <alignment horizontal="center" readingOrder="0" shrinkToFit="0" vertical="center" wrapText="1"/>
    </xf>
    <xf borderId="0" fillId="5" fontId="44" numFmtId="167" xfId="0" applyAlignment="1" applyFill="1" applyFont="1" applyNumberFormat="1">
      <alignment horizontal="right" readingOrder="0" shrinkToFit="0" vertical="center" wrapText="1"/>
    </xf>
    <xf borderId="0" fillId="5" fontId="44" numFmtId="49" xfId="0" applyAlignment="1" applyFill="1" applyFont="1" applyNumberFormat="1">
      <alignment horizontal="right" readingOrder="0" shrinkToFit="0" vertical="center" wrapText="1"/>
    </xf>
    <xf borderId="0" fillId="5" fontId="44" numFmtId="49" xfId="0" applyAlignment="1" applyFill="1" applyFont="1" applyNumberFormat="1">
      <alignment readingOrder="0" shrinkToFit="0" vertical="center" wrapText="1"/>
    </xf>
    <xf borderId="0" fillId="5" fontId="44" numFmtId="166" xfId="0" applyAlignment="1" applyFill="1" applyFont="1" applyNumberFormat="1">
      <alignment horizontal="center" readingOrder="0" shrinkToFit="0" vertical="center" wrapText="1"/>
    </xf>
    <xf borderId="0" fillId="5" fontId="41" numFmtId="166" xfId="0" applyAlignment="1" applyFill="1" applyFont="1" applyNumberFormat="1">
      <alignment readingOrder="0" shrinkToFit="0" vertical="center" wrapText="1"/>
    </xf>
    <xf borderId="0" fillId="5" fontId="44" numFmtId="164" xfId="0" applyAlignment="1" applyFill="1" applyFont="1" applyNumberFormat="1">
      <alignment readingOrder="0" shrinkToFit="0" vertical="center" wrapText="1"/>
    </xf>
    <xf borderId="0" fillId="5" fontId="41" numFmtId="166" xfId="0" applyAlignment="1" applyFill="1" applyFont="1" applyNumberFormat="1">
      <alignment horizontal="center" readingOrder="0" shrinkToFit="0" vertical="center" wrapText="1"/>
    </xf>
    <xf borderId="0" fillId="5" fontId="28" numFmtId="166" xfId="0" applyAlignment="1" applyFill="1" applyFont="1" applyNumberFormat="1">
      <alignment readingOrder="0" shrinkToFit="0" vertical="center" wrapText="1"/>
    </xf>
    <xf borderId="0" fillId="5" fontId="44" numFmtId="172" xfId="0" applyAlignment="1" applyFill="1" applyFont="1" applyNumberFormat="1">
      <alignment horizontal="center" readingOrder="0" shrinkToFit="0" vertical="center" wrapText="1"/>
    </xf>
    <xf borderId="0" fillId="4" fontId="31" numFmtId="0" xfId="0" applyAlignment="1" applyFill="1" applyFont="1">
      <alignment horizontal="center" readingOrder="0" shrinkToFit="0" vertical="center" wrapText="1"/>
    </xf>
    <xf borderId="0" fillId="5" fontId="44" numFmtId="171" xfId="0" applyAlignment="1" applyFill="1" applyFont="1" applyNumberFormat="1">
      <alignment horizontal="right" readingOrder="0" shrinkToFit="0" vertical="center" wrapText="1"/>
    </xf>
    <xf borderId="0" fillId="5" fontId="44" numFmtId="167" xfId="0" applyAlignment="1" applyFill="1" applyFont="1" applyNumberFormat="1">
      <alignment readingOrder="0" shrinkToFit="0" vertical="center" wrapText="1"/>
    </xf>
    <xf borderId="0" fillId="4" fontId="47" numFmtId="0" xfId="0" applyAlignment="1" applyFill="1" applyFont="1">
      <alignment readingOrder="0" shrinkToFit="0" vertical="center" wrapText="1"/>
    </xf>
    <xf borderId="0" fillId="0" fontId="41" numFmtId="0" xfId="0" applyFont="1"/>
    <xf borderId="0" fillId="0" fontId="20" numFmtId="173" xfId="0" applyAlignment="1" applyFont="1" applyNumberFormat="1">
      <alignment horizontal="center" readingOrder="0" shrinkToFit="0" vertical="center" wrapText="1"/>
    </xf>
    <xf borderId="0" fillId="0" fontId="20" numFmtId="173" xfId="0" applyAlignment="1" applyFont="1" applyNumberFormat="1">
      <alignment readingOrder="0" shrinkToFit="0" vertical="center" wrapText="1"/>
    </xf>
    <xf borderId="0" fillId="5" fontId="44" numFmtId="0" xfId="0" applyAlignment="1" applyFill="1" applyFont="1">
      <alignment horizontal="center" readingOrder="0" shrinkToFit="0" vertical="center" wrapText="1"/>
    </xf>
    <xf borderId="0" fillId="0" fontId="44" numFmtId="166" xfId="0" applyAlignment="1" applyFont="1" applyNumberFormat="1">
      <alignment readingOrder="0" shrinkToFit="0" wrapText="1"/>
    </xf>
    <xf borderId="0" fillId="0" fontId="44" numFmtId="166" xfId="0" applyAlignment="1" applyFont="1" applyNumberFormat="1">
      <alignment horizontal="center" readingOrder="0" vertical="center"/>
    </xf>
    <xf borderId="0" fillId="0" fontId="26" numFmtId="166" xfId="0" applyAlignment="1" applyFont="1" applyNumberFormat="1">
      <alignment readingOrder="0" vertical="center"/>
    </xf>
    <xf borderId="0" fillId="0" fontId="44" numFmtId="49" xfId="0" applyAlignment="1" applyFont="1" applyNumberFormat="1">
      <alignment readingOrder="0" shrinkToFit="0" vertical="center" wrapText="1"/>
    </xf>
    <xf borderId="0" fillId="0" fontId="44" numFmtId="0" xfId="0" applyAlignment="1" applyFont="1">
      <alignment readingOrder="0" shrinkToFit="0" vertical="center" wrapText="1"/>
    </xf>
    <xf borderId="0" fillId="0" fontId="44" numFmtId="49" xfId="0" applyAlignment="1" applyFont="1" applyNumberFormat="1">
      <alignment horizontal="center" readingOrder="0" shrinkToFit="0" vertical="center" wrapText="1"/>
    </xf>
    <xf borderId="0" fillId="0" fontId="11" numFmtId="165" xfId="0" applyAlignment="1" applyFont="1" applyNumberFormat="1">
      <alignment readingOrder="0" vertical="center"/>
    </xf>
    <xf borderId="0" fillId="0" fontId="44" numFmtId="49" xfId="0" applyAlignment="1" applyFont="1" applyNumberFormat="1">
      <alignment horizontal="right" shrinkToFit="0" vertical="center" wrapText="1"/>
    </xf>
    <xf borderId="0" fillId="0" fontId="20" numFmtId="167" xfId="0" applyAlignment="1" applyFont="1" applyNumberFormat="1">
      <alignment horizontal="right" readingOrder="0" shrinkToFit="0" vertical="center" wrapText="1"/>
    </xf>
    <xf borderId="0" fillId="0" fontId="20" numFmtId="164" xfId="0" applyAlignment="1" applyFont="1" applyNumberFormat="1">
      <alignment horizontal="right" readingOrder="0" shrinkToFit="0" vertical="center" wrapText="1"/>
    </xf>
    <xf borderId="0" fillId="0" fontId="20" numFmtId="166" xfId="0" applyAlignment="1" applyFont="1" applyNumberFormat="1">
      <alignment horizontal="right" readingOrder="0" shrinkToFit="0" vertical="center" wrapText="1"/>
    </xf>
    <xf borderId="0" fillId="0" fontId="20" numFmtId="167" xfId="0" applyAlignment="1" applyFont="1" applyNumberFormat="1">
      <alignment readingOrder="0" shrinkToFit="0" vertical="center" wrapText="1"/>
    </xf>
    <xf borderId="0" fillId="0" fontId="44" numFmtId="0" xfId="0" applyAlignment="1" applyFont="1">
      <alignment readingOrder="0" shrinkToFit="0" wrapText="1"/>
    </xf>
    <xf borderId="0" fillId="0" fontId="11" numFmtId="3" xfId="0" applyAlignment="1" applyFont="1" applyNumberFormat="1">
      <alignment readingOrder="0" vertical="center"/>
    </xf>
    <xf borderId="0" fillId="5" fontId="44" numFmtId="0" xfId="0" applyAlignment="1" applyFill="1" applyFont="1">
      <alignment readingOrder="0" shrinkToFit="0" vertical="center" wrapText="1"/>
    </xf>
    <xf borderId="0" fillId="5" fontId="44" numFmtId="170" xfId="0" applyAlignment="1" applyFill="1" applyFont="1" applyNumberFormat="1">
      <alignment horizontal="right" readingOrder="0" shrinkToFit="0" vertical="center" wrapText="1"/>
    </xf>
    <xf borderId="0" fillId="5" fontId="44" numFmtId="170" xfId="0" applyAlignment="1" applyFill="1" applyFont="1" applyNumberFormat="1">
      <alignment readingOrder="0" shrinkToFit="0" vertical="center" wrapText="1"/>
    </xf>
    <xf borderId="0" fillId="5" fontId="44" numFmtId="49" xfId="0" applyAlignment="1" applyFill="1" applyFont="1" applyNumberFormat="1">
      <alignment horizontal="right" shrinkToFit="0" vertical="center" wrapText="1"/>
    </xf>
    <xf borderId="0" fillId="5" fontId="44" numFmtId="169" xfId="0" applyAlignment="1" applyFill="1" applyFont="1" applyNumberFormat="1">
      <alignment readingOrder="0" shrinkToFit="0" vertical="center" wrapText="1"/>
    </xf>
    <xf borderId="0" fillId="0" fontId="20" numFmtId="170" xfId="0" applyAlignment="1" applyFont="1" applyNumberFormat="1">
      <alignment shrinkToFit="0" vertical="center" wrapText="1"/>
    </xf>
    <xf borderId="0" fillId="0" fontId="20" numFmtId="164" xfId="0" applyAlignment="1" applyFont="1" applyNumberFormat="1">
      <alignment shrinkToFit="0" vertical="center" wrapText="1"/>
    </xf>
    <xf borderId="0" fillId="0" fontId="20" numFmtId="0" xfId="0" applyAlignment="1" applyFont="1">
      <alignment readingOrder="0" shrinkToFit="0" vertical="center" wrapText="1"/>
    </xf>
    <xf borderId="0" fillId="0" fontId="20" numFmtId="174" xfId="0" applyAlignment="1" applyFont="1" applyNumberFormat="1">
      <alignment shrinkToFit="0" vertical="center" wrapText="1"/>
    </xf>
    <xf borderId="0" fillId="0" fontId="20" numFmtId="175" xfId="0" applyAlignment="1" applyFont="1" applyNumberFormat="1">
      <alignment horizontal="right" readingOrder="0" shrinkToFit="0" vertical="center" wrapText="1"/>
    </xf>
    <xf borderId="0" fillId="6" fontId="26" numFmtId="166" xfId="0" applyAlignment="1" applyFill="1" applyFont="1" applyNumberFormat="1">
      <alignment shrinkToFit="0" wrapText="1"/>
    </xf>
    <xf borderId="0" fillId="6" fontId="20" numFmtId="49" xfId="0" applyAlignment="1" applyFill="1" applyFont="1" applyNumberFormat="1">
      <alignment shrinkToFit="0" wrapText="1"/>
    </xf>
    <xf borderId="0" fillId="6" fontId="20" numFmtId="166" xfId="0" applyAlignment="1" applyFill="1" applyFont="1" applyNumberFormat="1">
      <alignment shrinkToFit="0" wrapText="1"/>
    </xf>
    <xf borderId="0" fillId="6" fontId="20" numFmtId="0" xfId="0" applyAlignment="1" applyFill="1" applyFont="1">
      <alignment shrinkToFit="0" wrapText="1"/>
    </xf>
    <xf borderId="0" fillId="6" fontId="26" numFmtId="166" xfId="0" applyAlignment="1" applyFill="1" applyFont="1" applyNumberFormat="1">
      <alignment horizontal="center" shrinkToFit="0" wrapText="1"/>
    </xf>
    <xf borderId="0" fillId="6" fontId="11" numFmtId="166" xfId="0" applyFill="1" applyFont="1" applyNumberFormat="1"/>
    <xf borderId="0" fillId="6" fontId="26" numFmtId="166" xfId="0" applyAlignment="1" applyFill="1" applyFont="1" applyNumberFormat="1">
      <alignment horizontal="right"/>
    </xf>
    <xf borderId="0" fillId="6" fontId="26" numFmtId="14" xfId="0" applyAlignment="1" applyFill="1" applyFont="1" applyNumberFormat="1">
      <alignment horizontal="center" shrinkToFit="0" wrapText="1"/>
    </xf>
    <xf borderId="0" fillId="6" fontId="26" numFmtId="170" xfId="0" applyAlignment="1" applyFill="1" applyFont="1" applyNumberFormat="1">
      <alignment horizontal="right"/>
    </xf>
    <xf borderId="0" fillId="6" fontId="26" numFmtId="170" xfId="0" applyAlignment="1" applyFill="1" applyFont="1" applyNumberFormat="1">
      <alignment shrinkToFit="0" wrapText="1"/>
    </xf>
    <xf borderId="0" fillId="6" fontId="26" numFmtId="174" xfId="0" applyAlignment="1" applyFill="1" applyFont="1" applyNumberFormat="1">
      <alignment horizontal="right"/>
    </xf>
    <xf borderId="0" fillId="6" fontId="26" numFmtId="170" xfId="0" applyAlignment="1" applyFill="1" applyFont="1" applyNumberFormat="1">
      <alignment horizontal="center" shrinkToFit="0" wrapText="1"/>
    </xf>
    <xf borderId="0" fillId="6" fontId="20" numFmtId="164" xfId="0" applyAlignment="1" applyFill="1" applyFont="1" applyNumberFormat="1">
      <alignment shrinkToFit="0" wrapText="1"/>
    </xf>
    <xf borderId="0" fillId="6" fontId="20" numFmtId="166" xfId="0" applyAlignment="1" applyFill="1" applyFont="1" applyNumberFormat="1">
      <alignment shrinkToFit="0" vertical="center" wrapText="1"/>
    </xf>
    <xf borderId="0" fillId="6" fontId="20" numFmtId="166" xfId="0" applyAlignment="1" applyFill="1" applyFont="1" applyNumberFormat="1">
      <alignment horizontal="center" readingOrder="0" shrinkToFit="0" vertical="center" wrapText="1"/>
    </xf>
    <xf borderId="0" fillId="6" fontId="20" numFmtId="166" xfId="0" applyAlignment="1" applyFill="1" applyFont="1" applyNumberFormat="1">
      <alignment readingOrder="0" shrinkToFit="0" vertical="center" wrapText="1"/>
    </xf>
    <xf borderId="0" fillId="6" fontId="26" numFmtId="164" xfId="0" applyAlignment="1" applyFill="1" applyFont="1" applyNumberFormat="1">
      <alignment shrinkToFit="0" wrapText="1"/>
    </xf>
    <xf borderId="0" fillId="6" fontId="26" numFmtId="173" xfId="0" applyAlignment="1" applyFill="1" applyFont="1" applyNumberFormat="1">
      <alignment shrinkToFit="0" wrapText="1"/>
    </xf>
    <xf borderId="0" fillId="6" fontId="20" numFmtId="166" xfId="0" applyAlignment="1" applyFill="1" applyFont="1" applyNumberFormat="1">
      <alignment horizontal="center" shrinkToFit="0" wrapText="1"/>
    </xf>
    <xf borderId="0" fillId="6" fontId="20" numFmtId="166" xfId="0" applyFill="1" applyFont="1" applyNumberFormat="1"/>
    <xf borderId="0" fillId="6" fontId="11" numFmtId="166" xfId="0" applyAlignment="1" applyFill="1" applyFont="1" applyNumberFormat="1">
      <alignment shrinkToFit="0" vertical="bottom" wrapText="1"/>
    </xf>
    <xf borderId="0" fillId="6" fontId="26" numFmtId="170" xfId="0" applyAlignment="1" applyFill="1" applyFont="1" applyNumberFormat="1">
      <alignment horizontal="right" shrinkToFit="0" wrapText="1"/>
    </xf>
    <xf borderId="0" fillId="6" fontId="26" numFmtId="174" xfId="0" applyAlignment="1" applyFill="1" applyFont="1" applyNumberFormat="1">
      <alignment shrinkToFit="0" wrapText="1"/>
    </xf>
    <xf borderId="0" fillId="6" fontId="26" numFmtId="168" xfId="0" applyAlignment="1" applyFill="1" applyFont="1" applyNumberFormat="1">
      <alignment horizontal="center" shrinkToFit="0" wrapText="1"/>
    </xf>
    <xf borderId="0" fillId="6" fontId="11" numFmtId="167" xfId="0" applyFill="1" applyFont="1" applyNumberFormat="1"/>
    <xf borderId="0" fillId="6" fontId="41" numFmtId="0" xfId="0" applyFill="1" applyFont="1"/>
    <xf borderId="0" fillId="6" fontId="11" numFmtId="166" xfId="0" applyAlignment="1" applyFill="1" applyFont="1" applyNumberFormat="1">
      <alignment readingOrder="0"/>
    </xf>
    <xf borderId="0" fillId="0" fontId="11" numFmtId="166" xfId="0" applyFont="1" applyNumberFormat="1"/>
    <xf borderId="0" fillId="0" fontId="48" numFmtId="0" xfId="0" applyAlignment="1" applyFont="1">
      <alignment horizontal="center" shrinkToFit="0" vertical="center" wrapText="1"/>
    </xf>
    <xf borderId="0" fillId="0" fontId="49" numFmtId="0" xfId="0" applyAlignment="1" applyFont="1">
      <alignment horizontal="center" shrinkToFit="0" vertical="center" wrapText="1"/>
    </xf>
    <xf borderId="0" fillId="0" fontId="50" numFmtId="0" xfId="0" applyAlignment="1" applyFont="1">
      <alignment horizontal="center" shrinkToFit="0" vertical="center" wrapText="1"/>
    </xf>
    <xf borderId="0" fillId="0" fontId="50" numFmtId="0" xfId="0" applyAlignment="1" applyFont="1">
      <alignment shrinkToFit="0" vertical="center" wrapText="1"/>
    </xf>
    <xf borderId="0" fillId="7" fontId="50" numFmtId="0" xfId="0" applyAlignment="1" applyFill="1" applyFont="1">
      <alignment horizontal="center" shrinkToFit="0" vertical="center" wrapText="1"/>
    </xf>
    <xf borderId="0" fillId="0" fontId="20" numFmtId="0" xfId="0" applyAlignment="1" applyFont="1">
      <alignment shrinkToFit="0" vertical="center" wrapText="1"/>
    </xf>
    <xf borderId="0" fillId="0" fontId="51" numFmtId="0" xfId="0" applyAlignment="1" applyFont="1">
      <alignment shrinkToFit="0" vertical="center" wrapText="1"/>
    </xf>
    <xf borderId="0" fillId="0" fontId="51" numFmtId="0" xfId="0" applyAlignment="1" applyFont="1">
      <alignment shrinkToFit="0" vertical="center" wrapText="1"/>
    </xf>
    <xf borderId="0" fillId="0" fontId="52" numFmtId="0" xfId="0" applyAlignment="1" applyFont="1">
      <alignment shrinkToFit="0" vertical="center" wrapText="1"/>
    </xf>
    <xf borderId="0" fillId="0" fontId="53" numFmtId="0" xfId="0" applyAlignment="1" applyFont="1">
      <alignment shrinkToFit="0" vertical="center" wrapText="1"/>
    </xf>
    <xf borderId="0" fillId="8" fontId="20" numFmtId="0" xfId="0" applyAlignment="1" applyFill="1" applyFont="1">
      <alignment shrinkToFit="0" vertical="center" wrapText="1"/>
    </xf>
    <xf borderId="0" fillId="8" fontId="51" numFmtId="0" xfId="0" applyAlignment="1" applyFill="1" applyFont="1">
      <alignment shrinkToFit="0" vertical="center" wrapText="1"/>
    </xf>
    <xf borderId="13" fillId="8" fontId="11" numFmtId="0" xfId="0" applyAlignment="1" applyBorder="1" applyFill="1" applyFont="1">
      <alignment vertical="center"/>
    </xf>
    <xf borderId="0" fillId="0" fontId="54" numFmtId="0" xfId="0" applyAlignment="1" applyFont="1">
      <alignment shrinkToFit="0" vertical="center" wrapText="1"/>
    </xf>
    <xf borderId="0" fillId="0" fontId="20" numFmtId="0" xfId="0" applyAlignment="1" applyFont="1">
      <alignment shrinkToFit="0" vertical="center" wrapText="1"/>
    </xf>
    <xf borderId="0" fillId="8" fontId="51" numFmtId="0" xfId="0" applyAlignment="1" applyFill="1" applyFont="1">
      <alignment shrinkToFit="0" vertical="center" wrapText="1"/>
    </xf>
    <xf borderId="0" fillId="8" fontId="11" numFmtId="0" xfId="0" applyAlignment="1" applyFill="1" applyFont="1">
      <alignment vertical="center"/>
    </xf>
    <xf borderId="14" fillId="0" fontId="20" numFmtId="0" xfId="0" applyAlignment="1" applyBorder="1" applyFont="1">
      <alignment shrinkToFit="0" vertical="center" wrapText="1"/>
    </xf>
    <xf borderId="14" fillId="0" fontId="50" numFmtId="0" xfId="0" applyAlignment="1" applyBorder="1" applyFont="1">
      <alignment shrinkToFit="0" vertical="center" wrapText="1"/>
    </xf>
    <xf borderId="14" fillId="0" fontId="51" numFmtId="0" xfId="0" applyAlignment="1" applyBorder="1" applyFont="1">
      <alignment shrinkToFit="0" vertical="center" wrapText="1"/>
    </xf>
    <xf borderId="14" fillId="0" fontId="11" numFmtId="0" xfId="0" applyAlignment="1" applyBorder="1" applyFont="1">
      <alignment vertical="center"/>
    </xf>
    <xf borderId="15" fillId="0" fontId="20" numFmtId="0" xfId="0" applyAlignment="1" applyBorder="1" applyFont="1">
      <alignment shrinkToFit="0" vertical="center" wrapText="1"/>
    </xf>
    <xf borderId="15" fillId="0" fontId="51" numFmtId="0" xfId="0" applyAlignment="1" applyBorder="1" applyFont="1">
      <alignment shrinkToFit="0" vertical="center" wrapText="1"/>
    </xf>
    <xf borderId="15" fillId="0" fontId="11" numFmtId="0" xfId="0" applyAlignment="1" applyBorder="1" applyFont="1">
      <alignment vertical="center"/>
    </xf>
    <xf borderId="14" fillId="0" fontId="51" numFmtId="0" xfId="0" applyAlignment="1" applyBorder="1" applyFont="1">
      <alignment shrinkToFit="0" vertical="center" wrapText="1"/>
    </xf>
    <xf borderId="14" fillId="8" fontId="20" numFmtId="0" xfId="0" applyAlignment="1" applyBorder="1" applyFill="1" applyFont="1">
      <alignment shrinkToFit="0" vertical="center" wrapText="1"/>
    </xf>
    <xf borderId="14" fillId="8" fontId="50" numFmtId="0" xfId="0" applyAlignment="1" applyBorder="1" applyFill="1" applyFont="1">
      <alignment shrinkToFit="0" vertical="center" wrapText="1"/>
    </xf>
    <xf borderId="14" fillId="8" fontId="51" numFmtId="0" xfId="0" applyAlignment="1" applyBorder="1" applyFill="1" applyFont="1">
      <alignment shrinkToFit="0" vertical="center" wrapText="1"/>
    </xf>
    <xf borderId="14" fillId="8" fontId="11" numFmtId="0" xfId="0" applyAlignment="1" applyBorder="1" applyFill="1" applyFont="1">
      <alignment vertical="center"/>
    </xf>
    <xf borderId="0" fillId="8" fontId="55" numFmtId="0" xfId="0" applyAlignment="1" applyFill="1" applyFont="1">
      <alignment shrinkToFit="0" vertical="center" wrapText="1"/>
    </xf>
    <xf borderId="0" fillId="8" fontId="20" numFmtId="0" xfId="0" applyAlignment="1" applyFill="1" applyFont="1">
      <alignment vertical="center"/>
    </xf>
    <xf borderId="0" fillId="8" fontId="11" numFmtId="0" xfId="0" applyAlignment="1" applyFill="1" applyFont="1">
      <alignment vertical="center"/>
    </xf>
    <xf borderId="0" fillId="7" fontId="49" numFmtId="0" xfId="0" applyAlignment="1" applyFill="1" applyFont="1">
      <alignment horizontal="center" shrinkToFit="0" vertical="center" wrapText="1"/>
    </xf>
    <xf borderId="0" fillId="0" fontId="50" numFmtId="0" xfId="0" applyAlignment="1" applyFont="1">
      <alignment shrinkToFit="0" vertical="center" wrapText="1"/>
    </xf>
    <xf borderId="0" fillId="9" fontId="11" numFmtId="0" xfId="0" applyAlignment="1" applyFill="1" applyFont="1">
      <alignment vertical="center"/>
    </xf>
    <xf borderId="0" fillId="9" fontId="11" numFmtId="0" xfId="0" applyAlignment="1" applyFill="1" applyFont="1">
      <alignment vertical="center"/>
    </xf>
    <xf borderId="14" fillId="0" fontId="50" numFmtId="0" xfId="0" applyAlignment="1" applyBorder="1" applyFont="1">
      <alignment shrinkToFit="0" vertical="center" wrapText="1"/>
    </xf>
    <xf borderId="0" fillId="0" fontId="56" numFmtId="0" xfId="0" applyAlignment="1" applyFont="1">
      <alignment shrinkToFit="0" vertical="center" wrapText="1"/>
    </xf>
    <xf borderId="15" fillId="0" fontId="20" numFmtId="0" xfId="0" applyAlignment="1" applyBorder="1" applyFont="1">
      <alignment shrinkToFit="0" vertical="center" wrapText="1"/>
    </xf>
    <xf borderId="14" fillId="0" fontId="20" numFmtId="0" xfId="0" applyAlignment="1" applyBorder="1" applyFont="1">
      <alignment shrinkToFit="0" vertical="center" wrapText="1"/>
    </xf>
    <xf borderId="0" fillId="3" fontId="20" numFmtId="0" xfId="0" applyAlignment="1" applyFill="1" applyFont="1">
      <alignment shrinkToFit="0" vertical="center" wrapText="1"/>
    </xf>
    <xf borderId="0" fillId="3" fontId="51" numFmtId="0" xfId="0" applyAlignment="1" applyFill="1" applyFont="1">
      <alignment shrinkToFit="0" vertical="center" wrapText="1"/>
    </xf>
    <xf borderId="0" fillId="3" fontId="11" numFmtId="0" xfId="0" applyAlignment="1" applyFill="1" applyFont="1">
      <alignment vertical="center"/>
    </xf>
    <xf borderId="0" fillId="3" fontId="20" numFmtId="0" xfId="0" applyAlignment="1" applyFill="1" applyFont="1">
      <alignment shrinkToFit="0" vertical="center" wrapText="1"/>
    </xf>
    <xf borderId="0" fillId="3" fontId="51" numFmtId="0" xfId="0" applyAlignment="1" applyFill="1" applyFont="1">
      <alignment shrinkToFit="0" vertical="center" wrapText="1"/>
    </xf>
    <xf borderId="15" fillId="0" fontId="51" numFmtId="0" xfId="0" applyAlignment="1" applyBorder="1" applyFont="1">
      <alignment shrinkToFit="0" vertical="center" wrapText="1"/>
    </xf>
    <xf borderId="0" fillId="0" fontId="51" numFmtId="0" xfId="0" applyAlignment="1" applyFont="1">
      <alignment horizontal="right" shrinkToFit="0" vertical="center" wrapText="1"/>
    </xf>
    <xf borderId="0" fillId="0" fontId="51" numFmtId="0" xfId="0" applyAlignment="1" applyFont="1">
      <alignment horizontal="right" shrinkToFit="0" vertical="center" wrapText="1"/>
    </xf>
    <xf borderId="0" fillId="7" fontId="57" numFmtId="0" xfId="0" applyAlignment="1" applyFill="1" applyFont="1">
      <alignment horizontal="center" shrinkToFit="0" vertical="center" wrapText="1"/>
    </xf>
    <xf borderId="0" fillId="9" fontId="51" numFmtId="0" xfId="0" applyAlignment="1" applyFill="1" applyFont="1">
      <alignment shrinkToFit="0" vertical="center" wrapText="1"/>
    </xf>
    <xf borderId="0" fillId="9" fontId="51" numFmtId="0" xfId="0" applyAlignment="1" applyFill="1" applyFont="1">
      <alignment shrinkToFit="0" vertical="center" wrapText="1"/>
    </xf>
    <xf borderId="0" fillId="3" fontId="20" numFmtId="0" xfId="0" applyAlignment="1" applyFill="1" applyFont="1">
      <alignment vertical="center"/>
    </xf>
    <xf borderId="0" fillId="3" fontId="50" numFmtId="0" xfId="0" applyAlignment="1" applyFill="1" applyFont="1">
      <alignment shrinkToFit="0" vertical="center" wrapText="1"/>
    </xf>
    <xf borderId="0" fillId="8" fontId="50" numFmtId="0" xfId="0" applyAlignment="1" applyFill="1" applyFont="1">
      <alignment shrinkToFit="0" vertical="center" wrapText="1"/>
    </xf>
    <xf borderId="0" fillId="10" fontId="11" numFmtId="0" xfId="0" applyAlignment="1" applyFill="1" applyFont="1">
      <alignment vertical="center"/>
    </xf>
    <xf borderId="0" fillId="0" fontId="11" numFmtId="0" xfId="0" applyAlignment="1" applyFont="1">
      <alignment shrinkToFit="0" vertical="center" wrapText="1"/>
    </xf>
    <xf borderId="0" fillId="11" fontId="11" numFmtId="0" xfId="0" applyAlignment="1" applyFill="1" applyFont="1">
      <alignment shrinkToFit="0" vertical="center" wrapText="1"/>
    </xf>
    <xf borderId="0" fillId="11" fontId="11" numFmtId="0" xfId="0" applyAlignment="1" applyFill="1" applyFont="1">
      <alignment vertical="center"/>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ad00d33a-f440-4a96-9c66-d34926cf81e0}">
    <Anchor>
      <Comment id="{a19ab13e-9e04-406b-8db8-85af7d519bab}"/>
    </Anchor>
    <History>
      <Event time="2026-10-07T14:34:18.00" id="{4748bc16-5612-4305-acc9-078adeafe634}">
        <Attribution userId="placeholder@email.com" userName="Lois Shimmen" userProvider="google-sheets"/>
        <Anchor>
          <Comment id="{a19ab13e-9e04-406b-8db8-85af7d519bab}"/>
        </Anchor>
        <Create/>
      </Event>
      <Event time="2026-10-07T14:34:18.00" id="{fa50f6c3-1c92-42d4-93c6-c0abdda0155e}">
        <Attribution userId="placeholder@email.com" userName="Lois Shimmen" userProvider="google-sheets"/>
        <Anchor>
          <Comment id="{a19ab13e-9e04-406b-8db8-85af7d519bab}"/>
        </Anchor>
        <Assign userId="holypulse@gmail.com" userName="holypulse@gmail.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Lois Shimmen" id="{f234acc7-640b-4429-b9cd-733ee50be002}" providerId="google-sheets"/>
  <x18tc:person displayName="holypulse@gmail.com" id="{783a186e-fc30-4585-8c49-a1647d5d3c33}" userId="holypulse@gmail.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10-07T14:34:18.00" personId="{f234acc7-640b-4429-b9cd-733ee50be002}" id="{a19ab13e-9e04-406b-8db8-85af7d519bab}" done="0">
    <x18tc:text xml:space="preserve">@holypulse@gmail.com  Please find the updated 'consolidated' list of interest tags to use for the text prompt list in 'Child Loves' tag section (profile)
Assigned to holypulse@gmail.com</x18tc:text>
    <x18tc:mentions>
      <x18tc:mention mentionpersonId="{783a186e-fc30-4585-8c49-a1647d5d3c33}" mentionId="{1bf6f9f5-744f-4d50-96e8-3ef9fc9ba2e8}" startIndex="0" length="20"/>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drive.google.com/drive/u/0/folders/1bP52w9pEJXvDImGpH_PlUiO1Yxqne5_n"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drive/u/0/folders/1nK9cEMUtuORDc6JMd84g_krnITPF3WNq"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5.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75"/>
  <cols>
    <col customWidth="1" min="1" max="1" width="13.75"/>
    <col customWidth="1" min="2" max="2" width="14.25"/>
    <col customWidth="1" min="3" max="3" width="16.0"/>
    <col customWidth="1" min="4" max="4" width="21.63"/>
    <col customWidth="1" min="5" max="5" width="16.13"/>
    <col customWidth="1" min="6" max="6" width="16.5"/>
    <col hidden="1" min="13" max="13" width="12.63"/>
    <col customWidth="1" min="14" max="14" width="15.13"/>
    <col customWidth="1" min="18" max="31" width="8.13"/>
    <col customWidth="1" min="38" max="38" width="17.5"/>
    <col customWidth="1" min="39" max="52" width="8.88"/>
    <col customWidth="1" min="53" max="53" width="16.25"/>
    <col customWidth="1" min="54" max="54" width="17.0"/>
    <col customWidth="1" min="55" max="55" width="15.5"/>
    <col customWidth="1" min="56" max="56" width="15.13"/>
    <col customWidth="1" min="57" max="57" width="14.88"/>
    <col customWidth="1" min="58" max="64" width="6.5"/>
    <col customWidth="1" min="65" max="65" width="15.0"/>
    <col customWidth="1" min="66" max="66" width="17.63"/>
    <col customWidth="1" min="67" max="67" width="18.75"/>
    <col customWidth="1" min="68" max="68" width="16.38"/>
    <col customWidth="1" min="69" max="70" width="15.75"/>
    <col customWidth="1" min="71" max="71" width="18.63"/>
    <col customWidth="1" min="72" max="72" width="15.88"/>
    <col customWidth="1" min="73" max="73" width="18.38"/>
    <col customWidth="1" min="74" max="74" width="9.63"/>
    <col customWidth="1" min="75" max="75" width="13.63"/>
    <col customWidth="1" min="76" max="76" width="11.25"/>
    <col customWidth="1" min="77" max="77" width="14.5"/>
    <col customWidth="1" min="78" max="80" width="11.25"/>
    <col customWidth="1" min="81" max="81" width="13.13"/>
    <col customWidth="1" min="82" max="82" width="13.5"/>
    <col customWidth="1" min="83" max="83" width="13.63"/>
  </cols>
  <sheetData>
    <row r="1" ht="17.25" customHeight="1">
      <c r="A1" s="6" t="s">
        <v>0</v>
      </c>
      <c r="E1" s="8" t="s">
        <v>11</v>
      </c>
      <c r="G1" s="6" t="s">
        <v>12</v>
      </c>
      <c r="N1" s="10" t="s">
        <v>16</v>
      </c>
      <c r="AG1" s="10"/>
      <c r="AH1" s="10"/>
      <c r="AI1" s="6" t="s">
        <v>22</v>
      </c>
      <c r="BA1" s="6" t="s">
        <v>13</v>
      </c>
      <c r="BF1" s="6" t="s">
        <v>15</v>
      </c>
      <c r="BM1" s="6" t="s">
        <v>27</v>
      </c>
      <c r="BP1" s="8" t="s">
        <v>17</v>
      </c>
      <c r="BW1" s="15" t="s">
        <v>26</v>
      </c>
    </row>
    <row r="2" ht="24.75" customHeight="1">
      <c r="N2" s="10" t="s">
        <v>30</v>
      </c>
      <c r="Q2" s="6" t="s">
        <v>32</v>
      </c>
      <c r="AF2" s="18" t="s">
        <v>35</v>
      </c>
      <c r="AI2" s="6" t="s">
        <v>39</v>
      </c>
      <c r="AJ2" s="6" t="s">
        <v>41</v>
      </c>
      <c r="AK2" s="6" t="s">
        <v>43</v>
      </c>
      <c r="AL2" s="6" t="s">
        <v>45</v>
      </c>
      <c r="AM2" s="6" t="s">
        <v>40</v>
      </c>
      <c r="AO2" s="6" t="s">
        <v>42</v>
      </c>
      <c r="AQ2" s="6" t="s">
        <v>44</v>
      </c>
      <c r="AS2" s="6" t="s">
        <v>47</v>
      </c>
      <c r="AU2" s="6" t="s">
        <v>48</v>
      </c>
      <c r="AW2" s="6" t="s">
        <v>50</v>
      </c>
      <c r="AY2" s="6" t="s">
        <v>51</v>
      </c>
    </row>
    <row r="3" ht="70.5" customHeight="1">
      <c r="A3" s="28" t="s">
        <v>55</v>
      </c>
      <c r="B3" s="29" t="s">
        <v>85</v>
      </c>
      <c r="C3" s="29" t="s">
        <v>91</v>
      </c>
      <c r="D3" s="30" t="s">
        <v>95</v>
      </c>
      <c r="E3" s="29" t="s">
        <v>59</v>
      </c>
      <c r="F3" s="28" t="s">
        <v>61</v>
      </c>
      <c r="G3" s="30" t="s">
        <v>62</v>
      </c>
      <c r="H3" s="30" t="s">
        <v>63</v>
      </c>
      <c r="I3" s="30" t="s">
        <v>64</v>
      </c>
      <c r="J3" s="29" t="s">
        <v>66</v>
      </c>
      <c r="K3" s="29" t="s">
        <v>68</v>
      </c>
      <c r="L3" s="29" t="s">
        <v>69</v>
      </c>
      <c r="M3" s="30" t="s">
        <v>67</v>
      </c>
      <c r="N3" s="35" t="s">
        <v>101</v>
      </c>
      <c r="O3" s="35" t="s">
        <v>104</v>
      </c>
      <c r="P3" s="30" t="s">
        <v>106</v>
      </c>
      <c r="Q3" s="30" t="s">
        <v>108</v>
      </c>
      <c r="R3" s="30" t="s">
        <v>110</v>
      </c>
      <c r="S3" s="30" t="s">
        <v>111</v>
      </c>
      <c r="T3" s="30" t="s">
        <v>113</v>
      </c>
      <c r="U3" s="30" t="s">
        <v>115</v>
      </c>
      <c r="V3" s="30" t="s">
        <v>116</v>
      </c>
      <c r="W3" s="30" t="s">
        <v>117</v>
      </c>
      <c r="X3" s="30" t="s">
        <v>118</v>
      </c>
      <c r="Y3" s="30" t="s">
        <v>121</v>
      </c>
      <c r="Z3" s="30" t="s">
        <v>122</v>
      </c>
      <c r="AA3" s="30" t="s">
        <v>124</v>
      </c>
      <c r="AB3" s="30" t="s">
        <v>125</v>
      </c>
      <c r="AC3" s="30" t="s">
        <v>127</v>
      </c>
      <c r="AD3" s="30" t="s">
        <v>129</v>
      </c>
      <c r="AE3" s="30" t="s">
        <v>130</v>
      </c>
      <c r="AF3" s="29" t="s">
        <v>132</v>
      </c>
      <c r="AG3" s="44" t="s">
        <v>135</v>
      </c>
      <c r="AH3" s="47" t="s">
        <v>140</v>
      </c>
      <c r="AI3" s="29" t="s">
        <v>114</v>
      </c>
      <c r="AJ3" s="28" t="s">
        <v>147</v>
      </c>
      <c r="AK3" s="29" t="s">
        <v>123</v>
      </c>
      <c r="AL3" s="30" t="s">
        <v>150</v>
      </c>
      <c r="AM3" s="28" t="s">
        <v>152</v>
      </c>
      <c r="AN3" s="50" t="s">
        <v>155</v>
      </c>
      <c r="AO3" s="28" t="s">
        <v>160</v>
      </c>
      <c r="AP3" s="52" t="s">
        <v>164</v>
      </c>
      <c r="AQ3" s="28" t="s">
        <v>168</v>
      </c>
      <c r="AR3" s="52" t="s">
        <v>170</v>
      </c>
      <c r="AS3" s="28" t="s">
        <v>172</v>
      </c>
      <c r="AT3" s="52" t="s">
        <v>173</v>
      </c>
      <c r="AU3" s="28" t="s">
        <v>174</v>
      </c>
      <c r="AV3" s="52" t="s">
        <v>177</v>
      </c>
      <c r="AW3" s="28" t="s">
        <v>180</v>
      </c>
      <c r="AX3" s="52" t="s">
        <v>182</v>
      </c>
      <c r="AY3" s="28" t="s">
        <v>144</v>
      </c>
      <c r="AZ3" s="52" t="s">
        <v>185</v>
      </c>
      <c r="BA3" s="28" t="s">
        <v>145</v>
      </c>
      <c r="BB3" s="28" t="s">
        <v>146</v>
      </c>
      <c r="BC3" s="28" t="s">
        <v>148</v>
      </c>
      <c r="BD3" s="28" t="s">
        <v>149</v>
      </c>
      <c r="BE3" s="29" t="s">
        <v>191</v>
      </c>
      <c r="BF3" s="29" t="s">
        <v>151</v>
      </c>
      <c r="BG3" s="29" t="s">
        <v>153</v>
      </c>
      <c r="BH3" s="29" t="s">
        <v>154</v>
      </c>
      <c r="BI3" s="29" t="s">
        <v>156</v>
      </c>
      <c r="BJ3" s="29" t="s">
        <v>157</v>
      </c>
      <c r="BK3" s="29" t="s">
        <v>158</v>
      </c>
      <c r="BL3" s="29" t="s">
        <v>159</v>
      </c>
      <c r="BM3" s="28" t="s">
        <v>70</v>
      </c>
      <c r="BN3" s="29" t="s">
        <v>71</v>
      </c>
      <c r="BO3" s="28" t="s">
        <v>205</v>
      </c>
      <c r="BP3" s="44" t="s">
        <v>208</v>
      </c>
      <c r="BQ3" s="28" t="s">
        <v>163</v>
      </c>
      <c r="BR3" s="28" t="s">
        <v>165</v>
      </c>
      <c r="BS3" s="44" t="s">
        <v>211</v>
      </c>
      <c r="BT3" s="28" t="s">
        <v>169</v>
      </c>
      <c r="BU3" s="82" t="s">
        <v>217</v>
      </c>
      <c r="BV3" s="86" t="s">
        <v>183</v>
      </c>
      <c r="BW3" s="62" t="s">
        <v>189</v>
      </c>
      <c r="BX3" s="62" t="s">
        <v>193</v>
      </c>
      <c r="BY3" s="62" t="s">
        <v>196</v>
      </c>
      <c r="BZ3" s="62" t="s">
        <v>197</v>
      </c>
      <c r="CA3" s="62" t="s">
        <v>199</v>
      </c>
      <c r="CB3" s="62" t="s">
        <v>200</v>
      </c>
      <c r="CC3" s="62" t="s">
        <v>202</v>
      </c>
      <c r="CD3" s="62" t="s">
        <v>204</v>
      </c>
      <c r="CE3" s="62" t="s">
        <v>206</v>
      </c>
    </row>
    <row r="4" ht="33.0" hidden="1" customHeight="1">
      <c r="A4" s="89" t="s">
        <v>210</v>
      </c>
      <c r="B4" s="90" t="s">
        <v>327</v>
      </c>
      <c r="C4" s="90" t="s">
        <v>331</v>
      </c>
      <c r="D4" s="89" t="s">
        <v>333</v>
      </c>
      <c r="E4" s="93" t="s">
        <v>337</v>
      </c>
      <c r="F4" s="93" t="s">
        <v>342</v>
      </c>
      <c r="G4" s="89" t="s">
        <v>343</v>
      </c>
      <c r="H4" s="89" t="s">
        <v>345</v>
      </c>
      <c r="I4" s="89" t="s">
        <v>347</v>
      </c>
      <c r="J4" s="90" t="s">
        <v>348</v>
      </c>
      <c r="K4" s="96" t="s">
        <v>234</v>
      </c>
      <c r="L4" s="96" t="s">
        <v>236</v>
      </c>
      <c r="M4" s="89" t="s">
        <v>351</v>
      </c>
      <c r="N4" s="90" t="s">
        <v>352</v>
      </c>
      <c r="O4" s="90" t="s">
        <v>353</v>
      </c>
      <c r="P4" s="89" t="s">
        <v>354</v>
      </c>
      <c r="Q4" s="89" t="s">
        <v>355</v>
      </c>
      <c r="R4" s="89" t="s">
        <v>356</v>
      </c>
      <c r="S4" s="89" t="s">
        <v>357</v>
      </c>
      <c r="T4" s="89" t="s">
        <v>359</v>
      </c>
      <c r="U4" s="89" t="s">
        <v>361</v>
      </c>
      <c r="V4" s="89" t="s">
        <v>364</v>
      </c>
      <c r="W4" s="89" t="s">
        <v>367</v>
      </c>
      <c r="X4" s="89" t="s">
        <v>369</v>
      </c>
      <c r="Y4" s="89" t="s">
        <v>371</v>
      </c>
      <c r="Z4" s="89" t="s">
        <v>373</v>
      </c>
      <c r="AA4" s="89" t="s">
        <v>374</v>
      </c>
      <c r="AB4" s="89" t="s">
        <v>375</v>
      </c>
      <c r="AC4" s="89" t="s">
        <v>377</v>
      </c>
      <c r="AD4" s="89" t="s">
        <v>378</v>
      </c>
      <c r="AE4" s="89" t="s">
        <v>379</v>
      </c>
      <c r="AF4" s="94" t="s">
        <v>382</v>
      </c>
      <c r="AG4" s="95" t="s">
        <v>394</v>
      </c>
      <c r="AH4" s="112" t="s">
        <v>397</v>
      </c>
      <c r="AI4" s="90" t="s">
        <v>401</v>
      </c>
      <c r="AJ4" s="85" t="s">
        <v>299</v>
      </c>
      <c r="AK4" s="117" t="s">
        <v>405</v>
      </c>
      <c r="AL4" s="89" t="s">
        <v>301</v>
      </c>
      <c r="AM4" s="85" t="s">
        <v>302</v>
      </c>
      <c r="AN4" s="121" t="s">
        <v>303</v>
      </c>
      <c r="AO4" s="99" t="s">
        <v>304</v>
      </c>
      <c r="AP4" s="121" t="s">
        <v>305</v>
      </c>
      <c r="AQ4" s="85" t="s">
        <v>306</v>
      </c>
      <c r="AR4" s="121" t="s">
        <v>307</v>
      </c>
      <c r="AS4" s="85" t="s">
        <v>308</v>
      </c>
      <c r="AT4" s="121" t="s">
        <v>309</v>
      </c>
      <c r="AU4" s="85" t="s">
        <v>310</v>
      </c>
      <c r="AV4" s="121" t="s">
        <v>311</v>
      </c>
      <c r="AW4" s="85" t="s">
        <v>312</v>
      </c>
      <c r="AX4" s="121" t="s">
        <v>313</v>
      </c>
      <c r="AY4" s="85" t="s">
        <v>314</v>
      </c>
      <c r="AZ4" s="121" t="s">
        <v>315</v>
      </c>
      <c r="BA4" s="89" t="s">
        <v>424</v>
      </c>
      <c r="BB4" s="89" t="s">
        <v>426</v>
      </c>
      <c r="BC4" s="89" t="s">
        <v>428</v>
      </c>
      <c r="BD4" s="89" t="s">
        <v>430</v>
      </c>
      <c r="BE4" s="99" t="s">
        <v>432</v>
      </c>
      <c r="BF4" s="117" t="s">
        <v>434</v>
      </c>
      <c r="BG4" s="117" t="s">
        <v>438</v>
      </c>
      <c r="BH4" s="117" t="s">
        <v>442</v>
      </c>
      <c r="BI4" s="117" t="s">
        <v>444</v>
      </c>
      <c r="BJ4" s="117" t="s">
        <v>446</v>
      </c>
      <c r="BK4" s="117" t="s">
        <v>449</v>
      </c>
      <c r="BL4" s="117" t="s">
        <v>451</v>
      </c>
      <c r="BM4" s="93" t="s">
        <v>454</v>
      </c>
      <c r="BN4" s="93" t="s">
        <v>456</v>
      </c>
      <c r="BO4" s="93" t="s">
        <v>459</v>
      </c>
      <c r="BP4" s="93" t="s">
        <v>461</v>
      </c>
      <c r="BQ4" s="93" t="s">
        <v>462</v>
      </c>
      <c r="BR4" s="93" t="s">
        <v>464</v>
      </c>
      <c r="BS4" s="93" t="s">
        <v>466</v>
      </c>
      <c r="BT4" s="93" t="s">
        <v>468</v>
      </c>
      <c r="BU4" s="93" t="s">
        <v>340</v>
      </c>
      <c r="BV4" s="93" t="s">
        <v>341</v>
      </c>
      <c r="BW4" s="101" t="s">
        <v>350</v>
      </c>
      <c r="BX4" s="99" t="s">
        <v>358</v>
      </c>
      <c r="BY4" s="99" t="s">
        <v>360</v>
      </c>
      <c r="BZ4" s="99" t="s">
        <v>363</v>
      </c>
      <c r="CA4" s="99" t="s">
        <v>365</v>
      </c>
      <c r="CB4" s="99" t="s">
        <v>366</v>
      </c>
      <c r="CC4" s="99" t="s">
        <v>368</v>
      </c>
      <c r="CD4" s="99" t="s">
        <v>370</v>
      </c>
      <c r="CE4" s="101" t="s">
        <v>372</v>
      </c>
    </row>
    <row r="5" ht="24.75" customHeight="1">
      <c r="A5" s="137" t="s">
        <v>490</v>
      </c>
      <c r="B5" s="137" t="s">
        <v>495</v>
      </c>
      <c r="C5" s="137" t="s">
        <v>497</v>
      </c>
      <c r="D5" s="137" t="s">
        <v>498</v>
      </c>
      <c r="E5" s="137" t="s">
        <v>499</v>
      </c>
      <c r="F5" s="137" t="s">
        <v>500</v>
      </c>
      <c r="G5" s="137" t="s">
        <v>501</v>
      </c>
      <c r="H5" s="137"/>
      <c r="I5" s="137" t="s">
        <v>502</v>
      </c>
      <c r="J5" s="137" t="s">
        <v>505</v>
      </c>
      <c r="K5" s="143">
        <v>50.610061173814</v>
      </c>
      <c r="L5" s="143">
        <v>-3.36612063739821</v>
      </c>
      <c r="M5" s="145"/>
      <c r="N5" s="137" t="s">
        <v>519</v>
      </c>
      <c r="O5" s="147" t="b">
        <v>1</v>
      </c>
      <c r="P5" s="148">
        <v>0.0</v>
      </c>
      <c r="Q5" s="149">
        <v>1.0</v>
      </c>
      <c r="R5" s="150" t="s">
        <v>414</v>
      </c>
      <c r="S5" s="150" t="s">
        <v>414</v>
      </c>
      <c r="T5" s="150" t="s">
        <v>414</v>
      </c>
      <c r="U5" s="150" t="s">
        <v>414</v>
      </c>
      <c r="V5" s="150" t="s">
        <v>414</v>
      </c>
      <c r="W5" s="150" t="s">
        <v>414</v>
      </c>
      <c r="X5" s="150" t="s">
        <v>414</v>
      </c>
      <c r="Y5" s="150" t="s">
        <v>414</v>
      </c>
      <c r="Z5" s="150" t="s">
        <v>414</v>
      </c>
      <c r="AA5" s="150" t="s">
        <v>414</v>
      </c>
      <c r="AB5" s="151" t="s">
        <v>414</v>
      </c>
      <c r="AC5" s="151" t="s">
        <v>414</v>
      </c>
      <c r="AD5" s="151" t="s">
        <v>414</v>
      </c>
      <c r="AE5" s="151" t="s">
        <v>414</v>
      </c>
      <c r="AF5" s="137" t="s">
        <v>414</v>
      </c>
      <c r="AG5" s="152" t="s">
        <v>542</v>
      </c>
      <c r="AH5" s="147"/>
      <c r="AI5" s="147" t="b">
        <v>0</v>
      </c>
      <c r="AJ5" s="147" t="b">
        <v>0</v>
      </c>
      <c r="AK5" s="137" t="s">
        <v>546</v>
      </c>
      <c r="AL5" s="152"/>
      <c r="AM5" s="137" t="s">
        <v>414</v>
      </c>
      <c r="AN5" s="156" t="s">
        <v>414</v>
      </c>
      <c r="AO5" s="137" t="s">
        <v>414</v>
      </c>
      <c r="AP5" s="156" t="s">
        <v>414</v>
      </c>
      <c r="AQ5" s="137" t="s">
        <v>414</v>
      </c>
      <c r="AR5" s="156" t="s">
        <v>414</v>
      </c>
      <c r="AS5" s="137" t="s">
        <v>414</v>
      </c>
      <c r="AT5" s="156" t="s">
        <v>414</v>
      </c>
      <c r="AU5" s="137" t="s">
        <v>414</v>
      </c>
      <c r="AV5" s="156" t="s">
        <v>414</v>
      </c>
      <c r="AW5" s="137" t="s">
        <v>414</v>
      </c>
      <c r="AX5" s="156" t="s">
        <v>414</v>
      </c>
      <c r="AY5" s="137" t="s">
        <v>414</v>
      </c>
      <c r="AZ5" s="156" t="s">
        <v>414</v>
      </c>
      <c r="BA5" s="137" t="s">
        <v>548</v>
      </c>
      <c r="BB5" s="137"/>
      <c r="BC5" s="137"/>
      <c r="BD5" s="137"/>
      <c r="BE5" s="152"/>
      <c r="BF5" s="147" t="b">
        <v>0</v>
      </c>
      <c r="BG5" s="147" t="b">
        <v>1</v>
      </c>
      <c r="BH5" s="147" t="b">
        <v>1</v>
      </c>
      <c r="BI5" s="147" t="b">
        <v>1</v>
      </c>
      <c r="BJ5" s="147" t="b">
        <v>0</v>
      </c>
      <c r="BK5" s="147" t="b">
        <v>0</v>
      </c>
      <c r="BL5" s="147" t="b">
        <v>0</v>
      </c>
      <c r="BM5" s="137" t="s">
        <v>392</v>
      </c>
      <c r="BN5" s="137" t="s">
        <v>560</v>
      </c>
      <c r="BO5" s="137" t="s">
        <v>561</v>
      </c>
      <c r="BP5" s="137" t="s">
        <v>562</v>
      </c>
      <c r="BQ5" s="137"/>
      <c r="BR5" s="137"/>
      <c r="BS5" s="137" t="s">
        <v>564</v>
      </c>
      <c r="BT5" s="137" t="s">
        <v>565</v>
      </c>
      <c r="BU5" s="137" t="s">
        <v>566</v>
      </c>
      <c r="BV5" s="137" t="s">
        <v>567</v>
      </c>
      <c r="BW5" s="161" t="s">
        <v>569</v>
      </c>
      <c r="BX5" s="137" t="s">
        <v>512</v>
      </c>
      <c r="BY5" s="163">
        <v>46314.32202608796</v>
      </c>
      <c r="BZ5" s="137"/>
      <c r="CA5" s="137">
        <v>1.0</v>
      </c>
      <c r="CB5" s="164"/>
      <c r="CC5" s="147" t="b">
        <v>0</v>
      </c>
      <c r="CD5" s="137" t="b">
        <v>0</v>
      </c>
      <c r="CE5" s="161"/>
    </row>
    <row r="6" ht="24.75" customHeight="1">
      <c r="A6" s="137" t="s">
        <v>490</v>
      </c>
      <c r="B6" s="137" t="s">
        <v>576</v>
      </c>
      <c r="C6" s="137" t="s">
        <v>577</v>
      </c>
      <c r="D6" s="137" t="s">
        <v>578</v>
      </c>
      <c r="E6" s="137" t="s">
        <v>384</v>
      </c>
      <c r="F6" s="137" t="s">
        <v>583</v>
      </c>
      <c r="G6" s="137" t="s">
        <v>584</v>
      </c>
      <c r="H6" s="137" t="s">
        <v>585</v>
      </c>
      <c r="I6" s="137" t="s">
        <v>587</v>
      </c>
      <c r="J6" s="137" t="s">
        <v>589</v>
      </c>
      <c r="K6" s="143">
        <v>50.7059074770015</v>
      </c>
      <c r="L6" s="143">
        <v>-3.06786184523751</v>
      </c>
      <c r="M6" s="145"/>
      <c r="N6" s="137" t="s">
        <v>519</v>
      </c>
      <c r="O6" s="147" t="b">
        <v>0</v>
      </c>
      <c r="P6" s="167" t="s">
        <v>414</v>
      </c>
      <c r="Q6" s="167" t="s">
        <v>414</v>
      </c>
      <c r="R6" s="148">
        <v>0.3958333333321207</v>
      </c>
      <c r="S6" s="148">
        <v>0.6458333333321207</v>
      </c>
      <c r="T6" s="148">
        <v>0.3958333333321207</v>
      </c>
      <c r="U6" s="148">
        <v>0.6458333333321207</v>
      </c>
      <c r="V6" s="148">
        <v>0.3958333333321207</v>
      </c>
      <c r="W6" s="148">
        <v>0.6458333333321207</v>
      </c>
      <c r="X6" s="148">
        <v>0.3958333333321207</v>
      </c>
      <c r="Y6" s="148">
        <v>0.6458333333321207</v>
      </c>
      <c r="Z6" s="148">
        <v>0.3958333333321207</v>
      </c>
      <c r="AA6" s="148">
        <v>0.6458333333321207</v>
      </c>
      <c r="AB6" s="170">
        <v>0.3958333333321207</v>
      </c>
      <c r="AC6" s="170">
        <v>0.7291666666678793</v>
      </c>
      <c r="AD6" s="170">
        <v>0.3958333333321207</v>
      </c>
      <c r="AE6" s="170">
        <v>0.7291666666678793</v>
      </c>
      <c r="AF6" s="137" t="s">
        <v>600</v>
      </c>
      <c r="AG6" s="152" t="s">
        <v>542</v>
      </c>
      <c r="AH6" s="147" t="b">
        <v>0</v>
      </c>
      <c r="AI6" s="147" t="b">
        <v>1</v>
      </c>
      <c r="AJ6" s="147" t="b">
        <v>1</v>
      </c>
      <c r="AK6" s="137" t="s">
        <v>608</v>
      </c>
      <c r="AL6" s="152" t="s">
        <v>609</v>
      </c>
      <c r="AM6" s="137" t="s">
        <v>610</v>
      </c>
      <c r="AN6" s="156">
        <v>0.0</v>
      </c>
      <c r="AO6" s="137" t="s">
        <v>611</v>
      </c>
      <c r="AP6" s="156" t="s">
        <v>612</v>
      </c>
      <c r="AQ6" s="137" t="s">
        <v>414</v>
      </c>
      <c r="AR6" s="156" t="s">
        <v>414</v>
      </c>
      <c r="AS6" s="137" t="s">
        <v>414</v>
      </c>
      <c r="AT6" s="156" t="s">
        <v>414</v>
      </c>
      <c r="AU6" s="137" t="s">
        <v>457</v>
      </c>
      <c r="AV6" s="156" t="s">
        <v>616</v>
      </c>
      <c r="AW6" s="137" t="s">
        <v>414</v>
      </c>
      <c r="AX6" s="156" t="s">
        <v>414</v>
      </c>
      <c r="AY6" s="137" t="s">
        <v>618</v>
      </c>
      <c r="AZ6" s="156">
        <v>43.0</v>
      </c>
      <c r="BA6" s="137" t="s">
        <v>619</v>
      </c>
      <c r="BB6" s="137" t="s">
        <v>620</v>
      </c>
      <c r="BC6" s="137" t="s">
        <v>621</v>
      </c>
      <c r="BD6" s="137" t="s">
        <v>622</v>
      </c>
      <c r="BE6" s="152"/>
      <c r="BF6" s="147" t="b">
        <v>0</v>
      </c>
      <c r="BG6" s="147" t="b">
        <v>1</v>
      </c>
      <c r="BH6" s="147" t="b">
        <v>1</v>
      </c>
      <c r="BI6" s="147" t="b">
        <v>1</v>
      </c>
      <c r="BJ6" s="147" t="b">
        <v>1</v>
      </c>
      <c r="BK6" s="147" t="b">
        <v>1</v>
      </c>
      <c r="BL6" s="147" t="b">
        <v>0</v>
      </c>
      <c r="BM6" s="137" t="s">
        <v>627</v>
      </c>
      <c r="BN6" s="137" t="s">
        <v>628</v>
      </c>
      <c r="BO6" s="137" t="s">
        <v>629</v>
      </c>
      <c r="BP6" s="137" t="s">
        <v>631</v>
      </c>
      <c r="BQ6" s="137"/>
      <c r="BR6" s="137"/>
      <c r="BS6" s="137" t="s">
        <v>634</v>
      </c>
      <c r="BT6" s="137"/>
      <c r="BU6" s="137" t="s">
        <v>636</v>
      </c>
      <c r="BV6" s="137" t="s">
        <v>638</v>
      </c>
      <c r="BW6" s="161" t="s">
        <v>640</v>
      </c>
      <c r="BX6" s="137" t="s">
        <v>512</v>
      </c>
      <c r="BY6" s="163">
        <v>46311.72517076389</v>
      </c>
      <c r="BZ6" s="137"/>
      <c r="CA6" s="137">
        <v>1.0</v>
      </c>
      <c r="CB6" s="164"/>
      <c r="CC6" s="147" t="b">
        <v>0</v>
      </c>
      <c r="CD6" s="137" t="b">
        <v>0</v>
      </c>
      <c r="CE6" s="161"/>
    </row>
    <row r="7" ht="24.75" customHeight="1">
      <c r="A7" s="137" t="s">
        <v>490</v>
      </c>
      <c r="B7" s="137" t="s">
        <v>644</v>
      </c>
      <c r="C7" s="137" t="s">
        <v>646</v>
      </c>
      <c r="D7" s="137" t="s">
        <v>647</v>
      </c>
      <c r="E7" s="137" t="s">
        <v>648</v>
      </c>
      <c r="F7" s="137" t="s">
        <v>649</v>
      </c>
      <c r="G7" s="137" t="s">
        <v>650</v>
      </c>
      <c r="H7" s="137" t="s">
        <v>651</v>
      </c>
      <c r="I7" s="137" t="s">
        <v>652</v>
      </c>
      <c r="J7" s="137" t="s">
        <v>653</v>
      </c>
      <c r="K7" s="143">
        <v>50.3725528269105</v>
      </c>
      <c r="L7" s="143">
        <v>-4.13855380252611</v>
      </c>
      <c r="M7" s="145"/>
      <c r="N7" s="137" t="s">
        <v>519</v>
      </c>
      <c r="O7" s="147" t="b">
        <v>0</v>
      </c>
      <c r="P7" s="143" t="s">
        <v>414</v>
      </c>
      <c r="Q7" s="143" t="s">
        <v>414</v>
      </c>
      <c r="R7" s="148">
        <v>0.4166666666678793</v>
      </c>
      <c r="S7" s="148">
        <v>0.75</v>
      </c>
      <c r="T7" s="148">
        <v>0.4166666666678793</v>
      </c>
      <c r="U7" s="148">
        <v>0.75</v>
      </c>
      <c r="V7" s="148">
        <v>0.4166666666678793</v>
      </c>
      <c r="W7" s="148">
        <v>0.75</v>
      </c>
      <c r="X7" s="148">
        <v>0.4166666666678793</v>
      </c>
      <c r="Y7" s="148">
        <v>0.75</v>
      </c>
      <c r="Z7" s="148">
        <v>0.4166666666678793</v>
      </c>
      <c r="AA7" s="148">
        <v>0.75</v>
      </c>
      <c r="AB7" s="170">
        <v>0.4166666666678793</v>
      </c>
      <c r="AC7" s="170">
        <v>0.75</v>
      </c>
      <c r="AD7" s="170">
        <v>0.4375</v>
      </c>
      <c r="AE7" s="170">
        <v>0.6875</v>
      </c>
      <c r="AF7" s="137"/>
      <c r="AG7" s="152"/>
      <c r="AH7" s="147"/>
      <c r="AI7" s="147" t="b">
        <v>0</v>
      </c>
      <c r="AJ7" s="147" t="b">
        <v>0</v>
      </c>
      <c r="AK7" s="137" t="s">
        <v>654</v>
      </c>
      <c r="AL7" s="152" t="s">
        <v>655</v>
      </c>
      <c r="AM7" s="137" t="s">
        <v>656</v>
      </c>
      <c r="AN7" s="156" t="s">
        <v>657</v>
      </c>
      <c r="AO7" s="137" t="s">
        <v>414</v>
      </c>
      <c r="AP7" s="137" t="s">
        <v>414</v>
      </c>
      <c r="AQ7" s="176">
        <v>46115.0</v>
      </c>
      <c r="AR7" s="137">
        <v>9.5</v>
      </c>
      <c r="AS7" s="176">
        <v>46208.0</v>
      </c>
      <c r="AT7" s="156">
        <v>9.95</v>
      </c>
      <c r="AU7" s="137" t="s">
        <v>457</v>
      </c>
      <c r="AV7" s="156">
        <v>2.5</v>
      </c>
      <c r="AW7" s="137" t="s">
        <v>414</v>
      </c>
      <c r="AX7" s="156" t="s">
        <v>414</v>
      </c>
      <c r="AY7" s="137" t="s">
        <v>414</v>
      </c>
      <c r="AZ7" s="156" t="s">
        <v>414</v>
      </c>
      <c r="BA7" s="137" t="s">
        <v>619</v>
      </c>
      <c r="BB7" s="137" t="s">
        <v>661</v>
      </c>
      <c r="BC7" s="137" t="s">
        <v>662</v>
      </c>
      <c r="BD7" s="137" t="s">
        <v>664</v>
      </c>
      <c r="BE7" s="152"/>
      <c r="BF7" s="147" t="b">
        <v>1</v>
      </c>
      <c r="BG7" s="147" t="b">
        <v>1</v>
      </c>
      <c r="BH7" s="147" t="b">
        <v>1</v>
      </c>
      <c r="BI7" s="147" t="b">
        <v>1</v>
      </c>
      <c r="BJ7" s="147" t="b">
        <v>0</v>
      </c>
      <c r="BK7" s="147" t="b">
        <v>0</v>
      </c>
      <c r="BL7" s="147" t="b">
        <v>0</v>
      </c>
      <c r="BM7" s="137" t="s">
        <v>604</v>
      </c>
      <c r="BN7" s="137" t="s">
        <v>676</v>
      </c>
      <c r="BO7" s="137" t="s">
        <v>629</v>
      </c>
      <c r="BP7" s="137" t="s">
        <v>679</v>
      </c>
      <c r="BQ7" s="137"/>
      <c r="BR7" s="137"/>
      <c r="BS7" s="137" t="s">
        <v>683</v>
      </c>
      <c r="BT7" s="137"/>
      <c r="BU7" s="137" t="s">
        <v>686</v>
      </c>
      <c r="BV7" s="137" t="s">
        <v>687</v>
      </c>
      <c r="BW7" s="161" t="s">
        <v>689</v>
      </c>
      <c r="BX7" s="137" t="s">
        <v>512</v>
      </c>
      <c r="BY7" s="163">
        <v>46311.68535994213</v>
      </c>
      <c r="BZ7" s="137">
        <v>1.0</v>
      </c>
      <c r="CA7" s="137">
        <v>1.0</v>
      </c>
      <c r="CB7" s="164"/>
      <c r="CC7" s="147" t="b">
        <v>0</v>
      </c>
      <c r="CD7" s="137" t="b">
        <v>0</v>
      </c>
      <c r="CE7" s="161"/>
    </row>
    <row r="8" ht="24.75" customHeight="1">
      <c r="A8" s="137" t="s">
        <v>490</v>
      </c>
      <c r="B8" s="137" t="s">
        <v>692</v>
      </c>
      <c r="C8" s="137" t="s">
        <v>693</v>
      </c>
      <c r="D8" s="137" t="s">
        <v>694</v>
      </c>
      <c r="E8" s="137" t="s">
        <v>499</v>
      </c>
      <c r="F8" s="137" t="s">
        <v>696</v>
      </c>
      <c r="G8" s="137" t="s">
        <v>697</v>
      </c>
      <c r="H8" s="137" t="s">
        <v>698</v>
      </c>
      <c r="I8" s="137" t="s">
        <v>699</v>
      </c>
      <c r="J8" s="137" t="s">
        <v>700</v>
      </c>
      <c r="K8" s="143">
        <v>50.7197809788699</v>
      </c>
      <c r="L8" s="143">
        <v>-3.2205285601818</v>
      </c>
      <c r="M8" s="145"/>
      <c r="N8" s="137" t="s">
        <v>410</v>
      </c>
      <c r="O8" s="147" t="b">
        <v>0</v>
      </c>
      <c r="P8" s="143" t="s">
        <v>414</v>
      </c>
      <c r="Q8" s="143" t="s">
        <v>414</v>
      </c>
      <c r="R8" s="148">
        <v>0.3958333333321207</v>
      </c>
      <c r="S8" s="148">
        <v>0.6666666666678793</v>
      </c>
      <c r="T8" s="148">
        <v>0.3958333333321207</v>
      </c>
      <c r="U8" s="148">
        <v>0.6666666666678793</v>
      </c>
      <c r="V8" s="148">
        <v>0.3958333333321207</v>
      </c>
      <c r="W8" s="148">
        <v>0.6666666666678793</v>
      </c>
      <c r="X8" s="148">
        <v>0.3958333333321207</v>
      </c>
      <c r="Y8" s="148">
        <v>0.6666666666678793</v>
      </c>
      <c r="Z8" s="148">
        <v>0.3958333333321207</v>
      </c>
      <c r="AA8" s="148">
        <v>0.6666666666678793</v>
      </c>
      <c r="AB8" s="170">
        <v>0.3958333333321207</v>
      </c>
      <c r="AC8" s="170">
        <v>0.5</v>
      </c>
      <c r="AD8" s="137" t="s">
        <v>414</v>
      </c>
      <c r="AE8" s="137" t="s">
        <v>414</v>
      </c>
      <c r="AF8" s="137"/>
      <c r="AG8" s="152"/>
      <c r="AH8" s="147"/>
      <c r="AI8" s="147" t="b">
        <v>1</v>
      </c>
      <c r="AJ8" s="147" t="b">
        <v>1</v>
      </c>
      <c r="AK8" s="137" t="s">
        <v>712</v>
      </c>
      <c r="AL8" s="152" t="s">
        <v>714</v>
      </c>
      <c r="AM8" s="137" t="s">
        <v>414</v>
      </c>
      <c r="AN8" s="156" t="s">
        <v>414</v>
      </c>
      <c r="AO8" s="137" t="s">
        <v>719</v>
      </c>
      <c r="AP8" s="156">
        <v>5.0</v>
      </c>
      <c r="AQ8" s="137" t="s">
        <v>414</v>
      </c>
      <c r="AR8" s="156" t="s">
        <v>414</v>
      </c>
      <c r="AS8" s="137" t="s">
        <v>414</v>
      </c>
      <c r="AT8" s="156" t="s">
        <v>414</v>
      </c>
      <c r="AU8" s="137" t="s">
        <v>704</v>
      </c>
      <c r="AV8" s="156">
        <v>5.0</v>
      </c>
      <c r="AW8" s="137" t="s">
        <v>414</v>
      </c>
      <c r="AX8" s="156" t="s">
        <v>414</v>
      </c>
      <c r="AY8" s="137" t="s">
        <v>414</v>
      </c>
      <c r="AZ8" s="156" t="s">
        <v>414</v>
      </c>
      <c r="BA8" s="137" t="s">
        <v>470</v>
      </c>
      <c r="BB8" s="137" t="s">
        <v>728</v>
      </c>
      <c r="BC8" s="137" t="s">
        <v>729</v>
      </c>
      <c r="BD8" s="137" t="s">
        <v>731</v>
      </c>
      <c r="BE8" s="152"/>
      <c r="BF8" s="147" t="b">
        <v>1</v>
      </c>
      <c r="BG8" s="147" t="b">
        <v>1</v>
      </c>
      <c r="BH8" s="147" t="b">
        <v>1</v>
      </c>
      <c r="BI8" s="147" t="b">
        <v>0</v>
      </c>
      <c r="BJ8" s="147" t="b">
        <v>0</v>
      </c>
      <c r="BK8" s="147" t="b">
        <v>0</v>
      </c>
      <c r="BL8" s="147" t="b">
        <v>0</v>
      </c>
      <c r="BM8" s="137" t="s">
        <v>604</v>
      </c>
      <c r="BN8" s="137" t="s">
        <v>676</v>
      </c>
      <c r="BO8" s="137" t="s">
        <v>737</v>
      </c>
      <c r="BP8" s="137" t="s">
        <v>738</v>
      </c>
      <c r="BQ8" s="137"/>
      <c r="BR8" s="137"/>
      <c r="BS8" s="137" t="s">
        <v>740</v>
      </c>
      <c r="BT8" s="137" t="s">
        <v>565</v>
      </c>
      <c r="BU8" s="137" t="s">
        <v>741</v>
      </c>
      <c r="BV8" s="137" t="s">
        <v>742</v>
      </c>
      <c r="BW8" s="161" t="s">
        <v>743</v>
      </c>
      <c r="BX8" s="137" t="s">
        <v>512</v>
      </c>
      <c r="BY8" s="163">
        <v>46311.68247979166</v>
      </c>
      <c r="BZ8" s="137">
        <v>1.0</v>
      </c>
      <c r="CA8" s="137">
        <v>1.0</v>
      </c>
      <c r="CB8" s="164"/>
      <c r="CC8" s="147" t="b">
        <v>0</v>
      </c>
      <c r="CD8" s="137" t="b">
        <v>0</v>
      </c>
      <c r="CE8" s="161"/>
    </row>
    <row r="9" ht="24.75" customHeight="1">
      <c r="A9" s="137" t="s">
        <v>490</v>
      </c>
      <c r="B9" s="137" t="s">
        <v>551</v>
      </c>
      <c r="C9" s="137" t="s">
        <v>744</v>
      </c>
      <c r="D9" s="137" t="s">
        <v>745</v>
      </c>
      <c r="E9" s="137" t="s">
        <v>553</v>
      </c>
      <c r="F9" s="137" t="s">
        <v>746</v>
      </c>
      <c r="G9" s="137" t="s">
        <v>747</v>
      </c>
      <c r="H9" s="137" t="s">
        <v>587</v>
      </c>
      <c r="I9" s="137"/>
      <c r="J9" s="137" t="s">
        <v>748</v>
      </c>
      <c r="K9" s="143">
        <v>50.7182007454642</v>
      </c>
      <c r="L9" s="143">
        <v>-3.06512158650731</v>
      </c>
      <c r="M9" s="145"/>
      <c r="N9" s="137" t="s">
        <v>734</v>
      </c>
      <c r="O9" s="147" t="b">
        <v>1</v>
      </c>
      <c r="P9" s="148">
        <v>0.0</v>
      </c>
      <c r="Q9" s="149">
        <v>1.0</v>
      </c>
      <c r="R9" s="143" t="s">
        <v>414</v>
      </c>
      <c r="S9" s="143" t="s">
        <v>414</v>
      </c>
      <c r="T9" s="143" t="s">
        <v>414</v>
      </c>
      <c r="U9" s="143" t="s">
        <v>414</v>
      </c>
      <c r="V9" s="143" t="s">
        <v>414</v>
      </c>
      <c r="W9" s="143" t="s">
        <v>414</v>
      </c>
      <c r="X9" s="143" t="s">
        <v>414</v>
      </c>
      <c r="Y9" s="143" t="s">
        <v>414</v>
      </c>
      <c r="Z9" s="143" t="s">
        <v>414</v>
      </c>
      <c r="AA9" s="143" t="s">
        <v>414</v>
      </c>
      <c r="AB9" s="137" t="s">
        <v>414</v>
      </c>
      <c r="AC9" s="137" t="s">
        <v>414</v>
      </c>
      <c r="AD9" s="137" t="s">
        <v>414</v>
      </c>
      <c r="AE9" s="137" t="s">
        <v>414</v>
      </c>
      <c r="AF9" s="137"/>
      <c r="AG9" s="152" t="s">
        <v>542</v>
      </c>
      <c r="AH9" s="147"/>
      <c r="AI9" s="147" t="b">
        <v>0</v>
      </c>
      <c r="AJ9" s="147" t="b">
        <v>0</v>
      </c>
      <c r="AK9" s="137" t="s">
        <v>546</v>
      </c>
      <c r="AL9" s="152"/>
      <c r="AM9" s="137" t="s">
        <v>414</v>
      </c>
      <c r="AN9" s="137" t="s">
        <v>414</v>
      </c>
      <c r="AO9" s="137" t="s">
        <v>414</v>
      </c>
      <c r="AP9" s="137" t="s">
        <v>414</v>
      </c>
      <c r="AQ9" s="137" t="s">
        <v>414</v>
      </c>
      <c r="AR9" s="137" t="s">
        <v>414</v>
      </c>
      <c r="AS9" s="137" t="s">
        <v>414</v>
      </c>
      <c r="AT9" s="137" t="s">
        <v>414</v>
      </c>
      <c r="AU9" s="137" t="s">
        <v>414</v>
      </c>
      <c r="AV9" s="137" t="s">
        <v>414</v>
      </c>
      <c r="AW9" s="137" t="s">
        <v>414</v>
      </c>
      <c r="AX9" s="137" t="s">
        <v>414</v>
      </c>
      <c r="AY9" s="137" t="s">
        <v>414</v>
      </c>
      <c r="AZ9" s="137" t="s">
        <v>414</v>
      </c>
      <c r="BA9" s="137" t="s">
        <v>470</v>
      </c>
      <c r="BB9" s="137" t="s">
        <v>753</v>
      </c>
      <c r="BC9" s="137" t="s">
        <v>755</v>
      </c>
      <c r="BD9" s="137" t="s">
        <v>756</v>
      </c>
      <c r="BE9" s="152"/>
      <c r="BF9" s="147" t="b">
        <v>1</v>
      </c>
      <c r="BG9" s="147" t="b">
        <v>1</v>
      </c>
      <c r="BH9" s="147" t="b">
        <v>1</v>
      </c>
      <c r="BI9" s="147" t="b">
        <v>1</v>
      </c>
      <c r="BJ9" s="147" t="b">
        <v>1</v>
      </c>
      <c r="BK9" s="147" t="b">
        <v>1</v>
      </c>
      <c r="BL9" s="147" t="b">
        <v>1</v>
      </c>
      <c r="BM9" s="137" t="s">
        <v>392</v>
      </c>
      <c r="BN9" s="137" t="s">
        <v>758</v>
      </c>
      <c r="BO9" s="137" t="s">
        <v>737</v>
      </c>
      <c r="BP9" s="137" t="s">
        <v>759</v>
      </c>
      <c r="BQ9" s="137" t="s">
        <v>760</v>
      </c>
      <c r="BR9" s="137" t="s">
        <v>761</v>
      </c>
      <c r="BS9" s="137" t="s">
        <v>762</v>
      </c>
      <c r="BT9" s="137" t="s">
        <v>763</v>
      </c>
      <c r="BU9" s="137" t="s">
        <v>764</v>
      </c>
      <c r="BV9" s="137" t="s">
        <v>765</v>
      </c>
      <c r="BW9" s="161" t="s">
        <v>766</v>
      </c>
      <c r="BX9" s="137" t="s">
        <v>512</v>
      </c>
      <c r="BY9" s="163">
        <v>46311.66603446759</v>
      </c>
      <c r="BZ9" s="137">
        <v>1.0</v>
      </c>
      <c r="CA9" s="137">
        <v>1.0</v>
      </c>
      <c r="CB9" s="164"/>
      <c r="CC9" s="147" t="b">
        <v>0</v>
      </c>
      <c r="CD9" s="137" t="b">
        <v>0</v>
      </c>
      <c r="CE9" s="161"/>
    </row>
    <row r="10" ht="24.75" customHeight="1">
      <c r="A10" s="137" t="s">
        <v>490</v>
      </c>
      <c r="B10" s="137" t="s">
        <v>768</v>
      </c>
      <c r="C10" s="137" t="s">
        <v>769</v>
      </c>
      <c r="D10" s="137" t="s">
        <v>770</v>
      </c>
      <c r="E10" s="137" t="s">
        <v>602</v>
      </c>
      <c r="F10" s="137" t="s">
        <v>771</v>
      </c>
      <c r="G10" s="137" t="s">
        <v>772</v>
      </c>
      <c r="H10" s="137"/>
      <c r="I10" s="137" t="s">
        <v>773</v>
      </c>
      <c r="J10" s="137" t="s">
        <v>775</v>
      </c>
      <c r="K10" s="143">
        <v>50.7202107423513</v>
      </c>
      <c r="L10" s="143">
        <v>-2.94102908854961</v>
      </c>
      <c r="M10" s="145"/>
      <c r="N10" s="137" t="s">
        <v>734</v>
      </c>
      <c r="O10" s="147" t="b">
        <v>1</v>
      </c>
      <c r="P10" s="148">
        <v>0.0</v>
      </c>
      <c r="Q10" s="149">
        <v>1.0</v>
      </c>
      <c r="R10" s="143" t="s">
        <v>414</v>
      </c>
      <c r="S10" s="143" t="s">
        <v>414</v>
      </c>
      <c r="T10" s="143" t="s">
        <v>414</v>
      </c>
      <c r="U10" s="143" t="s">
        <v>414</v>
      </c>
      <c r="V10" s="143" t="s">
        <v>414</v>
      </c>
      <c r="W10" s="143" t="s">
        <v>414</v>
      </c>
      <c r="X10" s="143" t="s">
        <v>414</v>
      </c>
      <c r="Y10" s="143" t="s">
        <v>414</v>
      </c>
      <c r="Z10" s="143" t="s">
        <v>414</v>
      </c>
      <c r="AA10" s="143" t="s">
        <v>414</v>
      </c>
      <c r="AB10" s="137" t="s">
        <v>414</v>
      </c>
      <c r="AC10" s="137" t="s">
        <v>414</v>
      </c>
      <c r="AD10" s="137" t="s">
        <v>414</v>
      </c>
      <c r="AE10" s="137" t="s">
        <v>414</v>
      </c>
      <c r="AF10" s="137" t="s">
        <v>414</v>
      </c>
      <c r="AG10" s="152" t="s">
        <v>542</v>
      </c>
      <c r="AH10" s="147"/>
      <c r="AI10" s="147" t="b">
        <v>0</v>
      </c>
      <c r="AJ10" s="147" t="b">
        <v>0</v>
      </c>
      <c r="AK10" s="137" t="s">
        <v>546</v>
      </c>
      <c r="AL10" s="152"/>
      <c r="AM10" s="137" t="s">
        <v>414</v>
      </c>
      <c r="AN10" s="137" t="s">
        <v>414</v>
      </c>
      <c r="AO10" s="137" t="s">
        <v>414</v>
      </c>
      <c r="AP10" s="137" t="s">
        <v>414</v>
      </c>
      <c r="AQ10" s="137" t="s">
        <v>414</v>
      </c>
      <c r="AR10" s="137" t="s">
        <v>414</v>
      </c>
      <c r="AS10" s="137" t="s">
        <v>414</v>
      </c>
      <c r="AT10" s="137" t="s">
        <v>414</v>
      </c>
      <c r="AU10" s="137" t="s">
        <v>414</v>
      </c>
      <c r="AV10" s="137" t="s">
        <v>414</v>
      </c>
      <c r="AW10" s="137" t="s">
        <v>414</v>
      </c>
      <c r="AX10" s="137" t="s">
        <v>414</v>
      </c>
      <c r="AY10" s="137" t="s">
        <v>414</v>
      </c>
      <c r="AZ10" s="137" t="s">
        <v>414</v>
      </c>
      <c r="BA10" s="182" t="s">
        <v>619</v>
      </c>
      <c r="BB10" s="137" t="s">
        <v>778</v>
      </c>
      <c r="BC10" s="137"/>
      <c r="BD10" s="137" t="s">
        <v>779</v>
      </c>
      <c r="BE10" s="152" t="s">
        <v>780</v>
      </c>
      <c r="BF10" s="147" t="b">
        <v>1</v>
      </c>
      <c r="BG10" s="147" t="b">
        <v>1</v>
      </c>
      <c r="BH10" s="147" t="b">
        <v>1</v>
      </c>
      <c r="BI10" s="147" t="b">
        <v>1</v>
      </c>
      <c r="BJ10" s="147" t="b">
        <v>1</v>
      </c>
      <c r="BK10" s="147" t="b">
        <v>1</v>
      </c>
      <c r="BL10" s="147" t="b">
        <v>1</v>
      </c>
      <c r="BM10" s="137" t="s">
        <v>392</v>
      </c>
      <c r="BN10" s="137" t="s">
        <v>781</v>
      </c>
      <c r="BO10" s="137" t="s">
        <v>782</v>
      </c>
      <c r="BP10" s="137" t="s">
        <v>783</v>
      </c>
      <c r="BQ10" s="137" t="s">
        <v>711</v>
      </c>
      <c r="BR10" s="137"/>
      <c r="BS10" s="137" t="s">
        <v>784</v>
      </c>
      <c r="BT10" s="137" t="s">
        <v>785</v>
      </c>
      <c r="BU10" s="137" t="s">
        <v>786</v>
      </c>
      <c r="BV10" s="137" t="s">
        <v>787</v>
      </c>
      <c r="BW10" s="161" t="s">
        <v>788</v>
      </c>
      <c r="BX10" s="137" t="s">
        <v>512</v>
      </c>
      <c r="BY10" s="163">
        <v>46311.65691554398</v>
      </c>
      <c r="BZ10" s="137">
        <v>1.0</v>
      </c>
      <c r="CA10" s="137">
        <v>1.0</v>
      </c>
      <c r="CB10" s="164"/>
      <c r="CC10" s="147" t="b">
        <v>0</v>
      </c>
      <c r="CD10" s="137" t="b">
        <v>0</v>
      </c>
      <c r="CE10" s="161"/>
    </row>
    <row r="11" ht="24.75" customHeight="1">
      <c r="A11" s="137" t="s">
        <v>490</v>
      </c>
      <c r="B11" s="137" t="s">
        <v>790</v>
      </c>
      <c r="C11" s="137" t="s">
        <v>791</v>
      </c>
      <c r="D11" s="137" t="s">
        <v>792</v>
      </c>
      <c r="E11" s="137" t="s">
        <v>793</v>
      </c>
      <c r="F11" s="137" t="s">
        <v>794</v>
      </c>
      <c r="G11" s="137" t="s">
        <v>792</v>
      </c>
      <c r="H11" s="137" t="s">
        <v>795</v>
      </c>
      <c r="I11" s="137" t="s">
        <v>796</v>
      </c>
      <c r="J11" s="137" t="s">
        <v>797</v>
      </c>
      <c r="K11" s="143">
        <v>50.4013560669362</v>
      </c>
      <c r="L11" s="143">
        <v>-3.49879118902889</v>
      </c>
      <c r="M11" s="145"/>
      <c r="N11" s="137" t="s">
        <v>519</v>
      </c>
      <c r="O11" s="147" t="b">
        <v>1</v>
      </c>
      <c r="P11" s="148"/>
      <c r="Q11" s="148"/>
      <c r="R11" s="148"/>
      <c r="S11" s="148"/>
      <c r="T11" s="148"/>
      <c r="U11" s="148"/>
      <c r="V11" s="148"/>
      <c r="W11" s="148"/>
      <c r="X11" s="148"/>
      <c r="Y11" s="148"/>
      <c r="Z11" s="148"/>
      <c r="AA11" s="148"/>
      <c r="AB11" s="170"/>
      <c r="AC11" s="170"/>
      <c r="AD11" s="170"/>
      <c r="AE11" s="170"/>
      <c r="AF11" s="137"/>
      <c r="AG11" s="152"/>
      <c r="AH11" s="147" t="b">
        <v>1</v>
      </c>
      <c r="AI11" s="147" t="b">
        <v>0</v>
      </c>
      <c r="AJ11" s="147" t="b">
        <v>0</v>
      </c>
      <c r="AK11" s="137" t="s">
        <v>546</v>
      </c>
      <c r="AL11" s="152"/>
      <c r="AM11" s="156" t="s">
        <v>414</v>
      </c>
      <c r="AN11" s="156" t="s">
        <v>414</v>
      </c>
      <c r="AO11" s="156" t="s">
        <v>414</v>
      </c>
      <c r="AP11" s="156" t="s">
        <v>414</v>
      </c>
      <c r="AQ11" s="156" t="s">
        <v>414</v>
      </c>
      <c r="AR11" s="156" t="s">
        <v>414</v>
      </c>
      <c r="AS11" s="156" t="s">
        <v>414</v>
      </c>
      <c r="AT11" s="156" t="s">
        <v>414</v>
      </c>
      <c r="AU11" s="156" t="s">
        <v>414</v>
      </c>
      <c r="AV11" s="156" t="s">
        <v>414</v>
      </c>
      <c r="AW11" s="156" t="s">
        <v>414</v>
      </c>
      <c r="AX11" s="156" t="s">
        <v>414</v>
      </c>
      <c r="AY11" s="156" t="s">
        <v>414</v>
      </c>
      <c r="AZ11" s="156" t="s">
        <v>414</v>
      </c>
      <c r="BA11" s="182" t="s">
        <v>619</v>
      </c>
      <c r="BB11" s="137" t="s">
        <v>804</v>
      </c>
      <c r="BC11" s="137"/>
      <c r="BD11" s="137"/>
      <c r="BE11" s="152"/>
      <c r="BF11" s="147" t="b">
        <v>0</v>
      </c>
      <c r="BG11" s="147" t="b">
        <v>0</v>
      </c>
      <c r="BH11" s="147" t="b">
        <v>1</v>
      </c>
      <c r="BI11" s="147" t="b">
        <v>1</v>
      </c>
      <c r="BJ11" s="147" t="b">
        <v>1</v>
      </c>
      <c r="BK11" s="147" t="b">
        <v>1</v>
      </c>
      <c r="BL11" s="147" t="b">
        <v>1</v>
      </c>
      <c r="BM11" s="137" t="s">
        <v>392</v>
      </c>
      <c r="BN11" s="137" t="s">
        <v>808</v>
      </c>
      <c r="BO11" s="137"/>
      <c r="BP11" s="137" t="s">
        <v>809</v>
      </c>
      <c r="BQ11" s="137"/>
      <c r="BR11" s="137"/>
      <c r="BS11" s="137" t="s">
        <v>810</v>
      </c>
      <c r="BT11" s="137" t="s">
        <v>811</v>
      </c>
      <c r="BU11" s="137" t="s">
        <v>812</v>
      </c>
      <c r="BV11" s="137" t="s">
        <v>787</v>
      </c>
      <c r="BW11" s="161" t="s">
        <v>813</v>
      </c>
      <c r="BX11" s="137" t="s">
        <v>512</v>
      </c>
      <c r="BY11" s="163">
        <v>46311.65424217592</v>
      </c>
      <c r="BZ11" s="137">
        <v>1.0</v>
      </c>
      <c r="CA11" s="137">
        <v>1.0</v>
      </c>
      <c r="CB11" s="164"/>
      <c r="CC11" s="147" t="b">
        <v>0</v>
      </c>
      <c r="CD11" s="137" t="b">
        <v>0</v>
      </c>
      <c r="CE11" s="161"/>
    </row>
    <row r="12" ht="24.75" customHeight="1">
      <c r="A12" s="137" t="s">
        <v>490</v>
      </c>
      <c r="B12" s="137" t="s">
        <v>790</v>
      </c>
      <c r="C12" s="137" t="s">
        <v>814</v>
      </c>
      <c r="D12" s="137" t="s">
        <v>815</v>
      </c>
      <c r="E12" s="137" t="s">
        <v>672</v>
      </c>
      <c r="F12" s="137" t="s">
        <v>816</v>
      </c>
      <c r="G12" s="137" t="s">
        <v>817</v>
      </c>
      <c r="H12" s="137"/>
      <c r="I12" s="137" t="s">
        <v>502</v>
      </c>
      <c r="J12" s="137" t="s">
        <v>818</v>
      </c>
      <c r="K12" s="143">
        <v>50.6215950576832</v>
      </c>
      <c r="L12" s="143">
        <v>-3.41731847171868</v>
      </c>
      <c r="M12" s="145"/>
      <c r="N12" s="137" t="s">
        <v>519</v>
      </c>
      <c r="O12" s="147" t="b">
        <v>1</v>
      </c>
      <c r="P12" s="148">
        <v>0.0</v>
      </c>
      <c r="Q12" s="149">
        <v>1.0</v>
      </c>
      <c r="R12" s="143" t="s">
        <v>414</v>
      </c>
      <c r="S12" s="143" t="s">
        <v>414</v>
      </c>
      <c r="T12" s="143" t="s">
        <v>414</v>
      </c>
      <c r="U12" s="143" t="s">
        <v>414</v>
      </c>
      <c r="V12" s="143" t="s">
        <v>414</v>
      </c>
      <c r="W12" s="143" t="s">
        <v>414</v>
      </c>
      <c r="X12" s="143" t="s">
        <v>414</v>
      </c>
      <c r="Y12" s="143" t="s">
        <v>414</v>
      </c>
      <c r="Z12" s="143" t="s">
        <v>414</v>
      </c>
      <c r="AA12" s="143" t="s">
        <v>414</v>
      </c>
      <c r="AB12" s="137" t="s">
        <v>414</v>
      </c>
      <c r="AC12" s="137" t="s">
        <v>414</v>
      </c>
      <c r="AD12" s="137" t="s">
        <v>414</v>
      </c>
      <c r="AE12" s="137" t="s">
        <v>414</v>
      </c>
      <c r="AF12" s="137"/>
      <c r="AG12" s="152" t="s">
        <v>542</v>
      </c>
      <c r="AH12" s="147"/>
      <c r="AI12" s="147" t="b">
        <v>0</v>
      </c>
      <c r="AJ12" s="147" t="b">
        <v>0</v>
      </c>
      <c r="AK12" s="137" t="s">
        <v>546</v>
      </c>
      <c r="AL12" s="152"/>
      <c r="AM12" s="137" t="s">
        <v>414</v>
      </c>
      <c r="AN12" s="137" t="s">
        <v>414</v>
      </c>
      <c r="AO12" s="137" t="s">
        <v>414</v>
      </c>
      <c r="AP12" s="137" t="s">
        <v>414</v>
      </c>
      <c r="AQ12" s="137" t="s">
        <v>414</v>
      </c>
      <c r="AR12" s="137" t="s">
        <v>414</v>
      </c>
      <c r="AS12" s="137" t="s">
        <v>414</v>
      </c>
      <c r="AT12" s="137" t="s">
        <v>414</v>
      </c>
      <c r="AU12" s="137" t="s">
        <v>414</v>
      </c>
      <c r="AV12" s="137" t="s">
        <v>414</v>
      </c>
      <c r="AW12" s="137" t="s">
        <v>414</v>
      </c>
      <c r="AX12" s="137" t="s">
        <v>414</v>
      </c>
      <c r="AY12" s="137" t="s">
        <v>414</v>
      </c>
      <c r="AZ12" s="137" t="s">
        <v>414</v>
      </c>
      <c r="BA12" s="137" t="s">
        <v>819</v>
      </c>
      <c r="BB12" s="137" t="s">
        <v>820</v>
      </c>
      <c r="BC12" s="137"/>
      <c r="BD12" s="137" t="s">
        <v>756</v>
      </c>
      <c r="BE12" s="152" t="s">
        <v>821</v>
      </c>
      <c r="BF12" s="147" t="b">
        <v>0</v>
      </c>
      <c r="BG12" s="147" t="b">
        <v>0</v>
      </c>
      <c r="BH12" s="147" t="b">
        <v>0</v>
      </c>
      <c r="BI12" s="147" t="b">
        <v>1</v>
      </c>
      <c r="BJ12" s="147" t="b">
        <v>1</v>
      </c>
      <c r="BK12" s="147" t="b">
        <v>1</v>
      </c>
      <c r="BL12" s="147" t="b">
        <v>1</v>
      </c>
      <c r="BM12" s="137" t="s">
        <v>392</v>
      </c>
      <c r="BN12" s="137" t="s">
        <v>674</v>
      </c>
      <c r="BO12" s="137" t="s">
        <v>822</v>
      </c>
      <c r="BP12" s="137" t="s">
        <v>824</v>
      </c>
      <c r="BQ12" s="137" t="s">
        <v>711</v>
      </c>
      <c r="BR12" s="137" t="s">
        <v>825</v>
      </c>
      <c r="BS12" s="137" t="s">
        <v>826</v>
      </c>
      <c r="BT12" s="137" t="s">
        <v>827</v>
      </c>
      <c r="BU12" s="137" t="s">
        <v>828</v>
      </c>
      <c r="BV12" s="137" t="s">
        <v>787</v>
      </c>
      <c r="BW12" s="161" t="s">
        <v>829</v>
      </c>
      <c r="BX12" s="137" t="s">
        <v>512</v>
      </c>
      <c r="BY12" s="163">
        <v>46311.63223402778</v>
      </c>
      <c r="BZ12" s="137">
        <v>1.0</v>
      </c>
      <c r="CA12" s="137">
        <v>1.0</v>
      </c>
      <c r="CB12" s="164"/>
      <c r="CC12" s="147" t="b">
        <v>0</v>
      </c>
      <c r="CD12" s="137" t="b">
        <v>0</v>
      </c>
      <c r="CE12" s="161"/>
    </row>
    <row r="13" ht="24.75" customHeight="1">
      <c r="A13" s="137" t="s">
        <v>490</v>
      </c>
      <c r="B13" s="137" t="s">
        <v>831</v>
      </c>
      <c r="C13" s="137" t="s">
        <v>832</v>
      </c>
      <c r="D13" s="137" t="s">
        <v>833</v>
      </c>
      <c r="E13" s="137"/>
      <c r="F13" s="137" t="s">
        <v>834</v>
      </c>
      <c r="G13" s="137" t="s">
        <v>387</v>
      </c>
      <c r="H13" s="137" t="s">
        <v>388</v>
      </c>
      <c r="I13" s="137" t="s">
        <v>389</v>
      </c>
      <c r="J13" s="137" t="s">
        <v>391</v>
      </c>
      <c r="K13" s="143">
        <v>50.685768239081</v>
      </c>
      <c r="L13" s="143">
        <v>-3.44900589999999</v>
      </c>
      <c r="M13" s="145"/>
      <c r="N13" s="137" t="s">
        <v>519</v>
      </c>
      <c r="O13" s="147" t="b">
        <v>0</v>
      </c>
      <c r="P13" s="143" t="s">
        <v>414</v>
      </c>
      <c r="Q13" s="143" t="s">
        <v>414</v>
      </c>
      <c r="R13" s="148">
        <v>0.375</v>
      </c>
      <c r="S13" s="148">
        <v>0.7083333333321207</v>
      </c>
      <c r="T13" s="148">
        <v>0.375</v>
      </c>
      <c r="U13" s="148">
        <v>0.7083333333321207</v>
      </c>
      <c r="V13" s="148">
        <v>0.375</v>
      </c>
      <c r="W13" s="148">
        <v>0.7083333333321207</v>
      </c>
      <c r="X13" s="148">
        <v>0.375</v>
      </c>
      <c r="Y13" s="148">
        <v>0.7083333333321207</v>
      </c>
      <c r="Z13" s="148">
        <v>0.375</v>
      </c>
      <c r="AA13" s="148">
        <v>0.7083333333321207</v>
      </c>
      <c r="AB13" s="170">
        <v>0.375</v>
      </c>
      <c r="AC13" s="170">
        <v>0.7083333333321207</v>
      </c>
      <c r="AD13" s="170">
        <v>0.3958333333321207</v>
      </c>
      <c r="AE13" s="170">
        <v>0.6666666666678793</v>
      </c>
      <c r="AF13" s="137" t="s">
        <v>837</v>
      </c>
      <c r="AG13" s="152" t="s">
        <v>542</v>
      </c>
      <c r="AH13" s="147"/>
      <c r="AI13" s="147" t="b">
        <v>0</v>
      </c>
      <c r="AJ13" s="147" t="b">
        <v>0</v>
      </c>
      <c r="AK13" s="137" t="s">
        <v>838</v>
      </c>
      <c r="AL13" s="152"/>
      <c r="AM13" s="137"/>
      <c r="AN13" s="156"/>
      <c r="AO13" s="137"/>
      <c r="AP13" s="156"/>
      <c r="AQ13" s="137"/>
      <c r="AR13" s="156"/>
      <c r="AS13" s="137"/>
      <c r="AT13" s="156"/>
      <c r="AU13" s="137"/>
      <c r="AV13" s="156"/>
      <c r="AW13" s="137"/>
      <c r="AX13" s="156"/>
      <c r="AY13" s="137"/>
      <c r="AZ13" s="156"/>
      <c r="BA13" s="137" t="s">
        <v>470</v>
      </c>
      <c r="BB13" s="137" t="s">
        <v>840</v>
      </c>
      <c r="BC13" s="137" t="s">
        <v>841</v>
      </c>
      <c r="BD13" s="137" t="s">
        <v>842</v>
      </c>
      <c r="BE13" s="152"/>
      <c r="BF13" s="147" t="b">
        <v>1</v>
      </c>
      <c r="BG13" s="147" t="b">
        <v>1</v>
      </c>
      <c r="BH13" s="147" t="b">
        <v>1</v>
      </c>
      <c r="BI13" s="147" t="b">
        <v>1</v>
      </c>
      <c r="BJ13" s="147" t="b">
        <v>1</v>
      </c>
      <c r="BK13" s="147" t="b">
        <v>1</v>
      </c>
      <c r="BL13" s="147" t="b">
        <v>1</v>
      </c>
      <c r="BM13" s="137" t="s">
        <v>604</v>
      </c>
      <c r="BN13" s="137" t="s">
        <v>844</v>
      </c>
      <c r="BO13" s="137" t="s">
        <v>737</v>
      </c>
      <c r="BP13" s="137" t="s">
        <v>846</v>
      </c>
      <c r="BQ13" s="137"/>
      <c r="BR13" s="137"/>
      <c r="BS13" s="137" t="s">
        <v>848</v>
      </c>
      <c r="BT13" s="137"/>
      <c r="BU13" s="137" t="s">
        <v>850</v>
      </c>
      <c r="BV13" s="137" t="s">
        <v>504</v>
      </c>
      <c r="BW13" s="161" t="s">
        <v>851</v>
      </c>
      <c r="BX13" s="137" t="s">
        <v>512</v>
      </c>
      <c r="BY13" s="163">
        <v>46311.50010145833</v>
      </c>
      <c r="BZ13" s="137">
        <v>1.0</v>
      </c>
      <c r="CA13" s="137">
        <v>1.0</v>
      </c>
      <c r="CB13" s="164"/>
      <c r="CC13" s="147" t="b">
        <v>0</v>
      </c>
      <c r="CD13" s="137" t="b">
        <v>0</v>
      </c>
      <c r="CE13" s="161"/>
    </row>
    <row r="14" ht="24.75" customHeight="1">
      <c r="A14" s="137" t="s">
        <v>490</v>
      </c>
      <c r="B14" s="137" t="s">
        <v>831</v>
      </c>
      <c r="C14" s="137" t="s">
        <v>832</v>
      </c>
      <c r="D14" s="137" t="s">
        <v>853</v>
      </c>
      <c r="E14" s="137"/>
      <c r="F14" s="137" t="s">
        <v>854</v>
      </c>
      <c r="G14" s="137" t="s">
        <v>387</v>
      </c>
      <c r="H14" s="137" t="s">
        <v>388</v>
      </c>
      <c r="I14" s="137" t="s">
        <v>389</v>
      </c>
      <c r="J14" s="137" t="s">
        <v>391</v>
      </c>
      <c r="K14" s="143">
        <v>50.685768239081</v>
      </c>
      <c r="L14" s="143">
        <v>-3.44900589999999</v>
      </c>
      <c r="M14" s="145"/>
      <c r="N14" s="137" t="s">
        <v>519</v>
      </c>
      <c r="O14" s="147" t="b">
        <v>0</v>
      </c>
      <c r="P14" s="143" t="s">
        <v>414</v>
      </c>
      <c r="Q14" s="143" t="s">
        <v>414</v>
      </c>
      <c r="R14" s="148">
        <v>0.3333333333321207</v>
      </c>
      <c r="S14" s="148">
        <v>0.7083333333321207</v>
      </c>
      <c r="T14" s="148">
        <v>0.3333333333321207</v>
      </c>
      <c r="U14" s="148">
        <v>0.7083333333321207</v>
      </c>
      <c r="V14" s="148">
        <v>0.3333333333321207</v>
      </c>
      <c r="W14" s="148">
        <v>0.7083333333321207</v>
      </c>
      <c r="X14" s="148">
        <v>0.3333333333321207</v>
      </c>
      <c r="Y14" s="148">
        <v>0.7083333333321207</v>
      </c>
      <c r="Z14" s="148">
        <v>0.3333333333321207</v>
      </c>
      <c r="AA14" s="148">
        <v>0.7083333333321207</v>
      </c>
      <c r="AB14" s="170">
        <v>0.3333333333321207</v>
      </c>
      <c r="AC14" s="170">
        <v>0.7083333333321207</v>
      </c>
      <c r="AD14" s="170">
        <v>0.3958333333321207</v>
      </c>
      <c r="AE14" s="170">
        <v>0.6666666666678793</v>
      </c>
      <c r="AF14" s="137" t="s">
        <v>837</v>
      </c>
      <c r="AG14" s="152" t="s">
        <v>542</v>
      </c>
      <c r="AH14" s="147"/>
      <c r="AI14" s="147" t="b">
        <v>0</v>
      </c>
      <c r="AJ14" s="147" t="b">
        <v>0</v>
      </c>
      <c r="AK14" s="137" t="s">
        <v>838</v>
      </c>
      <c r="AL14" s="152"/>
      <c r="AM14" s="137"/>
      <c r="AN14" s="156"/>
      <c r="AO14" s="137"/>
      <c r="AP14" s="156"/>
      <c r="AQ14" s="137"/>
      <c r="AR14" s="156"/>
      <c r="AS14" s="137"/>
      <c r="AT14" s="156"/>
      <c r="AU14" s="137"/>
      <c r="AV14" s="156"/>
      <c r="AW14" s="137"/>
      <c r="AX14" s="156"/>
      <c r="AY14" s="137"/>
      <c r="AZ14" s="156"/>
      <c r="BA14" s="137" t="s">
        <v>470</v>
      </c>
      <c r="BB14" s="137" t="s">
        <v>840</v>
      </c>
      <c r="BC14" s="137" t="s">
        <v>857</v>
      </c>
      <c r="BD14" s="137" t="s">
        <v>842</v>
      </c>
      <c r="BE14" s="152"/>
      <c r="BF14" s="147" t="b">
        <v>1</v>
      </c>
      <c r="BG14" s="147" t="b">
        <v>1</v>
      </c>
      <c r="BH14" s="147" t="b">
        <v>1</v>
      </c>
      <c r="BI14" s="147" t="b">
        <v>1</v>
      </c>
      <c r="BJ14" s="147" t="b">
        <v>1</v>
      </c>
      <c r="BK14" s="147" t="b">
        <v>1</v>
      </c>
      <c r="BL14" s="147" t="b">
        <v>1</v>
      </c>
      <c r="BM14" s="137" t="s">
        <v>604</v>
      </c>
      <c r="BN14" s="137" t="s">
        <v>844</v>
      </c>
      <c r="BO14" s="137" t="s">
        <v>737</v>
      </c>
      <c r="BP14" s="137" t="s">
        <v>860</v>
      </c>
      <c r="BQ14" s="137"/>
      <c r="BR14" s="137"/>
      <c r="BS14" s="137" t="s">
        <v>861</v>
      </c>
      <c r="BT14" s="137"/>
      <c r="BU14" s="137" t="s">
        <v>862</v>
      </c>
      <c r="BV14" s="137" t="s">
        <v>504</v>
      </c>
      <c r="BW14" s="161" t="s">
        <v>864</v>
      </c>
      <c r="BX14" s="137" t="s">
        <v>512</v>
      </c>
      <c r="BY14" s="163">
        <v>46311.383484502316</v>
      </c>
      <c r="BZ14" s="137">
        <v>1.0</v>
      </c>
      <c r="CA14" s="137">
        <v>1.0</v>
      </c>
      <c r="CB14" s="164"/>
      <c r="CC14" s="147" t="b">
        <v>0</v>
      </c>
      <c r="CD14" s="137" t="b">
        <v>0</v>
      </c>
      <c r="CE14" s="161"/>
    </row>
    <row r="15" ht="24.75" customHeight="1">
      <c r="A15" s="137" t="s">
        <v>490</v>
      </c>
      <c r="B15" s="137" t="s">
        <v>865</v>
      </c>
      <c r="C15" s="137" t="s">
        <v>866</v>
      </c>
      <c r="D15" s="137" t="s">
        <v>867</v>
      </c>
      <c r="E15" s="137" t="s">
        <v>672</v>
      </c>
      <c r="F15" s="137" t="s">
        <v>868</v>
      </c>
      <c r="G15" s="137" t="s">
        <v>869</v>
      </c>
      <c r="H15" s="137" t="s">
        <v>870</v>
      </c>
      <c r="I15" s="137" t="s">
        <v>699</v>
      </c>
      <c r="J15" s="137" t="s">
        <v>871</v>
      </c>
      <c r="K15" s="143">
        <v>50.6786769519034</v>
      </c>
      <c r="L15" s="143">
        <v>-3.23706584277285</v>
      </c>
      <c r="M15" s="145"/>
      <c r="N15" s="137" t="s">
        <v>872</v>
      </c>
      <c r="O15" s="147" t="b">
        <v>0</v>
      </c>
      <c r="P15" s="143" t="s">
        <v>414</v>
      </c>
      <c r="Q15" s="143" t="s">
        <v>414</v>
      </c>
      <c r="R15" s="143" t="s">
        <v>414</v>
      </c>
      <c r="S15" s="143" t="s">
        <v>414</v>
      </c>
      <c r="T15" s="148">
        <v>0.4375</v>
      </c>
      <c r="U15" s="148">
        <v>0.6666666666678793</v>
      </c>
      <c r="V15" s="148">
        <v>0.4375</v>
      </c>
      <c r="W15" s="148">
        <v>0.6666666666678793</v>
      </c>
      <c r="X15" s="143" t="s">
        <v>414</v>
      </c>
      <c r="Y15" s="143" t="s">
        <v>414</v>
      </c>
      <c r="Z15" s="148">
        <v>0.4375</v>
      </c>
      <c r="AA15" s="148">
        <v>0.6666666666678793</v>
      </c>
      <c r="AB15" s="170">
        <v>0.4375</v>
      </c>
      <c r="AC15" s="170">
        <v>0.6666666666678793</v>
      </c>
      <c r="AD15" s="170">
        <v>0.4791666666678793</v>
      </c>
      <c r="AE15" s="170">
        <v>0.625</v>
      </c>
      <c r="AF15" s="137"/>
      <c r="AG15" s="145"/>
      <c r="AH15" s="147"/>
      <c r="AI15" s="147" t="b">
        <v>0</v>
      </c>
      <c r="AJ15" s="147" t="b">
        <v>0</v>
      </c>
      <c r="AK15" s="137" t="s">
        <v>436</v>
      </c>
      <c r="AL15" s="152" t="s">
        <v>714</v>
      </c>
      <c r="AM15" s="137" t="s">
        <v>414</v>
      </c>
      <c r="AN15" s="156" t="s">
        <v>414</v>
      </c>
      <c r="AO15" s="137" t="s">
        <v>447</v>
      </c>
      <c r="AP15" s="156" t="s">
        <v>873</v>
      </c>
      <c r="AQ15" s="137" t="s">
        <v>414</v>
      </c>
      <c r="AR15" s="156" t="s">
        <v>414</v>
      </c>
      <c r="AS15" s="137" t="s">
        <v>414</v>
      </c>
      <c r="AT15" s="156" t="s">
        <v>414</v>
      </c>
      <c r="AU15" s="137" t="s">
        <v>457</v>
      </c>
      <c r="AV15" s="156" t="s">
        <v>873</v>
      </c>
      <c r="AW15" s="137" t="s">
        <v>414</v>
      </c>
      <c r="AX15" s="156" t="s">
        <v>414</v>
      </c>
      <c r="AY15" s="137" t="s">
        <v>414</v>
      </c>
      <c r="AZ15" s="156" t="s">
        <v>414</v>
      </c>
      <c r="BA15" s="137" t="s">
        <v>619</v>
      </c>
      <c r="BB15" s="137" t="s">
        <v>874</v>
      </c>
      <c r="BC15" s="137"/>
      <c r="BD15" s="137" t="s">
        <v>875</v>
      </c>
      <c r="BE15" s="152" t="s">
        <v>780</v>
      </c>
      <c r="BF15" s="147" t="b">
        <v>1</v>
      </c>
      <c r="BG15" s="147" t="b">
        <v>1</v>
      </c>
      <c r="BH15" s="147" t="b">
        <v>1</v>
      </c>
      <c r="BI15" s="147" t="b">
        <v>1</v>
      </c>
      <c r="BJ15" s="147" t="b">
        <v>1</v>
      </c>
      <c r="BK15" s="147" t="b">
        <v>1</v>
      </c>
      <c r="BL15" s="147" t="b">
        <v>1</v>
      </c>
      <c r="BM15" s="137" t="s">
        <v>604</v>
      </c>
      <c r="BN15" s="137" t="s">
        <v>676</v>
      </c>
      <c r="BO15" s="137" t="s">
        <v>629</v>
      </c>
      <c r="BP15" s="137" t="s">
        <v>879</v>
      </c>
      <c r="BQ15" s="137"/>
      <c r="BR15" s="137"/>
      <c r="BS15" s="137" t="s">
        <v>882</v>
      </c>
      <c r="BT15" s="137"/>
      <c r="BU15" s="137" t="s">
        <v>883</v>
      </c>
      <c r="BV15" s="137" t="s">
        <v>884</v>
      </c>
      <c r="BW15" s="161" t="s">
        <v>886</v>
      </c>
      <c r="BX15" s="137" t="s">
        <v>512</v>
      </c>
      <c r="BY15" s="163">
        <v>46310.81369753472</v>
      </c>
      <c r="BZ15" s="137">
        <v>1.0</v>
      </c>
      <c r="CA15" s="137">
        <v>1.0</v>
      </c>
      <c r="CB15" s="164"/>
      <c r="CC15" s="147" t="b">
        <v>0</v>
      </c>
      <c r="CD15" s="137" t="b">
        <v>0</v>
      </c>
      <c r="CE15" s="161"/>
    </row>
    <row r="16" ht="24.75" customHeight="1">
      <c r="A16" s="137" t="s">
        <v>490</v>
      </c>
      <c r="B16" s="137" t="s">
        <v>644</v>
      </c>
      <c r="C16" s="137" t="s">
        <v>889</v>
      </c>
      <c r="D16" s="137" t="s">
        <v>890</v>
      </c>
      <c r="E16" s="137" t="s">
        <v>839</v>
      </c>
      <c r="F16" s="137" t="s">
        <v>893</v>
      </c>
      <c r="G16" s="137" t="s">
        <v>894</v>
      </c>
      <c r="H16" s="137" t="s">
        <v>895</v>
      </c>
      <c r="I16" s="137" t="s">
        <v>558</v>
      </c>
      <c r="J16" s="137" t="s">
        <v>896</v>
      </c>
      <c r="K16" s="143">
        <v>50.7173303669694</v>
      </c>
      <c r="L16" s="143">
        <v>-3.55020756017952</v>
      </c>
      <c r="M16" s="145"/>
      <c r="N16" s="137" t="s">
        <v>897</v>
      </c>
      <c r="O16" s="203" t="b">
        <v>0</v>
      </c>
      <c r="P16" s="204"/>
      <c r="Q16" s="204"/>
      <c r="R16" s="204">
        <v>0.4166666666678793</v>
      </c>
      <c r="S16" s="204">
        <v>0.5416666666678793</v>
      </c>
      <c r="T16" s="204">
        <v>0.4166666666678793</v>
      </c>
      <c r="U16" s="204">
        <v>0.5416666666678793</v>
      </c>
      <c r="V16" s="204">
        <v>0.4166666666678793</v>
      </c>
      <c r="W16" s="204">
        <v>0.5416666666678793</v>
      </c>
      <c r="X16" s="204">
        <v>0.4166666666678793</v>
      </c>
      <c r="Y16" s="204">
        <v>0.5416666666678793</v>
      </c>
      <c r="Z16" s="204">
        <v>0.4166666666678793</v>
      </c>
      <c r="AA16" s="204">
        <v>0.5</v>
      </c>
      <c r="AB16" s="137" t="s">
        <v>414</v>
      </c>
      <c r="AC16" s="137" t="s">
        <v>414</v>
      </c>
      <c r="AD16" s="137" t="s">
        <v>414</v>
      </c>
      <c r="AE16" s="137" t="s">
        <v>414</v>
      </c>
      <c r="AF16" s="137"/>
      <c r="AG16" s="145"/>
      <c r="AH16" s="147" t="b">
        <v>1</v>
      </c>
      <c r="AI16" s="147" t="b">
        <v>1</v>
      </c>
      <c r="AJ16" s="147" t="b">
        <v>0</v>
      </c>
      <c r="AK16" s="137" t="s">
        <v>586</v>
      </c>
      <c r="AL16" s="152" t="s">
        <v>588</v>
      </c>
      <c r="AM16" s="137" t="s">
        <v>414</v>
      </c>
      <c r="AN16" s="137" t="s">
        <v>414</v>
      </c>
      <c r="AO16" s="137" t="s">
        <v>414</v>
      </c>
      <c r="AP16" s="137" t="s">
        <v>414</v>
      </c>
      <c r="AQ16" s="137" t="s">
        <v>414</v>
      </c>
      <c r="AR16" s="137" t="s">
        <v>414</v>
      </c>
      <c r="AS16" s="137" t="s">
        <v>414</v>
      </c>
      <c r="AT16" s="137" t="s">
        <v>414</v>
      </c>
      <c r="AU16" s="137" t="s">
        <v>414</v>
      </c>
      <c r="AV16" s="137" t="s">
        <v>414</v>
      </c>
      <c r="AW16" s="137" t="s">
        <v>414</v>
      </c>
      <c r="AX16" s="137" t="s">
        <v>414</v>
      </c>
      <c r="AY16" s="137" t="s">
        <v>909</v>
      </c>
      <c r="AZ16" s="137" t="s">
        <v>910</v>
      </c>
      <c r="BA16" s="137" t="s">
        <v>911</v>
      </c>
      <c r="BB16" s="137" t="s">
        <v>912</v>
      </c>
      <c r="BC16" s="137" t="s">
        <v>913</v>
      </c>
      <c r="BD16" s="137" t="s">
        <v>914</v>
      </c>
      <c r="BE16" s="152"/>
      <c r="BF16" s="147" t="b">
        <v>1</v>
      </c>
      <c r="BG16" s="147" t="b">
        <v>1</v>
      </c>
      <c r="BH16" s="147" t="b">
        <v>1</v>
      </c>
      <c r="BI16" s="147" t="b">
        <v>0</v>
      </c>
      <c r="BJ16" s="147" t="b">
        <v>0</v>
      </c>
      <c r="BK16" s="147" t="b">
        <v>0</v>
      </c>
      <c r="BL16" s="147" t="b">
        <v>0</v>
      </c>
      <c r="BM16" s="137" t="s">
        <v>604</v>
      </c>
      <c r="BN16" s="137" t="s">
        <v>915</v>
      </c>
      <c r="BO16" s="137" t="s">
        <v>737</v>
      </c>
      <c r="BP16" s="137" t="s">
        <v>916</v>
      </c>
      <c r="BQ16" s="137"/>
      <c r="BR16" s="137"/>
      <c r="BS16" s="137" t="s">
        <v>918</v>
      </c>
      <c r="BT16" s="137"/>
      <c r="BU16" s="137" t="s">
        <v>919</v>
      </c>
      <c r="BV16" s="137" t="s">
        <v>637</v>
      </c>
      <c r="BW16" s="161" t="s">
        <v>920</v>
      </c>
      <c r="BX16" s="137" t="s">
        <v>512</v>
      </c>
      <c r="BY16" s="163">
        <v>46309.62860648148</v>
      </c>
      <c r="BZ16" s="137">
        <v>1.0</v>
      </c>
      <c r="CA16" s="137">
        <v>1.0</v>
      </c>
      <c r="CB16" s="164"/>
      <c r="CC16" s="147" t="b">
        <v>0</v>
      </c>
      <c r="CD16" s="137" t="b">
        <v>0</v>
      </c>
      <c r="CE16" s="161"/>
    </row>
    <row r="17" ht="24.75" customHeight="1">
      <c r="A17" s="209" t="s">
        <v>490</v>
      </c>
      <c r="B17" s="209" t="s">
        <v>921</v>
      </c>
      <c r="C17" s="209" t="s">
        <v>922</v>
      </c>
      <c r="D17" s="209" t="s">
        <v>923</v>
      </c>
      <c r="E17" s="209" t="s">
        <v>924</v>
      </c>
      <c r="F17" s="209" t="s">
        <v>925</v>
      </c>
      <c r="G17" s="209" t="s">
        <v>923</v>
      </c>
      <c r="H17" s="209" t="s">
        <v>926</v>
      </c>
      <c r="I17" s="209" t="s">
        <v>927</v>
      </c>
      <c r="J17" s="209" t="s">
        <v>928</v>
      </c>
      <c r="K17" s="210">
        <v>50.4634547916024</v>
      </c>
      <c r="L17" s="210">
        <v>-3.53727386171675</v>
      </c>
      <c r="M17" s="211"/>
      <c r="N17" s="209" t="s">
        <v>519</v>
      </c>
      <c r="O17" s="212" t="b">
        <v>0</v>
      </c>
      <c r="P17" s="213">
        <v>0.0</v>
      </c>
      <c r="Q17" s="214" t="s">
        <v>931</v>
      </c>
      <c r="R17" s="215" t="s">
        <v>414</v>
      </c>
      <c r="S17" s="215" t="s">
        <v>414</v>
      </c>
      <c r="T17" s="215" t="s">
        <v>414</v>
      </c>
      <c r="U17" s="215" t="s">
        <v>414</v>
      </c>
      <c r="V17" s="215" t="s">
        <v>414</v>
      </c>
      <c r="W17" s="215" t="s">
        <v>414</v>
      </c>
      <c r="X17" s="215" t="s">
        <v>414</v>
      </c>
      <c r="Y17" s="215" t="s">
        <v>414</v>
      </c>
      <c r="Z17" s="215" t="s">
        <v>414</v>
      </c>
      <c r="AA17" s="215" t="s">
        <v>414</v>
      </c>
      <c r="AB17" s="215" t="s">
        <v>414</v>
      </c>
      <c r="AC17" s="215" t="s">
        <v>414</v>
      </c>
      <c r="AD17" s="215" t="s">
        <v>414</v>
      </c>
      <c r="AE17" s="215" t="s">
        <v>414</v>
      </c>
      <c r="AF17" s="209" t="s">
        <v>414</v>
      </c>
      <c r="AG17" s="211"/>
      <c r="AH17" s="211"/>
      <c r="AI17" s="216" t="b">
        <v>0</v>
      </c>
      <c r="AJ17" s="216" t="b">
        <v>0</v>
      </c>
      <c r="AK17" s="209" t="s">
        <v>546</v>
      </c>
      <c r="AL17" s="217"/>
      <c r="AM17" s="209" t="s">
        <v>414</v>
      </c>
      <c r="AN17" s="218" t="s">
        <v>414</v>
      </c>
      <c r="AO17" s="209" t="s">
        <v>414</v>
      </c>
      <c r="AP17" s="218" t="s">
        <v>414</v>
      </c>
      <c r="AQ17" s="209" t="s">
        <v>414</v>
      </c>
      <c r="AR17" s="218" t="s">
        <v>414</v>
      </c>
      <c r="AS17" s="209" t="s">
        <v>414</v>
      </c>
      <c r="AT17" s="218" t="s">
        <v>414</v>
      </c>
      <c r="AU17" s="209" t="s">
        <v>414</v>
      </c>
      <c r="AV17" s="218" t="s">
        <v>414</v>
      </c>
      <c r="AW17" s="209" t="s">
        <v>414</v>
      </c>
      <c r="AX17" s="218" t="s">
        <v>414</v>
      </c>
      <c r="AY17" s="209" t="s">
        <v>414</v>
      </c>
      <c r="AZ17" s="218" t="s">
        <v>414</v>
      </c>
      <c r="BA17" s="209"/>
      <c r="BB17" s="209" t="s">
        <v>934</v>
      </c>
      <c r="BC17" s="209"/>
      <c r="BD17" s="209"/>
      <c r="BE17" s="217"/>
      <c r="BF17" s="216" t="b">
        <v>0</v>
      </c>
      <c r="BG17" s="216" t="b">
        <v>1</v>
      </c>
      <c r="BH17" s="216" t="b">
        <v>1</v>
      </c>
      <c r="BI17" s="216" t="b">
        <v>1</v>
      </c>
      <c r="BJ17" s="216" t="b">
        <v>0</v>
      </c>
      <c r="BK17" s="216" t="b">
        <v>0</v>
      </c>
      <c r="BL17" s="216" t="b">
        <v>0</v>
      </c>
      <c r="BM17" s="209" t="s">
        <v>392</v>
      </c>
      <c r="BN17" s="209" t="s">
        <v>674</v>
      </c>
      <c r="BO17" s="209" t="s">
        <v>943</v>
      </c>
      <c r="BP17" s="209" t="s">
        <v>945</v>
      </c>
      <c r="BQ17" s="209"/>
      <c r="BR17" s="209"/>
      <c r="BS17" s="209" t="s">
        <v>948</v>
      </c>
      <c r="BT17" s="209"/>
      <c r="BU17" s="209" t="s">
        <v>950</v>
      </c>
      <c r="BV17" s="209" t="s">
        <v>952</v>
      </c>
      <c r="BW17" s="219" t="s">
        <v>954</v>
      </c>
      <c r="BX17" s="220" t="s">
        <v>958</v>
      </c>
      <c r="BY17" s="221">
        <v>46309.61232168981</v>
      </c>
      <c r="BZ17" s="209"/>
      <c r="CA17" s="209">
        <v>3.0</v>
      </c>
      <c r="CB17" s="220"/>
      <c r="CC17" s="216" t="b">
        <v>0</v>
      </c>
      <c r="CD17" s="209" t="b">
        <v>0</v>
      </c>
      <c r="CE17" s="219"/>
    </row>
    <row r="18" ht="24.75" customHeight="1">
      <c r="A18" s="209" t="s">
        <v>490</v>
      </c>
      <c r="B18" s="209" t="s">
        <v>968</v>
      </c>
      <c r="C18" s="209" t="s">
        <v>970</v>
      </c>
      <c r="D18" s="209" t="s">
        <v>971</v>
      </c>
      <c r="E18" s="209" t="s">
        <v>973</v>
      </c>
      <c r="F18" s="209" t="s">
        <v>976</v>
      </c>
      <c r="G18" s="209" t="s">
        <v>978</v>
      </c>
      <c r="H18" s="209"/>
      <c r="I18" s="209" t="s">
        <v>727</v>
      </c>
      <c r="J18" s="209" t="s">
        <v>980</v>
      </c>
      <c r="K18" s="210">
        <v>50.5211527633346</v>
      </c>
      <c r="L18" s="210">
        <v>-3.60015160801253</v>
      </c>
      <c r="M18" s="211"/>
      <c r="N18" s="209" t="s">
        <v>984</v>
      </c>
      <c r="O18" s="216" t="b">
        <v>0</v>
      </c>
      <c r="P18" s="213" t="s">
        <v>414</v>
      </c>
      <c r="Q18" s="223" t="s">
        <v>414</v>
      </c>
      <c r="R18" s="224">
        <v>0.375</v>
      </c>
      <c r="S18" s="224">
        <v>0.75</v>
      </c>
      <c r="T18" s="224">
        <v>0.375</v>
      </c>
      <c r="U18" s="224">
        <v>0.75</v>
      </c>
      <c r="V18" s="224">
        <v>0.375</v>
      </c>
      <c r="W18" s="224">
        <v>0.75</v>
      </c>
      <c r="X18" s="224">
        <v>0.375</v>
      </c>
      <c r="Y18" s="224">
        <v>0.75</v>
      </c>
      <c r="Z18" s="224">
        <v>0.375</v>
      </c>
      <c r="AA18" s="224">
        <v>0.75</v>
      </c>
      <c r="AB18" s="224">
        <v>0.4166666666678793</v>
      </c>
      <c r="AC18" s="224">
        <v>0.6666666666678793</v>
      </c>
      <c r="AD18" s="224">
        <v>0.4166666666678793</v>
      </c>
      <c r="AE18" s="224">
        <v>0.6666666666678793</v>
      </c>
      <c r="AF18" s="209"/>
      <c r="AG18" s="211"/>
      <c r="AH18" s="211"/>
      <c r="AI18" s="216" t="b">
        <v>0</v>
      </c>
      <c r="AJ18" s="216" t="b">
        <v>0</v>
      </c>
      <c r="AK18" s="209" t="s">
        <v>546</v>
      </c>
      <c r="AL18" s="217"/>
      <c r="AM18" s="209" t="s">
        <v>414</v>
      </c>
      <c r="AN18" s="218" t="s">
        <v>414</v>
      </c>
      <c r="AO18" s="218" t="s">
        <v>414</v>
      </c>
      <c r="AP18" s="218" t="s">
        <v>414</v>
      </c>
      <c r="AQ18" s="209" t="s">
        <v>414</v>
      </c>
      <c r="AR18" s="218" t="s">
        <v>414</v>
      </c>
      <c r="AS18" s="209" t="s">
        <v>414</v>
      </c>
      <c r="AT18" s="218" t="s">
        <v>414</v>
      </c>
      <c r="AU18" s="218" t="s">
        <v>414</v>
      </c>
      <c r="AV18" s="218" t="s">
        <v>414</v>
      </c>
      <c r="AW18" s="209" t="s">
        <v>414</v>
      </c>
      <c r="AX18" s="218" t="s">
        <v>414</v>
      </c>
      <c r="AY18" s="209" t="s">
        <v>414</v>
      </c>
      <c r="AZ18" s="218" t="s">
        <v>414</v>
      </c>
      <c r="BA18" s="209" t="s">
        <v>993</v>
      </c>
      <c r="BB18" s="209" t="s">
        <v>994</v>
      </c>
      <c r="BC18" s="209" t="s">
        <v>995</v>
      </c>
      <c r="BD18" s="209" t="s">
        <v>996</v>
      </c>
      <c r="BE18" s="217" t="s">
        <v>997</v>
      </c>
      <c r="BF18" s="216" t="b">
        <v>1</v>
      </c>
      <c r="BG18" s="216" t="b">
        <v>1</v>
      </c>
      <c r="BH18" s="216" t="b">
        <v>1</v>
      </c>
      <c r="BI18" s="216" t="b">
        <v>1</v>
      </c>
      <c r="BJ18" s="216" t="b">
        <v>1</v>
      </c>
      <c r="BK18" s="216" t="b">
        <v>1</v>
      </c>
      <c r="BL18" s="216" t="b">
        <v>1</v>
      </c>
      <c r="BM18" s="209" t="s">
        <v>392</v>
      </c>
      <c r="BN18" s="209" t="s">
        <v>1001</v>
      </c>
      <c r="BO18" s="209" t="s">
        <v>1003</v>
      </c>
      <c r="BP18" s="209" t="s">
        <v>1005</v>
      </c>
      <c r="BQ18" s="209" t="s">
        <v>711</v>
      </c>
      <c r="BR18" s="209" t="s">
        <v>1006</v>
      </c>
      <c r="BS18" s="209" t="s">
        <v>1007</v>
      </c>
      <c r="BT18" s="209" t="s">
        <v>1008</v>
      </c>
      <c r="BU18" s="209" t="s">
        <v>1009</v>
      </c>
      <c r="BV18" s="209" t="s">
        <v>504</v>
      </c>
      <c r="BW18" s="219" t="s">
        <v>1011</v>
      </c>
      <c r="BX18" s="220" t="s">
        <v>1013</v>
      </c>
      <c r="BY18" s="221">
        <v>46297.65056001158</v>
      </c>
      <c r="BZ18" s="209"/>
      <c r="CA18" s="209">
        <v>2.0</v>
      </c>
      <c r="CB18" s="220" t="s">
        <v>1016</v>
      </c>
      <c r="CC18" s="216" t="b">
        <v>0</v>
      </c>
      <c r="CD18" s="209"/>
      <c r="CE18" s="219" t="b">
        <v>0</v>
      </c>
    </row>
    <row r="19" ht="24.75" customHeight="1">
      <c r="A19" s="209" t="s">
        <v>490</v>
      </c>
      <c r="B19" s="209" t="s">
        <v>495</v>
      </c>
      <c r="C19" s="209" t="s">
        <v>497</v>
      </c>
      <c r="D19" s="209" t="s">
        <v>1019</v>
      </c>
      <c r="E19" s="209" t="s">
        <v>1021</v>
      </c>
      <c r="F19" s="209" t="s">
        <v>1023</v>
      </c>
      <c r="G19" s="209" t="s">
        <v>1025</v>
      </c>
      <c r="H19" s="209" t="s">
        <v>1027</v>
      </c>
      <c r="I19" s="209" t="s">
        <v>502</v>
      </c>
      <c r="J19" s="209" t="s">
        <v>1028</v>
      </c>
      <c r="K19" s="210">
        <v>50.6249052532614</v>
      </c>
      <c r="L19" s="210">
        <v>-3.40405764522744</v>
      </c>
      <c r="M19" s="211"/>
      <c r="N19" s="209" t="s">
        <v>519</v>
      </c>
      <c r="O19" s="229" t="b">
        <v>0</v>
      </c>
      <c r="P19" s="213">
        <v>0.0</v>
      </c>
      <c r="Q19" s="214" t="s">
        <v>931</v>
      </c>
      <c r="R19" s="224" t="s">
        <v>414</v>
      </c>
      <c r="S19" s="224" t="s">
        <v>414</v>
      </c>
      <c r="T19" s="224" t="s">
        <v>414</v>
      </c>
      <c r="U19" s="224" t="s">
        <v>414</v>
      </c>
      <c r="V19" s="224" t="s">
        <v>414</v>
      </c>
      <c r="W19" s="224" t="s">
        <v>414</v>
      </c>
      <c r="X19" s="224" t="s">
        <v>414</v>
      </c>
      <c r="Y19" s="224" t="s">
        <v>414</v>
      </c>
      <c r="Z19" s="224" t="s">
        <v>414</v>
      </c>
      <c r="AA19" s="224" t="s">
        <v>414</v>
      </c>
      <c r="AB19" s="224" t="s">
        <v>414</v>
      </c>
      <c r="AC19" s="224" t="s">
        <v>414</v>
      </c>
      <c r="AD19" s="224"/>
      <c r="AE19" s="224"/>
      <c r="AF19" s="209"/>
      <c r="AG19" s="211"/>
      <c r="AH19" s="211"/>
      <c r="AI19" s="216" t="b">
        <v>0</v>
      </c>
      <c r="AJ19" s="216" t="b">
        <v>0</v>
      </c>
      <c r="AK19" s="209" t="s">
        <v>546</v>
      </c>
      <c r="AL19" s="217"/>
      <c r="AM19" s="209" t="s">
        <v>414</v>
      </c>
      <c r="AN19" s="218" t="s">
        <v>414</v>
      </c>
      <c r="AO19" s="209" t="s">
        <v>414</v>
      </c>
      <c r="AP19" s="218" t="s">
        <v>414</v>
      </c>
      <c r="AQ19" s="209" t="s">
        <v>414</v>
      </c>
      <c r="AR19" s="218" t="s">
        <v>414</v>
      </c>
      <c r="AS19" s="209" t="s">
        <v>414</v>
      </c>
      <c r="AT19" s="218" t="s">
        <v>414</v>
      </c>
      <c r="AU19" s="209" t="s">
        <v>414</v>
      </c>
      <c r="AV19" s="218" t="s">
        <v>414</v>
      </c>
      <c r="AW19" s="209" t="s">
        <v>414</v>
      </c>
      <c r="AX19" s="218" t="s">
        <v>414</v>
      </c>
      <c r="AY19" s="209" t="s">
        <v>414</v>
      </c>
      <c r="AZ19" s="218" t="s">
        <v>414</v>
      </c>
      <c r="BA19" s="209" t="s">
        <v>1032</v>
      </c>
      <c r="BB19" s="209" t="s">
        <v>1033</v>
      </c>
      <c r="BC19" s="209" t="s">
        <v>1034</v>
      </c>
      <c r="BD19" s="209" t="s">
        <v>756</v>
      </c>
      <c r="BE19" s="217"/>
      <c r="BF19" s="216" t="b">
        <v>1</v>
      </c>
      <c r="BG19" s="216" t="b">
        <v>1</v>
      </c>
      <c r="BH19" s="216" t="b">
        <v>1</v>
      </c>
      <c r="BI19" s="216" t="b">
        <v>1</v>
      </c>
      <c r="BJ19" s="216" t="b">
        <v>1</v>
      </c>
      <c r="BK19" s="216" t="b">
        <v>0</v>
      </c>
      <c r="BL19" s="216" t="b">
        <v>0</v>
      </c>
      <c r="BM19" s="209" t="s">
        <v>392</v>
      </c>
      <c r="BN19" s="209" t="s">
        <v>560</v>
      </c>
      <c r="BO19" s="209" t="s">
        <v>1003</v>
      </c>
      <c r="BP19" s="209" t="s">
        <v>1043</v>
      </c>
      <c r="BQ19" s="209"/>
      <c r="BR19" s="209"/>
      <c r="BS19" s="209" t="s">
        <v>1044</v>
      </c>
      <c r="BT19" s="209"/>
      <c r="BU19" s="209" t="s">
        <v>1046</v>
      </c>
      <c r="BV19" s="209" t="s">
        <v>504</v>
      </c>
      <c r="BW19" s="219" t="s">
        <v>1047</v>
      </c>
      <c r="BX19" s="220" t="s">
        <v>1013</v>
      </c>
      <c r="BY19" s="221">
        <v>46297.65041012732</v>
      </c>
      <c r="BZ19" s="209"/>
      <c r="CA19" s="209">
        <v>2.0</v>
      </c>
      <c r="CB19" s="220" t="s">
        <v>1016</v>
      </c>
      <c r="CC19" s="216" t="b">
        <v>0</v>
      </c>
      <c r="CD19" s="209"/>
      <c r="CE19" s="219" t="b">
        <v>0</v>
      </c>
    </row>
    <row r="20" ht="24.75" customHeight="1">
      <c r="A20" s="137" t="s">
        <v>490</v>
      </c>
      <c r="B20" s="137" t="s">
        <v>968</v>
      </c>
      <c r="C20" s="137" t="s">
        <v>1051</v>
      </c>
      <c r="D20" s="137" t="s">
        <v>1052</v>
      </c>
      <c r="E20" s="137" t="s">
        <v>602</v>
      </c>
      <c r="F20" s="137" t="s">
        <v>1053</v>
      </c>
      <c r="G20" s="137" t="s">
        <v>1054</v>
      </c>
      <c r="H20" s="137"/>
      <c r="I20" s="137" t="s">
        <v>558</v>
      </c>
      <c r="J20" s="137" t="s">
        <v>1055</v>
      </c>
      <c r="K20" s="143">
        <v>50.7264927356033</v>
      </c>
      <c r="L20" s="143">
        <v>-3.53165785936208</v>
      </c>
      <c r="M20" s="145"/>
      <c r="N20" s="137" t="s">
        <v>519</v>
      </c>
      <c r="O20" s="203" t="b">
        <v>0</v>
      </c>
      <c r="P20" s="167" t="s">
        <v>1057</v>
      </c>
      <c r="Q20" s="167" t="s">
        <v>1059</v>
      </c>
      <c r="R20" s="233" t="s">
        <v>414</v>
      </c>
      <c r="S20" s="233" t="s">
        <v>414</v>
      </c>
      <c r="T20" s="233" t="s">
        <v>414</v>
      </c>
      <c r="U20" s="233" t="s">
        <v>414</v>
      </c>
      <c r="V20" s="233" t="s">
        <v>414</v>
      </c>
      <c r="W20" s="233" t="s">
        <v>414</v>
      </c>
      <c r="X20" s="233" t="s">
        <v>414</v>
      </c>
      <c r="Y20" s="233" t="s">
        <v>414</v>
      </c>
      <c r="Z20" s="233" t="s">
        <v>414</v>
      </c>
      <c r="AA20" s="233" t="s">
        <v>414</v>
      </c>
      <c r="AB20" s="233" t="s">
        <v>414</v>
      </c>
      <c r="AC20" s="233" t="s">
        <v>414</v>
      </c>
      <c r="AD20" s="233" t="s">
        <v>414</v>
      </c>
      <c r="AE20" s="233" t="s">
        <v>414</v>
      </c>
      <c r="AF20" s="137"/>
      <c r="AG20" s="145"/>
      <c r="AH20" s="145"/>
      <c r="AI20" s="147" t="b">
        <v>0</v>
      </c>
      <c r="AJ20" s="147" t="b">
        <v>0</v>
      </c>
      <c r="AK20" s="137" t="s">
        <v>546</v>
      </c>
      <c r="AL20" s="152"/>
      <c r="AM20" s="137" t="s">
        <v>414</v>
      </c>
      <c r="AN20" s="156" t="s">
        <v>414</v>
      </c>
      <c r="AO20" s="137" t="s">
        <v>414</v>
      </c>
      <c r="AP20" s="156" t="s">
        <v>414</v>
      </c>
      <c r="AQ20" s="137" t="s">
        <v>414</v>
      </c>
      <c r="AR20" s="156" t="s">
        <v>414</v>
      </c>
      <c r="AS20" s="137" t="s">
        <v>414</v>
      </c>
      <c r="AT20" s="156" t="s">
        <v>414</v>
      </c>
      <c r="AU20" s="137" t="s">
        <v>414</v>
      </c>
      <c r="AV20" s="156" t="s">
        <v>414</v>
      </c>
      <c r="AW20" s="137" t="s">
        <v>414</v>
      </c>
      <c r="AX20" s="156" t="s">
        <v>414</v>
      </c>
      <c r="AY20" s="137" t="s">
        <v>414</v>
      </c>
      <c r="AZ20" s="156" t="s">
        <v>414</v>
      </c>
      <c r="BA20" s="137" t="s">
        <v>619</v>
      </c>
      <c r="BB20" s="137" t="s">
        <v>1070</v>
      </c>
      <c r="BC20" s="137"/>
      <c r="BD20" s="137"/>
      <c r="BE20" s="152" t="s">
        <v>997</v>
      </c>
      <c r="BF20" s="147" t="b">
        <v>1</v>
      </c>
      <c r="BG20" s="147" t="b">
        <v>1</v>
      </c>
      <c r="BH20" s="147" t="b">
        <v>1</v>
      </c>
      <c r="BI20" s="147" t="b">
        <v>1</v>
      </c>
      <c r="BJ20" s="147" t="b">
        <v>1</v>
      </c>
      <c r="BK20" s="147" t="b">
        <v>0</v>
      </c>
      <c r="BL20" s="147" t="b">
        <v>0</v>
      </c>
      <c r="BM20" s="137" t="s">
        <v>392</v>
      </c>
      <c r="BN20" s="137" t="s">
        <v>1073</v>
      </c>
      <c r="BO20" s="137" t="s">
        <v>943</v>
      </c>
      <c r="BP20" s="137" t="s">
        <v>1074</v>
      </c>
      <c r="BQ20" s="137" t="s">
        <v>1039</v>
      </c>
      <c r="BR20" s="137" t="s">
        <v>1075</v>
      </c>
      <c r="BS20" s="137" t="s">
        <v>1076</v>
      </c>
      <c r="BT20" s="137"/>
      <c r="BU20" s="137" t="s">
        <v>1077</v>
      </c>
      <c r="BV20" s="137" t="s">
        <v>504</v>
      </c>
      <c r="BW20" s="161" t="s">
        <v>1078</v>
      </c>
      <c r="BX20" s="137" t="s">
        <v>512</v>
      </c>
      <c r="BY20" s="163">
        <v>46293.54291942129</v>
      </c>
      <c r="BZ20" s="137">
        <v>1.0</v>
      </c>
      <c r="CA20" s="137">
        <v>1.0</v>
      </c>
      <c r="CB20" s="137"/>
      <c r="CC20" s="147" t="b">
        <v>0</v>
      </c>
      <c r="CD20" s="137" t="b">
        <v>0</v>
      </c>
      <c r="CE20" s="161"/>
    </row>
    <row r="21" ht="24.75" customHeight="1">
      <c r="A21" s="137" t="s">
        <v>490</v>
      </c>
      <c r="B21" s="137" t="s">
        <v>1083</v>
      </c>
      <c r="C21" s="137" t="s">
        <v>1084</v>
      </c>
      <c r="D21" s="234" t="s">
        <v>1085</v>
      </c>
      <c r="E21" s="137" t="s">
        <v>384</v>
      </c>
      <c r="F21" s="137" t="s">
        <v>1088</v>
      </c>
      <c r="G21" s="137" t="s">
        <v>1089</v>
      </c>
      <c r="H21" s="137" t="s">
        <v>1090</v>
      </c>
      <c r="I21" s="137" t="s">
        <v>1091</v>
      </c>
      <c r="J21" s="137" t="s">
        <v>1092</v>
      </c>
      <c r="K21" s="143"/>
      <c r="L21" s="143"/>
      <c r="M21" s="145"/>
      <c r="N21" s="137" t="s">
        <v>519</v>
      </c>
      <c r="O21" s="235" t="b">
        <v>1</v>
      </c>
      <c r="P21" s="167" t="s">
        <v>1094</v>
      </c>
      <c r="Q21" s="167" t="s">
        <v>1095</v>
      </c>
      <c r="R21" s="233" t="s">
        <v>414</v>
      </c>
      <c r="S21" s="233" t="s">
        <v>414</v>
      </c>
      <c r="T21" s="233" t="s">
        <v>414</v>
      </c>
      <c r="U21" s="233" t="s">
        <v>414</v>
      </c>
      <c r="V21" s="233" t="s">
        <v>414</v>
      </c>
      <c r="W21" s="233" t="s">
        <v>414</v>
      </c>
      <c r="X21" s="233" t="s">
        <v>414</v>
      </c>
      <c r="Y21" s="233" t="s">
        <v>414</v>
      </c>
      <c r="Z21" s="233" t="s">
        <v>414</v>
      </c>
      <c r="AA21" s="233" t="s">
        <v>414</v>
      </c>
      <c r="AB21" s="233" t="s">
        <v>414</v>
      </c>
      <c r="AC21" s="233" t="s">
        <v>414</v>
      </c>
      <c r="AD21" s="233" t="s">
        <v>414</v>
      </c>
      <c r="AE21" s="233" t="s">
        <v>414</v>
      </c>
      <c r="AF21" s="137" t="s">
        <v>1099</v>
      </c>
      <c r="AG21" s="145"/>
      <c r="AH21" s="147" t="b">
        <v>1</v>
      </c>
      <c r="AI21" s="147" t="b">
        <v>1</v>
      </c>
      <c r="AJ21" s="147" t="b">
        <v>0</v>
      </c>
      <c r="AK21" s="137" t="s">
        <v>1104</v>
      </c>
      <c r="AL21" s="152" t="s">
        <v>1105</v>
      </c>
      <c r="AM21" s="137" t="s">
        <v>656</v>
      </c>
      <c r="AN21" s="156">
        <v>0.0</v>
      </c>
      <c r="AO21" s="137" t="s">
        <v>1081</v>
      </c>
      <c r="AP21" s="156">
        <v>8.5</v>
      </c>
      <c r="AQ21" s="137" t="s">
        <v>414</v>
      </c>
      <c r="AR21" s="156" t="s">
        <v>414</v>
      </c>
      <c r="AS21" s="137" t="s">
        <v>414</v>
      </c>
      <c r="AT21" s="156" t="s">
        <v>414</v>
      </c>
      <c r="AU21" s="137" t="s">
        <v>1107</v>
      </c>
      <c r="AV21" s="156">
        <v>10.0</v>
      </c>
      <c r="AW21" s="137" t="s">
        <v>1108</v>
      </c>
      <c r="AX21" s="156">
        <v>9.5</v>
      </c>
      <c r="AY21" s="137" t="s">
        <v>1109</v>
      </c>
      <c r="AZ21" s="156">
        <v>35.0</v>
      </c>
      <c r="BA21" s="137" t="s">
        <v>619</v>
      </c>
      <c r="BB21" s="137" t="s">
        <v>1110</v>
      </c>
      <c r="BC21" s="137" t="s">
        <v>1111</v>
      </c>
      <c r="BD21" s="137" t="s">
        <v>664</v>
      </c>
      <c r="BE21" s="152"/>
      <c r="BF21" s="147" t="b">
        <v>1</v>
      </c>
      <c r="BG21" s="147" t="b">
        <v>1</v>
      </c>
      <c r="BH21" s="147" t="b">
        <v>1</v>
      </c>
      <c r="BI21" s="147" t="b">
        <v>1</v>
      </c>
      <c r="BJ21" s="147" t="b">
        <v>1</v>
      </c>
      <c r="BK21" s="147" t="b">
        <v>0</v>
      </c>
      <c r="BL21" s="147" t="b">
        <v>0</v>
      </c>
      <c r="BM21" s="137" t="s">
        <v>392</v>
      </c>
      <c r="BN21" s="137" t="s">
        <v>1036</v>
      </c>
      <c r="BO21" s="137" t="s">
        <v>1037</v>
      </c>
      <c r="BP21" s="137" t="s">
        <v>1114</v>
      </c>
      <c r="BQ21" s="137" t="s">
        <v>1115</v>
      </c>
      <c r="BR21" s="137"/>
      <c r="BS21" s="137" t="s">
        <v>1116</v>
      </c>
      <c r="BT21" s="137"/>
      <c r="BU21" s="137" t="s">
        <v>1118</v>
      </c>
      <c r="BV21" s="137" t="s">
        <v>722</v>
      </c>
      <c r="BW21" s="161" t="s">
        <v>1120</v>
      </c>
      <c r="BX21" s="137" t="s">
        <v>512</v>
      </c>
      <c r="BY21" s="163">
        <v>46291.571057071764</v>
      </c>
      <c r="BZ21" s="137">
        <v>1.0</v>
      </c>
      <c r="CA21" s="137">
        <v>1.0</v>
      </c>
      <c r="CB21" s="137"/>
      <c r="CC21" s="147" t="b">
        <v>0</v>
      </c>
      <c r="CD21" s="137" t="b">
        <v>0</v>
      </c>
      <c r="CE21" s="161"/>
    </row>
    <row r="22" ht="24.75" customHeight="1">
      <c r="A22" s="137" t="s">
        <v>490</v>
      </c>
      <c r="B22" s="137" t="s">
        <v>1126</v>
      </c>
      <c r="C22" s="137" t="s">
        <v>1127</v>
      </c>
      <c r="D22" s="234" t="s">
        <v>1128</v>
      </c>
      <c r="E22" s="137" t="s">
        <v>384</v>
      </c>
      <c r="F22" s="137" t="s">
        <v>1130</v>
      </c>
      <c r="G22" s="137" t="s">
        <v>1133</v>
      </c>
      <c r="H22" s="137" t="s">
        <v>574</v>
      </c>
      <c r="I22" s="137" t="s">
        <v>1135</v>
      </c>
      <c r="J22" s="137" t="s">
        <v>1136</v>
      </c>
      <c r="K22" s="143">
        <v>50.7056830695245</v>
      </c>
      <c r="L22" s="143">
        <v>-3.41611891771227</v>
      </c>
      <c r="M22" s="145"/>
      <c r="N22" s="137" t="s">
        <v>519</v>
      </c>
      <c r="O22" s="147" t="b">
        <v>1</v>
      </c>
      <c r="P22" s="148">
        <v>0.4166666666678793</v>
      </c>
      <c r="Q22" s="148">
        <v>0.7083333333321207</v>
      </c>
      <c r="R22" s="170" t="s">
        <v>414</v>
      </c>
      <c r="S22" s="170" t="s">
        <v>414</v>
      </c>
      <c r="T22" s="170" t="s">
        <v>414</v>
      </c>
      <c r="U22" s="170" t="s">
        <v>414</v>
      </c>
      <c r="V22" s="170" t="s">
        <v>414</v>
      </c>
      <c r="W22" s="170" t="s">
        <v>414</v>
      </c>
      <c r="X22" s="170" t="s">
        <v>414</v>
      </c>
      <c r="Y22" s="170" t="s">
        <v>414</v>
      </c>
      <c r="Z22" s="170" t="s">
        <v>414</v>
      </c>
      <c r="AA22" s="170" t="s">
        <v>414</v>
      </c>
      <c r="AB22" s="170" t="s">
        <v>414</v>
      </c>
      <c r="AC22" s="170" t="s">
        <v>414</v>
      </c>
      <c r="AD22" s="170" t="s">
        <v>414</v>
      </c>
      <c r="AE22" s="170" t="s">
        <v>414</v>
      </c>
      <c r="AF22" s="137" t="s">
        <v>1138</v>
      </c>
      <c r="AG22" s="145"/>
      <c r="AH22" s="147" t="b">
        <v>1</v>
      </c>
      <c r="AI22" s="147" t="b">
        <v>1</v>
      </c>
      <c r="AJ22" s="147" t="b">
        <v>1</v>
      </c>
      <c r="AK22" s="137" t="s">
        <v>654</v>
      </c>
      <c r="AL22" s="152" t="s">
        <v>1139</v>
      </c>
      <c r="AM22" s="137" t="s">
        <v>414</v>
      </c>
      <c r="AN22" s="156" t="s">
        <v>414</v>
      </c>
      <c r="AO22" s="156" t="s">
        <v>414</v>
      </c>
      <c r="AP22" s="156" t="s">
        <v>414</v>
      </c>
      <c r="AQ22" s="156" t="s">
        <v>1140</v>
      </c>
      <c r="AR22" s="156">
        <v>0.0</v>
      </c>
      <c r="AS22" s="137" t="s">
        <v>1141</v>
      </c>
      <c r="AT22" s="156" t="s">
        <v>1142</v>
      </c>
      <c r="AU22" s="156" t="s">
        <v>457</v>
      </c>
      <c r="AV22" s="156" t="s">
        <v>1142</v>
      </c>
      <c r="AW22" s="156" t="s">
        <v>414</v>
      </c>
      <c r="AX22" s="156" t="s">
        <v>414</v>
      </c>
      <c r="AY22" s="156" t="s">
        <v>1143</v>
      </c>
      <c r="AZ22" s="156" t="s">
        <v>414</v>
      </c>
      <c r="BA22" s="182" t="s">
        <v>470</v>
      </c>
      <c r="BB22" s="137" t="s">
        <v>1144</v>
      </c>
      <c r="BC22" s="137" t="s">
        <v>1145</v>
      </c>
      <c r="BD22" s="137" t="s">
        <v>1146</v>
      </c>
      <c r="BE22" s="152"/>
      <c r="BF22" s="147" t="b">
        <v>0</v>
      </c>
      <c r="BG22" s="147" t="b">
        <v>0</v>
      </c>
      <c r="BH22" s="147" t="b">
        <v>1</v>
      </c>
      <c r="BI22" s="147" t="b">
        <v>1</v>
      </c>
      <c r="BJ22" s="147" t="b">
        <v>1</v>
      </c>
      <c r="BK22" s="147" t="b">
        <v>1</v>
      </c>
      <c r="BL22" s="147" t="b">
        <v>1</v>
      </c>
      <c r="BM22" s="137" t="s">
        <v>627</v>
      </c>
      <c r="BN22" s="137" t="s">
        <v>560</v>
      </c>
      <c r="BO22" s="137" t="s">
        <v>1147</v>
      </c>
      <c r="BP22" s="137" t="s">
        <v>1148</v>
      </c>
      <c r="BQ22" s="137" t="s">
        <v>1149</v>
      </c>
      <c r="BR22" s="137"/>
      <c r="BS22" s="137" t="s">
        <v>1150</v>
      </c>
      <c r="BT22" s="137"/>
      <c r="BU22" s="137" t="s">
        <v>1151</v>
      </c>
      <c r="BV22" s="137" t="s">
        <v>1152</v>
      </c>
      <c r="BW22" s="161" t="s">
        <v>1153</v>
      </c>
      <c r="BX22" s="137" t="s">
        <v>512</v>
      </c>
      <c r="BY22" s="163">
        <v>46288.6496590162</v>
      </c>
      <c r="BZ22" s="137">
        <v>1.0</v>
      </c>
      <c r="CA22" s="137">
        <v>1.0</v>
      </c>
      <c r="CB22" s="137"/>
      <c r="CC22" s="147" t="b">
        <v>0</v>
      </c>
      <c r="CD22" s="137" t="b">
        <v>0</v>
      </c>
      <c r="CE22" s="161"/>
    </row>
    <row r="23" ht="24.75" customHeight="1">
      <c r="A23" s="137" t="s">
        <v>490</v>
      </c>
      <c r="B23" s="137" t="s">
        <v>865</v>
      </c>
      <c r="C23" s="137" t="s">
        <v>866</v>
      </c>
      <c r="D23" s="234" t="s">
        <v>1154</v>
      </c>
      <c r="E23" s="137" t="s">
        <v>672</v>
      </c>
      <c r="F23" s="137" t="s">
        <v>1155</v>
      </c>
      <c r="G23" s="137" t="s">
        <v>1157</v>
      </c>
      <c r="H23" s="137" t="s">
        <v>1159</v>
      </c>
      <c r="I23" s="137" t="s">
        <v>1091</v>
      </c>
      <c r="J23" s="137" t="s">
        <v>1160</v>
      </c>
      <c r="K23" s="143">
        <v>50.434075549783</v>
      </c>
      <c r="L23" s="143">
        <v>-3.68789528718207</v>
      </c>
      <c r="M23" s="145"/>
      <c r="N23" s="137" t="s">
        <v>519</v>
      </c>
      <c r="O23" s="147" t="b">
        <v>0</v>
      </c>
      <c r="P23" s="148" t="s">
        <v>414</v>
      </c>
      <c r="Q23" s="148" t="s">
        <v>414</v>
      </c>
      <c r="R23" s="170">
        <v>0.375</v>
      </c>
      <c r="S23" s="170">
        <v>0.7083333333321207</v>
      </c>
      <c r="T23" s="170">
        <v>0.375</v>
      </c>
      <c r="U23" s="170">
        <v>0.7083333333321207</v>
      </c>
      <c r="V23" s="170">
        <v>0.375</v>
      </c>
      <c r="W23" s="170">
        <v>0.7083333333321207</v>
      </c>
      <c r="X23" s="170">
        <v>0.375</v>
      </c>
      <c r="Y23" s="170">
        <v>0.7083333333321207</v>
      </c>
      <c r="Z23" s="170">
        <v>0.375</v>
      </c>
      <c r="AA23" s="170">
        <v>0.7083333333321207</v>
      </c>
      <c r="AB23" s="170">
        <v>0.375</v>
      </c>
      <c r="AC23" s="170">
        <v>0.7083333333321207</v>
      </c>
      <c r="AD23" s="170">
        <v>0.4166666666678793</v>
      </c>
      <c r="AE23" s="170">
        <v>0.6666666666678793</v>
      </c>
      <c r="AF23" s="137"/>
      <c r="AG23" s="145"/>
      <c r="AH23" s="145"/>
      <c r="AI23" s="147" t="b">
        <v>0</v>
      </c>
      <c r="AJ23" s="147" t="b">
        <v>0</v>
      </c>
      <c r="AK23" s="137" t="s">
        <v>712</v>
      </c>
      <c r="AL23" s="152" t="s">
        <v>714</v>
      </c>
      <c r="AM23" s="137" t="s">
        <v>414</v>
      </c>
      <c r="AN23" s="156" t="s">
        <v>414</v>
      </c>
      <c r="AO23" s="156" t="s">
        <v>1166</v>
      </c>
      <c r="AP23" s="156" t="s">
        <v>1167</v>
      </c>
      <c r="AQ23" s="156" t="s">
        <v>414</v>
      </c>
      <c r="AR23" s="156" t="s">
        <v>414</v>
      </c>
      <c r="AS23" s="137" t="s">
        <v>414</v>
      </c>
      <c r="AT23" s="156" t="s">
        <v>414</v>
      </c>
      <c r="AU23" s="156" t="s">
        <v>1168</v>
      </c>
      <c r="AV23" s="156" t="s">
        <v>1167</v>
      </c>
      <c r="AW23" s="156" t="s">
        <v>414</v>
      </c>
      <c r="AX23" s="156" t="s">
        <v>414</v>
      </c>
      <c r="AY23" s="156" t="s">
        <v>414</v>
      </c>
      <c r="AZ23" s="156" t="s">
        <v>414</v>
      </c>
      <c r="BA23" s="182" t="s">
        <v>470</v>
      </c>
      <c r="BB23" s="137" t="s">
        <v>1172</v>
      </c>
      <c r="BC23" s="137"/>
      <c r="BD23" s="137" t="s">
        <v>1173</v>
      </c>
      <c r="BE23" s="152"/>
      <c r="BF23" s="147" t="b">
        <v>0</v>
      </c>
      <c r="BG23" s="147" t="b">
        <v>0</v>
      </c>
      <c r="BH23" s="147" t="b">
        <v>0</v>
      </c>
      <c r="BI23" s="147" t="b">
        <v>1</v>
      </c>
      <c r="BJ23" s="147" t="b">
        <v>1</v>
      </c>
      <c r="BK23" s="147" t="b">
        <v>1</v>
      </c>
      <c r="BL23" s="147" t="b">
        <v>1</v>
      </c>
      <c r="BM23" s="137" t="s">
        <v>604</v>
      </c>
      <c r="BN23" s="137" t="s">
        <v>1178</v>
      </c>
      <c r="BO23" s="137" t="s">
        <v>629</v>
      </c>
      <c r="BP23" s="137" t="s">
        <v>1179</v>
      </c>
      <c r="BQ23" s="137"/>
      <c r="BR23" s="137"/>
      <c r="BS23" s="137" t="s">
        <v>1180</v>
      </c>
      <c r="BT23" s="137"/>
      <c r="BU23" s="137" t="s">
        <v>1181</v>
      </c>
      <c r="BV23" s="137" t="s">
        <v>504</v>
      </c>
      <c r="BW23" s="161" t="s">
        <v>1182</v>
      </c>
      <c r="BX23" s="137" t="s">
        <v>512</v>
      </c>
      <c r="BY23" s="163">
        <v>46287.87608965278</v>
      </c>
      <c r="BZ23" s="137">
        <v>1.0</v>
      </c>
      <c r="CA23" s="137">
        <v>1.0</v>
      </c>
      <c r="CB23" s="137"/>
      <c r="CC23" s="147" t="b">
        <v>0</v>
      </c>
      <c r="CD23" s="137" t="b">
        <v>0</v>
      </c>
      <c r="CE23" s="161"/>
    </row>
    <row r="24" ht="24.75" customHeight="1">
      <c r="A24" s="137" t="s">
        <v>490</v>
      </c>
      <c r="B24" s="137" t="s">
        <v>968</v>
      </c>
      <c r="C24" s="137" t="s">
        <v>1051</v>
      </c>
      <c r="D24" s="234" t="s">
        <v>1183</v>
      </c>
      <c r="E24" s="137" t="s">
        <v>602</v>
      </c>
      <c r="F24" s="137" t="s">
        <v>1184</v>
      </c>
      <c r="G24" s="137"/>
      <c r="H24" s="137"/>
      <c r="I24" s="137" t="s">
        <v>502</v>
      </c>
      <c r="J24" s="137" t="s">
        <v>1185</v>
      </c>
      <c r="K24" s="143">
        <v>50.6327362496744</v>
      </c>
      <c r="L24" s="143">
        <v>-3.39011876992459</v>
      </c>
      <c r="M24" s="145"/>
      <c r="N24" s="137" t="s">
        <v>519</v>
      </c>
      <c r="O24" s="147" t="b">
        <v>1</v>
      </c>
      <c r="P24" s="148">
        <v>0.0</v>
      </c>
      <c r="Q24" s="237" t="s">
        <v>931</v>
      </c>
      <c r="R24" s="170" t="s">
        <v>414</v>
      </c>
      <c r="S24" s="170" t="s">
        <v>414</v>
      </c>
      <c r="T24" s="170" t="s">
        <v>414</v>
      </c>
      <c r="U24" s="170" t="s">
        <v>414</v>
      </c>
      <c r="V24" s="170" t="s">
        <v>414</v>
      </c>
      <c r="W24" s="170" t="s">
        <v>414</v>
      </c>
      <c r="X24" s="170" t="s">
        <v>414</v>
      </c>
      <c r="Y24" s="170" t="s">
        <v>414</v>
      </c>
      <c r="Z24" s="170" t="s">
        <v>414</v>
      </c>
      <c r="AA24" s="170" t="s">
        <v>414</v>
      </c>
      <c r="AB24" s="170" t="s">
        <v>414</v>
      </c>
      <c r="AC24" s="170" t="s">
        <v>414</v>
      </c>
      <c r="AD24" s="170" t="s">
        <v>414</v>
      </c>
      <c r="AE24" s="170" t="s">
        <v>414</v>
      </c>
      <c r="AF24" s="137" t="s">
        <v>414</v>
      </c>
      <c r="AG24" s="145"/>
      <c r="AH24" s="145"/>
      <c r="AI24" s="147" t="b">
        <v>0</v>
      </c>
      <c r="AJ24" s="147" t="b">
        <v>0</v>
      </c>
      <c r="AK24" s="137" t="s">
        <v>546</v>
      </c>
      <c r="AL24" s="152"/>
      <c r="AM24" s="137" t="s">
        <v>414</v>
      </c>
      <c r="AN24" s="156" t="s">
        <v>414</v>
      </c>
      <c r="AO24" s="156" t="s">
        <v>414</v>
      </c>
      <c r="AP24" s="156" t="s">
        <v>414</v>
      </c>
      <c r="AQ24" s="156" t="s">
        <v>414</v>
      </c>
      <c r="AR24" s="156" t="s">
        <v>414</v>
      </c>
      <c r="AS24" s="137" t="s">
        <v>414</v>
      </c>
      <c r="AT24" s="156" t="s">
        <v>414</v>
      </c>
      <c r="AU24" s="156" t="s">
        <v>414</v>
      </c>
      <c r="AV24" s="156" t="s">
        <v>414</v>
      </c>
      <c r="AW24" s="156" t="s">
        <v>414</v>
      </c>
      <c r="AX24" s="156" t="s">
        <v>414</v>
      </c>
      <c r="AY24" s="156" t="s">
        <v>414</v>
      </c>
      <c r="AZ24" s="156" t="s">
        <v>414</v>
      </c>
      <c r="BA24" s="182" t="s">
        <v>911</v>
      </c>
      <c r="BB24" s="137" t="s">
        <v>1192</v>
      </c>
      <c r="BC24" s="137"/>
      <c r="BD24" s="137"/>
      <c r="BE24" s="152" t="s">
        <v>997</v>
      </c>
      <c r="BF24" s="147" t="b">
        <v>0</v>
      </c>
      <c r="BG24" s="147" t="b">
        <v>0</v>
      </c>
      <c r="BH24" s="147" t="b">
        <v>1</v>
      </c>
      <c r="BI24" s="147" t="b">
        <v>1</v>
      </c>
      <c r="BJ24" s="147" t="b">
        <v>1</v>
      </c>
      <c r="BK24" s="147" t="b">
        <v>0</v>
      </c>
      <c r="BL24" s="147" t="b">
        <v>0</v>
      </c>
      <c r="BM24" s="137" t="s">
        <v>392</v>
      </c>
      <c r="BN24" s="137" t="s">
        <v>1195</v>
      </c>
      <c r="BO24" s="137" t="s">
        <v>943</v>
      </c>
      <c r="BP24" s="137" t="s">
        <v>1196</v>
      </c>
      <c r="BQ24" s="137" t="s">
        <v>1039</v>
      </c>
      <c r="BR24" s="137" t="s">
        <v>1197</v>
      </c>
      <c r="BS24" s="137" t="s">
        <v>1198</v>
      </c>
      <c r="BT24" s="137"/>
      <c r="BU24" s="137" t="s">
        <v>1199</v>
      </c>
      <c r="BV24" s="137" t="s">
        <v>504</v>
      </c>
      <c r="BW24" s="161" t="s">
        <v>1200</v>
      </c>
      <c r="BX24" s="137" t="s">
        <v>512</v>
      </c>
      <c r="BY24" s="163">
        <v>46287.85587084491</v>
      </c>
      <c r="BZ24" s="137">
        <v>1.0</v>
      </c>
      <c r="CA24" s="137">
        <v>1.0</v>
      </c>
      <c r="CB24" s="137"/>
      <c r="CC24" s="147" t="b">
        <v>0</v>
      </c>
      <c r="CD24" s="137" t="b">
        <v>0</v>
      </c>
      <c r="CE24" s="161"/>
    </row>
    <row r="25" ht="24.75" customHeight="1">
      <c r="A25" s="137" t="s">
        <v>490</v>
      </c>
      <c r="B25" s="137" t="s">
        <v>1201</v>
      </c>
      <c r="C25" s="137" t="s">
        <v>1202</v>
      </c>
      <c r="D25" s="234" t="s">
        <v>1203</v>
      </c>
      <c r="E25" s="137" t="s">
        <v>602</v>
      </c>
      <c r="F25" s="137" t="s">
        <v>1204</v>
      </c>
      <c r="G25" s="137" t="s">
        <v>1205</v>
      </c>
      <c r="H25" s="137" t="s">
        <v>1207</v>
      </c>
      <c r="I25" s="137" t="s">
        <v>1208</v>
      </c>
      <c r="J25" s="137" t="s">
        <v>1209</v>
      </c>
      <c r="K25" s="143">
        <v>50.4824551693363</v>
      </c>
      <c r="L25" s="143">
        <v>-3.76773273489584</v>
      </c>
      <c r="M25" s="145"/>
      <c r="N25" s="137" t="s">
        <v>531</v>
      </c>
      <c r="O25" s="147" t="b">
        <v>0</v>
      </c>
      <c r="P25" s="148" t="s">
        <v>414</v>
      </c>
      <c r="Q25" s="148" t="s">
        <v>414</v>
      </c>
      <c r="R25" s="170" t="s">
        <v>414</v>
      </c>
      <c r="S25" s="170" t="s">
        <v>414</v>
      </c>
      <c r="T25" s="170" t="s">
        <v>414</v>
      </c>
      <c r="U25" s="170" t="s">
        <v>414</v>
      </c>
      <c r="V25" s="170" t="s">
        <v>414</v>
      </c>
      <c r="W25" s="170" t="s">
        <v>414</v>
      </c>
      <c r="X25" s="170" t="s">
        <v>414</v>
      </c>
      <c r="Y25" s="170" t="s">
        <v>414</v>
      </c>
      <c r="Z25" s="170" t="s">
        <v>414</v>
      </c>
      <c r="AA25" s="170" t="s">
        <v>414</v>
      </c>
      <c r="AB25" s="170">
        <v>0.5</v>
      </c>
      <c r="AC25" s="170">
        <v>0.6666666666678793</v>
      </c>
      <c r="AD25" s="170">
        <v>0.5</v>
      </c>
      <c r="AE25" s="170">
        <v>0.6666666666678793</v>
      </c>
      <c r="AF25" s="137"/>
      <c r="AG25" s="145"/>
      <c r="AH25" s="145"/>
      <c r="AI25" s="147" t="b">
        <v>0</v>
      </c>
      <c r="AJ25" s="147" t="b">
        <v>1</v>
      </c>
      <c r="AK25" s="137" t="s">
        <v>586</v>
      </c>
      <c r="AL25" s="152" t="s">
        <v>1216</v>
      </c>
      <c r="AM25" s="137" t="s">
        <v>656</v>
      </c>
      <c r="AN25" s="156">
        <v>0.0</v>
      </c>
      <c r="AO25" s="156" t="s">
        <v>1218</v>
      </c>
      <c r="AP25" s="156">
        <v>1.5</v>
      </c>
      <c r="AQ25" s="156" t="s">
        <v>414</v>
      </c>
      <c r="AR25" s="156" t="s">
        <v>414</v>
      </c>
      <c r="AS25" s="137" t="s">
        <v>414</v>
      </c>
      <c r="AT25" s="156" t="s">
        <v>414</v>
      </c>
      <c r="AU25" s="156" t="s">
        <v>704</v>
      </c>
      <c r="AV25" s="156">
        <v>2.5</v>
      </c>
      <c r="AW25" s="156" t="s">
        <v>414</v>
      </c>
      <c r="AX25" s="156" t="s">
        <v>414</v>
      </c>
      <c r="AY25" s="156" t="s">
        <v>414</v>
      </c>
      <c r="AZ25" s="156" t="s">
        <v>414</v>
      </c>
      <c r="BA25" s="182" t="s">
        <v>470</v>
      </c>
      <c r="BB25" s="137" t="s">
        <v>1220</v>
      </c>
      <c r="BC25" s="137" t="s">
        <v>1221</v>
      </c>
      <c r="BD25" s="137" t="s">
        <v>1222</v>
      </c>
      <c r="BE25" s="152" t="s">
        <v>780</v>
      </c>
      <c r="BF25" s="147" t="b">
        <v>1</v>
      </c>
      <c r="BG25" s="147" t="b">
        <v>1</v>
      </c>
      <c r="BH25" s="147" t="b">
        <v>1</v>
      </c>
      <c r="BI25" s="147" t="b">
        <v>1</v>
      </c>
      <c r="BJ25" s="147" t="b">
        <v>0</v>
      </c>
      <c r="BK25" s="147" t="b">
        <v>0</v>
      </c>
      <c r="BL25" s="147" t="b">
        <v>0</v>
      </c>
      <c r="BM25" s="137" t="s">
        <v>392</v>
      </c>
      <c r="BN25" s="137" t="s">
        <v>1036</v>
      </c>
      <c r="BO25" s="137" t="s">
        <v>782</v>
      </c>
      <c r="BP25" s="137" t="s">
        <v>1223</v>
      </c>
      <c r="BQ25" s="137" t="s">
        <v>711</v>
      </c>
      <c r="BR25" s="137"/>
      <c r="BS25" s="137" t="s">
        <v>1224</v>
      </c>
      <c r="BT25" s="137"/>
      <c r="BU25" s="137" t="s">
        <v>1225</v>
      </c>
      <c r="BV25" s="137" t="s">
        <v>504</v>
      </c>
      <c r="BW25" s="161" t="s">
        <v>1227</v>
      </c>
      <c r="BX25" s="137" t="s">
        <v>512</v>
      </c>
      <c r="BY25" s="163">
        <v>46287.73703134259</v>
      </c>
      <c r="BZ25" s="137">
        <v>1.0</v>
      </c>
      <c r="CA25" s="137">
        <v>1.0</v>
      </c>
      <c r="CB25" s="137"/>
      <c r="CC25" s="147" t="b">
        <v>0</v>
      </c>
      <c r="CD25" s="137" t="b">
        <v>0</v>
      </c>
      <c r="CE25" s="161"/>
    </row>
    <row r="26" ht="24.75" customHeight="1">
      <c r="A26" s="137" t="s">
        <v>490</v>
      </c>
      <c r="B26" s="137" t="s">
        <v>495</v>
      </c>
      <c r="C26" s="137" t="s">
        <v>497</v>
      </c>
      <c r="D26" s="234" t="s">
        <v>1233</v>
      </c>
      <c r="E26" s="137" t="s">
        <v>924</v>
      </c>
      <c r="F26" s="137" t="s">
        <v>1237</v>
      </c>
      <c r="G26" s="137" t="s">
        <v>1240</v>
      </c>
      <c r="H26" s="137"/>
      <c r="I26" s="137" t="s">
        <v>502</v>
      </c>
      <c r="J26" s="137" t="s">
        <v>1242</v>
      </c>
      <c r="K26" s="143">
        <v>50.6354889044565</v>
      </c>
      <c r="L26" s="143">
        <v>-3.39593229004803</v>
      </c>
      <c r="M26" s="145"/>
      <c r="N26" s="137" t="s">
        <v>519</v>
      </c>
      <c r="O26" s="147" t="b">
        <v>1</v>
      </c>
      <c r="P26" s="148">
        <v>0.0</v>
      </c>
      <c r="Q26" s="237" t="s">
        <v>931</v>
      </c>
      <c r="R26" s="170" t="s">
        <v>414</v>
      </c>
      <c r="S26" s="170" t="s">
        <v>414</v>
      </c>
      <c r="T26" s="170" t="s">
        <v>414</v>
      </c>
      <c r="U26" s="170" t="s">
        <v>414</v>
      </c>
      <c r="V26" s="170" t="s">
        <v>414</v>
      </c>
      <c r="W26" s="170" t="s">
        <v>414</v>
      </c>
      <c r="X26" s="170" t="s">
        <v>414</v>
      </c>
      <c r="Y26" s="170" t="s">
        <v>414</v>
      </c>
      <c r="Z26" s="170" t="s">
        <v>414</v>
      </c>
      <c r="AA26" s="170" t="s">
        <v>414</v>
      </c>
      <c r="AB26" s="170" t="s">
        <v>414</v>
      </c>
      <c r="AC26" s="170" t="s">
        <v>414</v>
      </c>
      <c r="AD26" s="170" t="s">
        <v>414</v>
      </c>
      <c r="AE26" s="170" t="s">
        <v>414</v>
      </c>
      <c r="AF26" s="137"/>
      <c r="AG26" s="145"/>
      <c r="AH26" s="145"/>
      <c r="AI26" s="147" t="b">
        <v>0</v>
      </c>
      <c r="AJ26" s="147" t="b">
        <v>0</v>
      </c>
      <c r="AK26" s="137" t="s">
        <v>546</v>
      </c>
      <c r="AL26" s="152"/>
      <c r="AM26" s="137" t="s">
        <v>414</v>
      </c>
      <c r="AN26" s="156" t="s">
        <v>414</v>
      </c>
      <c r="AO26" s="156" t="s">
        <v>414</v>
      </c>
      <c r="AP26" s="156" t="s">
        <v>414</v>
      </c>
      <c r="AQ26" s="156" t="s">
        <v>414</v>
      </c>
      <c r="AR26" s="156" t="s">
        <v>414</v>
      </c>
      <c r="AS26" s="137" t="s">
        <v>414</v>
      </c>
      <c r="AT26" s="156" t="s">
        <v>414</v>
      </c>
      <c r="AU26" s="156" t="s">
        <v>414</v>
      </c>
      <c r="AV26" s="156" t="s">
        <v>414</v>
      </c>
      <c r="AW26" s="156" t="s">
        <v>414</v>
      </c>
      <c r="AX26" s="156" t="s">
        <v>414</v>
      </c>
      <c r="AY26" s="156" t="s">
        <v>414</v>
      </c>
      <c r="AZ26" s="156" t="s">
        <v>414</v>
      </c>
      <c r="BA26" s="182" t="s">
        <v>911</v>
      </c>
      <c r="BB26" s="137" t="s">
        <v>1253</v>
      </c>
      <c r="BC26" s="137" t="s">
        <v>1034</v>
      </c>
      <c r="BD26" s="137" t="s">
        <v>756</v>
      </c>
      <c r="BE26" s="152" t="s">
        <v>821</v>
      </c>
      <c r="BF26" s="147" t="b">
        <v>0</v>
      </c>
      <c r="BG26" s="147" t="b">
        <v>1</v>
      </c>
      <c r="BH26" s="147" t="b">
        <v>1</v>
      </c>
      <c r="BI26" s="147" t="b">
        <v>1</v>
      </c>
      <c r="BJ26" s="147" t="b">
        <v>1</v>
      </c>
      <c r="BK26" s="147" t="b">
        <v>0</v>
      </c>
      <c r="BL26" s="147" t="b">
        <v>0</v>
      </c>
      <c r="BM26" s="137" t="s">
        <v>392</v>
      </c>
      <c r="BN26" s="137" t="s">
        <v>563</v>
      </c>
      <c r="BO26" s="137" t="s">
        <v>561</v>
      </c>
      <c r="BP26" s="137" t="s">
        <v>1259</v>
      </c>
      <c r="BQ26" s="137"/>
      <c r="BR26" s="137"/>
      <c r="BS26" s="137" t="s">
        <v>1260</v>
      </c>
      <c r="BT26" s="137"/>
      <c r="BU26" s="137" t="s">
        <v>1261</v>
      </c>
      <c r="BV26" s="137" t="s">
        <v>504</v>
      </c>
      <c r="BW26" s="161" t="s">
        <v>1262</v>
      </c>
      <c r="BX26" s="137" t="s">
        <v>512</v>
      </c>
      <c r="BY26" s="163">
        <v>46287.704688136575</v>
      </c>
      <c r="BZ26" s="137">
        <v>1.0</v>
      </c>
      <c r="CA26" s="137">
        <v>1.0</v>
      </c>
      <c r="CB26" s="137"/>
      <c r="CC26" s="147" t="b">
        <v>0</v>
      </c>
      <c r="CD26" s="137" t="b">
        <v>0</v>
      </c>
      <c r="CE26" s="161"/>
    </row>
    <row r="27" ht="24.75" customHeight="1">
      <c r="A27" s="137" t="s">
        <v>490</v>
      </c>
      <c r="B27" s="137" t="s">
        <v>900</v>
      </c>
      <c r="C27" s="137" t="s">
        <v>1267</v>
      </c>
      <c r="D27" s="234" t="s">
        <v>1268</v>
      </c>
      <c r="E27" s="137" t="s">
        <v>924</v>
      </c>
      <c r="F27" s="137" t="s">
        <v>1270</v>
      </c>
      <c r="G27" s="137" t="s">
        <v>1273</v>
      </c>
      <c r="H27" s="137" t="s">
        <v>907</v>
      </c>
      <c r="I27" s="137" t="s">
        <v>558</v>
      </c>
      <c r="J27" s="137" t="s">
        <v>1274</v>
      </c>
      <c r="K27" s="143">
        <v>50.6653965832537</v>
      </c>
      <c r="L27" s="143">
        <v>-3.43472961785487</v>
      </c>
      <c r="M27" s="145"/>
      <c r="N27" s="137" t="s">
        <v>1276</v>
      </c>
      <c r="O27" s="147" t="b">
        <v>1</v>
      </c>
      <c r="P27" s="148">
        <v>0.4166666666678793</v>
      </c>
      <c r="Q27" s="148">
        <v>0.7083333333321207</v>
      </c>
      <c r="R27" s="170" t="s">
        <v>414</v>
      </c>
      <c r="S27" s="170" t="s">
        <v>414</v>
      </c>
      <c r="T27" s="170" t="s">
        <v>414</v>
      </c>
      <c r="U27" s="170" t="s">
        <v>414</v>
      </c>
      <c r="V27" s="170" t="s">
        <v>414</v>
      </c>
      <c r="W27" s="170" t="s">
        <v>414</v>
      </c>
      <c r="X27" s="170" t="s">
        <v>414</v>
      </c>
      <c r="Y27" s="170" t="s">
        <v>414</v>
      </c>
      <c r="Z27" s="170" t="s">
        <v>414</v>
      </c>
      <c r="AA27" s="170" t="s">
        <v>414</v>
      </c>
      <c r="AB27" s="170" t="s">
        <v>414</v>
      </c>
      <c r="AC27" s="170" t="s">
        <v>414</v>
      </c>
      <c r="AD27" s="170" t="s">
        <v>414</v>
      </c>
      <c r="AE27" s="170" t="s">
        <v>414</v>
      </c>
      <c r="AF27" s="137" t="s">
        <v>1288</v>
      </c>
      <c r="AG27" s="145"/>
      <c r="AH27" s="147" t="b">
        <v>1</v>
      </c>
      <c r="AI27" s="147" t="b">
        <v>1</v>
      </c>
      <c r="AJ27" s="147" t="b">
        <v>1</v>
      </c>
      <c r="AK27" s="137" t="s">
        <v>712</v>
      </c>
      <c r="AL27" s="152"/>
      <c r="AM27" s="137" t="s">
        <v>414</v>
      </c>
      <c r="AN27" s="156" t="s">
        <v>414</v>
      </c>
      <c r="AO27" s="156" t="s">
        <v>1295</v>
      </c>
      <c r="AP27" s="156">
        <v>7.0</v>
      </c>
      <c r="AQ27" s="156" t="s">
        <v>414</v>
      </c>
      <c r="AR27" s="156" t="s">
        <v>414</v>
      </c>
      <c r="AS27" s="137" t="s">
        <v>414</v>
      </c>
      <c r="AT27" s="156" t="s">
        <v>414</v>
      </c>
      <c r="AU27" s="156" t="s">
        <v>704</v>
      </c>
      <c r="AV27" s="156">
        <v>10.0</v>
      </c>
      <c r="AW27" s="156" t="s">
        <v>414</v>
      </c>
      <c r="AX27" s="156" t="s">
        <v>414</v>
      </c>
      <c r="AY27" s="156" t="s">
        <v>414</v>
      </c>
      <c r="AZ27" s="156" t="s">
        <v>414</v>
      </c>
      <c r="BA27" s="182" t="s">
        <v>1301</v>
      </c>
      <c r="BB27" s="137" t="s">
        <v>1303</v>
      </c>
      <c r="BC27" s="137" t="s">
        <v>1305</v>
      </c>
      <c r="BD27" s="137" t="s">
        <v>1306</v>
      </c>
      <c r="BE27" s="152" t="s">
        <v>780</v>
      </c>
      <c r="BF27" s="147" t="b">
        <v>0</v>
      </c>
      <c r="BG27" s="147" t="b">
        <v>0</v>
      </c>
      <c r="BH27" s="147" t="b">
        <v>0</v>
      </c>
      <c r="BI27" s="147" t="b">
        <v>1</v>
      </c>
      <c r="BJ27" s="147" t="b">
        <v>1</v>
      </c>
      <c r="BK27" s="147" t="b">
        <v>1</v>
      </c>
      <c r="BL27" s="147" t="b">
        <v>1</v>
      </c>
      <c r="BM27" s="137" t="s">
        <v>392</v>
      </c>
      <c r="BN27" s="137" t="s">
        <v>1036</v>
      </c>
      <c r="BO27" s="137" t="s">
        <v>737</v>
      </c>
      <c r="BP27" s="137" t="s">
        <v>1312</v>
      </c>
      <c r="BQ27" s="137"/>
      <c r="BR27" s="137"/>
      <c r="BS27" s="137" t="s">
        <v>1313</v>
      </c>
      <c r="BT27" s="137"/>
      <c r="BU27" s="137" t="s">
        <v>1314</v>
      </c>
      <c r="BV27" s="137" t="s">
        <v>504</v>
      </c>
      <c r="BW27" s="161" t="s">
        <v>1315</v>
      </c>
      <c r="BX27" s="137" t="s">
        <v>512</v>
      </c>
      <c r="BY27" s="163">
        <v>46287.69478233796</v>
      </c>
      <c r="BZ27" s="137">
        <v>1.0</v>
      </c>
      <c r="CA27" s="137">
        <v>1.0</v>
      </c>
      <c r="CB27" s="137"/>
      <c r="CC27" s="147" t="b">
        <v>0</v>
      </c>
      <c r="CD27" s="137" t="b">
        <v>0</v>
      </c>
      <c r="CE27" s="161"/>
    </row>
    <row r="28" ht="24.75" customHeight="1">
      <c r="A28" s="137" t="s">
        <v>490</v>
      </c>
      <c r="B28" s="137" t="s">
        <v>1317</v>
      </c>
      <c r="C28" s="137" t="s">
        <v>1320</v>
      </c>
      <c r="D28" s="234" t="s">
        <v>1321</v>
      </c>
      <c r="E28" s="137" t="s">
        <v>1323</v>
      </c>
      <c r="F28" s="137" t="s">
        <v>1325</v>
      </c>
      <c r="G28" s="137" t="s">
        <v>1326</v>
      </c>
      <c r="H28" s="137" t="s">
        <v>1273</v>
      </c>
      <c r="I28" s="137" t="s">
        <v>1327</v>
      </c>
      <c r="J28" s="137" t="s">
        <v>1328</v>
      </c>
      <c r="K28" s="143">
        <v>50.680998333899</v>
      </c>
      <c r="L28" s="143">
        <v>-3.44462043111324</v>
      </c>
      <c r="M28" s="145"/>
      <c r="N28" s="137" t="s">
        <v>1330</v>
      </c>
      <c r="O28" s="147" t="b">
        <v>1</v>
      </c>
      <c r="P28" s="148">
        <v>0.3333333333321207</v>
      </c>
      <c r="Q28" s="148">
        <v>0.6666666666678793</v>
      </c>
      <c r="R28" s="170" t="s">
        <v>414</v>
      </c>
      <c r="S28" s="170" t="s">
        <v>414</v>
      </c>
      <c r="T28" s="170" t="s">
        <v>414</v>
      </c>
      <c r="U28" s="170" t="s">
        <v>414</v>
      </c>
      <c r="V28" s="170" t="s">
        <v>414</v>
      </c>
      <c r="W28" s="170" t="s">
        <v>414</v>
      </c>
      <c r="X28" s="170" t="s">
        <v>414</v>
      </c>
      <c r="Y28" s="170" t="s">
        <v>414</v>
      </c>
      <c r="Z28" s="170" t="s">
        <v>414</v>
      </c>
      <c r="AA28" s="170" t="s">
        <v>414</v>
      </c>
      <c r="AB28" s="170" t="s">
        <v>414</v>
      </c>
      <c r="AC28" s="170" t="s">
        <v>414</v>
      </c>
      <c r="AD28" s="170" t="s">
        <v>414</v>
      </c>
      <c r="AE28" s="170" t="s">
        <v>414</v>
      </c>
      <c r="AF28" s="137" t="s">
        <v>1337</v>
      </c>
      <c r="AG28" s="145"/>
      <c r="AH28" s="147" t="b">
        <v>1</v>
      </c>
      <c r="AI28" s="147" t="b">
        <v>0</v>
      </c>
      <c r="AJ28" s="147" t="b">
        <v>0</v>
      </c>
      <c r="AK28" s="137" t="s">
        <v>1341</v>
      </c>
      <c r="AL28" s="152"/>
      <c r="AM28" s="137" t="s">
        <v>414</v>
      </c>
      <c r="AN28" s="156" t="s">
        <v>414</v>
      </c>
      <c r="AO28" s="156" t="s">
        <v>414</v>
      </c>
      <c r="AP28" s="156" t="s">
        <v>414</v>
      </c>
      <c r="AQ28" s="156" t="s">
        <v>414</v>
      </c>
      <c r="AR28" s="156" t="s">
        <v>414</v>
      </c>
      <c r="AS28" s="137" t="s">
        <v>414</v>
      </c>
      <c r="AT28" s="156" t="s">
        <v>414</v>
      </c>
      <c r="AU28" s="156" t="s">
        <v>414</v>
      </c>
      <c r="AV28" s="156" t="s">
        <v>414</v>
      </c>
      <c r="AW28" s="156" t="s">
        <v>414</v>
      </c>
      <c r="AX28" s="156" t="s">
        <v>414</v>
      </c>
      <c r="AY28" s="156" t="s">
        <v>414</v>
      </c>
      <c r="AZ28" s="156" t="s">
        <v>414</v>
      </c>
      <c r="BA28" s="182" t="s">
        <v>470</v>
      </c>
      <c r="BB28" s="137" t="s">
        <v>1346</v>
      </c>
      <c r="BC28" s="137" t="s">
        <v>1347</v>
      </c>
      <c r="BD28" s="137" t="s">
        <v>1348</v>
      </c>
      <c r="BE28" s="145"/>
      <c r="BF28" s="147" t="b">
        <v>1</v>
      </c>
      <c r="BG28" s="147" t="b">
        <v>1</v>
      </c>
      <c r="BH28" s="147" t="b">
        <v>1</v>
      </c>
      <c r="BI28" s="147" t="b">
        <v>1</v>
      </c>
      <c r="BJ28" s="147" t="b">
        <v>1</v>
      </c>
      <c r="BK28" s="147" t="b">
        <v>1</v>
      </c>
      <c r="BL28" s="147" t="b">
        <v>1</v>
      </c>
      <c r="BM28" s="137" t="s">
        <v>627</v>
      </c>
      <c r="BN28" s="137" t="s">
        <v>1353</v>
      </c>
      <c r="BO28" s="137" t="s">
        <v>1354</v>
      </c>
      <c r="BP28" s="137" t="s">
        <v>1357</v>
      </c>
      <c r="BQ28" s="137" t="s">
        <v>711</v>
      </c>
      <c r="BR28" s="137"/>
      <c r="BS28" s="137" t="s">
        <v>1359</v>
      </c>
      <c r="BT28" s="137"/>
      <c r="BU28" s="137" t="s">
        <v>1360</v>
      </c>
      <c r="BV28" s="137" t="s">
        <v>504</v>
      </c>
      <c r="BW28" s="161" t="s">
        <v>1362</v>
      </c>
      <c r="BX28" s="137" t="s">
        <v>512</v>
      </c>
      <c r="BY28" s="163">
        <v>46287.68749287037</v>
      </c>
      <c r="BZ28" s="137">
        <v>1.0</v>
      </c>
      <c r="CA28" s="137">
        <v>1.0</v>
      </c>
      <c r="CB28" s="137"/>
      <c r="CC28" s="147" t="b">
        <v>0</v>
      </c>
      <c r="CD28" s="137" t="b">
        <v>0</v>
      </c>
      <c r="CE28" s="161"/>
    </row>
    <row r="29" ht="24.75" customHeight="1">
      <c r="A29" s="137" t="s">
        <v>490</v>
      </c>
      <c r="B29" s="137" t="s">
        <v>768</v>
      </c>
      <c r="C29" s="137" t="s">
        <v>1369</v>
      </c>
      <c r="D29" s="234" t="s">
        <v>1371</v>
      </c>
      <c r="E29" s="137" t="s">
        <v>1374</v>
      </c>
      <c r="F29" s="137" t="s">
        <v>1379</v>
      </c>
      <c r="G29" s="137" t="s">
        <v>1381</v>
      </c>
      <c r="H29" s="137" t="s">
        <v>1382</v>
      </c>
      <c r="I29" s="137" t="s">
        <v>927</v>
      </c>
      <c r="J29" s="137" t="s">
        <v>1383</v>
      </c>
      <c r="K29" s="143">
        <v>50.4706889107385</v>
      </c>
      <c r="L29" s="143">
        <v>-3.50212861123678</v>
      </c>
      <c r="M29" s="145"/>
      <c r="N29" s="137" t="s">
        <v>519</v>
      </c>
      <c r="O29" s="147" t="b">
        <v>1</v>
      </c>
      <c r="P29" s="148">
        <v>0.0</v>
      </c>
      <c r="Q29" s="237" t="s">
        <v>931</v>
      </c>
      <c r="R29" s="170" t="s">
        <v>414</v>
      </c>
      <c r="S29" s="170" t="s">
        <v>414</v>
      </c>
      <c r="T29" s="170" t="s">
        <v>414</v>
      </c>
      <c r="U29" s="170" t="s">
        <v>414</v>
      </c>
      <c r="V29" s="170" t="s">
        <v>414</v>
      </c>
      <c r="W29" s="170" t="s">
        <v>414</v>
      </c>
      <c r="X29" s="170" t="s">
        <v>414</v>
      </c>
      <c r="Y29" s="170" t="s">
        <v>414</v>
      </c>
      <c r="Z29" s="170" t="s">
        <v>414</v>
      </c>
      <c r="AA29" s="170" t="s">
        <v>414</v>
      </c>
      <c r="AB29" s="170" t="s">
        <v>414</v>
      </c>
      <c r="AC29" s="170" t="s">
        <v>414</v>
      </c>
      <c r="AD29" s="170" t="s">
        <v>414</v>
      </c>
      <c r="AE29" s="170" t="s">
        <v>414</v>
      </c>
      <c r="AF29" s="137" t="s">
        <v>542</v>
      </c>
      <c r="AG29" s="145"/>
      <c r="AH29" s="145"/>
      <c r="AI29" s="147" t="b">
        <v>0</v>
      </c>
      <c r="AJ29" s="147" t="b">
        <v>0</v>
      </c>
      <c r="AK29" s="137" t="s">
        <v>546</v>
      </c>
      <c r="AL29" s="152"/>
      <c r="AM29" s="137" t="s">
        <v>414</v>
      </c>
      <c r="AN29" s="156" t="s">
        <v>414</v>
      </c>
      <c r="AO29" s="156" t="s">
        <v>414</v>
      </c>
      <c r="AP29" s="156" t="s">
        <v>414</v>
      </c>
      <c r="AQ29" s="156" t="s">
        <v>414</v>
      </c>
      <c r="AR29" s="156" t="s">
        <v>414</v>
      </c>
      <c r="AS29" s="137" t="s">
        <v>414</v>
      </c>
      <c r="AT29" s="156" t="s">
        <v>414</v>
      </c>
      <c r="AU29" s="156" t="s">
        <v>414</v>
      </c>
      <c r="AV29" s="156" t="s">
        <v>414</v>
      </c>
      <c r="AW29" s="156" t="s">
        <v>414</v>
      </c>
      <c r="AX29" s="156" t="s">
        <v>414</v>
      </c>
      <c r="AY29" s="156" t="s">
        <v>414</v>
      </c>
      <c r="AZ29" s="156" t="s">
        <v>414</v>
      </c>
      <c r="BA29" s="182" t="s">
        <v>619</v>
      </c>
      <c r="BB29" s="137" t="s">
        <v>1029</v>
      </c>
      <c r="BC29" s="137"/>
      <c r="BD29" s="137" t="s">
        <v>1401</v>
      </c>
      <c r="BE29" s="145"/>
      <c r="BF29" s="147" t="b">
        <v>1</v>
      </c>
      <c r="BG29" s="147" t="b">
        <v>1</v>
      </c>
      <c r="BH29" s="147" t="b">
        <v>1</v>
      </c>
      <c r="BI29" s="147" t="b">
        <v>1</v>
      </c>
      <c r="BJ29" s="147" t="b">
        <v>1</v>
      </c>
      <c r="BK29" s="147" t="b">
        <v>1</v>
      </c>
      <c r="BL29" s="147" t="b">
        <v>1</v>
      </c>
      <c r="BM29" s="137" t="s">
        <v>392</v>
      </c>
      <c r="BN29" s="137" t="s">
        <v>808</v>
      </c>
      <c r="BO29" s="137" t="s">
        <v>1037</v>
      </c>
      <c r="BP29" s="137" t="s">
        <v>1409</v>
      </c>
      <c r="BQ29" s="137"/>
      <c r="BR29" s="137"/>
      <c r="BS29" s="137" t="s">
        <v>1410</v>
      </c>
      <c r="BT29" s="137" t="s">
        <v>1411</v>
      </c>
      <c r="BU29" s="137" t="s">
        <v>1412</v>
      </c>
      <c r="BV29" s="137" t="s">
        <v>1293</v>
      </c>
      <c r="BW29" s="161" t="s">
        <v>1413</v>
      </c>
      <c r="BX29" s="137" t="s">
        <v>512</v>
      </c>
      <c r="BY29" s="163">
        <v>46287.68591140046</v>
      </c>
      <c r="BZ29" s="137">
        <v>1.0</v>
      </c>
      <c r="CA29" s="137">
        <v>1.0</v>
      </c>
      <c r="CB29" s="137"/>
      <c r="CC29" s="147" t="b">
        <v>0</v>
      </c>
      <c r="CD29" s="137" t="b">
        <v>0</v>
      </c>
      <c r="CE29" s="161"/>
    </row>
    <row r="30" ht="24.75" customHeight="1">
      <c r="A30" s="137" t="s">
        <v>490</v>
      </c>
      <c r="B30" s="137" t="s">
        <v>768</v>
      </c>
      <c r="C30" s="137" t="s">
        <v>1419</v>
      </c>
      <c r="D30" s="234" t="s">
        <v>1421</v>
      </c>
      <c r="E30" s="137" t="s">
        <v>1424</v>
      </c>
      <c r="F30" s="137" t="s">
        <v>1427</v>
      </c>
      <c r="G30" s="137" t="s">
        <v>1421</v>
      </c>
      <c r="H30" s="137" t="s">
        <v>1428</v>
      </c>
      <c r="I30" s="137" t="s">
        <v>1429</v>
      </c>
      <c r="J30" s="137" t="s">
        <v>1430</v>
      </c>
      <c r="K30" s="143">
        <v>50.2206496588912</v>
      </c>
      <c r="L30" s="143">
        <v>-3.66002107344048</v>
      </c>
      <c r="M30" s="145"/>
      <c r="N30" s="137" t="s">
        <v>519</v>
      </c>
      <c r="O30" s="147" t="b">
        <v>1</v>
      </c>
      <c r="P30" s="148">
        <v>0.0</v>
      </c>
      <c r="Q30" s="237" t="s">
        <v>931</v>
      </c>
      <c r="R30" s="170" t="s">
        <v>414</v>
      </c>
      <c r="S30" s="170" t="s">
        <v>414</v>
      </c>
      <c r="T30" s="170" t="s">
        <v>414</v>
      </c>
      <c r="U30" s="170" t="s">
        <v>414</v>
      </c>
      <c r="V30" s="170" t="s">
        <v>414</v>
      </c>
      <c r="W30" s="170" t="s">
        <v>414</v>
      </c>
      <c r="X30" s="170" t="s">
        <v>414</v>
      </c>
      <c r="Y30" s="170" t="s">
        <v>414</v>
      </c>
      <c r="Z30" s="170" t="s">
        <v>414</v>
      </c>
      <c r="AA30" s="170" t="s">
        <v>414</v>
      </c>
      <c r="AB30" s="170" t="s">
        <v>414</v>
      </c>
      <c r="AC30" s="170" t="s">
        <v>414</v>
      </c>
      <c r="AD30" s="170" t="s">
        <v>414</v>
      </c>
      <c r="AE30" s="170" t="s">
        <v>414</v>
      </c>
      <c r="AF30" s="137" t="s">
        <v>542</v>
      </c>
      <c r="AG30" s="145"/>
      <c r="AH30" s="145"/>
      <c r="AI30" s="147" t="b">
        <v>0</v>
      </c>
      <c r="AJ30" s="147" t="b">
        <v>0</v>
      </c>
      <c r="AK30" s="137" t="s">
        <v>546</v>
      </c>
      <c r="AL30" s="152"/>
      <c r="AM30" s="137" t="s">
        <v>414</v>
      </c>
      <c r="AN30" s="156" t="s">
        <v>414</v>
      </c>
      <c r="AO30" s="156" t="s">
        <v>414</v>
      </c>
      <c r="AP30" s="156" t="s">
        <v>414</v>
      </c>
      <c r="AQ30" s="156" t="s">
        <v>414</v>
      </c>
      <c r="AR30" s="156" t="s">
        <v>414</v>
      </c>
      <c r="AS30" s="137" t="s">
        <v>414</v>
      </c>
      <c r="AT30" s="156" t="s">
        <v>414</v>
      </c>
      <c r="AU30" s="156" t="s">
        <v>414</v>
      </c>
      <c r="AV30" s="156" t="s">
        <v>414</v>
      </c>
      <c r="AW30" s="156" t="s">
        <v>414</v>
      </c>
      <c r="AX30" s="156" t="s">
        <v>414</v>
      </c>
      <c r="AY30" s="156" t="s">
        <v>414</v>
      </c>
      <c r="AZ30" s="156" t="s">
        <v>414</v>
      </c>
      <c r="BA30" s="182" t="s">
        <v>619</v>
      </c>
      <c r="BB30" s="137" t="s">
        <v>1282</v>
      </c>
      <c r="BC30" s="137"/>
      <c r="BD30" s="137"/>
      <c r="BE30" s="145"/>
      <c r="BF30" s="147" t="b">
        <v>1</v>
      </c>
      <c r="BG30" s="147" t="b">
        <v>1</v>
      </c>
      <c r="BH30" s="147" t="b">
        <v>1</v>
      </c>
      <c r="BI30" s="147" t="b">
        <v>1</v>
      </c>
      <c r="BJ30" s="147" t="b">
        <v>1</v>
      </c>
      <c r="BK30" s="147" t="b">
        <v>1</v>
      </c>
      <c r="BL30" s="147" t="b">
        <v>1</v>
      </c>
      <c r="BM30" s="137" t="s">
        <v>392</v>
      </c>
      <c r="BN30" s="137" t="s">
        <v>808</v>
      </c>
      <c r="BO30" s="137" t="s">
        <v>1459</v>
      </c>
      <c r="BP30" s="137" t="s">
        <v>1460</v>
      </c>
      <c r="BQ30" s="137" t="s">
        <v>711</v>
      </c>
      <c r="BR30" s="137"/>
      <c r="BS30" s="137" t="s">
        <v>1462</v>
      </c>
      <c r="BT30" s="137" t="s">
        <v>1463</v>
      </c>
      <c r="BU30" s="137" t="s">
        <v>1464</v>
      </c>
      <c r="BV30" s="137" t="s">
        <v>1293</v>
      </c>
      <c r="BW30" s="161" t="s">
        <v>1465</v>
      </c>
      <c r="BX30" s="137" t="s">
        <v>512</v>
      </c>
      <c r="BY30" s="163">
        <v>46287.67427693287</v>
      </c>
      <c r="BZ30" s="137">
        <v>1.0</v>
      </c>
      <c r="CA30" s="137">
        <v>1.0</v>
      </c>
      <c r="CB30" s="137"/>
      <c r="CC30" s="147" t="b">
        <v>0</v>
      </c>
      <c r="CD30" s="137" t="b">
        <v>0</v>
      </c>
      <c r="CE30" s="161"/>
    </row>
    <row r="31" ht="24.75" customHeight="1">
      <c r="A31" s="137" t="s">
        <v>490</v>
      </c>
      <c r="B31" s="137" t="s">
        <v>1470</v>
      </c>
      <c r="C31" s="137" t="s">
        <v>1472</v>
      </c>
      <c r="D31" s="234" t="s">
        <v>1473</v>
      </c>
      <c r="E31" s="137" t="s">
        <v>924</v>
      </c>
      <c r="F31" s="137" t="s">
        <v>1478</v>
      </c>
      <c r="G31" s="137" t="s">
        <v>1479</v>
      </c>
      <c r="H31" s="137" t="s">
        <v>1482</v>
      </c>
      <c r="I31" s="137" t="s">
        <v>558</v>
      </c>
      <c r="J31" s="137" t="s">
        <v>1483</v>
      </c>
      <c r="K31" s="143">
        <v>50.7162096405405</v>
      </c>
      <c r="L31" s="143">
        <v>-3.53106343111171</v>
      </c>
      <c r="M31" s="145"/>
      <c r="N31" s="137" t="s">
        <v>519</v>
      </c>
      <c r="O31" s="147" t="b">
        <v>0</v>
      </c>
      <c r="P31" s="148" t="s">
        <v>414</v>
      </c>
      <c r="Q31" s="148" t="s">
        <v>414</v>
      </c>
      <c r="R31" s="170">
        <v>0.4166666666678793</v>
      </c>
      <c r="S31" s="237" t="s">
        <v>931</v>
      </c>
      <c r="T31" s="170">
        <v>0.4166666666678793</v>
      </c>
      <c r="U31" s="237" t="s">
        <v>931</v>
      </c>
      <c r="V31" s="170">
        <v>0.4166666666678793</v>
      </c>
      <c r="W31" s="237" t="s">
        <v>931</v>
      </c>
      <c r="X31" s="170">
        <v>0.4166666666678793</v>
      </c>
      <c r="Y31" s="237" t="s">
        <v>931</v>
      </c>
      <c r="Z31" s="170">
        <v>0.4166666666678793</v>
      </c>
      <c r="AA31" s="170">
        <v>0.041666666667879326</v>
      </c>
      <c r="AB31" s="170">
        <v>0.4166666666678793</v>
      </c>
      <c r="AC31" s="170">
        <v>0.041666666667879326</v>
      </c>
      <c r="AD31" s="170">
        <v>0.4166666666678793</v>
      </c>
      <c r="AE31" s="237" t="s">
        <v>931</v>
      </c>
      <c r="AF31" s="137" t="s">
        <v>414</v>
      </c>
      <c r="AG31" s="145"/>
      <c r="AH31" s="145"/>
      <c r="AI31" s="147" t="b">
        <v>1</v>
      </c>
      <c r="AJ31" s="147" t="b">
        <v>1</v>
      </c>
      <c r="AK31" s="137" t="s">
        <v>712</v>
      </c>
      <c r="AL31" s="152" t="s">
        <v>930</v>
      </c>
      <c r="AM31" s="137" t="s">
        <v>414</v>
      </c>
      <c r="AN31" s="156" t="s">
        <v>414</v>
      </c>
      <c r="AO31" s="156" t="s">
        <v>1495</v>
      </c>
      <c r="AP31" s="156">
        <v>6.0</v>
      </c>
      <c r="AQ31" s="156" t="s">
        <v>414</v>
      </c>
      <c r="AR31" s="156" t="s">
        <v>414</v>
      </c>
      <c r="AS31" s="137" t="s">
        <v>414</v>
      </c>
      <c r="AT31" s="156" t="s">
        <v>414</v>
      </c>
      <c r="AU31" s="156" t="s">
        <v>414</v>
      </c>
      <c r="AV31" s="156" t="s">
        <v>414</v>
      </c>
      <c r="AW31" s="156" t="s">
        <v>414</v>
      </c>
      <c r="AX31" s="156" t="s">
        <v>414</v>
      </c>
      <c r="AY31" s="156" t="s">
        <v>414</v>
      </c>
      <c r="AZ31" s="156" t="s">
        <v>414</v>
      </c>
      <c r="BA31" s="182" t="s">
        <v>993</v>
      </c>
      <c r="BB31" s="137" t="s">
        <v>1506</v>
      </c>
      <c r="BC31" s="137" t="s">
        <v>1508</v>
      </c>
      <c r="BD31" s="137" t="s">
        <v>1509</v>
      </c>
      <c r="BE31" s="145"/>
      <c r="BF31" s="147" t="b">
        <v>0</v>
      </c>
      <c r="BG31" s="147" t="b">
        <v>0</v>
      </c>
      <c r="BH31" s="147" t="b">
        <v>0</v>
      </c>
      <c r="BI31" s="147" t="b">
        <v>0</v>
      </c>
      <c r="BJ31" s="147" t="b">
        <v>1</v>
      </c>
      <c r="BK31" s="147" t="b">
        <v>1</v>
      </c>
      <c r="BL31" s="147" t="b">
        <v>0</v>
      </c>
      <c r="BM31" s="137" t="s">
        <v>604</v>
      </c>
      <c r="BN31" s="137" t="s">
        <v>1515</v>
      </c>
      <c r="BO31" s="137" t="s">
        <v>561</v>
      </c>
      <c r="BP31" s="137" t="s">
        <v>1516</v>
      </c>
      <c r="BQ31" s="137"/>
      <c r="BR31" s="137"/>
      <c r="BS31" s="137" t="s">
        <v>1517</v>
      </c>
      <c r="BT31" s="137"/>
      <c r="BU31" s="137" t="s">
        <v>1519</v>
      </c>
      <c r="BV31" s="137" t="s">
        <v>504</v>
      </c>
      <c r="BW31" s="161" t="s">
        <v>1523</v>
      </c>
      <c r="BX31" s="137" t="s">
        <v>512</v>
      </c>
      <c r="BY31" s="163">
        <v>46287.66603415509</v>
      </c>
      <c r="BZ31" s="137">
        <v>1.0</v>
      </c>
      <c r="CA31" s="137">
        <v>1.0</v>
      </c>
      <c r="CB31" s="137"/>
      <c r="CC31" s="147" t="b">
        <v>0</v>
      </c>
      <c r="CD31" s="137" t="b">
        <v>0</v>
      </c>
      <c r="CE31" s="161"/>
    </row>
    <row r="32" ht="24.75" customHeight="1">
      <c r="A32" s="209" t="s">
        <v>490</v>
      </c>
      <c r="B32" s="209" t="s">
        <v>1470</v>
      </c>
      <c r="C32" s="209" t="s">
        <v>1527</v>
      </c>
      <c r="D32" s="244" t="s">
        <v>1528</v>
      </c>
      <c r="E32" s="209" t="s">
        <v>602</v>
      </c>
      <c r="F32" s="209" t="s">
        <v>1529</v>
      </c>
      <c r="G32" s="209" t="s">
        <v>1479</v>
      </c>
      <c r="H32" s="209" t="s">
        <v>1482</v>
      </c>
      <c r="I32" s="209" t="s">
        <v>558</v>
      </c>
      <c r="J32" s="209" t="s">
        <v>1483</v>
      </c>
      <c r="K32" s="210">
        <v>50.7162096405405</v>
      </c>
      <c r="L32" s="210">
        <v>-3.53106343111171</v>
      </c>
      <c r="M32" s="211"/>
      <c r="N32" s="209" t="s">
        <v>519</v>
      </c>
      <c r="O32" s="216" t="b">
        <v>0</v>
      </c>
      <c r="P32" s="245" t="s">
        <v>414</v>
      </c>
      <c r="Q32" s="245" t="s">
        <v>414</v>
      </c>
      <c r="R32" s="246">
        <v>0.4166666666678793</v>
      </c>
      <c r="S32" s="247" t="s">
        <v>931</v>
      </c>
      <c r="T32" s="246">
        <v>0.4166666666678793</v>
      </c>
      <c r="U32" s="247" t="s">
        <v>931</v>
      </c>
      <c r="V32" s="246">
        <v>0.4166666666678793</v>
      </c>
      <c r="W32" s="247" t="s">
        <v>931</v>
      </c>
      <c r="X32" s="246">
        <v>0.4166666666678793</v>
      </c>
      <c r="Y32" s="247" t="s">
        <v>931</v>
      </c>
      <c r="Z32" s="246">
        <v>0.4166666666678793</v>
      </c>
      <c r="AA32" s="246">
        <v>0.041666666667879326</v>
      </c>
      <c r="AB32" s="246">
        <v>0.4166666666678793</v>
      </c>
      <c r="AC32" s="246">
        <v>0.041666666667879326</v>
      </c>
      <c r="AD32" s="246">
        <v>0.4166666666678793</v>
      </c>
      <c r="AE32" s="247" t="s">
        <v>931</v>
      </c>
      <c r="AF32" s="209" t="s">
        <v>414</v>
      </c>
      <c r="AG32" s="211"/>
      <c r="AH32" s="211"/>
      <c r="AI32" s="216" t="b">
        <v>1</v>
      </c>
      <c r="AJ32" s="216" t="b">
        <v>0</v>
      </c>
      <c r="AK32" s="209" t="s">
        <v>712</v>
      </c>
      <c r="AL32" s="217" t="s">
        <v>1536</v>
      </c>
      <c r="AM32" s="209" t="s">
        <v>414</v>
      </c>
      <c r="AN32" s="218" t="s">
        <v>414</v>
      </c>
      <c r="AO32" s="218" t="s">
        <v>1537</v>
      </c>
      <c r="AP32" s="218">
        <v>8.5</v>
      </c>
      <c r="AQ32" s="218" t="s">
        <v>414</v>
      </c>
      <c r="AR32" s="218" t="s">
        <v>414</v>
      </c>
      <c r="AS32" s="209" t="s">
        <v>414</v>
      </c>
      <c r="AT32" s="218" t="s">
        <v>414</v>
      </c>
      <c r="AU32" s="218" t="s">
        <v>457</v>
      </c>
      <c r="AV32" s="218">
        <v>9.95</v>
      </c>
      <c r="AW32" s="218" t="s">
        <v>414</v>
      </c>
      <c r="AX32" s="218" t="s">
        <v>414</v>
      </c>
      <c r="AY32" s="218" t="s">
        <v>414</v>
      </c>
      <c r="AZ32" s="218" t="s">
        <v>414</v>
      </c>
      <c r="BA32" s="248" t="s">
        <v>993</v>
      </c>
      <c r="BB32" s="209" t="s">
        <v>1538</v>
      </c>
      <c r="BC32" s="209" t="s">
        <v>1539</v>
      </c>
      <c r="BD32" s="209" t="s">
        <v>1509</v>
      </c>
      <c r="BE32" s="211"/>
      <c r="BF32" s="216" t="b">
        <v>0</v>
      </c>
      <c r="BG32" s="216" t="b">
        <v>0</v>
      </c>
      <c r="BH32" s="216" t="b">
        <v>0</v>
      </c>
      <c r="BI32" s="216" t="b">
        <v>1</v>
      </c>
      <c r="BJ32" s="216" t="b">
        <v>1</v>
      </c>
      <c r="BK32" s="216" t="b">
        <v>1</v>
      </c>
      <c r="BL32" s="216" t="b">
        <v>1</v>
      </c>
      <c r="BM32" s="209" t="s">
        <v>604</v>
      </c>
      <c r="BN32" s="209" t="s">
        <v>1515</v>
      </c>
      <c r="BO32" s="209" t="s">
        <v>737</v>
      </c>
      <c r="BP32" s="209" t="s">
        <v>1540</v>
      </c>
      <c r="BQ32" s="209"/>
      <c r="BR32" s="209"/>
      <c r="BS32" s="209" t="s">
        <v>1542</v>
      </c>
      <c r="BT32" s="209"/>
      <c r="BU32" s="209" t="s">
        <v>1543</v>
      </c>
      <c r="BV32" s="209" t="s">
        <v>504</v>
      </c>
      <c r="BW32" s="219" t="s">
        <v>1544</v>
      </c>
      <c r="BX32" s="209" t="s">
        <v>958</v>
      </c>
      <c r="BY32" s="221">
        <v>46287.66594181713</v>
      </c>
      <c r="BZ32" s="209"/>
      <c r="CA32" s="209">
        <v>2.0</v>
      </c>
      <c r="CB32" s="209"/>
      <c r="CC32" s="216" t="b">
        <v>0</v>
      </c>
      <c r="CD32" s="209" t="b">
        <v>0</v>
      </c>
      <c r="CE32" s="219"/>
    </row>
    <row r="33" ht="24.75" customHeight="1">
      <c r="A33" s="137" t="s">
        <v>490</v>
      </c>
      <c r="B33" s="137" t="s">
        <v>790</v>
      </c>
      <c r="C33" s="137" t="s">
        <v>1545</v>
      </c>
      <c r="D33" s="234" t="s">
        <v>1546</v>
      </c>
      <c r="E33" s="137" t="s">
        <v>839</v>
      </c>
      <c r="F33" s="137" t="s">
        <v>1549</v>
      </c>
      <c r="G33" s="137" t="s">
        <v>1551</v>
      </c>
      <c r="H33" s="137"/>
      <c r="I33" s="137" t="s">
        <v>1552</v>
      </c>
      <c r="J33" s="137" t="s">
        <v>1553</v>
      </c>
      <c r="K33" s="143">
        <v>50.5571383687287</v>
      </c>
      <c r="L33" s="143">
        <v>-3.93352827960167</v>
      </c>
      <c r="M33" s="145"/>
      <c r="N33" s="137" t="s">
        <v>519</v>
      </c>
      <c r="O33" s="147" t="b">
        <v>1</v>
      </c>
      <c r="P33" s="148">
        <v>0.0</v>
      </c>
      <c r="Q33" s="237" t="s">
        <v>931</v>
      </c>
      <c r="R33" s="170" t="s">
        <v>414</v>
      </c>
      <c r="S33" s="170" t="s">
        <v>414</v>
      </c>
      <c r="T33" s="170" t="s">
        <v>414</v>
      </c>
      <c r="U33" s="170" t="s">
        <v>414</v>
      </c>
      <c r="V33" s="170" t="s">
        <v>414</v>
      </c>
      <c r="W33" s="170" t="s">
        <v>414</v>
      </c>
      <c r="X33" s="170" t="s">
        <v>414</v>
      </c>
      <c r="Y33" s="170" t="s">
        <v>414</v>
      </c>
      <c r="Z33" s="170" t="s">
        <v>414</v>
      </c>
      <c r="AA33" s="170" t="s">
        <v>414</v>
      </c>
      <c r="AB33" s="170" t="s">
        <v>414</v>
      </c>
      <c r="AC33" s="170" t="s">
        <v>414</v>
      </c>
      <c r="AD33" s="170" t="s">
        <v>414</v>
      </c>
      <c r="AE33" s="170" t="s">
        <v>414</v>
      </c>
      <c r="AF33" s="137" t="s">
        <v>542</v>
      </c>
      <c r="AG33" s="145"/>
      <c r="AH33" s="145"/>
      <c r="AI33" s="147" t="b">
        <v>0</v>
      </c>
      <c r="AJ33" s="147" t="b">
        <v>0</v>
      </c>
      <c r="AK33" s="137" t="s">
        <v>546</v>
      </c>
      <c r="AL33" s="145"/>
      <c r="AM33" s="137" t="s">
        <v>414</v>
      </c>
      <c r="AN33" s="156" t="s">
        <v>414</v>
      </c>
      <c r="AO33" s="156" t="s">
        <v>414</v>
      </c>
      <c r="AP33" s="156" t="s">
        <v>414</v>
      </c>
      <c r="AQ33" s="156" t="s">
        <v>414</v>
      </c>
      <c r="AR33" s="156" t="s">
        <v>414</v>
      </c>
      <c r="AS33" s="137" t="s">
        <v>414</v>
      </c>
      <c r="AT33" s="156" t="s">
        <v>414</v>
      </c>
      <c r="AU33" s="156" t="s">
        <v>414</v>
      </c>
      <c r="AV33" s="156" t="s">
        <v>414</v>
      </c>
      <c r="AW33" s="156" t="s">
        <v>414</v>
      </c>
      <c r="AX33" s="156" t="s">
        <v>414</v>
      </c>
      <c r="AY33" s="156" t="s">
        <v>414</v>
      </c>
      <c r="AZ33" s="156" t="s">
        <v>414</v>
      </c>
      <c r="BA33" s="182" t="s">
        <v>470</v>
      </c>
      <c r="BB33" s="137" t="s">
        <v>1029</v>
      </c>
      <c r="BC33" s="137"/>
      <c r="BD33" s="137"/>
      <c r="BE33" s="145"/>
      <c r="BF33" s="147" t="b">
        <v>0</v>
      </c>
      <c r="BG33" s="147" t="b">
        <v>1</v>
      </c>
      <c r="BH33" s="147" t="b">
        <v>1</v>
      </c>
      <c r="BI33" s="147" t="b">
        <v>1</v>
      </c>
      <c r="BJ33" s="147" t="b">
        <v>1</v>
      </c>
      <c r="BK33" s="147" t="b">
        <v>1</v>
      </c>
      <c r="BL33" s="147" t="b">
        <v>1</v>
      </c>
      <c r="BM33" s="137" t="s">
        <v>392</v>
      </c>
      <c r="BN33" s="137" t="s">
        <v>808</v>
      </c>
      <c r="BO33" s="137" t="s">
        <v>737</v>
      </c>
      <c r="BP33" s="137" t="s">
        <v>1555</v>
      </c>
      <c r="BQ33" s="137" t="s">
        <v>711</v>
      </c>
      <c r="BR33" s="137" t="s">
        <v>1556</v>
      </c>
      <c r="BS33" s="137" t="s">
        <v>1557</v>
      </c>
      <c r="BT33" s="137" t="s">
        <v>1499</v>
      </c>
      <c r="BU33" s="137" t="s">
        <v>1558</v>
      </c>
      <c r="BV33" s="137" t="s">
        <v>504</v>
      </c>
      <c r="BW33" s="161" t="s">
        <v>1559</v>
      </c>
      <c r="BX33" s="137" t="s">
        <v>512</v>
      </c>
      <c r="BY33" s="163">
        <v>46287.61110085648</v>
      </c>
      <c r="BZ33" s="137">
        <v>1.0</v>
      </c>
      <c r="CA33" s="137">
        <v>1.0</v>
      </c>
      <c r="CB33" s="137"/>
      <c r="CC33" s="147" t="b">
        <v>0</v>
      </c>
      <c r="CD33" s="137" t="b">
        <v>0</v>
      </c>
      <c r="CE33" s="161"/>
    </row>
  </sheetData>
  <mergeCells count="20">
    <mergeCell ref="BM1:BO2"/>
    <mergeCell ref="BP1:BV2"/>
    <mergeCell ref="BW1:CE2"/>
    <mergeCell ref="N2:P2"/>
    <mergeCell ref="Q2:AE2"/>
    <mergeCell ref="AF2:AH2"/>
    <mergeCell ref="AM2:AN2"/>
    <mergeCell ref="AO2:AP2"/>
    <mergeCell ref="AQ2:AR2"/>
    <mergeCell ref="AS2:AT2"/>
    <mergeCell ref="AU2:AV2"/>
    <mergeCell ref="AW2:AX2"/>
    <mergeCell ref="AY2:AZ2"/>
    <mergeCell ref="A1:D2"/>
    <mergeCell ref="E1:F2"/>
    <mergeCell ref="G1:M2"/>
    <mergeCell ref="N1:AF1"/>
    <mergeCell ref="AI1:AZ1"/>
    <mergeCell ref="BA1:BE2"/>
    <mergeCell ref="BF1:BL2"/>
  </mergeCells>
  <hyperlinks>
    <hyperlink r:id="rId1" ref="BU3"/>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75"/>
  <cols>
    <col customWidth="1" min="1" max="1" width="13.75"/>
    <col customWidth="1" min="2" max="2" width="22.88"/>
    <col customWidth="1" min="3" max="3" width="13.5"/>
    <col customWidth="1" min="4" max="4" width="24.5"/>
    <col customWidth="1" min="5" max="6" width="16.13"/>
    <col customWidth="1" min="7" max="7" width="18.38"/>
    <col hidden="1" min="13" max="13" width="12.63"/>
    <col customWidth="1" min="16" max="16" width="11.13"/>
    <col customWidth="1" min="17" max="17" width="11.0"/>
    <col customWidth="1" min="18" max="18" width="11.25"/>
    <col customWidth="1" min="19" max="21" width="15.13"/>
    <col customWidth="1" min="28" max="41" width="8.13"/>
    <col customWidth="1" min="45" max="45" width="17.5"/>
    <col customWidth="1" min="46" max="59" width="8.88"/>
    <col customWidth="1" min="60" max="60" width="16.25"/>
    <col customWidth="1" min="61" max="61" width="17.0"/>
    <col customWidth="1" min="62" max="62" width="16.0"/>
    <col customWidth="1" min="63" max="64" width="15.75"/>
    <col customWidth="1" min="65" max="71" width="6.5"/>
    <col customWidth="1" min="72" max="74" width="16.38"/>
    <col customWidth="1" min="75" max="76" width="15.75"/>
    <col customWidth="1" min="77" max="77" width="16.38"/>
    <col customWidth="1" min="78" max="78" width="17.0"/>
    <col customWidth="1" min="83" max="83" width="9.88"/>
    <col customWidth="1" min="84" max="84" width="8.38"/>
    <col customWidth="1" min="85" max="85" width="10.63"/>
    <col customWidth="1" min="86" max="86" width="16.25"/>
    <col customWidth="1" min="87" max="89" width="11.25"/>
    <col customWidth="1" min="90" max="90" width="14.88"/>
    <col customWidth="1" min="91" max="91" width="14.38"/>
    <col customWidth="1" min="92" max="93" width="16.38"/>
  </cols>
  <sheetData>
    <row r="1" ht="16.5" customHeight="1">
      <c r="A1" s="3" t="s">
        <v>0</v>
      </c>
      <c r="E1" s="5" t="s">
        <v>1</v>
      </c>
      <c r="H1" s="7" t="s">
        <v>7</v>
      </c>
      <c r="P1" s="9" t="s">
        <v>14</v>
      </c>
      <c r="V1" s="9" t="s">
        <v>18</v>
      </c>
      <c r="X1" s="9" t="s">
        <v>20</v>
      </c>
      <c r="Z1" s="13" t="s">
        <v>23</v>
      </c>
      <c r="AB1" s="9" t="s">
        <v>25</v>
      </c>
      <c r="AP1" s="9" t="s">
        <v>9</v>
      </c>
      <c r="BH1" s="3" t="s">
        <v>13</v>
      </c>
      <c r="BL1" s="3"/>
      <c r="BM1" s="17" t="s">
        <v>15</v>
      </c>
      <c r="BT1" s="26" t="s">
        <v>27</v>
      </c>
      <c r="BV1" s="3" t="s">
        <v>17</v>
      </c>
      <c r="CA1" s="3" t="s">
        <v>19</v>
      </c>
      <c r="CD1" s="3"/>
      <c r="CE1" s="32"/>
      <c r="CH1" s="14" t="s">
        <v>26</v>
      </c>
    </row>
    <row r="2" ht="30.75" customHeight="1">
      <c r="AP2" s="9" t="s">
        <v>38</v>
      </c>
      <c r="AT2" s="9" t="s">
        <v>40</v>
      </c>
      <c r="AV2" s="9" t="s">
        <v>42</v>
      </c>
      <c r="AX2" s="9" t="s">
        <v>44</v>
      </c>
      <c r="AZ2" s="9" t="s">
        <v>47</v>
      </c>
      <c r="BB2" s="9" t="s">
        <v>48</v>
      </c>
      <c r="BD2" s="9" t="s">
        <v>50</v>
      </c>
      <c r="BF2" s="9" t="s">
        <v>51</v>
      </c>
      <c r="BL2" s="3"/>
      <c r="CH2" s="19"/>
    </row>
    <row r="3" ht="51.0" customHeight="1">
      <c r="A3" s="51" t="s">
        <v>55</v>
      </c>
      <c r="B3" s="53" t="s">
        <v>56</v>
      </c>
      <c r="C3" s="51" t="s">
        <v>57</v>
      </c>
      <c r="D3" s="56" t="s">
        <v>58</v>
      </c>
      <c r="E3" s="58" t="s">
        <v>59</v>
      </c>
      <c r="F3" s="60" t="s">
        <v>60</v>
      </c>
      <c r="G3" s="61" t="s">
        <v>61</v>
      </c>
      <c r="H3" s="63" t="s">
        <v>62</v>
      </c>
      <c r="I3" s="63" t="s">
        <v>63</v>
      </c>
      <c r="J3" s="63" t="s">
        <v>64</v>
      </c>
      <c r="K3" s="63" t="s">
        <v>65</v>
      </c>
      <c r="L3" s="53" t="s">
        <v>66</v>
      </c>
      <c r="M3" s="63" t="s">
        <v>67</v>
      </c>
      <c r="N3" s="65" t="s">
        <v>68</v>
      </c>
      <c r="O3" s="65" t="s">
        <v>69</v>
      </c>
      <c r="P3" s="68" t="s">
        <v>73</v>
      </c>
      <c r="Q3" s="68" t="s">
        <v>74</v>
      </c>
      <c r="R3" s="68" t="s">
        <v>75</v>
      </c>
      <c r="S3" s="70" t="s">
        <v>227</v>
      </c>
      <c r="T3" s="70" t="s">
        <v>235</v>
      </c>
      <c r="U3" s="70" t="s">
        <v>239</v>
      </c>
      <c r="V3" s="68" t="s">
        <v>242</v>
      </c>
      <c r="W3" s="68" t="s">
        <v>245</v>
      </c>
      <c r="X3" s="72" t="s">
        <v>248</v>
      </c>
      <c r="Y3" s="72" t="s">
        <v>257</v>
      </c>
      <c r="Z3" s="74" t="s">
        <v>261</v>
      </c>
      <c r="AA3" s="74" t="s">
        <v>266</v>
      </c>
      <c r="AB3" s="74" t="s">
        <v>80</v>
      </c>
      <c r="AC3" s="74" t="s">
        <v>81</v>
      </c>
      <c r="AD3" s="74" t="s">
        <v>82</v>
      </c>
      <c r="AE3" s="74" t="s">
        <v>83</v>
      </c>
      <c r="AF3" s="74" t="s">
        <v>84</v>
      </c>
      <c r="AG3" s="74" t="s">
        <v>86</v>
      </c>
      <c r="AH3" s="74" t="s">
        <v>87</v>
      </c>
      <c r="AI3" s="74" t="s">
        <v>88</v>
      </c>
      <c r="AJ3" s="74" t="s">
        <v>89</v>
      </c>
      <c r="AK3" s="74" t="s">
        <v>90</v>
      </c>
      <c r="AL3" s="74" t="s">
        <v>92</v>
      </c>
      <c r="AM3" s="74" t="s">
        <v>93</v>
      </c>
      <c r="AN3" s="74" t="s">
        <v>94</v>
      </c>
      <c r="AO3" s="74" t="s">
        <v>96</v>
      </c>
      <c r="AP3" s="70" t="s">
        <v>112</v>
      </c>
      <c r="AQ3" s="70" t="s">
        <v>114</v>
      </c>
      <c r="AR3" s="70" t="s">
        <v>123</v>
      </c>
      <c r="AS3" s="63" t="s">
        <v>150</v>
      </c>
      <c r="AT3" s="72" t="s">
        <v>128</v>
      </c>
      <c r="AU3" s="84" t="s">
        <v>155</v>
      </c>
      <c r="AV3" s="72" t="s">
        <v>137</v>
      </c>
      <c r="AW3" s="88" t="s">
        <v>164</v>
      </c>
      <c r="AX3" s="72" t="s">
        <v>138</v>
      </c>
      <c r="AY3" s="88" t="s">
        <v>170</v>
      </c>
      <c r="AZ3" s="72" t="s">
        <v>139</v>
      </c>
      <c r="BA3" s="88" t="s">
        <v>173</v>
      </c>
      <c r="BB3" s="72" t="s">
        <v>141</v>
      </c>
      <c r="BC3" s="88" t="s">
        <v>177</v>
      </c>
      <c r="BD3" s="72" t="s">
        <v>142</v>
      </c>
      <c r="BE3" s="74" t="s">
        <v>182</v>
      </c>
      <c r="BF3" s="74" t="s">
        <v>144</v>
      </c>
      <c r="BG3" s="74" t="s">
        <v>185</v>
      </c>
      <c r="BH3" s="51" t="s">
        <v>145</v>
      </c>
      <c r="BI3" s="51" t="s">
        <v>146</v>
      </c>
      <c r="BJ3" s="51" t="s">
        <v>148</v>
      </c>
      <c r="BK3" s="51" t="s">
        <v>149</v>
      </c>
      <c r="BL3" s="92" t="s">
        <v>191</v>
      </c>
      <c r="BM3" s="70" t="s">
        <v>151</v>
      </c>
      <c r="BN3" s="70" t="s">
        <v>153</v>
      </c>
      <c r="BO3" s="70" t="s">
        <v>154</v>
      </c>
      <c r="BP3" s="70" t="s">
        <v>156</v>
      </c>
      <c r="BQ3" s="70" t="s">
        <v>157</v>
      </c>
      <c r="BR3" s="70" t="s">
        <v>158</v>
      </c>
      <c r="BS3" s="70" t="s">
        <v>159</v>
      </c>
      <c r="BT3" s="97" t="s">
        <v>70</v>
      </c>
      <c r="BU3" s="97" t="s">
        <v>71</v>
      </c>
      <c r="BV3" s="51" t="s">
        <v>161</v>
      </c>
      <c r="BW3" s="51" t="s">
        <v>163</v>
      </c>
      <c r="BX3" s="51" t="s">
        <v>165</v>
      </c>
      <c r="BY3" s="100" t="s">
        <v>166</v>
      </c>
      <c r="BZ3" s="51" t="s">
        <v>169</v>
      </c>
      <c r="CA3" s="51" t="s">
        <v>175</v>
      </c>
      <c r="CB3" s="51" t="s">
        <v>176</v>
      </c>
      <c r="CC3" s="51" t="s">
        <v>178</v>
      </c>
      <c r="CD3" s="92" t="s">
        <v>181</v>
      </c>
      <c r="CE3" s="103" t="s">
        <v>183</v>
      </c>
      <c r="CF3" s="57" t="s">
        <v>186</v>
      </c>
      <c r="CG3" s="104" t="s">
        <v>187</v>
      </c>
      <c r="CH3" s="59" t="s">
        <v>189</v>
      </c>
      <c r="CI3" s="62" t="s">
        <v>193</v>
      </c>
      <c r="CJ3" s="62" t="s">
        <v>196</v>
      </c>
      <c r="CK3" s="62" t="s">
        <v>199</v>
      </c>
      <c r="CL3" s="62" t="s">
        <v>200</v>
      </c>
      <c r="CM3" s="62" t="s">
        <v>202</v>
      </c>
      <c r="CN3" s="62" t="s">
        <v>204</v>
      </c>
      <c r="CO3" s="62" t="s">
        <v>206</v>
      </c>
    </row>
    <row r="4" ht="26.25" customHeight="1">
      <c r="A4" s="111" t="s">
        <v>210</v>
      </c>
      <c r="B4" s="114" t="s">
        <v>214</v>
      </c>
      <c r="C4" s="118" t="s">
        <v>218</v>
      </c>
      <c r="D4" s="120" t="s">
        <v>220</v>
      </c>
      <c r="E4" s="114" t="s">
        <v>221</v>
      </c>
      <c r="F4" s="120" t="s">
        <v>223</v>
      </c>
      <c r="G4" s="114" t="s">
        <v>224</v>
      </c>
      <c r="H4" s="125" t="s">
        <v>226</v>
      </c>
      <c r="I4" s="125" t="s">
        <v>228</v>
      </c>
      <c r="J4" s="125" t="s">
        <v>229</v>
      </c>
      <c r="K4" s="125" t="s">
        <v>230</v>
      </c>
      <c r="L4" s="126" t="s">
        <v>231</v>
      </c>
      <c r="M4" s="125" t="s">
        <v>233</v>
      </c>
      <c r="N4" s="118" t="s">
        <v>234</v>
      </c>
      <c r="O4" s="118" t="s">
        <v>236</v>
      </c>
      <c r="P4" s="125" t="s">
        <v>249</v>
      </c>
      <c r="Q4" s="125" t="s">
        <v>251</v>
      </c>
      <c r="R4" s="125" t="s">
        <v>252</v>
      </c>
      <c r="S4" s="129" t="s">
        <v>288</v>
      </c>
      <c r="T4" s="99" t="s">
        <v>254</v>
      </c>
      <c r="U4" s="99" t="s">
        <v>256</v>
      </c>
      <c r="V4" s="131" t="s">
        <v>259</v>
      </c>
      <c r="W4" s="133" t="s">
        <v>264</v>
      </c>
      <c r="X4" s="134" t="s">
        <v>481</v>
      </c>
      <c r="Y4" s="125" t="s">
        <v>485</v>
      </c>
      <c r="Z4" s="125" t="s">
        <v>487</v>
      </c>
      <c r="AA4" s="125" t="s">
        <v>488</v>
      </c>
      <c r="AB4" s="136" t="s">
        <v>268</v>
      </c>
      <c r="AC4" s="136" t="s">
        <v>270</v>
      </c>
      <c r="AD4" s="136" t="s">
        <v>271</v>
      </c>
      <c r="AE4" s="136" t="s">
        <v>273</v>
      </c>
      <c r="AF4" s="136" t="s">
        <v>274</v>
      </c>
      <c r="AG4" s="136" t="s">
        <v>276</v>
      </c>
      <c r="AH4" s="136" t="s">
        <v>278</v>
      </c>
      <c r="AI4" s="136" t="s">
        <v>280</v>
      </c>
      <c r="AJ4" s="136" t="s">
        <v>281</v>
      </c>
      <c r="AK4" s="136" t="s">
        <v>283</v>
      </c>
      <c r="AL4" s="136" t="s">
        <v>284</v>
      </c>
      <c r="AM4" s="136" t="s">
        <v>285</v>
      </c>
      <c r="AN4" s="136" t="s">
        <v>286</v>
      </c>
      <c r="AO4" s="136" t="s">
        <v>287</v>
      </c>
      <c r="AP4" s="125" t="s">
        <v>297</v>
      </c>
      <c r="AQ4" s="125" t="s">
        <v>298</v>
      </c>
      <c r="AR4" s="125" t="s">
        <v>300</v>
      </c>
      <c r="AS4" s="125" t="s">
        <v>301</v>
      </c>
      <c r="AT4" s="125" t="s">
        <v>302</v>
      </c>
      <c r="AU4" s="146" t="s">
        <v>303</v>
      </c>
      <c r="AV4" s="134" t="s">
        <v>304</v>
      </c>
      <c r="AW4" s="146" t="s">
        <v>305</v>
      </c>
      <c r="AX4" s="125" t="s">
        <v>306</v>
      </c>
      <c r="AY4" s="146" t="s">
        <v>307</v>
      </c>
      <c r="AZ4" s="125" t="s">
        <v>308</v>
      </c>
      <c r="BA4" s="146" t="s">
        <v>309</v>
      </c>
      <c r="BB4" s="125" t="s">
        <v>310</v>
      </c>
      <c r="BC4" s="146" t="s">
        <v>311</v>
      </c>
      <c r="BD4" s="125" t="s">
        <v>312</v>
      </c>
      <c r="BE4" s="125" t="s">
        <v>313</v>
      </c>
      <c r="BF4" s="125" t="s">
        <v>314</v>
      </c>
      <c r="BG4" s="125" t="s">
        <v>315</v>
      </c>
      <c r="BH4" s="125" t="s">
        <v>316</v>
      </c>
      <c r="BI4" s="125" t="s">
        <v>317</v>
      </c>
      <c r="BJ4" s="125" t="s">
        <v>318</v>
      </c>
      <c r="BK4" s="125" t="s">
        <v>319</v>
      </c>
      <c r="BL4" s="134" t="s">
        <v>532</v>
      </c>
      <c r="BM4" s="125" t="s">
        <v>320</v>
      </c>
      <c r="BN4" s="125" t="s">
        <v>321</v>
      </c>
      <c r="BO4" s="125" t="s">
        <v>322</v>
      </c>
      <c r="BP4" s="125" t="s">
        <v>323</v>
      </c>
      <c r="BQ4" s="125" t="s">
        <v>324</v>
      </c>
      <c r="BR4" s="125" t="s">
        <v>325</v>
      </c>
      <c r="BS4" s="125" t="s">
        <v>326</v>
      </c>
      <c r="BT4" s="134" t="s">
        <v>238</v>
      </c>
      <c r="BU4" s="134" t="s">
        <v>240</v>
      </c>
      <c r="BV4" s="114" t="s">
        <v>328</v>
      </c>
      <c r="BW4" s="134" t="s">
        <v>329</v>
      </c>
      <c r="BX4" s="99" t="s">
        <v>330</v>
      </c>
      <c r="BY4" s="125" t="s">
        <v>332</v>
      </c>
      <c r="BZ4" s="114" t="s">
        <v>334</v>
      </c>
      <c r="CA4" s="125" t="s">
        <v>336</v>
      </c>
      <c r="CB4" s="134" t="s">
        <v>338</v>
      </c>
      <c r="CC4" s="125" t="s">
        <v>339</v>
      </c>
      <c r="CD4" s="134" t="s">
        <v>340</v>
      </c>
      <c r="CE4" s="94" t="s">
        <v>341</v>
      </c>
      <c r="CF4" s="95" t="s">
        <v>344</v>
      </c>
      <c r="CG4" s="95" t="s">
        <v>349</v>
      </c>
      <c r="CH4" s="98" t="s">
        <v>350</v>
      </c>
      <c r="CI4" s="99" t="s">
        <v>358</v>
      </c>
      <c r="CJ4" s="99" t="s">
        <v>360</v>
      </c>
      <c r="CK4" s="99" t="s">
        <v>365</v>
      </c>
      <c r="CL4" s="99" t="s">
        <v>366</v>
      </c>
      <c r="CM4" s="99" t="s">
        <v>368</v>
      </c>
      <c r="CN4" s="99" t="s">
        <v>370</v>
      </c>
      <c r="CO4" s="101" t="s">
        <v>372</v>
      </c>
    </row>
    <row r="5" ht="20.25" customHeight="1">
      <c r="A5" s="102" t="s">
        <v>376</v>
      </c>
      <c r="B5" s="102" t="s">
        <v>380</v>
      </c>
      <c r="C5" s="102" t="s">
        <v>381</v>
      </c>
      <c r="D5" s="102" t="s">
        <v>570</v>
      </c>
      <c r="E5" s="102" t="s">
        <v>384</v>
      </c>
      <c r="F5" s="102" t="s">
        <v>571</v>
      </c>
      <c r="G5" s="102" t="s">
        <v>573</v>
      </c>
      <c r="H5" s="102" t="s">
        <v>574</v>
      </c>
      <c r="I5" s="102" t="s">
        <v>575</v>
      </c>
      <c r="J5" s="153" t="s">
        <v>558</v>
      </c>
      <c r="K5" s="102"/>
      <c r="L5" s="102" t="s">
        <v>579</v>
      </c>
      <c r="M5" s="154"/>
      <c r="N5" s="107">
        <v>50.7041704736888</v>
      </c>
      <c r="O5" s="107">
        <v>-3.39866184654805</v>
      </c>
      <c r="P5" s="116">
        <v>46306.0</v>
      </c>
      <c r="Q5" s="116">
        <v>46327.0</v>
      </c>
      <c r="R5" s="166"/>
      <c r="S5" s="113" t="s">
        <v>414</v>
      </c>
      <c r="T5" s="153" t="s">
        <v>519</v>
      </c>
      <c r="U5" s="113" t="b">
        <v>1</v>
      </c>
      <c r="V5" s="122">
        <v>0.3333333333321207</v>
      </c>
      <c r="W5" s="122">
        <v>0.8333333333321207</v>
      </c>
      <c r="X5" s="141"/>
      <c r="Y5" s="141"/>
      <c r="Z5" s="141"/>
      <c r="AA5" s="141"/>
      <c r="AB5" s="102" t="s">
        <v>414</v>
      </c>
      <c r="AC5" s="102" t="s">
        <v>414</v>
      </c>
      <c r="AD5" s="102" t="s">
        <v>414</v>
      </c>
      <c r="AE5" s="102" t="s">
        <v>414</v>
      </c>
      <c r="AF5" s="102" t="s">
        <v>414</v>
      </c>
      <c r="AG5" s="102" t="s">
        <v>414</v>
      </c>
      <c r="AH5" s="102" t="s">
        <v>414</v>
      </c>
      <c r="AI5" s="102" t="s">
        <v>414</v>
      </c>
      <c r="AJ5" s="102" t="s">
        <v>414</v>
      </c>
      <c r="AK5" s="102" t="s">
        <v>414</v>
      </c>
      <c r="AL5" s="102" t="s">
        <v>414</v>
      </c>
      <c r="AM5" s="102" t="s">
        <v>414</v>
      </c>
      <c r="AN5" s="102" t="s">
        <v>414</v>
      </c>
      <c r="AO5" s="102" t="s">
        <v>414</v>
      </c>
      <c r="AP5" s="175">
        <v>46294.0</v>
      </c>
      <c r="AQ5" s="113" t="b">
        <v>0</v>
      </c>
      <c r="AR5" s="102" t="b">
        <v>0</v>
      </c>
      <c r="AS5" s="102" t="s">
        <v>546</v>
      </c>
      <c r="AT5" s="102" t="s">
        <v>414</v>
      </c>
      <c r="AU5" s="102" t="s">
        <v>414</v>
      </c>
      <c r="AV5" s="102" t="s">
        <v>414</v>
      </c>
      <c r="AW5" s="107" t="s">
        <v>414</v>
      </c>
      <c r="AX5" s="102" t="s">
        <v>414</v>
      </c>
      <c r="AY5" s="102" t="s">
        <v>414</v>
      </c>
      <c r="AZ5" s="102" t="s">
        <v>414</v>
      </c>
      <c r="BA5" s="102" t="s">
        <v>414</v>
      </c>
      <c r="BB5" s="102" t="s">
        <v>414</v>
      </c>
      <c r="BC5" s="107" t="s">
        <v>414</v>
      </c>
      <c r="BD5" s="102" t="s">
        <v>414</v>
      </c>
      <c r="BE5" s="102" t="s">
        <v>414</v>
      </c>
      <c r="BF5" s="102" t="s">
        <v>414</v>
      </c>
      <c r="BG5" s="102" t="s">
        <v>414</v>
      </c>
      <c r="BH5" s="132" t="s">
        <v>470</v>
      </c>
      <c r="BI5" s="102" t="s">
        <v>641</v>
      </c>
      <c r="BJ5" s="153" t="s">
        <v>643</v>
      </c>
      <c r="BK5" s="102" t="s">
        <v>645</v>
      </c>
      <c r="BL5" s="141"/>
      <c r="BM5" s="113" t="b">
        <v>1</v>
      </c>
      <c r="BN5" s="113" t="b">
        <v>1</v>
      </c>
      <c r="BO5" s="113" t="b">
        <v>1</v>
      </c>
      <c r="BP5" s="113" t="b">
        <v>1</v>
      </c>
      <c r="BQ5" s="113" t="b">
        <v>1</v>
      </c>
      <c r="BR5" s="113" t="b">
        <v>1</v>
      </c>
      <c r="BS5" s="113" t="b">
        <v>1</v>
      </c>
      <c r="BT5" s="177" t="s">
        <v>392</v>
      </c>
      <c r="BU5" s="177" t="s">
        <v>674</v>
      </c>
      <c r="BV5" s="102" t="s">
        <v>675</v>
      </c>
      <c r="BW5" s="153" t="s">
        <v>678</v>
      </c>
      <c r="BX5" s="153" t="s">
        <v>682</v>
      </c>
      <c r="BY5" s="102" t="s">
        <v>685</v>
      </c>
      <c r="BZ5" s="102" t="s">
        <v>688</v>
      </c>
      <c r="CA5" s="141"/>
      <c r="CB5" s="154"/>
      <c r="CC5" s="141"/>
      <c r="CD5" s="102" t="s">
        <v>691</v>
      </c>
      <c r="CE5" s="102" t="s">
        <v>504</v>
      </c>
      <c r="CF5" s="141"/>
      <c r="CG5" s="141"/>
      <c r="CH5" s="142" t="s">
        <v>695</v>
      </c>
      <c r="CI5" s="153" t="s">
        <v>512</v>
      </c>
      <c r="CJ5" s="178">
        <v>46294.54890800926</v>
      </c>
      <c r="CK5" s="153">
        <v>1.0</v>
      </c>
      <c r="CL5" s="113"/>
      <c r="CM5" s="153" t="b">
        <v>0</v>
      </c>
      <c r="CN5" s="153" t="b">
        <v>0</v>
      </c>
      <c r="CO5" s="153"/>
    </row>
    <row r="6" ht="20.25" customHeight="1">
      <c r="A6" s="102" t="s">
        <v>376</v>
      </c>
      <c r="B6" s="102" t="s">
        <v>380</v>
      </c>
      <c r="C6" s="102" t="s">
        <v>669</v>
      </c>
      <c r="D6" s="102" t="s">
        <v>708</v>
      </c>
      <c r="E6" s="102" t="s">
        <v>672</v>
      </c>
      <c r="F6" s="102" t="s">
        <v>673</v>
      </c>
      <c r="G6" s="102" t="s">
        <v>723</v>
      </c>
      <c r="H6" s="102" t="s">
        <v>725</v>
      </c>
      <c r="I6" s="102" t="s">
        <v>726</v>
      </c>
      <c r="J6" s="153" t="s">
        <v>727</v>
      </c>
      <c r="K6" s="102" t="s">
        <v>390</v>
      </c>
      <c r="L6" s="102" t="s">
        <v>730</v>
      </c>
      <c r="M6" s="154"/>
      <c r="N6" s="107">
        <v>50.535436453235</v>
      </c>
      <c r="O6" s="107">
        <v>-3.55892367791791</v>
      </c>
      <c r="P6" s="175">
        <v>46165.0</v>
      </c>
      <c r="Q6" s="175">
        <v>46326.0</v>
      </c>
      <c r="R6" s="166"/>
      <c r="S6" s="113" t="s">
        <v>414</v>
      </c>
      <c r="T6" s="153" t="s">
        <v>734</v>
      </c>
      <c r="U6" s="113" t="b">
        <v>1</v>
      </c>
      <c r="V6" s="179">
        <v>0.4166666666666667</v>
      </c>
      <c r="W6" s="179">
        <v>0.6666666666666666</v>
      </c>
      <c r="X6" s="141"/>
      <c r="Y6" s="141"/>
      <c r="Z6" s="141"/>
      <c r="AA6" s="141"/>
      <c r="AB6" s="102" t="s">
        <v>414</v>
      </c>
      <c r="AC6" s="102" t="s">
        <v>414</v>
      </c>
      <c r="AD6" s="102" t="s">
        <v>414</v>
      </c>
      <c r="AE6" s="102" t="s">
        <v>414</v>
      </c>
      <c r="AF6" s="102" t="s">
        <v>414</v>
      </c>
      <c r="AG6" s="102" t="s">
        <v>414</v>
      </c>
      <c r="AH6" s="102" t="s">
        <v>414</v>
      </c>
      <c r="AI6" s="102" t="s">
        <v>414</v>
      </c>
      <c r="AJ6" s="102" t="s">
        <v>414</v>
      </c>
      <c r="AK6" s="102" t="s">
        <v>414</v>
      </c>
      <c r="AL6" s="102" t="s">
        <v>414</v>
      </c>
      <c r="AM6" s="102" t="s">
        <v>414</v>
      </c>
      <c r="AN6" s="102" t="s">
        <v>414</v>
      </c>
      <c r="AO6" s="102" t="s">
        <v>414</v>
      </c>
      <c r="AP6" s="175">
        <v>46165.0</v>
      </c>
      <c r="AQ6" s="113" t="b">
        <v>1</v>
      </c>
      <c r="AR6" s="102" t="b">
        <v>0</v>
      </c>
      <c r="AS6" s="102" t="s">
        <v>586</v>
      </c>
      <c r="AT6" s="102" t="s">
        <v>414</v>
      </c>
      <c r="AU6" s="128" t="s">
        <v>414</v>
      </c>
      <c r="AV6" s="102" t="s">
        <v>414</v>
      </c>
      <c r="AW6" s="130" t="s">
        <v>414</v>
      </c>
      <c r="AX6" s="102" t="s">
        <v>414</v>
      </c>
      <c r="AY6" s="128" t="s">
        <v>414</v>
      </c>
      <c r="AZ6" s="102" t="s">
        <v>749</v>
      </c>
      <c r="BA6" s="128">
        <v>25.0</v>
      </c>
      <c r="BB6" s="102" t="s">
        <v>457</v>
      </c>
      <c r="BC6" s="130">
        <v>25.0</v>
      </c>
      <c r="BD6" s="102" t="s">
        <v>414</v>
      </c>
      <c r="BE6" s="102" t="s">
        <v>414</v>
      </c>
      <c r="BF6" s="102" t="s">
        <v>414</v>
      </c>
      <c r="BG6" s="102" t="s">
        <v>414</v>
      </c>
      <c r="BH6" s="132" t="s">
        <v>750</v>
      </c>
      <c r="BI6" s="102" t="s">
        <v>752</v>
      </c>
      <c r="BJ6" s="153" t="s">
        <v>754</v>
      </c>
      <c r="BK6" s="102" t="s">
        <v>757</v>
      </c>
      <c r="BL6" s="141"/>
      <c r="BM6" s="113" t="b">
        <v>0</v>
      </c>
      <c r="BN6" s="113" t="b">
        <v>0</v>
      </c>
      <c r="BO6" s="113" t="b">
        <v>1</v>
      </c>
      <c r="BP6" s="113" t="b">
        <v>1</v>
      </c>
      <c r="BQ6" s="113" t="b">
        <v>1</v>
      </c>
      <c r="BR6" s="113" t="b">
        <v>1</v>
      </c>
      <c r="BS6" s="113" t="b">
        <v>1</v>
      </c>
      <c r="BT6" s="177" t="s">
        <v>392</v>
      </c>
      <c r="BU6" s="177" t="s">
        <v>563</v>
      </c>
      <c r="BV6" s="102" t="s">
        <v>767</v>
      </c>
      <c r="BW6" s="153" t="s">
        <v>711</v>
      </c>
      <c r="BX6" s="153" t="s">
        <v>713</v>
      </c>
      <c r="BY6" s="102" t="s">
        <v>715</v>
      </c>
      <c r="BZ6" s="102" t="s">
        <v>774</v>
      </c>
      <c r="CA6" s="141"/>
      <c r="CB6" s="154"/>
      <c r="CC6" s="141"/>
      <c r="CD6" s="102" t="s">
        <v>776</v>
      </c>
      <c r="CE6" s="102" t="s">
        <v>504</v>
      </c>
      <c r="CF6" s="141"/>
      <c r="CG6" s="141"/>
      <c r="CH6" s="142" t="s">
        <v>777</v>
      </c>
      <c r="CI6" s="153" t="s">
        <v>512</v>
      </c>
      <c r="CJ6" s="178">
        <v>46294.5148472338</v>
      </c>
      <c r="CK6" s="153">
        <v>1.0</v>
      </c>
      <c r="CL6" s="113"/>
      <c r="CM6" s="153" t="b">
        <v>0</v>
      </c>
      <c r="CN6" s="153" t="b">
        <v>0</v>
      </c>
      <c r="CO6" s="153"/>
    </row>
    <row r="7" ht="20.25" customHeight="1">
      <c r="A7" s="183"/>
      <c r="B7" s="183"/>
      <c r="C7" s="183"/>
      <c r="D7" s="183"/>
      <c r="E7" s="183"/>
      <c r="F7" s="183"/>
      <c r="G7" s="183"/>
      <c r="H7" s="183"/>
      <c r="I7" s="183"/>
      <c r="J7" s="184"/>
      <c r="K7" s="183"/>
      <c r="L7" s="183"/>
      <c r="M7" s="185"/>
      <c r="N7" s="186"/>
      <c r="O7" s="186"/>
      <c r="P7" s="187"/>
      <c r="Q7" s="187"/>
      <c r="R7" s="188"/>
      <c r="S7" s="189"/>
      <c r="T7" s="185"/>
      <c r="U7" s="189"/>
      <c r="V7" s="190"/>
      <c r="W7" s="190"/>
      <c r="X7" s="183"/>
      <c r="Y7" s="183"/>
      <c r="Z7" s="183"/>
      <c r="AA7" s="183"/>
      <c r="AB7" s="183"/>
      <c r="AC7" s="183"/>
      <c r="AD7" s="183"/>
      <c r="AE7" s="183"/>
      <c r="AF7" s="183"/>
      <c r="AG7" s="183"/>
      <c r="AH7" s="183"/>
      <c r="AI7" s="183"/>
      <c r="AJ7" s="183"/>
      <c r="AK7" s="183"/>
      <c r="AL7" s="183"/>
      <c r="AM7" s="183"/>
      <c r="AN7" s="183"/>
      <c r="AO7" s="183"/>
      <c r="AP7" s="187"/>
      <c r="AQ7" s="191"/>
      <c r="AR7" s="192"/>
      <c r="AS7" s="192"/>
      <c r="AT7" s="183"/>
      <c r="AU7" s="193"/>
      <c r="AV7" s="183"/>
      <c r="AW7" s="194"/>
      <c r="AX7" s="183"/>
      <c r="AY7" s="193"/>
      <c r="AZ7" s="183"/>
      <c r="BA7" s="193"/>
      <c r="BB7" s="183"/>
      <c r="BC7" s="194"/>
      <c r="BD7" s="183"/>
      <c r="BE7" s="183"/>
      <c r="BF7" s="183"/>
      <c r="BG7" s="183"/>
      <c r="BH7" s="192"/>
      <c r="BI7" s="192"/>
      <c r="BJ7" s="185"/>
      <c r="BK7" s="192"/>
      <c r="BL7" s="192"/>
      <c r="BM7" s="189"/>
      <c r="BN7" s="191"/>
      <c r="BO7" s="191"/>
      <c r="BP7" s="189"/>
      <c r="BQ7" s="189"/>
      <c r="BR7" s="189"/>
      <c r="BS7" s="189"/>
      <c r="BT7" s="183"/>
      <c r="BU7" s="183"/>
      <c r="BV7" s="183"/>
      <c r="BW7" s="185"/>
      <c r="BX7" s="185"/>
      <c r="BY7" s="183"/>
      <c r="BZ7" s="192"/>
      <c r="CA7" s="192"/>
      <c r="CB7" s="185"/>
      <c r="CC7" s="183"/>
      <c r="CD7" s="183"/>
      <c r="CE7" s="183"/>
      <c r="CF7" s="183"/>
      <c r="CG7" s="183" t="b">
        <v>0</v>
      </c>
      <c r="CH7" s="195"/>
      <c r="CI7" s="196"/>
      <c r="CJ7" s="196"/>
      <c r="CK7" s="196"/>
      <c r="CL7" s="197"/>
      <c r="CM7" s="196"/>
      <c r="CN7" s="196"/>
      <c r="CO7" s="196"/>
    </row>
  </sheetData>
  <mergeCells count="25">
    <mergeCell ref="A1:D2"/>
    <mergeCell ref="E1:G2"/>
    <mergeCell ref="H1:O2"/>
    <mergeCell ref="P1:U2"/>
    <mergeCell ref="V1:W2"/>
    <mergeCell ref="X1:Y2"/>
    <mergeCell ref="Z1:AA2"/>
    <mergeCell ref="CD1:CD2"/>
    <mergeCell ref="CE1:CG2"/>
    <mergeCell ref="CH1:CO2"/>
    <mergeCell ref="AP2:AS2"/>
    <mergeCell ref="AT2:AU2"/>
    <mergeCell ref="AV2:AW2"/>
    <mergeCell ref="AX2:AY2"/>
    <mergeCell ref="AZ2:BA2"/>
    <mergeCell ref="BB2:BC2"/>
    <mergeCell ref="BD2:BE2"/>
    <mergeCell ref="BF2:BG2"/>
    <mergeCell ref="AB1:AO2"/>
    <mergeCell ref="AP1:BG1"/>
    <mergeCell ref="BH1:BK2"/>
    <mergeCell ref="BM1:BS2"/>
    <mergeCell ref="BT1:BU2"/>
    <mergeCell ref="BV1:BZ2"/>
    <mergeCell ref="CA1:CC2"/>
  </mergeCells>
  <dataValidations>
    <dataValidation type="list" allowBlank="1" showErrorMessage="1" sqref="AR7:AS7">
      <formula1>#REF!</formula1>
    </dataValidation>
    <dataValidation type="list" allowBlank="1" showErrorMessage="1" sqref="BW7">
      <formula1>Enums!$D$507:$D$522</formula1>
    </dataValidation>
    <dataValidation type="list" allowBlank="1" showErrorMessage="1" sqref="B7">
      <formula1>Enums!$D$112:$D$133</formula1>
    </dataValidation>
    <dataValidation type="list" allowBlank="1" showErrorMessage="1" sqref="F7 CC7">
      <formula1>#REF!</formula1>
    </dataValidation>
    <dataValidation type="list" allowBlank="1" showErrorMessage="1" sqref="CA7">
      <formula1>Enums!$D$624:$D$634</formula1>
    </dataValidation>
    <dataValidation type="list" allowBlank="1" showErrorMessage="1" sqref="E7">
      <formula1>Enums!$D$13:$D$17</formula1>
    </dataValidation>
    <dataValidation type="list" allowBlank="1" showErrorMessage="1" sqref="BH7">
      <formula1>Enums!$D$465:$D$471</formula1>
    </dataValidation>
    <dataValidation type="list" allowBlank="1" showErrorMessage="1" sqref="BT5:BT6">
      <formula1>Enums!$D$423:$D$425</formula1>
    </dataValidation>
    <dataValidation type="list" allowBlank="1" showErrorMessage="1" sqref="BI7">
      <formula1>Enums!$D$416:$D$429</formula1>
    </dataValidation>
    <dataValidation type="list" allowBlank="1" showErrorMessage="1" sqref="T7">
      <formula1>"Monday,Tuesday,Wednesday,Thursday,Friday,Saturday,Sunday"</formula1>
    </dataValidation>
    <dataValidation type="list" allowBlank="1" showErrorMessage="1" sqref="BJ7">
      <formula1>Enums!$D$443:$D$458</formula1>
    </dataValidation>
    <dataValidation type="list" allowBlank="1" showErrorMessage="1" sqref="BZ7">
      <formula1>Enums!$D$474:$D$504</formula1>
    </dataValidation>
    <dataValidation type="list" allowBlank="1" showErrorMessage="1" sqref="BX7">
      <formula1>Enums!$D$524:$D$570</formula1>
    </dataValidation>
    <dataValidation type="list" allowBlank="1" showErrorMessage="1" sqref="BU5:BU6">
      <formula1>Enums!$D$411:$D$420</formula1>
    </dataValidation>
    <dataValidation type="list" allowBlank="1" showErrorMessage="1" sqref="BK7:BL7">
      <formula1>Enums!$D$430:$D$442</formula1>
    </dataValidation>
    <dataValidation type="list" allowBlank="1" showErrorMessage="1" sqref="A7">
      <formula1>Enums!$C$4:$C$7</formula1>
    </dataValidation>
    <dataValidation type="list" allowBlank="1" showErrorMessage="1" sqref="C7">
      <formula1>EHelper!A5:ZZ5</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75"/>
  <cols>
    <col customWidth="1" min="1" max="1" width="13.75"/>
    <col customWidth="1" min="2" max="2" width="22.88"/>
    <col customWidth="1" min="3" max="3" width="13.5"/>
    <col customWidth="1" min="4" max="4" width="24.5"/>
    <col customWidth="1" min="5" max="6" width="16.13"/>
    <col customWidth="1" min="7" max="7" width="18.38"/>
    <col hidden="1" min="13" max="13" width="12.63"/>
    <col customWidth="1" min="16" max="16" width="11.13"/>
    <col customWidth="1" min="17" max="17" width="11.0"/>
    <col customWidth="1" min="18" max="18" width="11.25"/>
    <col customWidth="1" min="19" max="21" width="15.13"/>
    <col customWidth="1" min="26" max="26" width="8.13"/>
    <col customWidth="1" min="27" max="27" width="9.25"/>
    <col customWidth="1" min="28" max="41" width="8.13"/>
    <col customWidth="1" min="45" max="45" width="17.5"/>
    <col customWidth="1" min="46" max="47" width="8.88"/>
    <col customWidth="1" min="48" max="48" width="13.75"/>
    <col customWidth="1" min="49" max="49" width="14.25"/>
    <col customWidth="1" min="50" max="51" width="13.25"/>
    <col customWidth="1" min="52" max="52" width="20.63"/>
    <col customWidth="1" min="53" max="66" width="10.75"/>
    <col customWidth="1" min="67" max="70" width="18.63"/>
    <col customWidth="1" min="71" max="71" width="9.75"/>
    <col customWidth="1" min="72" max="72" width="10.88"/>
    <col customWidth="1" min="73" max="77" width="8.38"/>
    <col customWidth="1" min="78" max="78" width="16.38"/>
    <col customWidth="1" min="79" max="79" width="17.0"/>
    <col customWidth="1" min="84" max="84" width="9.88"/>
    <col customWidth="1" min="85" max="85" width="8.38"/>
    <col customWidth="1" min="86" max="86" width="10.63"/>
    <col customWidth="1" min="87" max="87" width="17.5"/>
    <col customWidth="1" min="88" max="90" width="10.63"/>
    <col customWidth="1" min="91" max="91" width="16.25"/>
    <col customWidth="1" min="92" max="95" width="11.25"/>
    <col customWidth="1" min="96" max="96" width="14.88"/>
    <col customWidth="1" min="97" max="97" width="14.38"/>
    <col customWidth="1" min="98" max="99" width="16.38"/>
  </cols>
  <sheetData>
    <row r="1" ht="16.5" customHeight="1">
      <c r="A1" s="1" t="s">
        <v>0</v>
      </c>
      <c r="E1" s="1" t="s">
        <v>1</v>
      </c>
      <c r="H1" s="1" t="s">
        <v>2</v>
      </c>
      <c r="P1" s="1" t="s">
        <v>4</v>
      </c>
      <c r="R1" s="1" t="s">
        <v>5</v>
      </c>
      <c r="AV1" s="1" t="s">
        <v>9</v>
      </c>
      <c r="BO1" s="1" t="s">
        <v>13</v>
      </c>
      <c r="BS1" s="1" t="s">
        <v>15</v>
      </c>
      <c r="BZ1" s="1" t="s">
        <v>17</v>
      </c>
      <c r="CE1" s="1" t="s">
        <v>19</v>
      </c>
      <c r="CI1" s="1" t="s">
        <v>21</v>
      </c>
      <c r="CJ1" s="12"/>
      <c r="CM1" s="14" t="s">
        <v>26</v>
      </c>
    </row>
    <row r="2" ht="30.75" customHeight="1">
      <c r="R2" s="16" t="s">
        <v>29</v>
      </c>
      <c r="V2" s="16" t="s">
        <v>31</v>
      </c>
      <c r="W2" s="12"/>
      <c r="X2" s="16" t="s">
        <v>33</v>
      </c>
      <c r="Z2" s="16" t="s">
        <v>34</v>
      </c>
      <c r="AN2" s="16" t="s">
        <v>36</v>
      </c>
      <c r="AO2" s="16" t="s">
        <v>37</v>
      </c>
      <c r="AV2" s="16" t="s">
        <v>38</v>
      </c>
      <c r="BA2" s="16" t="s">
        <v>40</v>
      </c>
      <c r="BC2" s="16" t="s">
        <v>42</v>
      </c>
      <c r="BE2" s="16" t="s">
        <v>44</v>
      </c>
      <c r="BG2" s="16" t="s">
        <v>47</v>
      </c>
      <c r="BI2" s="16" t="s">
        <v>48</v>
      </c>
      <c r="BK2" s="16" t="s">
        <v>50</v>
      </c>
      <c r="BM2" s="16" t="s">
        <v>51</v>
      </c>
      <c r="CM2" s="19"/>
    </row>
    <row r="3" ht="51.0" customHeight="1">
      <c r="A3" s="20" t="s">
        <v>55</v>
      </c>
      <c r="B3" s="22" t="s">
        <v>56</v>
      </c>
      <c r="C3" s="20" t="s">
        <v>57</v>
      </c>
      <c r="D3" s="22" t="s">
        <v>58</v>
      </c>
      <c r="E3" s="22" t="s">
        <v>59</v>
      </c>
      <c r="F3" s="22" t="s">
        <v>60</v>
      </c>
      <c r="G3" s="20" t="s">
        <v>61</v>
      </c>
      <c r="H3" s="20" t="s">
        <v>62</v>
      </c>
      <c r="I3" s="20" t="s">
        <v>63</v>
      </c>
      <c r="J3" s="20" t="s">
        <v>64</v>
      </c>
      <c r="K3" s="20" t="s">
        <v>65</v>
      </c>
      <c r="L3" s="22" t="s">
        <v>66</v>
      </c>
      <c r="M3" s="20" t="s">
        <v>67</v>
      </c>
      <c r="N3" s="22" t="s">
        <v>68</v>
      </c>
      <c r="O3" s="22" t="s">
        <v>69</v>
      </c>
      <c r="P3" s="22" t="s">
        <v>70</v>
      </c>
      <c r="Q3" s="22" t="s">
        <v>71</v>
      </c>
      <c r="R3" s="23" t="s">
        <v>72</v>
      </c>
      <c r="S3" s="22" t="s">
        <v>73</v>
      </c>
      <c r="T3" s="22" t="s">
        <v>74</v>
      </c>
      <c r="U3" s="22" t="s">
        <v>75</v>
      </c>
      <c r="V3" s="22" t="s">
        <v>76</v>
      </c>
      <c r="W3" s="22" t="s">
        <v>77</v>
      </c>
      <c r="X3" s="25" t="s">
        <v>78</v>
      </c>
      <c r="Y3" s="27" t="s">
        <v>79</v>
      </c>
      <c r="Z3" s="20" t="s">
        <v>80</v>
      </c>
      <c r="AA3" s="20" t="s">
        <v>81</v>
      </c>
      <c r="AB3" s="20" t="s">
        <v>82</v>
      </c>
      <c r="AC3" s="20" t="s">
        <v>83</v>
      </c>
      <c r="AD3" s="20" t="s">
        <v>84</v>
      </c>
      <c r="AE3" s="20" t="s">
        <v>86</v>
      </c>
      <c r="AF3" s="20" t="s">
        <v>87</v>
      </c>
      <c r="AG3" s="20" t="s">
        <v>88</v>
      </c>
      <c r="AH3" s="20" t="s">
        <v>89</v>
      </c>
      <c r="AI3" s="20" t="s">
        <v>90</v>
      </c>
      <c r="AJ3" s="20" t="s">
        <v>92</v>
      </c>
      <c r="AK3" s="20" t="s">
        <v>93</v>
      </c>
      <c r="AL3" s="20" t="s">
        <v>94</v>
      </c>
      <c r="AM3" s="20" t="s">
        <v>96</v>
      </c>
      <c r="AN3" s="31" t="s">
        <v>97</v>
      </c>
      <c r="AO3" s="33" t="s">
        <v>98</v>
      </c>
      <c r="AP3" s="34" t="s">
        <v>99</v>
      </c>
      <c r="AQ3" s="34" t="s">
        <v>100</v>
      </c>
      <c r="AR3" s="34" t="s">
        <v>102</v>
      </c>
      <c r="AS3" s="36" t="s">
        <v>103</v>
      </c>
      <c r="AT3" s="34" t="s">
        <v>105</v>
      </c>
      <c r="AU3" s="37" t="s">
        <v>109</v>
      </c>
      <c r="AV3" s="22" t="s">
        <v>112</v>
      </c>
      <c r="AW3" s="39" t="s">
        <v>114</v>
      </c>
      <c r="AX3" s="40" t="s">
        <v>119</v>
      </c>
      <c r="AY3" s="40" t="s">
        <v>123</v>
      </c>
      <c r="AZ3" s="39" t="s">
        <v>45</v>
      </c>
      <c r="BA3" s="42" t="s">
        <v>128</v>
      </c>
      <c r="BB3" s="43" t="s">
        <v>134</v>
      </c>
      <c r="BC3" s="42" t="s">
        <v>137</v>
      </c>
      <c r="BD3" s="43" t="s">
        <v>134</v>
      </c>
      <c r="BE3" s="42" t="s">
        <v>138</v>
      </c>
      <c r="BF3" s="43" t="s">
        <v>134</v>
      </c>
      <c r="BG3" s="46" t="s">
        <v>139</v>
      </c>
      <c r="BH3" s="43" t="s">
        <v>134</v>
      </c>
      <c r="BI3" s="46" t="s">
        <v>141</v>
      </c>
      <c r="BJ3" s="43" t="s">
        <v>134</v>
      </c>
      <c r="BK3" s="46" t="s">
        <v>142</v>
      </c>
      <c r="BL3" s="43" t="s">
        <v>134</v>
      </c>
      <c r="BM3" s="42" t="s">
        <v>144</v>
      </c>
      <c r="BN3" s="43" t="s">
        <v>134</v>
      </c>
      <c r="BO3" s="22" t="s">
        <v>145</v>
      </c>
      <c r="BP3" s="22" t="s">
        <v>146</v>
      </c>
      <c r="BQ3" s="22" t="s">
        <v>148</v>
      </c>
      <c r="BR3" s="22" t="s">
        <v>149</v>
      </c>
      <c r="BS3" s="22" t="s">
        <v>151</v>
      </c>
      <c r="BT3" s="22" t="s">
        <v>153</v>
      </c>
      <c r="BU3" s="20" t="s">
        <v>154</v>
      </c>
      <c r="BV3" s="20" t="s">
        <v>156</v>
      </c>
      <c r="BW3" s="20" t="s">
        <v>157</v>
      </c>
      <c r="BX3" s="20" t="s">
        <v>158</v>
      </c>
      <c r="BY3" s="20" t="s">
        <v>159</v>
      </c>
      <c r="BZ3" s="11" t="s">
        <v>161</v>
      </c>
      <c r="CA3" s="11" t="s">
        <v>163</v>
      </c>
      <c r="CB3" s="11" t="s">
        <v>165</v>
      </c>
      <c r="CC3" s="11" t="s">
        <v>166</v>
      </c>
      <c r="CD3" s="11" t="s">
        <v>169</v>
      </c>
      <c r="CE3" s="55" t="s">
        <v>171</v>
      </c>
      <c r="CF3" s="22" t="s">
        <v>175</v>
      </c>
      <c r="CG3" s="22" t="s">
        <v>176</v>
      </c>
      <c r="CH3" s="22" t="s">
        <v>178</v>
      </c>
      <c r="CI3" s="22" t="s">
        <v>181</v>
      </c>
      <c r="CJ3" s="57" t="s">
        <v>183</v>
      </c>
      <c r="CK3" s="57" t="s">
        <v>186</v>
      </c>
      <c r="CL3" s="57" t="s">
        <v>187</v>
      </c>
      <c r="CM3" s="59" t="s">
        <v>189</v>
      </c>
      <c r="CN3" s="62" t="s">
        <v>193</v>
      </c>
      <c r="CO3" s="62" t="s">
        <v>196</v>
      </c>
      <c r="CP3" s="62" t="s">
        <v>197</v>
      </c>
      <c r="CQ3" s="62" t="s">
        <v>199</v>
      </c>
      <c r="CR3" s="62" t="s">
        <v>200</v>
      </c>
      <c r="CS3" s="62" t="s">
        <v>202</v>
      </c>
      <c r="CT3" s="62" t="s">
        <v>204</v>
      </c>
      <c r="CU3" s="62" t="s">
        <v>206</v>
      </c>
    </row>
    <row r="4" ht="26.25" customHeight="1">
      <c r="A4" s="64" t="s">
        <v>210</v>
      </c>
      <c r="B4" s="66" t="s">
        <v>214</v>
      </c>
      <c r="C4" s="67" t="s">
        <v>218</v>
      </c>
      <c r="D4" s="67" t="s">
        <v>220</v>
      </c>
      <c r="E4" s="66" t="s">
        <v>221</v>
      </c>
      <c r="F4" s="67" t="s">
        <v>223</v>
      </c>
      <c r="G4" s="66" t="s">
        <v>224</v>
      </c>
      <c r="H4" s="69" t="s">
        <v>226</v>
      </c>
      <c r="I4" s="69" t="s">
        <v>228</v>
      </c>
      <c r="J4" s="69" t="s">
        <v>229</v>
      </c>
      <c r="K4" s="69" t="s">
        <v>230</v>
      </c>
      <c r="L4" s="66" t="s">
        <v>231</v>
      </c>
      <c r="M4" s="69" t="s">
        <v>233</v>
      </c>
      <c r="N4" s="67" t="s">
        <v>234</v>
      </c>
      <c r="O4" s="67" t="s">
        <v>236</v>
      </c>
      <c r="P4" s="69" t="s">
        <v>238</v>
      </c>
      <c r="Q4" s="69" t="s">
        <v>240</v>
      </c>
      <c r="R4" s="71" t="s">
        <v>244</v>
      </c>
      <c r="S4" s="66" t="s">
        <v>249</v>
      </c>
      <c r="T4" s="66" t="s">
        <v>251</v>
      </c>
      <c r="U4" s="66" t="s">
        <v>252</v>
      </c>
      <c r="V4" s="69" t="s">
        <v>254</v>
      </c>
      <c r="W4" s="69" t="s">
        <v>256</v>
      </c>
      <c r="X4" s="73" t="s">
        <v>259</v>
      </c>
      <c r="Y4" s="75" t="s">
        <v>264</v>
      </c>
      <c r="Z4" s="69" t="s">
        <v>268</v>
      </c>
      <c r="AA4" s="69" t="s">
        <v>270</v>
      </c>
      <c r="AB4" s="69" t="s">
        <v>271</v>
      </c>
      <c r="AC4" s="69" t="s">
        <v>273</v>
      </c>
      <c r="AD4" s="69" t="s">
        <v>274</v>
      </c>
      <c r="AE4" s="69" t="s">
        <v>276</v>
      </c>
      <c r="AF4" s="69" t="s">
        <v>278</v>
      </c>
      <c r="AG4" s="69" t="s">
        <v>280</v>
      </c>
      <c r="AH4" s="69" t="s">
        <v>281</v>
      </c>
      <c r="AI4" s="69" t="s">
        <v>283</v>
      </c>
      <c r="AJ4" s="69" t="s">
        <v>284</v>
      </c>
      <c r="AK4" s="69" t="s">
        <v>285</v>
      </c>
      <c r="AL4" s="69" t="s">
        <v>286</v>
      </c>
      <c r="AM4" s="69" t="s">
        <v>287</v>
      </c>
      <c r="AN4" s="69" t="s">
        <v>288</v>
      </c>
      <c r="AO4" s="77" t="s">
        <v>289</v>
      </c>
      <c r="AP4" s="78" t="s">
        <v>291</v>
      </c>
      <c r="AQ4" s="78" t="s">
        <v>292</v>
      </c>
      <c r="AR4" s="78" t="s">
        <v>293</v>
      </c>
      <c r="AS4" s="78" t="s">
        <v>294</v>
      </c>
      <c r="AT4" s="78" t="s">
        <v>295</v>
      </c>
      <c r="AU4" s="81" t="s">
        <v>296</v>
      </c>
      <c r="AV4" s="66" t="s">
        <v>297</v>
      </c>
      <c r="AW4" s="83" t="s">
        <v>298</v>
      </c>
      <c r="AX4" s="85" t="s">
        <v>299</v>
      </c>
      <c r="AY4" s="69" t="s">
        <v>300</v>
      </c>
      <c r="AZ4" s="83" t="s">
        <v>301</v>
      </c>
      <c r="BA4" s="69" t="s">
        <v>302</v>
      </c>
      <c r="BB4" s="83" t="s">
        <v>303</v>
      </c>
      <c r="BC4" s="69" t="s">
        <v>304</v>
      </c>
      <c r="BD4" s="83" t="s">
        <v>305</v>
      </c>
      <c r="BE4" s="69" t="s">
        <v>306</v>
      </c>
      <c r="BF4" s="83" t="s">
        <v>307</v>
      </c>
      <c r="BG4" s="69" t="s">
        <v>308</v>
      </c>
      <c r="BH4" s="83" t="s">
        <v>309</v>
      </c>
      <c r="BI4" s="69" t="s">
        <v>310</v>
      </c>
      <c r="BJ4" s="83" t="s">
        <v>311</v>
      </c>
      <c r="BK4" s="69" t="s">
        <v>312</v>
      </c>
      <c r="BL4" s="69" t="s">
        <v>313</v>
      </c>
      <c r="BM4" s="66" t="s">
        <v>314</v>
      </c>
      <c r="BN4" s="69" t="s">
        <v>315</v>
      </c>
      <c r="BO4" s="69" t="s">
        <v>316</v>
      </c>
      <c r="BP4" s="69" t="s">
        <v>317</v>
      </c>
      <c r="BQ4" s="69" t="s">
        <v>318</v>
      </c>
      <c r="BR4" s="69" t="s">
        <v>319</v>
      </c>
      <c r="BS4" s="69" t="s">
        <v>320</v>
      </c>
      <c r="BT4" s="69" t="s">
        <v>321</v>
      </c>
      <c r="BU4" s="66" t="s">
        <v>322</v>
      </c>
      <c r="BV4" s="66" t="s">
        <v>323</v>
      </c>
      <c r="BW4" s="66" t="s">
        <v>324</v>
      </c>
      <c r="BX4" s="66" t="s">
        <v>325</v>
      </c>
      <c r="BY4" s="66" t="s">
        <v>326</v>
      </c>
      <c r="BZ4" s="69" t="s">
        <v>328</v>
      </c>
      <c r="CA4" s="66" t="s">
        <v>329</v>
      </c>
      <c r="CB4" s="69" t="s">
        <v>330</v>
      </c>
      <c r="CC4" s="66" t="s">
        <v>332</v>
      </c>
      <c r="CD4" s="69" t="s">
        <v>334</v>
      </c>
      <c r="CE4" s="66" t="s">
        <v>335</v>
      </c>
      <c r="CF4" s="66" t="s">
        <v>336</v>
      </c>
      <c r="CG4" s="66" t="s">
        <v>338</v>
      </c>
      <c r="CH4" s="66" t="s">
        <v>339</v>
      </c>
      <c r="CI4" s="66" t="s">
        <v>340</v>
      </c>
      <c r="CJ4" s="94" t="s">
        <v>341</v>
      </c>
      <c r="CK4" s="95" t="s">
        <v>344</v>
      </c>
      <c r="CL4" s="95" t="s">
        <v>349</v>
      </c>
      <c r="CM4" s="98" t="s">
        <v>350</v>
      </c>
      <c r="CN4" s="99" t="s">
        <v>358</v>
      </c>
      <c r="CO4" s="99" t="s">
        <v>360</v>
      </c>
      <c r="CP4" s="99" t="s">
        <v>363</v>
      </c>
      <c r="CQ4" s="99" t="s">
        <v>365</v>
      </c>
      <c r="CR4" s="99" t="s">
        <v>366</v>
      </c>
      <c r="CS4" s="99" t="s">
        <v>368</v>
      </c>
      <c r="CT4" s="99" t="s">
        <v>370</v>
      </c>
      <c r="CU4" s="101" t="s">
        <v>372</v>
      </c>
    </row>
    <row r="5" ht="20.25" customHeight="1">
      <c r="A5" s="102" t="s">
        <v>376</v>
      </c>
      <c r="B5" s="102" t="s">
        <v>380</v>
      </c>
      <c r="C5" s="102" t="s">
        <v>381</v>
      </c>
      <c r="D5" s="102" t="s">
        <v>383</v>
      </c>
      <c r="E5" s="102" t="s">
        <v>384</v>
      </c>
      <c r="F5" s="102" t="s">
        <v>385</v>
      </c>
      <c r="G5" s="102" t="s">
        <v>386</v>
      </c>
      <c r="H5" s="102" t="s">
        <v>387</v>
      </c>
      <c r="I5" s="102" t="s">
        <v>388</v>
      </c>
      <c r="J5" s="105" t="s">
        <v>389</v>
      </c>
      <c r="K5" s="102" t="s">
        <v>390</v>
      </c>
      <c r="L5" s="102" t="s">
        <v>391</v>
      </c>
      <c r="M5" s="106"/>
      <c r="N5" s="107">
        <v>50.685768239081</v>
      </c>
      <c r="O5" s="107">
        <v>-3.44900589999999</v>
      </c>
      <c r="P5" s="108" t="s">
        <v>392</v>
      </c>
      <c r="Q5" s="108" t="s">
        <v>393</v>
      </c>
      <c r="R5" s="113" t="b">
        <v>1</v>
      </c>
      <c r="S5" s="116">
        <v>46321.0</v>
      </c>
      <c r="T5" s="116">
        <v>46326.0</v>
      </c>
      <c r="U5" s="119">
        <v>6.0</v>
      </c>
      <c r="V5" s="105" t="s">
        <v>410</v>
      </c>
      <c r="W5" s="113" t="b">
        <v>1</v>
      </c>
      <c r="X5" s="122">
        <v>0.4166666666678793</v>
      </c>
      <c r="Y5" s="122">
        <v>0.6875</v>
      </c>
      <c r="Z5" s="102" t="s">
        <v>414</v>
      </c>
      <c r="AA5" s="102" t="s">
        <v>414</v>
      </c>
      <c r="AB5" s="102" t="s">
        <v>414</v>
      </c>
      <c r="AC5" s="102" t="s">
        <v>414</v>
      </c>
      <c r="AD5" s="102" t="s">
        <v>414</v>
      </c>
      <c r="AE5" s="102" t="s">
        <v>414</v>
      </c>
      <c r="AF5" s="102" t="s">
        <v>414</v>
      </c>
      <c r="AG5" s="102" t="s">
        <v>414</v>
      </c>
      <c r="AH5" s="102" t="s">
        <v>414</v>
      </c>
      <c r="AI5" s="102" t="s">
        <v>414</v>
      </c>
      <c r="AJ5" s="102" t="s">
        <v>414</v>
      </c>
      <c r="AK5" s="102" t="s">
        <v>414</v>
      </c>
      <c r="AL5" s="102" t="s">
        <v>414</v>
      </c>
      <c r="AM5" s="102" t="s">
        <v>414</v>
      </c>
      <c r="AN5" s="102" t="b">
        <v>1</v>
      </c>
      <c r="AO5" s="102"/>
      <c r="AP5" s="119"/>
      <c r="AQ5" s="119"/>
      <c r="AR5" s="119"/>
      <c r="AS5" s="119"/>
      <c r="AT5" s="102"/>
      <c r="AU5" s="102"/>
      <c r="AV5" s="127">
        <v>46310.0</v>
      </c>
      <c r="AW5" s="113" t="b">
        <v>1</v>
      </c>
      <c r="AX5" s="102" t="b">
        <v>1</v>
      </c>
      <c r="AY5" s="102" t="s">
        <v>436</v>
      </c>
      <c r="AZ5" s="102" t="s">
        <v>439</v>
      </c>
      <c r="BA5" s="102" t="s">
        <v>440</v>
      </c>
      <c r="BB5" s="128">
        <v>0.0</v>
      </c>
      <c r="BC5" s="102" t="s">
        <v>447</v>
      </c>
      <c r="BD5" s="128">
        <v>5.0</v>
      </c>
      <c r="BE5" s="102" t="s">
        <v>414</v>
      </c>
      <c r="BF5" s="128" t="s">
        <v>414</v>
      </c>
      <c r="BG5" s="119" t="s">
        <v>414</v>
      </c>
      <c r="BH5" s="128" t="s">
        <v>414</v>
      </c>
      <c r="BI5" s="102" t="s">
        <v>457</v>
      </c>
      <c r="BJ5" s="130">
        <v>5.0</v>
      </c>
      <c r="BK5" s="102" t="s">
        <v>414</v>
      </c>
      <c r="BL5" s="128" t="s">
        <v>414</v>
      </c>
      <c r="BM5" s="102" t="s">
        <v>414</v>
      </c>
      <c r="BN5" s="102" t="s">
        <v>414</v>
      </c>
      <c r="BO5" s="132" t="s">
        <v>470</v>
      </c>
      <c r="BP5" s="102" t="s">
        <v>474</v>
      </c>
      <c r="BQ5" s="105" t="s">
        <v>476</v>
      </c>
      <c r="BR5" s="102" t="s">
        <v>478</v>
      </c>
      <c r="BS5" s="113" t="b">
        <v>1</v>
      </c>
      <c r="BT5" s="113" t="b">
        <v>1</v>
      </c>
      <c r="BU5" s="113" t="b">
        <v>1</v>
      </c>
      <c r="BV5" s="113" t="b">
        <v>1</v>
      </c>
      <c r="BW5" s="113" t="b">
        <v>1</v>
      </c>
      <c r="BX5" s="113" t="b">
        <v>1</v>
      </c>
      <c r="BY5" s="113" t="b">
        <v>1</v>
      </c>
      <c r="BZ5" s="102" t="s">
        <v>491</v>
      </c>
      <c r="CA5" s="105" t="s">
        <v>492</v>
      </c>
      <c r="CB5" s="102" t="s">
        <v>493</v>
      </c>
      <c r="CC5" s="102" t="s">
        <v>494</v>
      </c>
      <c r="CD5" s="102" t="s">
        <v>496</v>
      </c>
      <c r="CE5" s="139" t="b">
        <v>0</v>
      </c>
      <c r="CF5" s="140"/>
      <c r="CG5" s="141"/>
      <c r="CH5" s="141"/>
      <c r="CI5" s="102" t="s">
        <v>503</v>
      </c>
      <c r="CJ5" s="102" t="s">
        <v>504</v>
      </c>
      <c r="CK5" s="141"/>
      <c r="CL5" s="141"/>
      <c r="CM5" s="142" t="s">
        <v>508</v>
      </c>
      <c r="CN5" s="105" t="s">
        <v>512</v>
      </c>
      <c r="CO5" s="144">
        <v>46311.42578181713</v>
      </c>
      <c r="CP5" s="105">
        <v>1.0</v>
      </c>
      <c r="CQ5" s="105">
        <v>1.0</v>
      </c>
      <c r="CR5" s="113"/>
      <c r="CS5" s="105" t="b">
        <v>0</v>
      </c>
      <c r="CT5" s="105" t="b">
        <v>0</v>
      </c>
      <c r="CU5" s="105"/>
    </row>
    <row r="6" ht="20.25" customHeight="1">
      <c r="A6" s="102" t="s">
        <v>376</v>
      </c>
      <c r="B6" s="102" t="s">
        <v>380</v>
      </c>
      <c r="C6" s="102" t="s">
        <v>381</v>
      </c>
      <c r="D6" s="102" t="s">
        <v>529</v>
      </c>
      <c r="E6" s="102" t="s">
        <v>384</v>
      </c>
      <c r="F6" s="102" t="s">
        <v>385</v>
      </c>
      <c r="G6" s="102" t="s">
        <v>386</v>
      </c>
      <c r="H6" s="102" t="s">
        <v>387</v>
      </c>
      <c r="I6" s="102" t="s">
        <v>388</v>
      </c>
      <c r="J6" s="105" t="s">
        <v>389</v>
      </c>
      <c r="K6" s="102" t="s">
        <v>390</v>
      </c>
      <c r="L6" s="102" t="s">
        <v>391</v>
      </c>
      <c r="M6" s="106"/>
      <c r="N6" s="107">
        <v>50.685768239081</v>
      </c>
      <c r="O6" s="107">
        <v>-3.44900589999999</v>
      </c>
      <c r="P6" s="108" t="s">
        <v>392</v>
      </c>
      <c r="Q6" s="108" t="s">
        <v>393</v>
      </c>
      <c r="R6" s="113" t="b">
        <v>1</v>
      </c>
      <c r="S6" s="116">
        <v>46305.0</v>
      </c>
      <c r="T6" s="116">
        <v>46320.0</v>
      </c>
      <c r="U6" s="119">
        <v>6.0</v>
      </c>
      <c r="V6" s="105" t="s">
        <v>531</v>
      </c>
      <c r="W6" s="113" t="b">
        <v>1</v>
      </c>
      <c r="X6" s="122">
        <v>0.4166666666678793</v>
      </c>
      <c r="Y6" s="122">
        <v>0.6875</v>
      </c>
      <c r="Z6" s="102" t="s">
        <v>414</v>
      </c>
      <c r="AA6" s="102" t="s">
        <v>414</v>
      </c>
      <c r="AB6" s="102" t="s">
        <v>414</v>
      </c>
      <c r="AC6" s="102" t="s">
        <v>414</v>
      </c>
      <c r="AD6" s="102" t="s">
        <v>414</v>
      </c>
      <c r="AE6" s="102" t="s">
        <v>414</v>
      </c>
      <c r="AF6" s="102" t="s">
        <v>414</v>
      </c>
      <c r="AG6" s="102" t="s">
        <v>414</v>
      </c>
      <c r="AH6" s="102" t="s">
        <v>414</v>
      </c>
      <c r="AI6" s="102" t="s">
        <v>414</v>
      </c>
      <c r="AJ6" s="102" t="s">
        <v>414</v>
      </c>
      <c r="AK6" s="102" t="s">
        <v>414</v>
      </c>
      <c r="AL6" s="102" t="s">
        <v>414</v>
      </c>
      <c r="AM6" s="102" t="s">
        <v>414</v>
      </c>
      <c r="AN6" s="102" t="b">
        <v>1</v>
      </c>
      <c r="AO6" s="102"/>
      <c r="AP6" s="119"/>
      <c r="AQ6" s="119"/>
      <c r="AR6" s="119"/>
      <c r="AS6" s="119"/>
      <c r="AT6" s="102"/>
      <c r="AU6" s="102"/>
      <c r="AV6" s="127">
        <v>46310.0</v>
      </c>
      <c r="AW6" s="113" t="b">
        <v>1</v>
      </c>
      <c r="AX6" s="102" t="b">
        <v>1</v>
      </c>
      <c r="AY6" s="102" t="s">
        <v>436</v>
      </c>
      <c r="AZ6" s="102" t="s">
        <v>439</v>
      </c>
      <c r="BA6" s="102" t="s">
        <v>440</v>
      </c>
      <c r="BB6" s="128">
        <v>0.0</v>
      </c>
      <c r="BC6" s="102" t="s">
        <v>447</v>
      </c>
      <c r="BD6" s="128">
        <v>5.0</v>
      </c>
      <c r="BE6" s="102" t="s">
        <v>414</v>
      </c>
      <c r="BF6" s="128" t="s">
        <v>414</v>
      </c>
      <c r="BG6" s="119" t="s">
        <v>414</v>
      </c>
      <c r="BH6" s="128" t="s">
        <v>414</v>
      </c>
      <c r="BI6" s="102" t="s">
        <v>457</v>
      </c>
      <c r="BJ6" s="130">
        <v>5.0</v>
      </c>
      <c r="BK6" s="102" t="s">
        <v>414</v>
      </c>
      <c r="BL6" s="128" t="s">
        <v>414</v>
      </c>
      <c r="BM6" s="102" t="s">
        <v>414</v>
      </c>
      <c r="BN6" s="102" t="s">
        <v>414</v>
      </c>
      <c r="BO6" s="132" t="s">
        <v>470</v>
      </c>
      <c r="BP6" s="102" t="s">
        <v>474</v>
      </c>
      <c r="BQ6" s="105" t="s">
        <v>476</v>
      </c>
      <c r="BR6" s="102" t="s">
        <v>478</v>
      </c>
      <c r="BS6" s="113" t="b">
        <v>1</v>
      </c>
      <c r="BT6" s="113" t="b">
        <v>1</v>
      </c>
      <c r="BU6" s="113" t="b">
        <v>1</v>
      </c>
      <c r="BV6" s="113" t="b">
        <v>1</v>
      </c>
      <c r="BW6" s="113" t="b">
        <v>1</v>
      </c>
      <c r="BX6" s="113" t="b">
        <v>1</v>
      </c>
      <c r="BY6" s="113" t="b">
        <v>1</v>
      </c>
      <c r="BZ6" s="102" t="s">
        <v>491</v>
      </c>
      <c r="CA6" s="105" t="s">
        <v>492</v>
      </c>
      <c r="CB6" s="102" t="s">
        <v>493</v>
      </c>
      <c r="CC6" s="102" t="s">
        <v>494</v>
      </c>
      <c r="CD6" s="102" t="s">
        <v>496</v>
      </c>
      <c r="CE6" s="139" t="b">
        <v>0</v>
      </c>
      <c r="CF6" s="140"/>
      <c r="CG6" s="141"/>
      <c r="CH6" s="141"/>
      <c r="CI6" s="102" t="s">
        <v>503</v>
      </c>
      <c r="CJ6" s="102" t="s">
        <v>504</v>
      </c>
      <c r="CK6" s="141"/>
      <c r="CL6" s="141"/>
      <c r="CM6" s="142" t="s">
        <v>549</v>
      </c>
      <c r="CN6" s="105" t="s">
        <v>512</v>
      </c>
      <c r="CO6" s="144">
        <v>46311.408540081015</v>
      </c>
      <c r="CP6" s="105">
        <v>1.0</v>
      </c>
      <c r="CQ6" s="105">
        <v>1.0</v>
      </c>
      <c r="CR6" s="113"/>
      <c r="CS6" s="105" t="b">
        <v>0</v>
      </c>
      <c r="CT6" s="105" t="b">
        <v>0</v>
      </c>
      <c r="CU6" s="105"/>
    </row>
    <row r="7" ht="20.25" customHeight="1">
      <c r="A7" s="102" t="s">
        <v>376</v>
      </c>
      <c r="B7" s="102" t="s">
        <v>551</v>
      </c>
      <c r="C7" s="102"/>
      <c r="D7" s="102" t="s">
        <v>552</v>
      </c>
      <c r="E7" s="102" t="s">
        <v>553</v>
      </c>
      <c r="F7" s="102" t="s">
        <v>554</v>
      </c>
      <c r="G7" s="102" t="s">
        <v>555</v>
      </c>
      <c r="H7" s="102" t="s">
        <v>556</v>
      </c>
      <c r="I7" s="102" t="s">
        <v>557</v>
      </c>
      <c r="J7" s="105" t="s">
        <v>558</v>
      </c>
      <c r="K7" s="102"/>
      <c r="L7" s="102" t="s">
        <v>559</v>
      </c>
      <c r="M7" s="106"/>
      <c r="N7" s="107">
        <v>50.7153182294733</v>
      </c>
      <c r="O7" s="107">
        <v>-3.78054633120452</v>
      </c>
      <c r="P7" s="108" t="s">
        <v>392</v>
      </c>
      <c r="Q7" s="108" t="s">
        <v>563</v>
      </c>
      <c r="R7" s="113" t="b">
        <v>1</v>
      </c>
      <c r="S7" s="116">
        <v>46322.0</v>
      </c>
      <c r="T7" s="116">
        <v>46325.0</v>
      </c>
      <c r="U7" s="160"/>
      <c r="V7" s="105" t="s">
        <v>568</v>
      </c>
      <c r="W7" s="113" t="b">
        <v>1</v>
      </c>
      <c r="X7" s="122">
        <v>0.4166666666678793</v>
      </c>
      <c r="Y7" s="122">
        <v>0.5</v>
      </c>
      <c r="Z7" s="102" t="s">
        <v>414</v>
      </c>
      <c r="AA7" s="102" t="s">
        <v>414</v>
      </c>
      <c r="AB7" s="102" t="s">
        <v>414</v>
      </c>
      <c r="AC7" s="102" t="s">
        <v>414</v>
      </c>
      <c r="AD7" s="102" t="s">
        <v>414</v>
      </c>
      <c r="AE7" s="102" t="s">
        <v>414</v>
      </c>
      <c r="AF7" s="102" t="s">
        <v>414</v>
      </c>
      <c r="AG7" s="102" t="s">
        <v>414</v>
      </c>
      <c r="AH7" s="102" t="s">
        <v>414</v>
      </c>
      <c r="AI7" s="102" t="s">
        <v>414</v>
      </c>
      <c r="AJ7" s="102" t="s">
        <v>414</v>
      </c>
      <c r="AK7" s="102" t="s">
        <v>414</v>
      </c>
      <c r="AL7" s="102" t="s">
        <v>414</v>
      </c>
      <c r="AM7" s="102" t="s">
        <v>414</v>
      </c>
      <c r="AN7" s="102" t="b">
        <v>0</v>
      </c>
      <c r="AO7" s="102"/>
      <c r="AP7" s="119"/>
      <c r="AQ7" s="119"/>
      <c r="AR7" s="119"/>
      <c r="AS7" s="119"/>
      <c r="AT7" s="102"/>
      <c r="AU7" s="102"/>
      <c r="AV7" s="127">
        <v>46310.0</v>
      </c>
      <c r="AW7" s="113" t="b">
        <v>1</v>
      </c>
      <c r="AX7" s="102" t="b">
        <v>1</v>
      </c>
      <c r="AY7" s="102" t="s">
        <v>436</v>
      </c>
      <c r="AZ7" s="102" t="s">
        <v>439</v>
      </c>
      <c r="BA7" s="102" t="s">
        <v>572</v>
      </c>
      <c r="BB7" s="128">
        <v>0.0</v>
      </c>
      <c r="BC7" s="165">
        <v>46236.0</v>
      </c>
      <c r="BD7" s="128">
        <v>13.5</v>
      </c>
      <c r="BE7" s="102" t="s">
        <v>414</v>
      </c>
      <c r="BF7" s="128" t="s">
        <v>414</v>
      </c>
      <c r="BG7" s="119" t="s">
        <v>414</v>
      </c>
      <c r="BH7" s="128" t="s">
        <v>414</v>
      </c>
      <c r="BI7" s="102" t="s">
        <v>457</v>
      </c>
      <c r="BJ7" s="130">
        <v>0.0</v>
      </c>
      <c r="BK7" s="102" t="s">
        <v>414</v>
      </c>
      <c r="BL7" s="102" t="s">
        <v>414</v>
      </c>
      <c r="BM7" s="102" t="s">
        <v>414</v>
      </c>
      <c r="BN7" s="102" t="s">
        <v>414</v>
      </c>
      <c r="BO7" s="102" t="s">
        <v>470</v>
      </c>
      <c r="BP7" s="102" t="s">
        <v>580</v>
      </c>
      <c r="BQ7" s="105" t="s">
        <v>581</v>
      </c>
      <c r="BR7" s="102" t="s">
        <v>582</v>
      </c>
      <c r="BS7" s="113" t="b">
        <v>1</v>
      </c>
      <c r="BT7" s="113" t="b">
        <v>1</v>
      </c>
      <c r="BU7" s="113" t="b">
        <v>1</v>
      </c>
      <c r="BV7" s="113" t="b">
        <v>1</v>
      </c>
      <c r="BW7" s="113" t="b">
        <v>0</v>
      </c>
      <c r="BX7" s="113" t="b">
        <v>0</v>
      </c>
      <c r="BY7" s="113" t="b">
        <v>0</v>
      </c>
      <c r="BZ7" s="102" t="s">
        <v>590</v>
      </c>
      <c r="CA7" s="105" t="s">
        <v>492</v>
      </c>
      <c r="CB7" s="102" t="s">
        <v>493</v>
      </c>
      <c r="CC7" s="102" t="s">
        <v>591</v>
      </c>
      <c r="CD7" s="102" t="s">
        <v>592</v>
      </c>
      <c r="CE7" s="139" t="b">
        <v>0</v>
      </c>
      <c r="CF7" s="140"/>
      <c r="CG7" s="141"/>
      <c r="CH7" s="141"/>
      <c r="CI7" s="102" t="s">
        <v>594</v>
      </c>
      <c r="CJ7" s="102" t="s">
        <v>504</v>
      </c>
      <c r="CK7" s="141"/>
      <c r="CL7" s="141"/>
      <c r="CM7" s="142" t="s">
        <v>595</v>
      </c>
      <c r="CN7" s="105" t="s">
        <v>512</v>
      </c>
      <c r="CO7" s="169">
        <v>46295.60268541667</v>
      </c>
      <c r="CP7" s="105">
        <v>1.0</v>
      </c>
      <c r="CQ7" s="105">
        <v>1.0</v>
      </c>
      <c r="CR7" s="113"/>
      <c r="CS7" s="105" t="b">
        <v>0</v>
      </c>
      <c r="CT7" s="105" t="b">
        <v>0</v>
      </c>
      <c r="CU7" s="105"/>
    </row>
    <row r="8" ht="20.25" customHeight="1">
      <c r="A8" s="102" t="s">
        <v>376</v>
      </c>
      <c r="B8" s="102" t="s">
        <v>380</v>
      </c>
      <c r="C8" s="102" t="s">
        <v>381</v>
      </c>
      <c r="D8" s="102" t="s">
        <v>599</v>
      </c>
      <c r="E8" s="102" t="s">
        <v>384</v>
      </c>
      <c r="F8" s="102" t="s">
        <v>385</v>
      </c>
      <c r="G8" s="102" t="s">
        <v>601</v>
      </c>
      <c r="H8" s="102" t="s">
        <v>603</v>
      </c>
      <c r="I8" s="102" t="s">
        <v>605</v>
      </c>
      <c r="J8" s="105"/>
      <c r="K8" s="102"/>
      <c r="L8" s="102" t="s">
        <v>606</v>
      </c>
      <c r="M8" s="106"/>
      <c r="N8" s="107">
        <v>50.6458029310083</v>
      </c>
      <c r="O8" s="107">
        <v>-4.29760962935719</v>
      </c>
      <c r="P8" s="108" t="s">
        <v>392</v>
      </c>
      <c r="Q8" s="108" t="s">
        <v>393</v>
      </c>
      <c r="R8" s="113" t="b">
        <v>1</v>
      </c>
      <c r="S8" s="116">
        <v>46321.0</v>
      </c>
      <c r="T8" s="116">
        <v>46326.0</v>
      </c>
      <c r="U8" s="160"/>
      <c r="V8" s="105" t="s">
        <v>410</v>
      </c>
      <c r="W8" s="113" t="b">
        <v>1</v>
      </c>
      <c r="X8" s="122">
        <v>0.375</v>
      </c>
      <c r="Y8" s="122">
        <v>0.6041666666678793</v>
      </c>
      <c r="Z8" s="102" t="s">
        <v>414</v>
      </c>
      <c r="AA8" s="102" t="s">
        <v>414</v>
      </c>
      <c r="AB8" s="102" t="s">
        <v>414</v>
      </c>
      <c r="AC8" s="102" t="s">
        <v>414</v>
      </c>
      <c r="AD8" s="102" t="s">
        <v>414</v>
      </c>
      <c r="AE8" s="102" t="s">
        <v>414</v>
      </c>
      <c r="AF8" s="102" t="s">
        <v>414</v>
      </c>
      <c r="AG8" s="102" t="s">
        <v>414</v>
      </c>
      <c r="AH8" s="102" t="s">
        <v>414</v>
      </c>
      <c r="AI8" s="102" t="s">
        <v>414</v>
      </c>
      <c r="AJ8" s="102" t="s">
        <v>414</v>
      </c>
      <c r="AK8" s="102" t="s">
        <v>414</v>
      </c>
      <c r="AL8" s="102" t="s">
        <v>414</v>
      </c>
      <c r="AM8" s="102" t="s">
        <v>414</v>
      </c>
      <c r="AN8" s="102" t="b">
        <v>1</v>
      </c>
      <c r="AO8" s="102"/>
      <c r="AP8" s="119"/>
      <c r="AQ8" s="119"/>
      <c r="AR8" s="119"/>
      <c r="AS8" s="119"/>
      <c r="AT8" s="102"/>
      <c r="AU8" s="102"/>
      <c r="AV8" s="175">
        <v>46294.0</v>
      </c>
      <c r="AW8" s="113" t="b">
        <v>1</v>
      </c>
      <c r="AX8" s="102" t="b">
        <v>1</v>
      </c>
      <c r="AY8" s="102" t="s">
        <v>436</v>
      </c>
      <c r="AZ8" s="102" t="s">
        <v>439</v>
      </c>
      <c r="BA8" s="102" t="s">
        <v>623</v>
      </c>
      <c r="BB8" s="128">
        <v>0.0</v>
      </c>
      <c r="BC8" s="102" t="s">
        <v>447</v>
      </c>
      <c r="BD8" s="128">
        <v>5.95</v>
      </c>
      <c r="BE8" s="102" t="s">
        <v>414</v>
      </c>
      <c r="BF8" s="128" t="s">
        <v>414</v>
      </c>
      <c r="BG8" s="119" t="s">
        <v>414</v>
      </c>
      <c r="BH8" s="128" t="s">
        <v>414</v>
      </c>
      <c r="BI8" s="102" t="s">
        <v>457</v>
      </c>
      <c r="BJ8" s="130">
        <v>5.95</v>
      </c>
      <c r="BK8" s="102" t="s">
        <v>414</v>
      </c>
      <c r="BL8" s="102" t="s">
        <v>414</v>
      </c>
      <c r="BM8" s="102" t="s">
        <v>414</v>
      </c>
      <c r="BN8" s="102" t="s">
        <v>414</v>
      </c>
      <c r="BO8" s="132" t="s">
        <v>470</v>
      </c>
      <c r="BP8" s="102" t="s">
        <v>624</v>
      </c>
      <c r="BQ8" s="105" t="s">
        <v>625</v>
      </c>
      <c r="BR8" s="102" t="s">
        <v>626</v>
      </c>
      <c r="BS8" s="113" t="b">
        <v>0</v>
      </c>
      <c r="BT8" s="113" t="b">
        <v>1</v>
      </c>
      <c r="BU8" s="113" t="b">
        <v>1</v>
      </c>
      <c r="BV8" s="113" t="b">
        <v>1</v>
      </c>
      <c r="BW8" s="113" t="b">
        <v>1</v>
      </c>
      <c r="BX8" s="113" t="b">
        <v>1</v>
      </c>
      <c r="BY8" s="113" t="b">
        <v>1</v>
      </c>
      <c r="BZ8" s="102" t="s">
        <v>630</v>
      </c>
      <c r="CA8" s="105" t="s">
        <v>492</v>
      </c>
      <c r="CB8" s="102" t="s">
        <v>493</v>
      </c>
      <c r="CC8" s="102" t="s">
        <v>632</v>
      </c>
      <c r="CD8" s="102" t="s">
        <v>633</v>
      </c>
      <c r="CE8" s="139" t="b">
        <v>0</v>
      </c>
      <c r="CF8" s="140"/>
      <c r="CG8" s="141"/>
      <c r="CH8" s="141"/>
      <c r="CI8" s="102" t="s">
        <v>635</v>
      </c>
      <c r="CJ8" s="102" t="s">
        <v>637</v>
      </c>
      <c r="CK8" s="141"/>
      <c r="CL8" s="141"/>
      <c r="CM8" s="142" t="s">
        <v>639</v>
      </c>
      <c r="CN8" s="105" t="s">
        <v>512</v>
      </c>
      <c r="CO8" s="169">
        <v>46294.622659120374</v>
      </c>
      <c r="CP8" s="105">
        <v>1.0</v>
      </c>
      <c r="CQ8" s="105">
        <v>1.0</v>
      </c>
      <c r="CR8" s="113"/>
      <c r="CS8" s="105" t="b">
        <v>0</v>
      </c>
      <c r="CT8" s="105" t="b">
        <v>0</v>
      </c>
      <c r="CU8" s="105"/>
    </row>
    <row r="9" ht="20.25" customHeight="1">
      <c r="A9" s="102" t="s">
        <v>376</v>
      </c>
      <c r="B9" s="102" t="s">
        <v>380</v>
      </c>
      <c r="C9" s="102" t="s">
        <v>381</v>
      </c>
      <c r="D9" s="102" t="s">
        <v>642</v>
      </c>
      <c r="E9" s="102" t="s">
        <v>384</v>
      </c>
      <c r="F9" s="102" t="s">
        <v>385</v>
      </c>
      <c r="G9" s="102" t="s">
        <v>601</v>
      </c>
      <c r="H9" s="102" t="s">
        <v>603</v>
      </c>
      <c r="I9" s="102" t="s">
        <v>605</v>
      </c>
      <c r="J9" s="105"/>
      <c r="K9" s="102"/>
      <c r="L9" s="102" t="s">
        <v>606</v>
      </c>
      <c r="M9" s="106"/>
      <c r="N9" s="107">
        <v>50.6458029310083</v>
      </c>
      <c r="O9" s="107">
        <v>-4.29760962935719</v>
      </c>
      <c r="P9" s="108" t="s">
        <v>392</v>
      </c>
      <c r="Q9" s="108" t="s">
        <v>393</v>
      </c>
      <c r="R9" s="113" t="b">
        <v>1</v>
      </c>
      <c r="S9" s="116">
        <v>46298.0</v>
      </c>
      <c r="T9" s="116">
        <v>46320.0</v>
      </c>
      <c r="U9" s="160"/>
      <c r="V9" s="105" t="s">
        <v>531</v>
      </c>
      <c r="W9" s="113" t="b">
        <v>1</v>
      </c>
      <c r="X9" s="122">
        <v>0.375</v>
      </c>
      <c r="Y9" s="122">
        <v>0.6041666666678793</v>
      </c>
      <c r="Z9" s="102" t="s">
        <v>414</v>
      </c>
      <c r="AA9" s="102" t="s">
        <v>414</v>
      </c>
      <c r="AB9" s="102" t="s">
        <v>414</v>
      </c>
      <c r="AC9" s="102" t="s">
        <v>414</v>
      </c>
      <c r="AD9" s="102" t="s">
        <v>414</v>
      </c>
      <c r="AE9" s="102" t="s">
        <v>414</v>
      </c>
      <c r="AF9" s="102" t="s">
        <v>414</v>
      </c>
      <c r="AG9" s="102" t="s">
        <v>414</v>
      </c>
      <c r="AH9" s="102" t="s">
        <v>414</v>
      </c>
      <c r="AI9" s="102" t="s">
        <v>414</v>
      </c>
      <c r="AJ9" s="102" t="s">
        <v>414</v>
      </c>
      <c r="AK9" s="102" t="s">
        <v>414</v>
      </c>
      <c r="AL9" s="102" t="s">
        <v>414</v>
      </c>
      <c r="AM9" s="102" t="s">
        <v>414</v>
      </c>
      <c r="AN9" s="102" t="b">
        <v>1</v>
      </c>
      <c r="AO9" s="102"/>
      <c r="AP9" s="119"/>
      <c r="AQ9" s="119"/>
      <c r="AR9" s="119"/>
      <c r="AS9" s="119"/>
      <c r="AT9" s="102"/>
      <c r="AU9" s="102"/>
      <c r="AV9" s="175">
        <v>46294.0</v>
      </c>
      <c r="AW9" s="113" t="b">
        <v>1</v>
      </c>
      <c r="AX9" s="102" t="b">
        <v>1</v>
      </c>
      <c r="AY9" s="102" t="s">
        <v>436</v>
      </c>
      <c r="AZ9" s="102" t="s">
        <v>439</v>
      </c>
      <c r="BA9" s="102" t="s">
        <v>623</v>
      </c>
      <c r="BB9" s="128">
        <v>0.0</v>
      </c>
      <c r="BC9" s="102" t="s">
        <v>447</v>
      </c>
      <c r="BD9" s="128">
        <v>5.95</v>
      </c>
      <c r="BE9" s="102" t="s">
        <v>414</v>
      </c>
      <c r="BF9" s="128" t="s">
        <v>414</v>
      </c>
      <c r="BG9" s="119" t="s">
        <v>414</v>
      </c>
      <c r="BH9" s="128" t="s">
        <v>414</v>
      </c>
      <c r="BI9" s="102" t="s">
        <v>457</v>
      </c>
      <c r="BJ9" s="130">
        <v>5.95</v>
      </c>
      <c r="BK9" s="102" t="s">
        <v>414</v>
      </c>
      <c r="BL9" s="102" t="s">
        <v>414</v>
      </c>
      <c r="BM9" s="102" t="s">
        <v>414</v>
      </c>
      <c r="BN9" s="102" t="s">
        <v>414</v>
      </c>
      <c r="BO9" s="132" t="s">
        <v>470</v>
      </c>
      <c r="BP9" s="102" t="s">
        <v>624</v>
      </c>
      <c r="BQ9" s="105" t="s">
        <v>625</v>
      </c>
      <c r="BR9" s="102" t="s">
        <v>626</v>
      </c>
      <c r="BS9" s="113" t="b">
        <v>0</v>
      </c>
      <c r="BT9" s="113" t="b">
        <v>1</v>
      </c>
      <c r="BU9" s="113" t="b">
        <v>1</v>
      </c>
      <c r="BV9" s="113" t="b">
        <v>1</v>
      </c>
      <c r="BW9" s="113" t="b">
        <v>1</v>
      </c>
      <c r="BX9" s="113" t="b">
        <v>1</v>
      </c>
      <c r="BY9" s="113" t="b">
        <v>1</v>
      </c>
      <c r="BZ9" s="102" t="s">
        <v>630</v>
      </c>
      <c r="CA9" s="105" t="s">
        <v>492</v>
      </c>
      <c r="CB9" s="102" t="s">
        <v>493</v>
      </c>
      <c r="CC9" s="102" t="s">
        <v>632</v>
      </c>
      <c r="CD9" s="102" t="s">
        <v>633</v>
      </c>
      <c r="CE9" s="139" t="b">
        <v>0</v>
      </c>
      <c r="CF9" s="140"/>
      <c r="CG9" s="141"/>
      <c r="CH9" s="141"/>
      <c r="CI9" s="102" t="s">
        <v>635</v>
      </c>
      <c r="CJ9" s="102" t="s">
        <v>637</v>
      </c>
      <c r="CK9" s="141"/>
      <c r="CL9" s="141"/>
      <c r="CM9" s="142" t="s">
        <v>663</v>
      </c>
      <c r="CN9" s="105" t="s">
        <v>512</v>
      </c>
      <c r="CO9" s="169">
        <v>46294.62237244213</v>
      </c>
      <c r="CP9" s="105">
        <v>1.0</v>
      </c>
      <c r="CQ9" s="105">
        <v>1.0</v>
      </c>
      <c r="CR9" s="113"/>
      <c r="CS9" s="105" t="b">
        <v>0</v>
      </c>
      <c r="CT9" s="105" t="b">
        <v>0</v>
      </c>
      <c r="CU9" s="105"/>
    </row>
    <row r="10" ht="20.25" customHeight="1">
      <c r="A10" s="102" t="s">
        <v>376</v>
      </c>
      <c r="B10" s="102" t="s">
        <v>380</v>
      </c>
      <c r="C10" s="102" t="s">
        <v>669</v>
      </c>
      <c r="D10" s="102" t="s">
        <v>671</v>
      </c>
      <c r="E10" s="102" t="s">
        <v>672</v>
      </c>
      <c r="F10" s="102" t="s">
        <v>673</v>
      </c>
      <c r="G10" s="102" t="s">
        <v>677</v>
      </c>
      <c r="H10" s="102" t="s">
        <v>671</v>
      </c>
      <c r="I10" s="102" t="s">
        <v>681</v>
      </c>
      <c r="J10" s="105"/>
      <c r="K10" s="102"/>
      <c r="L10" s="102" t="s">
        <v>684</v>
      </c>
      <c r="M10" s="106"/>
      <c r="N10" s="107">
        <v>50.7054062436723</v>
      </c>
      <c r="O10" s="107">
        <v>-3.38080436004073</v>
      </c>
      <c r="P10" s="108" t="s">
        <v>392</v>
      </c>
      <c r="Q10" s="108" t="s">
        <v>674</v>
      </c>
      <c r="R10" s="113" t="b">
        <v>1</v>
      </c>
      <c r="S10" s="116">
        <v>46170.0</v>
      </c>
      <c r="T10" s="116">
        <v>46306.0</v>
      </c>
      <c r="U10" s="160"/>
      <c r="V10" s="105" t="s">
        <v>690</v>
      </c>
      <c r="W10" s="113" t="b">
        <v>1</v>
      </c>
      <c r="X10" s="122">
        <v>0.4166666666678793</v>
      </c>
      <c r="Y10" s="122">
        <v>0.625</v>
      </c>
      <c r="Z10" s="102" t="s">
        <v>414</v>
      </c>
      <c r="AA10" s="102" t="s">
        <v>414</v>
      </c>
      <c r="AB10" s="102" t="s">
        <v>414</v>
      </c>
      <c r="AC10" s="102" t="s">
        <v>414</v>
      </c>
      <c r="AD10" s="102" t="s">
        <v>414</v>
      </c>
      <c r="AE10" s="102" t="s">
        <v>414</v>
      </c>
      <c r="AF10" s="102" t="s">
        <v>414</v>
      </c>
      <c r="AG10" s="102" t="s">
        <v>414</v>
      </c>
      <c r="AH10" s="102" t="s">
        <v>414</v>
      </c>
      <c r="AI10" s="102" t="s">
        <v>414</v>
      </c>
      <c r="AJ10" s="102" t="s">
        <v>414</v>
      </c>
      <c r="AK10" s="102" t="s">
        <v>414</v>
      </c>
      <c r="AL10" s="102" t="s">
        <v>414</v>
      </c>
      <c r="AM10" s="102" t="s">
        <v>414</v>
      </c>
      <c r="AN10" s="102" t="b">
        <v>0</v>
      </c>
      <c r="AO10" s="102"/>
      <c r="AP10" s="119"/>
      <c r="AQ10" s="119"/>
      <c r="AR10" s="119"/>
      <c r="AS10" s="119"/>
      <c r="AT10" s="102"/>
      <c r="AU10" s="102"/>
      <c r="AV10" s="175">
        <v>46170.0</v>
      </c>
      <c r="AW10" s="113" t="b">
        <v>1</v>
      </c>
      <c r="AX10" s="102" t="b">
        <v>0</v>
      </c>
      <c r="AY10" s="102" t="s">
        <v>586</v>
      </c>
      <c r="AZ10" s="102" t="s">
        <v>701</v>
      </c>
      <c r="BA10" s="102" t="s">
        <v>702</v>
      </c>
      <c r="BB10" s="128">
        <v>0.0</v>
      </c>
      <c r="BC10" s="102" t="s">
        <v>703</v>
      </c>
      <c r="BD10" s="128">
        <v>5.0</v>
      </c>
      <c r="BE10" s="102" t="s">
        <v>414</v>
      </c>
      <c r="BF10" s="128" t="s">
        <v>414</v>
      </c>
      <c r="BG10" s="119" t="s">
        <v>414</v>
      </c>
      <c r="BH10" s="128" t="s">
        <v>414</v>
      </c>
      <c r="BI10" s="102" t="s">
        <v>704</v>
      </c>
      <c r="BJ10" s="130">
        <v>5.0</v>
      </c>
      <c r="BK10" s="102" t="s">
        <v>705</v>
      </c>
      <c r="BL10" s="102">
        <v>0.0</v>
      </c>
      <c r="BM10" s="102" t="s">
        <v>414</v>
      </c>
      <c r="BN10" s="102" t="s">
        <v>414</v>
      </c>
      <c r="BO10" s="132" t="s">
        <v>470</v>
      </c>
      <c r="BP10" s="102" t="s">
        <v>706</v>
      </c>
      <c r="BQ10" s="105" t="s">
        <v>707</v>
      </c>
      <c r="BR10" s="102" t="s">
        <v>478</v>
      </c>
      <c r="BS10" s="113" t="b">
        <v>0</v>
      </c>
      <c r="BT10" s="113" t="b">
        <v>0</v>
      </c>
      <c r="BU10" s="113" t="b">
        <v>1</v>
      </c>
      <c r="BV10" s="113" t="b">
        <v>1</v>
      </c>
      <c r="BW10" s="113" t="b">
        <v>1</v>
      </c>
      <c r="BX10" s="113" t="b">
        <v>1</v>
      </c>
      <c r="BY10" s="113" t="b">
        <v>1</v>
      </c>
      <c r="BZ10" s="102" t="s">
        <v>710</v>
      </c>
      <c r="CA10" s="105" t="s">
        <v>711</v>
      </c>
      <c r="CB10" s="102" t="s">
        <v>713</v>
      </c>
      <c r="CC10" s="102" t="s">
        <v>715</v>
      </c>
      <c r="CD10" s="102" t="s">
        <v>717</v>
      </c>
      <c r="CE10" s="139" t="b">
        <v>0</v>
      </c>
      <c r="CF10" s="140"/>
      <c r="CG10" s="141"/>
      <c r="CH10" s="141"/>
      <c r="CI10" s="102" t="s">
        <v>721</v>
      </c>
      <c r="CJ10" s="102" t="s">
        <v>722</v>
      </c>
      <c r="CK10" s="141"/>
      <c r="CL10" s="141"/>
      <c r="CM10" s="142" t="s">
        <v>724</v>
      </c>
      <c r="CN10" s="105" t="s">
        <v>512</v>
      </c>
      <c r="CO10" s="169">
        <v>46294.576934895835</v>
      </c>
      <c r="CP10" s="105">
        <v>1.0</v>
      </c>
      <c r="CQ10" s="105">
        <v>1.0</v>
      </c>
      <c r="CR10" s="113"/>
      <c r="CS10" s="105" t="b">
        <v>0</v>
      </c>
      <c r="CT10" s="105" t="b">
        <v>0</v>
      </c>
      <c r="CU10" s="105"/>
    </row>
    <row r="11" ht="20.25" customHeight="1">
      <c r="A11" s="102" t="s">
        <v>376</v>
      </c>
      <c r="B11" s="102" t="s">
        <v>380</v>
      </c>
      <c r="C11" s="102" t="s">
        <v>381</v>
      </c>
      <c r="D11" s="102" t="s">
        <v>570</v>
      </c>
      <c r="E11" s="102" t="s">
        <v>384</v>
      </c>
      <c r="F11" s="102" t="s">
        <v>571</v>
      </c>
      <c r="G11" s="102" t="s">
        <v>573</v>
      </c>
      <c r="H11" s="102" t="s">
        <v>574</v>
      </c>
      <c r="I11" s="102" t="s">
        <v>575</v>
      </c>
      <c r="J11" s="105" t="s">
        <v>558</v>
      </c>
      <c r="K11" s="102"/>
      <c r="L11" s="102" t="s">
        <v>579</v>
      </c>
      <c r="M11" s="106"/>
      <c r="N11" s="107">
        <v>50.7041704736888</v>
      </c>
      <c r="O11" s="107">
        <v>-3.39866184654805</v>
      </c>
      <c r="P11" s="171" t="s">
        <v>392</v>
      </c>
      <c r="Q11" s="171" t="s">
        <v>674</v>
      </c>
      <c r="R11" s="113" t="b">
        <v>1</v>
      </c>
      <c r="S11" s="116">
        <v>46306.0</v>
      </c>
      <c r="T11" s="116">
        <v>46327.0</v>
      </c>
      <c r="V11" s="105" t="s">
        <v>519</v>
      </c>
      <c r="W11" s="113" t="b">
        <v>1</v>
      </c>
      <c r="X11" s="122">
        <v>0.3333333333321207</v>
      </c>
      <c r="Y11" s="122">
        <v>0.8333333333321207</v>
      </c>
      <c r="Z11" s="102" t="s">
        <v>414</v>
      </c>
      <c r="AA11" s="102" t="s">
        <v>414</v>
      </c>
      <c r="AB11" s="102" t="s">
        <v>414</v>
      </c>
      <c r="AC11" s="102" t="s">
        <v>414</v>
      </c>
      <c r="AD11" s="102" t="s">
        <v>414</v>
      </c>
      <c r="AE11" s="102" t="s">
        <v>414</v>
      </c>
      <c r="AF11" s="102" t="s">
        <v>414</v>
      </c>
      <c r="AG11" s="102" t="s">
        <v>414</v>
      </c>
      <c r="AH11" s="102" t="s">
        <v>414</v>
      </c>
      <c r="AI11" s="102" t="s">
        <v>414</v>
      </c>
      <c r="AJ11" s="102" t="s">
        <v>414</v>
      </c>
      <c r="AK11" s="102" t="s">
        <v>414</v>
      </c>
      <c r="AL11" s="102" t="s">
        <v>414</v>
      </c>
      <c r="AM11" s="102" t="s">
        <v>414</v>
      </c>
      <c r="AN11" s="102" t="b">
        <v>0</v>
      </c>
      <c r="AO11" s="102"/>
      <c r="AT11" s="102"/>
      <c r="AU11" s="102"/>
      <c r="AV11" s="175">
        <v>46294.0</v>
      </c>
      <c r="AW11" s="113" t="b">
        <v>0</v>
      </c>
      <c r="AX11" s="102" t="b">
        <v>0</v>
      </c>
      <c r="AY11" s="102" t="s">
        <v>546</v>
      </c>
      <c r="AZ11" s="102"/>
      <c r="BA11" s="102" t="s">
        <v>414</v>
      </c>
      <c r="BB11" s="102" t="s">
        <v>414</v>
      </c>
      <c r="BC11" s="102" t="s">
        <v>414</v>
      </c>
      <c r="BD11" s="102" t="s">
        <v>414</v>
      </c>
      <c r="BE11" s="102" t="s">
        <v>414</v>
      </c>
      <c r="BF11" s="102" t="s">
        <v>414</v>
      </c>
      <c r="BG11" s="180" t="s">
        <v>414</v>
      </c>
      <c r="BH11" s="102" t="s">
        <v>414</v>
      </c>
      <c r="BI11" s="102" t="s">
        <v>414</v>
      </c>
      <c r="BJ11" s="107" t="s">
        <v>414</v>
      </c>
      <c r="BK11" s="102" t="s">
        <v>414</v>
      </c>
      <c r="BL11" s="102" t="s">
        <v>414</v>
      </c>
      <c r="BM11" s="102" t="s">
        <v>414</v>
      </c>
      <c r="BN11" s="102" t="s">
        <v>414</v>
      </c>
      <c r="BO11" s="132" t="s">
        <v>470</v>
      </c>
      <c r="BP11" s="102" t="s">
        <v>751</v>
      </c>
      <c r="BQ11" s="105" t="s">
        <v>643</v>
      </c>
      <c r="BR11" s="102" t="s">
        <v>645</v>
      </c>
      <c r="BS11" s="113" t="b">
        <v>1</v>
      </c>
      <c r="BT11" s="113" t="b">
        <v>1</v>
      </c>
      <c r="BU11" s="113" t="b">
        <v>1</v>
      </c>
      <c r="BV11" s="113" t="b">
        <v>1</v>
      </c>
      <c r="BW11" s="113" t="b">
        <v>1</v>
      </c>
      <c r="BX11" s="113" t="b">
        <v>1</v>
      </c>
      <c r="BY11" s="113" t="b">
        <v>1</v>
      </c>
      <c r="BZ11" s="102" t="s">
        <v>675</v>
      </c>
      <c r="CA11" s="105" t="s">
        <v>678</v>
      </c>
      <c r="CB11" s="102" t="s">
        <v>682</v>
      </c>
      <c r="CC11" s="102" t="s">
        <v>685</v>
      </c>
      <c r="CD11" s="102" t="s">
        <v>688</v>
      </c>
      <c r="CE11" s="139" t="b">
        <v>0</v>
      </c>
      <c r="CF11" s="181"/>
      <c r="CG11" s="141"/>
      <c r="CH11" s="141"/>
      <c r="CI11" s="102" t="s">
        <v>691</v>
      </c>
      <c r="CJ11" s="102" t="s">
        <v>504</v>
      </c>
      <c r="CK11" s="141"/>
      <c r="CL11" s="141"/>
      <c r="CM11" s="142" t="s">
        <v>695</v>
      </c>
      <c r="CN11" s="105" t="s">
        <v>512</v>
      </c>
      <c r="CO11" s="169">
        <v>46294.54890800926</v>
      </c>
      <c r="CP11" s="105">
        <v>1.0</v>
      </c>
      <c r="CQ11" s="105">
        <v>1.0</v>
      </c>
      <c r="CR11" s="113"/>
      <c r="CS11" s="105" t="b">
        <v>0</v>
      </c>
      <c r="CT11" s="105" t="b">
        <v>0</v>
      </c>
      <c r="CU11" s="105"/>
    </row>
    <row r="12" ht="20.25" customHeight="1">
      <c r="A12" s="102" t="s">
        <v>376</v>
      </c>
      <c r="B12" s="102" t="s">
        <v>380</v>
      </c>
      <c r="C12" s="102" t="s">
        <v>669</v>
      </c>
      <c r="D12" s="102" t="s">
        <v>708</v>
      </c>
      <c r="E12" s="102" t="s">
        <v>672</v>
      </c>
      <c r="F12" s="102" t="s">
        <v>673</v>
      </c>
      <c r="G12" s="102" t="s">
        <v>723</v>
      </c>
      <c r="H12" s="102" t="s">
        <v>725</v>
      </c>
      <c r="I12" s="102" t="s">
        <v>726</v>
      </c>
      <c r="J12" s="105" t="s">
        <v>727</v>
      </c>
      <c r="K12" s="102" t="s">
        <v>390</v>
      </c>
      <c r="L12" s="102" t="s">
        <v>730</v>
      </c>
      <c r="M12" s="106"/>
      <c r="N12" s="107">
        <v>50.535436453235</v>
      </c>
      <c r="O12" s="107">
        <v>-3.55892367791791</v>
      </c>
      <c r="P12" s="171" t="s">
        <v>392</v>
      </c>
      <c r="Q12" s="171" t="s">
        <v>563</v>
      </c>
      <c r="R12" s="113" t="b">
        <v>1</v>
      </c>
      <c r="S12" s="175">
        <v>46165.0</v>
      </c>
      <c r="T12" s="175">
        <v>46326.0</v>
      </c>
      <c r="V12" s="105" t="s">
        <v>734</v>
      </c>
      <c r="W12" s="113" t="b">
        <v>1</v>
      </c>
      <c r="X12" s="179">
        <v>0.4166666666666667</v>
      </c>
      <c r="Y12" s="179">
        <v>0.6666666666666666</v>
      </c>
      <c r="Z12" s="102" t="s">
        <v>414</v>
      </c>
      <c r="AA12" s="102" t="s">
        <v>414</v>
      </c>
      <c r="AB12" s="102" t="s">
        <v>414</v>
      </c>
      <c r="AC12" s="102" t="s">
        <v>414</v>
      </c>
      <c r="AD12" s="102" t="s">
        <v>414</v>
      </c>
      <c r="AE12" s="102" t="s">
        <v>414</v>
      </c>
      <c r="AF12" s="102" t="s">
        <v>414</v>
      </c>
      <c r="AG12" s="102" t="s">
        <v>414</v>
      </c>
      <c r="AH12" s="102" t="s">
        <v>414</v>
      </c>
      <c r="AI12" s="102" t="s">
        <v>414</v>
      </c>
      <c r="AJ12" s="102" t="s">
        <v>414</v>
      </c>
      <c r="AK12" s="102" t="s">
        <v>414</v>
      </c>
      <c r="AL12" s="102" t="s">
        <v>414</v>
      </c>
      <c r="AM12" s="102" t="s">
        <v>414</v>
      </c>
      <c r="AN12" s="102" t="b">
        <v>0</v>
      </c>
      <c r="AO12" s="102"/>
      <c r="AT12" s="102"/>
      <c r="AU12" s="128"/>
      <c r="AV12" s="175">
        <v>46165.0</v>
      </c>
      <c r="AW12" s="113" t="b">
        <v>1</v>
      </c>
      <c r="AX12" s="102" t="b">
        <v>0</v>
      </c>
      <c r="AY12" s="102" t="s">
        <v>586</v>
      </c>
      <c r="AZ12" s="102" t="s">
        <v>800</v>
      </c>
      <c r="BA12" s="180" t="s">
        <v>414</v>
      </c>
      <c r="BB12" s="180" t="s">
        <v>414</v>
      </c>
      <c r="BC12" s="180" t="s">
        <v>414</v>
      </c>
      <c r="BD12" s="180" t="s">
        <v>414</v>
      </c>
      <c r="BE12" s="180" t="s">
        <v>414</v>
      </c>
      <c r="BF12" s="180" t="s">
        <v>414</v>
      </c>
      <c r="BG12" s="102" t="s">
        <v>749</v>
      </c>
      <c r="BH12" s="128">
        <v>25.0</v>
      </c>
      <c r="BI12" s="102" t="s">
        <v>457</v>
      </c>
      <c r="BJ12" s="130">
        <v>25.0</v>
      </c>
      <c r="BK12" s="102" t="s">
        <v>414</v>
      </c>
      <c r="BL12" s="102" t="s">
        <v>414</v>
      </c>
      <c r="BM12" s="102" t="s">
        <v>414</v>
      </c>
      <c r="BN12" s="102" t="s">
        <v>414</v>
      </c>
      <c r="BO12" s="132" t="s">
        <v>750</v>
      </c>
      <c r="BP12" s="102" t="s">
        <v>752</v>
      </c>
      <c r="BQ12" s="105" t="s">
        <v>754</v>
      </c>
      <c r="BR12" s="102" t="s">
        <v>757</v>
      </c>
      <c r="BS12" s="113" t="b">
        <v>0</v>
      </c>
      <c r="BT12" s="113" t="b">
        <v>0</v>
      </c>
      <c r="BU12" s="113" t="b">
        <v>1</v>
      </c>
      <c r="BV12" s="113" t="b">
        <v>1</v>
      </c>
      <c r="BW12" s="113" t="b">
        <v>1</v>
      </c>
      <c r="BX12" s="113" t="b">
        <v>1</v>
      </c>
      <c r="BY12" s="113" t="b">
        <v>1</v>
      </c>
      <c r="BZ12" s="102" t="s">
        <v>767</v>
      </c>
      <c r="CA12" s="105" t="s">
        <v>711</v>
      </c>
      <c r="CB12" s="102" t="s">
        <v>713</v>
      </c>
      <c r="CC12" s="102" t="s">
        <v>715</v>
      </c>
      <c r="CD12" s="102" t="s">
        <v>774</v>
      </c>
      <c r="CE12" s="139" t="b">
        <v>0</v>
      </c>
      <c r="CF12" s="181"/>
      <c r="CG12" s="141"/>
      <c r="CH12" s="141"/>
      <c r="CI12" s="102" t="s">
        <v>776</v>
      </c>
      <c r="CJ12" s="102" t="s">
        <v>504</v>
      </c>
      <c r="CK12" s="141"/>
      <c r="CL12" s="141"/>
      <c r="CM12" s="142" t="s">
        <v>777</v>
      </c>
      <c r="CN12" s="105" t="s">
        <v>512</v>
      </c>
      <c r="CO12" s="169">
        <v>46294.5148472338</v>
      </c>
      <c r="CP12" s="105">
        <v>1.0</v>
      </c>
      <c r="CQ12" s="105">
        <v>1.0</v>
      </c>
      <c r="CR12" s="113"/>
      <c r="CS12" s="105" t="b">
        <v>0</v>
      </c>
      <c r="CT12" s="105" t="b">
        <v>0</v>
      </c>
      <c r="CU12" s="105"/>
    </row>
  </sheetData>
  <mergeCells count="25">
    <mergeCell ref="BS1:BY2"/>
    <mergeCell ref="BZ1:CD2"/>
    <mergeCell ref="CE1:CH2"/>
    <mergeCell ref="CI1:CI2"/>
    <mergeCell ref="CJ1:CL2"/>
    <mergeCell ref="CM1:CU2"/>
    <mergeCell ref="R2:U2"/>
    <mergeCell ref="X2:Y2"/>
    <mergeCell ref="Z2:AM2"/>
    <mergeCell ref="AO2:AU2"/>
    <mergeCell ref="AV2:AZ2"/>
    <mergeCell ref="BA2:BB2"/>
    <mergeCell ref="BC2:BD2"/>
    <mergeCell ref="BE2:BF2"/>
    <mergeCell ref="BG2:BH2"/>
    <mergeCell ref="BI2:BJ2"/>
    <mergeCell ref="BK2:BL2"/>
    <mergeCell ref="BM2:BN2"/>
    <mergeCell ref="A1:D2"/>
    <mergeCell ref="E1:G2"/>
    <mergeCell ref="H1:O2"/>
    <mergeCell ref="P1:Q2"/>
    <mergeCell ref="R1:AU1"/>
    <mergeCell ref="AV1:BN1"/>
    <mergeCell ref="BO1:BR2"/>
  </mergeCells>
  <dataValidations>
    <dataValidation type="list" allowBlank="1" showErrorMessage="1" sqref="P11:P12">
      <formula1>Enums!$D$423:$D$425</formula1>
    </dataValidation>
    <dataValidation type="list" allowBlank="1" showErrorMessage="1" sqref="Q11:Q12">
      <formula1>Enums!$D$411:$D$420</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75"/>
  <cols>
    <col customWidth="1" min="2" max="2" width="15.88"/>
    <col customWidth="1" min="3" max="3" width="15.38"/>
    <col customWidth="1" min="4" max="4" width="24.88"/>
    <col customWidth="1" min="5" max="5" width="22.0"/>
    <col customWidth="1" min="6" max="8" width="12.5"/>
    <col customWidth="1" min="10" max="10" width="9.75"/>
    <col customWidth="1" hidden="1" min="12" max="12" width="11.88"/>
    <col customWidth="1" min="13" max="13" width="11.38"/>
    <col customWidth="1" hidden="1" min="14" max="14" width="10.13"/>
    <col customWidth="1" min="15" max="15" width="11.0"/>
    <col customWidth="1" min="16" max="16" width="11.13"/>
    <col customWidth="1" min="17" max="17" width="10.63"/>
    <col customWidth="1" min="18" max="18" width="10.88"/>
    <col customWidth="1" min="19" max="19" width="15.0"/>
    <col customWidth="1" min="20" max="20" width="8.63"/>
    <col customWidth="1" min="21" max="21" width="9.75"/>
    <col customWidth="1" min="22" max="22" width="9.0"/>
    <col customWidth="1" min="23" max="23" width="11.63"/>
    <col customWidth="1" min="24" max="24" width="11.5"/>
    <col customWidth="1" min="27" max="40" width="8.25"/>
    <col customWidth="1" min="41" max="54" width="9.38"/>
    <col customWidth="1" min="61" max="61" width="17.5"/>
    <col customWidth="1" min="62" max="62" width="15.0"/>
    <col customWidth="1" min="63" max="76" width="9.5"/>
    <col customWidth="1" min="81" max="87" width="6.63"/>
    <col customWidth="1" min="88" max="88" width="17.38"/>
    <col customWidth="1" min="89" max="89" width="17.13"/>
    <col customWidth="1" min="92" max="92" width="18.25"/>
    <col customWidth="1" min="96" max="96" width="15.13"/>
    <col customWidth="1" min="97" max="97" width="16.75"/>
    <col customWidth="1" min="98" max="98" width="14.25"/>
    <col customWidth="1" min="99" max="101" width="10.0"/>
    <col customWidth="1" min="102" max="102" width="15.25"/>
    <col customWidth="1" min="103" max="106" width="11.25"/>
    <col customWidth="1" hidden="1" min="107" max="107" width="11.13"/>
    <col customWidth="1" min="108" max="108" width="11.25"/>
    <col customWidth="1" min="109" max="109" width="14.5"/>
    <col customWidth="1" min="110" max="110" width="12.0"/>
  </cols>
  <sheetData>
    <row r="1">
      <c r="A1" s="2" t="s">
        <v>0</v>
      </c>
      <c r="E1" s="2"/>
      <c r="I1" s="4" t="s">
        <v>3</v>
      </c>
      <c r="Q1" s="4" t="s">
        <v>6</v>
      </c>
      <c r="S1" s="1" t="s">
        <v>8</v>
      </c>
      <c r="T1" s="4" t="s">
        <v>10</v>
      </c>
      <c r="BF1" s="11"/>
      <c r="BG1" s="4"/>
      <c r="BH1" s="4" t="s">
        <v>24</v>
      </c>
      <c r="BY1" s="2" t="s">
        <v>13</v>
      </c>
      <c r="CC1" s="4" t="s">
        <v>15</v>
      </c>
      <c r="CJ1" s="2" t="s">
        <v>27</v>
      </c>
      <c r="CL1" s="2" t="s">
        <v>19</v>
      </c>
      <c r="CO1" s="2" t="s">
        <v>28</v>
      </c>
      <c r="CU1" s="12"/>
      <c r="CX1" s="14" t="s">
        <v>26</v>
      </c>
    </row>
    <row r="2">
      <c r="T2" s="4" t="s">
        <v>46</v>
      </c>
      <c r="W2" s="4"/>
      <c r="Y2" s="4" t="s">
        <v>49</v>
      </c>
      <c r="AA2" s="4" t="s">
        <v>52</v>
      </c>
      <c r="AO2" s="4" t="s">
        <v>53</v>
      </c>
      <c r="BC2" s="4" t="s">
        <v>54</v>
      </c>
      <c r="BG2" s="21"/>
      <c r="BH2" s="21" t="s">
        <v>41</v>
      </c>
      <c r="BI2" s="21" t="s">
        <v>43</v>
      </c>
      <c r="BJ2" s="21" t="s">
        <v>45</v>
      </c>
      <c r="BK2" s="21" t="s">
        <v>40</v>
      </c>
      <c r="BM2" s="21" t="s">
        <v>42</v>
      </c>
      <c r="BO2" s="21" t="s">
        <v>44</v>
      </c>
      <c r="BQ2" s="21" t="s">
        <v>47</v>
      </c>
      <c r="BS2" s="21" t="s">
        <v>48</v>
      </c>
      <c r="BU2" s="21" t="s">
        <v>50</v>
      </c>
      <c r="BW2" s="21" t="s">
        <v>51</v>
      </c>
      <c r="CX2" s="19"/>
    </row>
    <row r="3" ht="66.75" customHeight="1">
      <c r="A3" s="24" t="s">
        <v>55</v>
      </c>
      <c r="B3" s="38" t="s">
        <v>107</v>
      </c>
      <c r="C3" s="41" t="s">
        <v>120</v>
      </c>
      <c r="D3" s="24" t="s">
        <v>126</v>
      </c>
      <c r="E3" s="24" t="s">
        <v>61</v>
      </c>
      <c r="F3" s="24" t="s">
        <v>131</v>
      </c>
      <c r="G3" s="24" t="s">
        <v>133</v>
      </c>
      <c r="H3" s="41" t="s">
        <v>136</v>
      </c>
      <c r="I3" s="45" t="s">
        <v>62</v>
      </c>
      <c r="J3" s="45" t="s">
        <v>63</v>
      </c>
      <c r="K3" s="45" t="s">
        <v>64</v>
      </c>
      <c r="L3" s="48" t="s">
        <v>143</v>
      </c>
      <c r="M3" s="48" t="s">
        <v>66</v>
      </c>
      <c r="N3" s="45" t="s">
        <v>67</v>
      </c>
      <c r="O3" s="49" t="s">
        <v>68</v>
      </c>
      <c r="P3" s="49" t="s">
        <v>69</v>
      </c>
      <c r="Q3" s="11" t="s">
        <v>162</v>
      </c>
      <c r="R3" s="54" t="s">
        <v>167</v>
      </c>
      <c r="T3" s="46" t="s">
        <v>179</v>
      </c>
      <c r="U3" s="46" t="s">
        <v>184</v>
      </c>
      <c r="V3" s="46" t="s">
        <v>188</v>
      </c>
      <c r="W3" s="46" t="s">
        <v>190</v>
      </c>
      <c r="X3" s="46" t="s">
        <v>192</v>
      </c>
      <c r="Y3" s="46" t="s">
        <v>194</v>
      </c>
      <c r="Z3" s="46" t="s">
        <v>195</v>
      </c>
      <c r="AA3" s="46" t="s">
        <v>198</v>
      </c>
      <c r="AB3" s="46" t="s">
        <v>201</v>
      </c>
      <c r="AC3" s="46" t="s">
        <v>203</v>
      </c>
      <c r="AD3" s="46" t="s">
        <v>207</v>
      </c>
      <c r="AE3" s="46" t="s">
        <v>209</v>
      </c>
      <c r="AF3" s="46" t="s">
        <v>212</v>
      </c>
      <c r="AG3" s="46" t="s">
        <v>213</v>
      </c>
      <c r="AH3" s="46" t="s">
        <v>215</v>
      </c>
      <c r="AI3" s="46" t="s">
        <v>216</v>
      </c>
      <c r="AJ3" s="46" t="s">
        <v>219</v>
      </c>
      <c r="AK3" s="46" t="s">
        <v>222</v>
      </c>
      <c r="AL3" s="46" t="s">
        <v>225</v>
      </c>
      <c r="AM3" s="46" t="s">
        <v>232</v>
      </c>
      <c r="AN3" s="46" t="s">
        <v>237</v>
      </c>
      <c r="AO3" s="46" t="s">
        <v>241</v>
      </c>
      <c r="AP3" s="46" t="s">
        <v>243</v>
      </c>
      <c r="AQ3" s="46" t="s">
        <v>246</v>
      </c>
      <c r="AR3" s="46" t="s">
        <v>247</v>
      </c>
      <c r="AS3" s="46" t="s">
        <v>250</v>
      </c>
      <c r="AT3" s="46" t="s">
        <v>253</v>
      </c>
      <c r="AU3" s="46" t="s">
        <v>255</v>
      </c>
      <c r="AV3" s="46" t="s">
        <v>258</v>
      </c>
      <c r="AW3" s="46" t="s">
        <v>260</v>
      </c>
      <c r="AX3" s="46" t="s">
        <v>262</v>
      </c>
      <c r="AY3" s="46" t="s">
        <v>263</v>
      </c>
      <c r="AZ3" s="46" t="s">
        <v>265</v>
      </c>
      <c r="BA3" s="46" t="s">
        <v>267</v>
      </c>
      <c r="BB3" s="46" t="s">
        <v>269</v>
      </c>
      <c r="BC3" s="20" t="s">
        <v>272</v>
      </c>
      <c r="BD3" s="20" t="s">
        <v>275</v>
      </c>
      <c r="BE3" s="20" t="s">
        <v>277</v>
      </c>
      <c r="BF3" s="20" t="s">
        <v>279</v>
      </c>
      <c r="BG3" s="41" t="s">
        <v>282</v>
      </c>
      <c r="BH3" s="76" t="s">
        <v>147</v>
      </c>
      <c r="BI3" s="76" t="s">
        <v>290</v>
      </c>
      <c r="BJ3" s="76" t="s">
        <v>150</v>
      </c>
      <c r="BK3" s="79" t="s">
        <v>152</v>
      </c>
      <c r="BL3" s="80" t="s">
        <v>155</v>
      </c>
      <c r="BM3" s="79" t="s">
        <v>160</v>
      </c>
      <c r="BN3" s="87" t="s">
        <v>164</v>
      </c>
      <c r="BO3" s="79" t="s">
        <v>168</v>
      </c>
      <c r="BP3" s="87" t="s">
        <v>170</v>
      </c>
      <c r="BQ3" s="79" t="s">
        <v>172</v>
      </c>
      <c r="BR3" s="87" t="s">
        <v>173</v>
      </c>
      <c r="BS3" s="79" t="s">
        <v>174</v>
      </c>
      <c r="BT3" s="87" t="s">
        <v>177</v>
      </c>
      <c r="BU3" s="79" t="s">
        <v>180</v>
      </c>
      <c r="BV3" s="87" t="s">
        <v>182</v>
      </c>
      <c r="BW3" s="79" t="s">
        <v>144</v>
      </c>
      <c r="BX3" s="87" t="s">
        <v>185</v>
      </c>
      <c r="BY3" s="24" t="s">
        <v>145</v>
      </c>
      <c r="BZ3" s="24" t="s">
        <v>146</v>
      </c>
      <c r="CA3" s="24" t="s">
        <v>148</v>
      </c>
      <c r="CB3" s="24" t="s">
        <v>149</v>
      </c>
      <c r="CC3" s="91" t="s">
        <v>151</v>
      </c>
      <c r="CD3" s="91" t="s">
        <v>153</v>
      </c>
      <c r="CE3" s="91" t="s">
        <v>154</v>
      </c>
      <c r="CF3" s="91" t="s">
        <v>156</v>
      </c>
      <c r="CG3" s="91" t="s">
        <v>157</v>
      </c>
      <c r="CH3" s="91" t="s">
        <v>158</v>
      </c>
      <c r="CI3" s="91" t="s">
        <v>159</v>
      </c>
      <c r="CJ3" s="24" t="s">
        <v>346</v>
      </c>
      <c r="CK3" s="24" t="s">
        <v>70</v>
      </c>
      <c r="CL3" s="24" t="s">
        <v>175</v>
      </c>
      <c r="CM3" s="24" t="s">
        <v>176</v>
      </c>
      <c r="CN3" s="24" t="s">
        <v>178</v>
      </c>
      <c r="CO3" s="24" t="s">
        <v>161</v>
      </c>
      <c r="CP3" s="24" t="s">
        <v>163</v>
      </c>
      <c r="CQ3" s="24" t="s">
        <v>165</v>
      </c>
      <c r="CR3" s="24" t="s">
        <v>166</v>
      </c>
      <c r="CS3" s="24" t="s">
        <v>169</v>
      </c>
      <c r="CT3" s="41" t="s">
        <v>181</v>
      </c>
      <c r="CU3" s="57" t="s">
        <v>183</v>
      </c>
      <c r="CV3" s="57" t="s">
        <v>186</v>
      </c>
      <c r="CW3" s="57" t="s">
        <v>362</v>
      </c>
      <c r="CX3" s="59" t="s">
        <v>189</v>
      </c>
      <c r="CY3" s="62" t="s">
        <v>193</v>
      </c>
      <c r="CZ3" s="62" t="s">
        <v>196</v>
      </c>
      <c r="DA3" s="62" t="s">
        <v>197</v>
      </c>
      <c r="DB3" s="62" t="s">
        <v>199</v>
      </c>
      <c r="DC3" s="62" t="s">
        <v>200</v>
      </c>
      <c r="DD3" s="62" t="s">
        <v>202</v>
      </c>
      <c r="DE3" s="62" t="s">
        <v>204</v>
      </c>
      <c r="DF3" s="62" t="s">
        <v>206</v>
      </c>
    </row>
    <row r="4">
      <c r="A4" s="109" t="s">
        <v>210</v>
      </c>
      <c r="B4" s="109" t="s">
        <v>395</v>
      </c>
      <c r="C4" s="110" t="s">
        <v>396</v>
      </c>
      <c r="D4" s="109" t="s">
        <v>398</v>
      </c>
      <c r="E4" s="109" t="s">
        <v>399</v>
      </c>
      <c r="F4" s="109" t="s">
        <v>400</v>
      </c>
      <c r="G4" s="110" t="s">
        <v>402</v>
      </c>
      <c r="H4" s="115" t="s">
        <v>403</v>
      </c>
      <c r="I4" s="109" t="s">
        <v>404</v>
      </c>
      <c r="J4" s="109" t="s">
        <v>406</v>
      </c>
      <c r="K4" s="109" t="s">
        <v>407</v>
      </c>
      <c r="L4" s="109" t="s">
        <v>408</v>
      </c>
      <c r="M4" s="109" t="s">
        <v>409</v>
      </c>
      <c r="N4" s="109" t="s">
        <v>411</v>
      </c>
      <c r="O4" s="110" t="s">
        <v>234</v>
      </c>
      <c r="P4" s="110" t="s">
        <v>236</v>
      </c>
      <c r="Q4" s="109" t="s">
        <v>412</v>
      </c>
      <c r="R4" s="123" t="s">
        <v>413</v>
      </c>
      <c r="S4" s="124" t="s">
        <v>415</v>
      </c>
      <c r="T4" s="109" t="s">
        <v>416</v>
      </c>
      <c r="U4" s="109" t="s">
        <v>417</v>
      </c>
      <c r="V4" s="109" t="s">
        <v>418</v>
      </c>
      <c r="W4" s="109" t="s">
        <v>419</v>
      </c>
      <c r="X4" s="109" t="s">
        <v>420</v>
      </c>
      <c r="Y4" s="109" t="s">
        <v>421</v>
      </c>
      <c r="Z4" s="109" t="s">
        <v>422</v>
      </c>
      <c r="AA4" s="109" t="s">
        <v>423</v>
      </c>
      <c r="AB4" s="109" t="s">
        <v>425</v>
      </c>
      <c r="AC4" s="109" t="s">
        <v>427</v>
      </c>
      <c r="AD4" s="109" t="s">
        <v>429</v>
      </c>
      <c r="AE4" s="109" t="s">
        <v>431</v>
      </c>
      <c r="AF4" s="109" t="s">
        <v>433</v>
      </c>
      <c r="AG4" s="109" t="s">
        <v>435</v>
      </c>
      <c r="AH4" s="109" t="s">
        <v>437</v>
      </c>
      <c r="AI4" s="109" t="s">
        <v>441</v>
      </c>
      <c r="AJ4" s="109" t="s">
        <v>443</v>
      </c>
      <c r="AK4" s="109" t="s">
        <v>445</v>
      </c>
      <c r="AL4" s="109" t="s">
        <v>448</v>
      </c>
      <c r="AM4" s="109" t="s">
        <v>450</v>
      </c>
      <c r="AN4" s="109" t="s">
        <v>452</v>
      </c>
      <c r="AO4" s="109" t="s">
        <v>453</v>
      </c>
      <c r="AP4" s="109" t="s">
        <v>455</v>
      </c>
      <c r="AQ4" s="109" t="s">
        <v>458</v>
      </c>
      <c r="AR4" s="109" t="s">
        <v>460</v>
      </c>
      <c r="AS4" s="109" t="s">
        <v>463</v>
      </c>
      <c r="AT4" s="109" t="s">
        <v>465</v>
      </c>
      <c r="AU4" s="109" t="s">
        <v>467</v>
      </c>
      <c r="AV4" s="109" t="s">
        <v>469</v>
      </c>
      <c r="AW4" s="109" t="s">
        <v>471</v>
      </c>
      <c r="AX4" s="109" t="s">
        <v>472</v>
      </c>
      <c r="AY4" s="109" t="s">
        <v>473</v>
      </c>
      <c r="AZ4" s="109" t="s">
        <v>475</v>
      </c>
      <c r="BA4" s="109" t="s">
        <v>477</v>
      </c>
      <c r="BB4" s="109" t="s">
        <v>479</v>
      </c>
      <c r="BC4" s="109" t="s">
        <v>480</v>
      </c>
      <c r="BD4" s="109" t="s">
        <v>482</v>
      </c>
      <c r="BE4" s="109" t="s">
        <v>483</v>
      </c>
      <c r="BF4" s="109" t="s">
        <v>484</v>
      </c>
      <c r="BG4" s="135" t="s">
        <v>486</v>
      </c>
      <c r="BH4" s="109" t="s">
        <v>299</v>
      </c>
      <c r="BI4" s="109" t="s">
        <v>489</v>
      </c>
      <c r="BJ4" s="109" t="s">
        <v>301</v>
      </c>
      <c r="BK4" s="109" t="s">
        <v>302</v>
      </c>
      <c r="BL4" s="138" t="s">
        <v>303</v>
      </c>
      <c r="BM4" s="110" t="s">
        <v>304</v>
      </c>
      <c r="BN4" s="138" t="s">
        <v>305</v>
      </c>
      <c r="BO4" s="109" t="s">
        <v>306</v>
      </c>
      <c r="BP4" s="138" t="s">
        <v>307</v>
      </c>
      <c r="BQ4" s="109" t="s">
        <v>308</v>
      </c>
      <c r="BR4" s="138" t="s">
        <v>309</v>
      </c>
      <c r="BS4" s="109" t="s">
        <v>310</v>
      </c>
      <c r="BT4" s="138" t="s">
        <v>311</v>
      </c>
      <c r="BU4" s="109" t="s">
        <v>312</v>
      </c>
      <c r="BV4" s="138" t="s">
        <v>313</v>
      </c>
      <c r="BW4" s="109" t="s">
        <v>314</v>
      </c>
      <c r="BX4" s="138" t="s">
        <v>315</v>
      </c>
      <c r="BY4" s="110" t="s">
        <v>506</v>
      </c>
      <c r="BZ4" s="110" t="s">
        <v>507</v>
      </c>
      <c r="CA4" s="110" t="s">
        <v>509</v>
      </c>
      <c r="CB4" s="110" t="s">
        <v>510</v>
      </c>
      <c r="CC4" s="109" t="s">
        <v>511</v>
      </c>
      <c r="CD4" s="109" t="s">
        <v>513</v>
      </c>
      <c r="CE4" s="109" t="s">
        <v>514</v>
      </c>
      <c r="CF4" s="109" t="s">
        <v>515</v>
      </c>
      <c r="CG4" s="109" t="s">
        <v>516</v>
      </c>
      <c r="CH4" s="109" t="s">
        <v>517</v>
      </c>
      <c r="CI4" s="109" t="s">
        <v>518</v>
      </c>
      <c r="CJ4" s="109" t="s">
        <v>520</v>
      </c>
      <c r="CK4" s="109" t="s">
        <v>521</v>
      </c>
      <c r="CL4" s="109" t="s">
        <v>522</v>
      </c>
      <c r="CM4" s="109" t="s">
        <v>523</v>
      </c>
      <c r="CN4" s="109" t="s">
        <v>524</v>
      </c>
      <c r="CO4" s="109" t="s">
        <v>525</v>
      </c>
      <c r="CP4" s="109" t="s">
        <v>526</v>
      </c>
      <c r="CQ4" s="109" t="s">
        <v>527</v>
      </c>
      <c r="CR4" s="109" t="s">
        <v>528</v>
      </c>
      <c r="CS4" s="109" t="s">
        <v>530</v>
      </c>
      <c r="CT4" s="110" t="s">
        <v>340</v>
      </c>
      <c r="CU4" s="94" t="s">
        <v>341</v>
      </c>
      <c r="CV4" s="95" t="s">
        <v>344</v>
      </c>
      <c r="CW4" s="95" t="s">
        <v>349</v>
      </c>
      <c r="CX4" s="98" t="s">
        <v>350</v>
      </c>
      <c r="CY4" s="99" t="s">
        <v>358</v>
      </c>
      <c r="CZ4" s="99" t="s">
        <v>360</v>
      </c>
      <c r="DA4" s="99" t="s">
        <v>363</v>
      </c>
      <c r="DB4" s="99" t="s">
        <v>365</v>
      </c>
      <c r="DC4" s="99" t="s">
        <v>366</v>
      </c>
      <c r="DD4" s="99" t="s">
        <v>368</v>
      </c>
      <c r="DE4" s="99" t="s">
        <v>370</v>
      </c>
      <c r="DF4" s="101" t="s">
        <v>372</v>
      </c>
    </row>
    <row r="5" ht="27.75" customHeight="1">
      <c r="A5" s="108" t="s">
        <v>533</v>
      </c>
      <c r="B5" s="108" t="s">
        <v>534</v>
      </c>
      <c r="C5" s="108" t="s">
        <v>535</v>
      </c>
      <c r="D5" s="108" t="s">
        <v>536</v>
      </c>
      <c r="E5" s="108" t="s">
        <v>537</v>
      </c>
      <c r="F5" s="108" t="s">
        <v>538</v>
      </c>
      <c r="G5" s="108" t="s">
        <v>539</v>
      </c>
      <c r="H5" s="108" t="s">
        <v>540</v>
      </c>
      <c r="I5" s="108" t="s">
        <v>541</v>
      </c>
      <c r="J5" s="108" t="s">
        <v>543</v>
      </c>
      <c r="K5" s="153" t="s">
        <v>544</v>
      </c>
      <c r="L5" s="154"/>
      <c r="M5" s="108" t="s">
        <v>545</v>
      </c>
      <c r="N5" s="154"/>
      <c r="O5" s="108">
        <v>50.6773765398751</v>
      </c>
      <c r="P5" s="108">
        <v>-3.39979098897755</v>
      </c>
      <c r="Q5" s="155">
        <v>46332.0</v>
      </c>
      <c r="R5" s="157">
        <v>46374.0</v>
      </c>
      <c r="S5" s="158" t="s">
        <v>547</v>
      </c>
      <c r="T5" s="158" t="b">
        <v>0</v>
      </c>
      <c r="U5" s="159"/>
      <c r="V5" s="159"/>
      <c r="W5" s="108" t="s">
        <v>550</v>
      </c>
      <c r="X5" s="158" t="b">
        <v>1</v>
      </c>
      <c r="Y5" s="162">
        <v>0.3958333333321207</v>
      </c>
      <c r="Z5" s="162">
        <v>0.4583333333321207</v>
      </c>
      <c r="AA5" s="108" t="s">
        <v>414</v>
      </c>
      <c r="AB5" s="108" t="s">
        <v>414</v>
      </c>
      <c r="AC5" s="108" t="s">
        <v>414</v>
      </c>
      <c r="AD5" s="108" t="s">
        <v>414</v>
      </c>
      <c r="AE5" s="108" t="s">
        <v>414</v>
      </c>
      <c r="AF5" s="108" t="s">
        <v>414</v>
      </c>
      <c r="AG5" s="108" t="s">
        <v>414</v>
      </c>
      <c r="AH5" s="108" t="s">
        <v>414</v>
      </c>
      <c r="AI5" s="108" t="s">
        <v>414</v>
      </c>
      <c r="AJ5" s="108" t="s">
        <v>414</v>
      </c>
      <c r="AK5" s="108" t="s">
        <v>414</v>
      </c>
      <c r="AL5" s="108" t="s">
        <v>414</v>
      </c>
      <c r="AM5" s="108" t="s">
        <v>414</v>
      </c>
      <c r="AN5" s="108" t="s">
        <v>414</v>
      </c>
      <c r="AO5" s="108" t="s">
        <v>414</v>
      </c>
      <c r="AP5" s="108" t="s">
        <v>414</v>
      </c>
      <c r="AQ5" s="108" t="s">
        <v>414</v>
      </c>
      <c r="AR5" s="108" t="s">
        <v>414</v>
      </c>
      <c r="AS5" s="108" t="s">
        <v>414</v>
      </c>
      <c r="AT5" s="108" t="s">
        <v>414</v>
      </c>
      <c r="AU5" s="108" t="s">
        <v>414</v>
      </c>
      <c r="AV5" s="108" t="s">
        <v>414</v>
      </c>
      <c r="AW5" s="108" t="s">
        <v>414</v>
      </c>
      <c r="AX5" s="108" t="s">
        <v>414</v>
      </c>
      <c r="AY5" s="108" t="s">
        <v>414</v>
      </c>
      <c r="AZ5" s="108" t="s">
        <v>414</v>
      </c>
      <c r="BA5" s="108" t="s">
        <v>414</v>
      </c>
      <c r="BB5" s="108" t="s">
        <v>414</v>
      </c>
      <c r="BC5" s="108"/>
      <c r="BD5" s="108"/>
      <c r="BE5" s="108"/>
      <c r="BF5" s="108"/>
      <c r="BG5" s="158" t="b">
        <v>0</v>
      </c>
      <c r="BH5" s="158" t="b">
        <v>0</v>
      </c>
      <c r="BI5" s="108" t="s">
        <v>586</v>
      </c>
      <c r="BJ5" s="108" t="s">
        <v>588</v>
      </c>
      <c r="BK5" s="108" t="s">
        <v>414</v>
      </c>
      <c r="BL5" s="108" t="s">
        <v>414</v>
      </c>
      <c r="BM5" s="108" t="s">
        <v>414</v>
      </c>
      <c r="BN5" s="108" t="s">
        <v>414</v>
      </c>
      <c r="BO5" s="108" t="s">
        <v>414</v>
      </c>
      <c r="BP5" s="108" t="s">
        <v>414</v>
      </c>
      <c r="BQ5" s="108" t="s">
        <v>414</v>
      </c>
      <c r="BR5" s="108" t="s">
        <v>414</v>
      </c>
      <c r="BS5" s="108" t="s">
        <v>414</v>
      </c>
      <c r="BT5" s="108" t="s">
        <v>414</v>
      </c>
      <c r="BU5" s="108" t="s">
        <v>414</v>
      </c>
      <c r="BV5" s="108" t="s">
        <v>414</v>
      </c>
      <c r="BW5" s="108" t="s">
        <v>593</v>
      </c>
      <c r="BX5" s="168">
        <v>2.0</v>
      </c>
      <c r="BY5" s="108" t="s">
        <v>470</v>
      </c>
      <c r="BZ5" s="108" t="s">
        <v>596</v>
      </c>
      <c r="CA5" s="108" t="s">
        <v>597</v>
      </c>
      <c r="CB5" s="108" t="s">
        <v>598</v>
      </c>
      <c r="CC5" s="158" t="b">
        <v>1</v>
      </c>
      <c r="CD5" s="158" t="b">
        <v>1</v>
      </c>
      <c r="CE5" s="158" t="b">
        <v>1</v>
      </c>
      <c r="CF5" s="158" t="b">
        <v>0</v>
      </c>
      <c r="CG5" s="158" t="b">
        <v>0</v>
      </c>
      <c r="CH5" s="158" t="b">
        <v>0</v>
      </c>
      <c r="CI5" s="158" t="b">
        <v>0</v>
      </c>
      <c r="CJ5" s="108" t="s">
        <v>602</v>
      </c>
      <c r="CK5" s="108" t="s">
        <v>604</v>
      </c>
      <c r="CL5" s="108"/>
      <c r="CM5" s="154"/>
      <c r="CN5" s="108"/>
      <c r="CO5" s="108" t="s">
        <v>607</v>
      </c>
      <c r="CP5" s="171"/>
      <c r="CQ5" s="171"/>
      <c r="CR5" s="108" t="s">
        <v>613</v>
      </c>
      <c r="CS5" s="108"/>
      <c r="CT5" s="108" t="s">
        <v>614</v>
      </c>
      <c r="CU5" s="108" t="s">
        <v>615</v>
      </c>
      <c r="CV5" s="171"/>
      <c r="CW5" s="108"/>
      <c r="CX5" s="172" t="s">
        <v>617</v>
      </c>
      <c r="CY5" s="153" t="s">
        <v>512</v>
      </c>
      <c r="CZ5" s="173">
        <v>46311.42980978009</v>
      </c>
      <c r="DA5" s="174">
        <v>1.0</v>
      </c>
      <c r="DB5" s="153">
        <v>1.0</v>
      </c>
      <c r="DC5" s="113"/>
      <c r="DD5" s="153" t="b">
        <v>0</v>
      </c>
      <c r="DE5" s="153" t="b">
        <v>0</v>
      </c>
      <c r="DF5" s="153"/>
    </row>
    <row r="6" ht="27.75" customHeight="1">
      <c r="A6" s="108" t="s">
        <v>533</v>
      </c>
      <c r="B6" s="108" t="s">
        <v>534</v>
      </c>
      <c r="C6" s="108" t="s">
        <v>535</v>
      </c>
      <c r="D6" s="108" t="s">
        <v>536</v>
      </c>
      <c r="E6" s="108" t="s">
        <v>537</v>
      </c>
      <c r="F6" s="108" t="s">
        <v>538</v>
      </c>
      <c r="G6" s="108" t="s">
        <v>539</v>
      </c>
      <c r="H6" s="108" t="s">
        <v>540</v>
      </c>
      <c r="I6" s="108" t="s">
        <v>541</v>
      </c>
      <c r="J6" s="108" t="s">
        <v>543</v>
      </c>
      <c r="K6" s="153" t="s">
        <v>544</v>
      </c>
      <c r="L6" s="154"/>
      <c r="M6" s="108" t="s">
        <v>545</v>
      </c>
      <c r="N6" s="154"/>
      <c r="O6" s="108">
        <v>50.6773765398751</v>
      </c>
      <c r="P6" s="108">
        <v>-3.39979098897755</v>
      </c>
      <c r="Q6" s="155">
        <v>46276.0</v>
      </c>
      <c r="R6" s="157">
        <v>46318.0</v>
      </c>
      <c r="S6" s="158" t="s">
        <v>547</v>
      </c>
      <c r="T6" s="158" t="b">
        <v>0</v>
      </c>
      <c r="U6" s="159"/>
      <c r="V6" s="159"/>
      <c r="W6" s="108" t="s">
        <v>550</v>
      </c>
      <c r="X6" s="158" t="b">
        <v>1</v>
      </c>
      <c r="Y6" s="162">
        <v>0.3958333333321207</v>
      </c>
      <c r="Z6" s="162">
        <v>0.4583333333321207</v>
      </c>
      <c r="AA6" s="108" t="s">
        <v>414</v>
      </c>
      <c r="AB6" s="108" t="s">
        <v>414</v>
      </c>
      <c r="AC6" s="108" t="s">
        <v>414</v>
      </c>
      <c r="AD6" s="108" t="s">
        <v>414</v>
      </c>
      <c r="AE6" s="108" t="s">
        <v>414</v>
      </c>
      <c r="AF6" s="108" t="s">
        <v>414</v>
      </c>
      <c r="AG6" s="108" t="s">
        <v>414</v>
      </c>
      <c r="AH6" s="108" t="s">
        <v>414</v>
      </c>
      <c r="AI6" s="108" t="s">
        <v>414</v>
      </c>
      <c r="AJ6" s="108" t="s">
        <v>414</v>
      </c>
      <c r="AK6" s="108" t="s">
        <v>414</v>
      </c>
      <c r="AL6" s="108" t="s">
        <v>414</v>
      </c>
      <c r="AM6" s="108" t="s">
        <v>414</v>
      </c>
      <c r="AN6" s="108" t="s">
        <v>414</v>
      </c>
      <c r="AO6" s="108" t="s">
        <v>414</v>
      </c>
      <c r="AP6" s="108" t="s">
        <v>414</v>
      </c>
      <c r="AQ6" s="108" t="s">
        <v>414</v>
      </c>
      <c r="AR6" s="108" t="s">
        <v>414</v>
      </c>
      <c r="AS6" s="108" t="s">
        <v>414</v>
      </c>
      <c r="AT6" s="108" t="s">
        <v>414</v>
      </c>
      <c r="AU6" s="108" t="s">
        <v>414</v>
      </c>
      <c r="AV6" s="108" t="s">
        <v>414</v>
      </c>
      <c r="AW6" s="108" t="s">
        <v>414</v>
      </c>
      <c r="AX6" s="108" t="s">
        <v>414</v>
      </c>
      <c r="AY6" s="108" t="s">
        <v>414</v>
      </c>
      <c r="AZ6" s="108" t="s">
        <v>414</v>
      </c>
      <c r="BA6" s="108" t="s">
        <v>414</v>
      </c>
      <c r="BB6" s="108" t="s">
        <v>414</v>
      </c>
      <c r="BC6" s="108"/>
      <c r="BD6" s="108"/>
      <c r="BE6" s="108"/>
      <c r="BF6" s="108"/>
      <c r="BG6" s="158" t="b">
        <v>0</v>
      </c>
      <c r="BH6" s="158" t="b">
        <v>0</v>
      </c>
      <c r="BI6" s="108" t="s">
        <v>586</v>
      </c>
      <c r="BJ6" s="108" t="s">
        <v>588</v>
      </c>
      <c r="BK6" s="108" t="s">
        <v>414</v>
      </c>
      <c r="BL6" s="108" t="s">
        <v>414</v>
      </c>
      <c r="BM6" s="108" t="s">
        <v>414</v>
      </c>
      <c r="BN6" s="108" t="s">
        <v>414</v>
      </c>
      <c r="BO6" s="108" t="s">
        <v>414</v>
      </c>
      <c r="BP6" s="108" t="s">
        <v>414</v>
      </c>
      <c r="BQ6" s="108" t="s">
        <v>414</v>
      </c>
      <c r="BR6" s="108" t="s">
        <v>414</v>
      </c>
      <c r="BS6" s="108" t="s">
        <v>414</v>
      </c>
      <c r="BT6" s="108" t="s">
        <v>414</v>
      </c>
      <c r="BU6" s="108" t="s">
        <v>414</v>
      </c>
      <c r="BV6" s="108" t="s">
        <v>414</v>
      </c>
      <c r="BW6" s="108" t="s">
        <v>593</v>
      </c>
      <c r="BX6" s="168">
        <v>2.0</v>
      </c>
      <c r="BY6" s="108" t="s">
        <v>470</v>
      </c>
      <c r="BZ6" s="108" t="s">
        <v>596</v>
      </c>
      <c r="CA6" s="108" t="s">
        <v>597</v>
      </c>
      <c r="CB6" s="108" t="s">
        <v>598</v>
      </c>
      <c r="CC6" s="158" t="b">
        <v>1</v>
      </c>
      <c r="CD6" s="158" t="b">
        <v>1</v>
      </c>
      <c r="CE6" s="158" t="b">
        <v>1</v>
      </c>
      <c r="CF6" s="158" t="b">
        <v>0</v>
      </c>
      <c r="CG6" s="158" t="b">
        <v>0</v>
      </c>
      <c r="CH6" s="158" t="b">
        <v>0</v>
      </c>
      <c r="CI6" s="158" t="b">
        <v>0</v>
      </c>
      <c r="CJ6" s="108" t="s">
        <v>602</v>
      </c>
      <c r="CK6" s="108" t="s">
        <v>604</v>
      </c>
      <c r="CL6" s="108"/>
      <c r="CM6" s="154"/>
      <c r="CN6" s="108"/>
      <c r="CO6" s="108" t="s">
        <v>607</v>
      </c>
      <c r="CP6" s="171"/>
      <c r="CQ6" s="171"/>
      <c r="CR6" s="108" t="s">
        <v>613</v>
      </c>
      <c r="CS6" s="108"/>
      <c r="CT6" s="108" t="s">
        <v>614</v>
      </c>
      <c r="CU6" s="108" t="s">
        <v>615</v>
      </c>
      <c r="CV6" s="171"/>
      <c r="CW6" s="108"/>
      <c r="CX6" s="172" t="s">
        <v>658</v>
      </c>
      <c r="CY6" s="153" t="s">
        <v>512</v>
      </c>
      <c r="CZ6" s="173">
        <v>46311.42834005787</v>
      </c>
      <c r="DA6" s="174">
        <v>1.0</v>
      </c>
      <c r="DB6" s="153">
        <v>1.0</v>
      </c>
      <c r="DC6" s="113"/>
      <c r="DD6" s="153" t="b">
        <v>0</v>
      </c>
      <c r="DE6" s="153" t="b">
        <v>0</v>
      </c>
      <c r="DF6" s="153"/>
    </row>
    <row r="7" ht="27.75" customHeight="1">
      <c r="A7" s="108" t="s">
        <v>533</v>
      </c>
      <c r="B7" s="108" t="s">
        <v>534</v>
      </c>
      <c r="C7" s="108" t="s">
        <v>659</v>
      </c>
      <c r="D7" s="108" t="s">
        <v>660</v>
      </c>
      <c r="E7" s="108" t="s">
        <v>665</v>
      </c>
      <c r="F7" s="108" t="s">
        <v>538</v>
      </c>
      <c r="G7" s="108" t="s">
        <v>539</v>
      </c>
      <c r="H7" s="108" t="s">
        <v>540</v>
      </c>
      <c r="I7" s="108" t="s">
        <v>666</v>
      </c>
      <c r="J7" s="108" t="s">
        <v>667</v>
      </c>
      <c r="K7" s="153" t="s">
        <v>668</v>
      </c>
      <c r="L7" s="154"/>
      <c r="M7" s="108" t="s">
        <v>670</v>
      </c>
      <c r="N7" s="154"/>
      <c r="O7" s="108">
        <v>50.6496161542058</v>
      </c>
      <c r="P7" s="108">
        <v>-3.42561371227211</v>
      </c>
      <c r="Q7" s="155">
        <v>46332.0</v>
      </c>
      <c r="R7" s="157">
        <v>46374.0</v>
      </c>
      <c r="S7" s="158" t="s">
        <v>547</v>
      </c>
      <c r="T7" s="158" t="b">
        <v>0</v>
      </c>
      <c r="U7" s="159"/>
      <c r="V7" s="159"/>
      <c r="W7" s="108" t="s">
        <v>680</v>
      </c>
      <c r="X7" s="158" t="b">
        <v>1</v>
      </c>
      <c r="Y7" s="162">
        <v>0.6458333333321207</v>
      </c>
      <c r="Z7" s="162">
        <v>0.7083333333321207</v>
      </c>
      <c r="AA7" s="108" t="s">
        <v>414</v>
      </c>
      <c r="AB7" s="108" t="s">
        <v>414</v>
      </c>
      <c r="AC7" s="108" t="s">
        <v>414</v>
      </c>
      <c r="AD7" s="108" t="s">
        <v>414</v>
      </c>
      <c r="AE7" s="108" t="s">
        <v>414</v>
      </c>
      <c r="AF7" s="108" t="s">
        <v>414</v>
      </c>
      <c r="AG7" s="108" t="s">
        <v>414</v>
      </c>
      <c r="AH7" s="108" t="s">
        <v>414</v>
      </c>
      <c r="AI7" s="108" t="s">
        <v>414</v>
      </c>
      <c r="AJ7" s="108" t="s">
        <v>414</v>
      </c>
      <c r="AK7" s="108" t="s">
        <v>414</v>
      </c>
      <c r="AL7" s="108" t="s">
        <v>414</v>
      </c>
      <c r="AM7" s="108" t="s">
        <v>414</v>
      </c>
      <c r="AN7" s="108" t="s">
        <v>414</v>
      </c>
      <c r="AO7" s="108" t="s">
        <v>414</v>
      </c>
      <c r="AP7" s="108" t="s">
        <v>414</v>
      </c>
      <c r="AQ7" s="108" t="s">
        <v>414</v>
      </c>
      <c r="AR7" s="108" t="s">
        <v>414</v>
      </c>
      <c r="AS7" s="108" t="s">
        <v>414</v>
      </c>
      <c r="AT7" s="108" t="s">
        <v>414</v>
      </c>
      <c r="AU7" s="108" t="s">
        <v>414</v>
      </c>
      <c r="AV7" s="108" t="s">
        <v>414</v>
      </c>
      <c r="AW7" s="108" t="s">
        <v>414</v>
      </c>
      <c r="AX7" s="108" t="s">
        <v>414</v>
      </c>
      <c r="AY7" s="108" t="s">
        <v>414</v>
      </c>
      <c r="AZ7" s="108" t="s">
        <v>414</v>
      </c>
      <c r="BA7" s="108" t="s">
        <v>414</v>
      </c>
      <c r="BB7" s="108" t="s">
        <v>414</v>
      </c>
      <c r="BC7" s="108"/>
      <c r="BD7" s="108"/>
      <c r="BE7" s="108"/>
      <c r="BF7" s="108"/>
      <c r="BG7" s="158" t="b">
        <v>0</v>
      </c>
      <c r="BH7" s="158" t="b">
        <v>0</v>
      </c>
      <c r="BI7" s="108" t="s">
        <v>546</v>
      </c>
      <c r="BJ7" s="108" t="s">
        <v>588</v>
      </c>
      <c r="BK7" s="108" t="s">
        <v>414</v>
      </c>
      <c r="BL7" s="108" t="s">
        <v>414</v>
      </c>
      <c r="BM7" s="108" t="s">
        <v>414</v>
      </c>
      <c r="BN7" s="108" t="s">
        <v>414</v>
      </c>
      <c r="BO7" s="108" t="s">
        <v>414</v>
      </c>
      <c r="BP7" s="108" t="s">
        <v>414</v>
      </c>
      <c r="BQ7" s="108" t="s">
        <v>414</v>
      </c>
      <c r="BR7" s="108" t="s">
        <v>414</v>
      </c>
      <c r="BS7" s="108" t="s">
        <v>414</v>
      </c>
      <c r="BT7" s="108" t="s">
        <v>414</v>
      </c>
      <c r="BU7" s="108" t="s">
        <v>414</v>
      </c>
      <c r="BV7" s="108" t="s">
        <v>414</v>
      </c>
      <c r="BW7" s="108" t="s">
        <v>709</v>
      </c>
      <c r="BX7" s="168">
        <v>3.0</v>
      </c>
      <c r="BY7" s="108" t="s">
        <v>470</v>
      </c>
      <c r="BZ7" s="108" t="s">
        <v>716</v>
      </c>
      <c r="CA7" s="108" t="s">
        <v>718</v>
      </c>
      <c r="CB7" s="108" t="s">
        <v>720</v>
      </c>
      <c r="CC7" s="158" t="b">
        <v>0</v>
      </c>
      <c r="CD7" s="158" t="b">
        <v>0</v>
      </c>
      <c r="CE7" s="158" t="b">
        <v>1</v>
      </c>
      <c r="CF7" s="158" t="b">
        <v>1</v>
      </c>
      <c r="CG7" s="158" t="b">
        <v>1</v>
      </c>
      <c r="CH7" s="158" t="b">
        <v>0</v>
      </c>
      <c r="CI7" s="158" t="b">
        <v>0</v>
      </c>
      <c r="CJ7" s="108" t="s">
        <v>602</v>
      </c>
      <c r="CK7" s="108" t="s">
        <v>604</v>
      </c>
      <c r="CL7" s="108"/>
      <c r="CM7" s="154"/>
      <c r="CN7" s="108"/>
      <c r="CO7" s="108" t="s">
        <v>732</v>
      </c>
      <c r="CP7" s="171"/>
      <c r="CQ7" s="171"/>
      <c r="CR7" s="108" t="s">
        <v>733</v>
      </c>
      <c r="CS7" s="108"/>
      <c r="CT7" s="108" t="s">
        <v>735</v>
      </c>
      <c r="CU7" s="108" t="s">
        <v>736</v>
      </c>
      <c r="CV7" s="171"/>
      <c r="CW7" s="108"/>
      <c r="CX7" s="172" t="s">
        <v>739</v>
      </c>
      <c r="CY7" s="153" t="s">
        <v>512</v>
      </c>
      <c r="CZ7" s="173">
        <v>46310.90030418981</v>
      </c>
      <c r="DA7" s="174">
        <v>1.0</v>
      </c>
      <c r="DB7" s="153">
        <v>1.0</v>
      </c>
      <c r="DC7" s="113"/>
      <c r="DD7" s="153" t="b">
        <v>0</v>
      </c>
      <c r="DE7" s="153" t="b">
        <v>0</v>
      </c>
      <c r="DF7" s="153"/>
    </row>
    <row r="8" ht="27.75" customHeight="1">
      <c r="A8" s="108" t="s">
        <v>533</v>
      </c>
      <c r="B8" s="108" t="s">
        <v>534</v>
      </c>
      <c r="C8" s="108" t="s">
        <v>659</v>
      </c>
      <c r="D8" s="108" t="s">
        <v>660</v>
      </c>
      <c r="E8" s="108" t="s">
        <v>665</v>
      </c>
      <c r="F8" s="108" t="s">
        <v>538</v>
      </c>
      <c r="G8" s="108" t="s">
        <v>539</v>
      </c>
      <c r="H8" s="108" t="s">
        <v>540</v>
      </c>
      <c r="I8" s="108" t="s">
        <v>666</v>
      </c>
      <c r="J8" s="108" t="s">
        <v>667</v>
      </c>
      <c r="K8" s="153" t="s">
        <v>668</v>
      </c>
      <c r="L8" s="154"/>
      <c r="M8" s="108" t="s">
        <v>670</v>
      </c>
      <c r="N8" s="154"/>
      <c r="O8" s="108">
        <v>50.6496161542058</v>
      </c>
      <c r="P8" s="108">
        <v>-3.42561371227211</v>
      </c>
      <c r="Q8" s="155">
        <v>46276.0</v>
      </c>
      <c r="R8" s="157">
        <v>46318.0</v>
      </c>
      <c r="S8" s="158" t="s">
        <v>547</v>
      </c>
      <c r="T8" s="158" t="b">
        <v>0</v>
      </c>
      <c r="U8" s="159"/>
      <c r="V8" s="159"/>
      <c r="W8" s="108" t="s">
        <v>680</v>
      </c>
      <c r="X8" s="158" t="b">
        <v>1</v>
      </c>
      <c r="Y8" s="162">
        <v>0.6458333333321207</v>
      </c>
      <c r="Z8" s="162">
        <v>0.7083333333321207</v>
      </c>
      <c r="AA8" s="108" t="s">
        <v>414</v>
      </c>
      <c r="AB8" s="108" t="s">
        <v>414</v>
      </c>
      <c r="AC8" s="108" t="s">
        <v>414</v>
      </c>
      <c r="AD8" s="108" t="s">
        <v>414</v>
      </c>
      <c r="AE8" s="108" t="s">
        <v>414</v>
      </c>
      <c r="AF8" s="108" t="s">
        <v>414</v>
      </c>
      <c r="AG8" s="108" t="s">
        <v>414</v>
      </c>
      <c r="AH8" s="108" t="s">
        <v>414</v>
      </c>
      <c r="AI8" s="108" t="s">
        <v>414</v>
      </c>
      <c r="AJ8" s="108" t="s">
        <v>414</v>
      </c>
      <c r="AK8" s="108" t="s">
        <v>414</v>
      </c>
      <c r="AL8" s="108" t="s">
        <v>414</v>
      </c>
      <c r="AM8" s="108" t="s">
        <v>414</v>
      </c>
      <c r="AN8" s="108" t="s">
        <v>414</v>
      </c>
      <c r="AO8" s="108" t="s">
        <v>414</v>
      </c>
      <c r="AP8" s="108" t="s">
        <v>414</v>
      </c>
      <c r="AQ8" s="108" t="s">
        <v>414</v>
      </c>
      <c r="AR8" s="108" t="s">
        <v>414</v>
      </c>
      <c r="AS8" s="108" t="s">
        <v>414</v>
      </c>
      <c r="AT8" s="108" t="s">
        <v>414</v>
      </c>
      <c r="AU8" s="108" t="s">
        <v>414</v>
      </c>
      <c r="AV8" s="108" t="s">
        <v>414</v>
      </c>
      <c r="AW8" s="108" t="s">
        <v>414</v>
      </c>
      <c r="AX8" s="108" t="s">
        <v>414</v>
      </c>
      <c r="AY8" s="108" t="s">
        <v>414</v>
      </c>
      <c r="AZ8" s="108" t="s">
        <v>414</v>
      </c>
      <c r="BA8" s="108" t="s">
        <v>414</v>
      </c>
      <c r="BB8" s="108" t="s">
        <v>414</v>
      </c>
      <c r="BC8" s="108"/>
      <c r="BD8" s="108"/>
      <c r="BE8" s="108"/>
      <c r="BF8" s="108"/>
      <c r="BG8" s="158" t="b">
        <v>0</v>
      </c>
      <c r="BH8" s="158" t="b">
        <v>0</v>
      </c>
      <c r="BI8" s="108" t="s">
        <v>546</v>
      </c>
      <c r="BJ8" s="108" t="s">
        <v>588</v>
      </c>
      <c r="BK8" s="108" t="s">
        <v>414</v>
      </c>
      <c r="BL8" s="108" t="s">
        <v>414</v>
      </c>
      <c r="BM8" s="108" t="s">
        <v>414</v>
      </c>
      <c r="BN8" s="108" t="s">
        <v>414</v>
      </c>
      <c r="BO8" s="108" t="s">
        <v>414</v>
      </c>
      <c r="BP8" s="108" t="s">
        <v>414</v>
      </c>
      <c r="BQ8" s="108" t="s">
        <v>414</v>
      </c>
      <c r="BR8" s="108" t="s">
        <v>414</v>
      </c>
      <c r="BS8" s="108" t="s">
        <v>414</v>
      </c>
      <c r="BT8" s="108" t="s">
        <v>414</v>
      </c>
      <c r="BU8" s="108" t="s">
        <v>414</v>
      </c>
      <c r="BV8" s="108" t="s">
        <v>414</v>
      </c>
      <c r="BW8" s="108" t="s">
        <v>709</v>
      </c>
      <c r="BX8" s="168">
        <v>3.0</v>
      </c>
      <c r="BY8" s="108" t="s">
        <v>470</v>
      </c>
      <c r="BZ8" s="108" t="s">
        <v>716</v>
      </c>
      <c r="CA8" s="108" t="s">
        <v>718</v>
      </c>
      <c r="CB8" s="108" t="s">
        <v>720</v>
      </c>
      <c r="CC8" s="158" t="b">
        <v>0</v>
      </c>
      <c r="CD8" s="158" t="b">
        <v>0</v>
      </c>
      <c r="CE8" s="158" t="b">
        <v>1</v>
      </c>
      <c r="CF8" s="158" t="b">
        <v>1</v>
      </c>
      <c r="CG8" s="158" t="b">
        <v>1</v>
      </c>
      <c r="CH8" s="158" t="b">
        <v>0</v>
      </c>
      <c r="CI8" s="158" t="b">
        <v>0</v>
      </c>
      <c r="CJ8" s="108" t="s">
        <v>602</v>
      </c>
      <c r="CK8" s="108" t="s">
        <v>604</v>
      </c>
      <c r="CL8" s="108"/>
      <c r="CM8" s="154"/>
      <c r="CN8" s="108"/>
      <c r="CO8" s="108" t="s">
        <v>732</v>
      </c>
      <c r="CP8" s="171"/>
      <c r="CQ8" s="171"/>
      <c r="CR8" s="108" t="s">
        <v>733</v>
      </c>
      <c r="CS8" s="108"/>
      <c r="CT8" s="108" t="s">
        <v>735</v>
      </c>
      <c r="CU8" s="108" t="s">
        <v>736</v>
      </c>
      <c r="CV8" s="171"/>
      <c r="CW8" s="108"/>
      <c r="CX8" s="172" t="s">
        <v>789</v>
      </c>
      <c r="CY8" s="153" t="s">
        <v>512</v>
      </c>
      <c r="CZ8" s="173">
        <v>46310.899935925925</v>
      </c>
      <c r="DA8" s="174">
        <v>1.0</v>
      </c>
      <c r="DB8" s="153">
        <v>1.0</v>
      </c>
      <c r="DC8" s="113"/>
      <c r="DD8" s="153" t="b">
        <v>0</v>
      </c>
      <c r="DE8" s="153" t="b">
        <v>0</v>
      </c>
      <c r="DF8" s="153"/>
    </row>
    <row r="9" ht="27.75" customHeight="1">
      <c r="A9" s="108" t="s">
        <v>533</v>
      </c>
      <c r="B9" s="108" t="s">
        <v>551</v>
      </c>
      <c r="C9" s="108" t="s">
        <v>798</v>
      </c>
      <c r="D9" s="108" t="s">
        <v>799</v>
      </c>
      <c r="E9" s="108" t="s">
        <v>801</v>
      </c>
      <c r="F9" s="108" t="s">
        <v>802</v>
      </c>
      <c r="G9" s="108" t="s">
        <v>803</v>
      </c>
      <c r="H9" s="108" t="s">
        <v>540</v>
      </c>
      <c r="I9" s="108" t="s">
        <v>805</v>
      </c>
      <c r="J9" s="108"/>
      <c r="K9" s="153" t="s">
        <v>806</v>
      </c>
      <c r="L9" s="154"/>
      <c r="M9" s="108" t="s">
        <v>807</v>
      </c>
      <c r="N9" s="154"/>
      <c r="O9" s="108">
        <v>50.7109783180475</v>
      </c>
      <c r="P9" s="108">
        <v>-3.32218940049126</v>
      </c>
      <c r="Q9" s="155">
        <v>46308.0</v>
      </c>
      <c r="R9" s="157">
        <v>46371.0</v>
      </c>
      <c r="S9" s="158" t="s">
        <v>547</v>
      </c>
      <c r="T9" s="158" t="b">
        <v>0</v>
      </c>
      <c r="U9" s="159"/>
      <c r="V9" s="159"/>
      <c r="W9" s="108" t="s">
        <v>680</v>
      </c>
      <c r="X9" s="158" t="b">
        <v>1</v>
      </c>
      <c r="Y9" s="162">
        <v>0.4166666666678793</v>
      </c>
      <c r="Z9" s="162">
        <v>0.5</v>
      </c>
      <c r="AA9" s="108" t="s">
        <v>414</v>
      </c>
      <c r="AB9" s="108" t="s">
        <v>414</v>
      </c>
      <c r="AC9" s="108" t="s">
        <v>414</v>
      </c>
      <c r="AD9" s="108" t="s">
        <v>414</v>
      </c>
      <c r="AE9" s="108" t="s">
        <v>414</v>
      </c>
      <c r="AF9" s="108" t="s">
        <v>414</v>
      </c>
      <c r="AG9" s="108" t="s">
        <v>414</v>
      </c>
      <c r="AH9" s="108" t="s">
        <v>414</v>
      </c>
      <c r="AI9" s="108" t="s">
        <v>414</v>
      </c>
      <c r="AJ9" s="108" t="s">
        <v>414</v>
      </c>
      <c r="AK9" s="108" t="s">
        <v>414</v>
      </c>
      <c r="AL9" s="108" t="s">
        <v>414</v>
      </c>
      <c r="AM9" s="108" t="s">
        <v>414</v>
      </c>
      <c r="AN9" s="108" t="s">
        <v>414</v>
      </c>
      <c r="AO9" s="108" t="s">
        <v>414</v>
      </c>
      <c r="AP9" s="108" t="s">
        <v>414</v>
      </c>
      <c r="AQ9" s="108" t="s">
        <v>414</v>
      </c>
      <c r="AR9" s="108" t="s">
        <v>414</v>
      </c>
      <c r="AS9" s="108" t="s">
        <v>414</v>
      </c>
      <c r="AT9" s="108" t="s">
        <v>414</v>
      </c>
      <c r="AU9" s="108" t="s">
        <v>414</v>
      </c>
      <c r="AV9" s="108" t="s">
        <v>414</v>
      </c>
      <c r="AW9" s="108" t="s">
        <v>414</v>
      </c>
      <c r="AX9" s="108" t="s">
        <v>414</v>
      </c>
      <c r="AY9" s="108" t="s">
        <v>414</v>
      </c>
      <c r="AZ9" s="108" t="s">
        <v>414</v>
      </c>
      <c r="BA9" s="108" t="s">
        <v>414</v>
      </c>
      <c r="BB9" s="108" t="s">
        <v>414</v>
      </c>
      <c r="BC9" s="108" t="s">
        <v>414</v>
      </c>
      <c r="BD9" s="108" t="s">
        <v>414</v>
      </c>
      <c r="BE9" s="108" t="s">
        <v>414</v>
      </c>
      <c r="BF9" s="108" t="s">
        <v>414</v>
      </c>
      <c r="BG9" s="158" t="b">
        <v>1</v>
      </c>
      <c r="BH9" s="158" t="b">
        <v>1</v>
      </c>
      <c r="BI9" s="108" t="s">
        <v>436</v>
      </c>
      <c r="BJ9" s="108" t="s">
        <v>823</v>
      </c>
      <c r="BK9" s="108" t="s">
        <v>414</v>
      </c>
      <c r="BL9" s="108" t="s">
        <v>414</v>
      </c>
      <c r="BM9" s="108" t="s">
        <v>414</v>
      </c>
      <c r="BN9" s="108" t="s">
        <v>414</v>
      </c>
      <c r="BO9" s="108" t="s">
        <v>414</v>
      </c>
      <c r="BP9" s="108" t="s">
        <v>414</v>
      </c>
      <c r="BQ9" s="108" t="s">
        <v>830</v>
      </c>
      <c r="BR9" s="168">
        <v>10.0</v>
      </c>
      <c r="BS9" s="108" t="s">
        <v>414</v>
      </c>
      <c r="BT9" s="108" t="s">
        <v>414</v>
      </c>
      <c r="BU9" s="108" t="s">
        <v>414</v>
      </c>
      <c r="BV9" s="108" t="s">
        <v>414</v>
      </c>
      <c r="BW9" s="108" t="s">
        <v>414</v>
      </c>
      <c r="BX9" s="108" t="s">
        <v>414</v>
      </c>
      <c r="BY9" s="108" t="s">
        <v>470</v>
      </c>
      <c r="BZ9" s="108" t="s">
        <v>835</v>
      </c>
      <c r="CA9" s="108" t="s">
        <v>836</v>
      </c>
      <c r="CB9" s="108" t="s">
        <v>720</v>
      </c>
      <c r="CC9" s="158" t="b">
        <v>0</v>
      </c>
      <c r="CD9" s="158" t="b">
        <v>0</v>
      </c>
      <c r="CE9" s="158" t="b">
        <v>0</v>
      </c>
      <c r="CF9" s="158" t="b">
        <v>0</v>
      </c>
      <c r="CG9" s="158" t="b">
        <v>1</v>
      </c>
      <c r="CH9" s="158" t="b">
        <v>1</v>
      </c>
      <c r="CI9" s="158" t="b">
        <v>0</v>
      </c>
      <c r="CJ9" s="108" t="s">
        <v>839</v>
      </c>
      <c r="CK9" s="108" t="s">
        <v>392</v>
      </c>
      <c r="CL9" s="108"/>
      <c r="CM9" s="154"/>
      <c r="CN9" s="108"/>
      <c r="CO9" s="108" t="s">
        <v>843</v>
      </c>
      <c r="CP9" s="171"/>
      <c r="CQ9" s="171"/>
      <c r="CR9" s="108" t="s">
        <v>845</v>
      </c>
      <c r="CS9" s="108"/>
      <c r="CT9" s="108" t="s">
        <v>847</v>
      </c>
      <c r="CU9" s="108" t="s">
        <v>849</v>
      </c>
      <c r="CV9" s="171"/>
      <c r="CW9" s="108"/>
      <c r="CX9" s="172" t="s">
        <v>852</v>
      </c>
      <c r="CY9" s="153" t="s">
        <v>512</v>
      </c>
      <c r="CZ9" s="173">
        <v>46310.88827280093</v>
      </c>
      <c r="DA9" s="174">
        <v>1.0</v>
      </c>
      <c r="DB9" s="153">
        <v>1.0</v>
      </c>
      <c r="DC9" s="113"/>
      <c r="DD9" s="153" t="b">
        <v>0</v>
      </c>
      <c r="DE9" s="153" t="b">
        <v>0</v>
      </c>
      <c r="DF9" s="153"/>
    </row>
    <row r="10" ht="27.75" customHeight="1">
      <c r="A10" s="108" t="s">
        <v>533</v>
      </c>
      <c r="B10" s="108" t="s">
        <v>551</v>
      </c>
      <c r="C10" s="108" t="s">
        <v>798</v>
      </c>
      <c r="D10" s="108" t="s">
        <v>855</v>
      </c>
      <c r="E10" s="108" t="s">
        <v>856</v>
      </c>
      <c r="F10" s="108" t="s">
        <v>802</v>
      </c>
      <c r="G10" s="108" t="s">
        <v>803</v>
      </c>
      <c r="H10" s="108" t="s">
        <v>540</v>
      </c>
      <c r="I10" s="108" t="s">
        <v>805</v>
      </c>
      <c r="J10" s="108"/>
      <c r="K10" s="153" t="s">
        <v>806</v>
      </c>
      <c r="L10" s="154"/>
      <c r="M10" s="108" t="s">
        <v>807</v>
      </c>
      <c r="N10" s="154"/>
      <c r="O10" s="108">
        <v>50.7109783180475</v>
      </c>
      <c r="P10" s="108">
        <v>-3.32218940049126</v>
      </c>
      <c r="Q10" s="155">
        <v>46307.0</v>
      </c>
      <c r="R10" s="157">
        <v>46370.0</v>
      </c>
      <c r="S10" s="158" t="s">
        <v>547</v>
      </c>
      <c r="T10" s="158" t="b">
        <v>0</v>
      </c>
      <c r="U10" s="159"/>
      <c r="V10" s="159"/>
      <c r="W10" s="108" t="s">
        <v>858</v>
      </c>
      <c r="X10" s="158" t="b">
        <v>1</v>
      </c>
      <c r="Y10" s="162">
        <v>0.5208333333321207</v>
      </c>
      <c r="Z10" s="162">
        <v>0.6041666666678793</v>
      </c>
      <c r="AA10" s="108" t="s">
        <v>414</v>
      </c>
      <c r="AB10" s="108" t="s">
        <v>414</v>
      </c>
      <c r="AC10" s="108" t="s">
        <v>414</v>
      </c>
      <c r="AD10" s="108" t="s">
        <v>414</v>
      </c>
      <c r="AE10" s="108" t="s">
        <v>414</v>
      </c>
      <c r="AF10" s="108" t="s">
        <v>414</v>
      </c>
      <c r="AG10" s="108" t="s">
        <v>414</v>
      </c>
      <c r="AH10" s="108" t="s">
        <v>414</v>
      </c>
      <c r="AI10" s="108" t="s">
        <v>414</v>
      </c>
      <c r="AJ10" s="108" t="s">
        <v>414</v>
      </c>
      <c r="AK10" s="108" t="s">
        <v>414</v>
      </c>
      <c r="AL10" s="108" t="s">
        <v>414</v>
      </c>
      <c r="AM10" s="108" t="s">
        <v>414</v>
      </c>
      <c r="AN10" s="108" t="s">
        <v>414</v>
      </c>
      <c r="AO10" s="108" t="s">
        <v>414</v>
      </c>
      <c r="AP10" s="108" t="s">
        <v>414</v>
      </c>
      <c r="AQ10" s="108" t="s">
        <v>414</v>
      </c>
      <c r="AR10" s="108" t="s">
        <v>414</v>
      </c>
      <c r="AS10" s="108" t="s">
        <v>414</v>
      </c>
      <c r="AT10" s="108" t="s">
        <v>414</v>
      </c>
      <c r="AU10" s="108" t="s">
        <v>414</v>
      </c>
      <c r="AV10" s="108" t="s">
        <v>414</v>
      </c>
      <c r="AW10" s="108" t="s">
        <v>414</v>
      </c>
      <c r="AX10" s="108" t="s">
        <v>414</v>
      </c>
      <c r="AY10" s="108" t="s">
        <v>414</v>
      </c>
      <c r="AZ10" s="108" t="s">
        <v>414</v>
      </c>
      <c r="BA10" s="108" t="s">
        <v>414</v>
      </c>
      <c r="BB10" s="108" t="s">
        <v>414</v>
      </c>
      <c r="BC10" s="108" t="s">
        <v>414</v>
      </c>
      <c r="BD10" s="108" t="s">
        <v>414</v>
      </c>
      <c r="BE10" s="108" t="s">
        <v>414</v>
      </c>
      <c r="BF10" s="108" t="s">
        <v>414</v>
      </c>
      <c r="BG10" s="158" t="b">
        <v>1</v>
      </c>
      <c r="BH10" s="158" t="b">
        <v>1</v>
      </c>
      <c r="BI10" s="108" t="s">
        <v>436</v>
      </c>
      <c r="BJ10" s="108" t="s">
        <v>823</v>
      </c>
      <c r="BK10" s="108" t="s">
        <v>414</v>
      </c>
      <c r="BL10" s="108" t="s">
        <v>414</v>
      </c>
      <c r="BM10" s="108" t="s">
        <v>414</v>
      </c>
      <c r="BN10" s="108" t="s">
        <v>414</v>
      </c>
      <c r="BO10" s="108" t="s">
        <v>414</v>
      </c>
      <c r="BP10" s="108" t="s">
        <v>414</v>
      </c>
      <c r="BQ10" s="108" t="s">
        <v>830</v>
      </c>
      <c r="BR10" s="168">
        <v>10.0</v>
      </c>
      <c r="BS10" s="108" t="s">
        <v>414</v>
      </c>
      <c r="BT10" s="108" t="s">
        <v>414</v>
      </c>
      <c r="BU10" s="108" t="s">
        <v>414</v>
      </c>
      <c r="BV10" s="108" t="s">
        <v>414</v>
      </c>
      <c r="BW10" s="108" t="s">
        <v>414</v>
      </c>
      <c r="BX10" s="108" t="s">
        <v>414</v>
      </c>
      <c r="BY10" s="108" t="s">
        <v>470</v>
      </c>
      <c r="BZ10" s="108" t="s">
        <v>835</v>
      </c>
      <c r="CA10" s="108" t="s">
        <v>836</v>
      </c>
      <c r="CB10" s="108" t="s">
        <v>720</v>
      </c>
      <c r="CC10" s="158" t="b">
        <v>0</v>
      </c>
      <c r="CD10" s="158" t="b">
        <v>0</v>
      </c>
      <c r="CE10" s="158" t="b">
        <v>0</v>
      </c>
      <c r="CF10" s="158" t="b">
        <v>0</v>
      </c>
      <c r="CG10" s="158" t="b">
        <v>1</v>
      </c>
      <c r="CH10" s="158" t="b">
        <v>1</v>
      </c>
      <c r="CI10" s="158" t="b">
        <v>0</v>
      </c>
      <c r="CJ10" s="108" t="s">
        <v>839</v>
      </c>
      <c r="CK10" s="108" t="s">
        <v>392</v>
      </c>
      <c r="CL10" s="108"/>
      <c r="CM10" s="154"/>
      <c r="CN10" s="108"/>
      <c r="CO10" s="108" t="s">
        <v>892</v>
      </c>
      <c r="CP10" s="171"/>
      <c r="CQ10" s="171"/>
      <c r="CR10" s="108" t="s">
        <v>845</v>
      </c>
      <c r="CS10" s="108"/>
      <c r="CT10" s="108" t="s">
        <v>898</v>
      </c>
      <c r="CU10" s="108" t="s">
        <v>849</v>
      </c>
      <c r="CV10" s="171"/>
      <c r="CW10" s="108"/>
      <c r="CX10" s="172" t="s">
        <v>899</v>
      </c>
      <c r="CY10" s="153" t="s">
        <v>512</v>
      </c>
      <c r="CZ10" s="173">
        <v>46310.88617197917</v>
      </c>
      <c r="DA10" s="174">
        <v>1.0</v>
      </c>
      <c r="DB10" s="153">
        <v>1.0</v>
      </c>
      <c r="DC10" s="113"/>
      <c r="DD10" s="153" t="b">
        <v>0</v>
      </c>
      <c r="DE10" s="153" t="b">
        <v>0</v>
      </c>
      <c r="DF10" s="153"/>
    </row>
    <row r="11" ht="27.75" customHeight="1">
      <c r="A11" s="108" t="s">
        <v>533</v>
      </c>
      <c r="B11" s="108" t="s">
        <v>900</v>
      </c>
      <c r="C11" s="108" t="s">
        <v>901</v>
      </c>
      <c r="D11" s="108" t="s">
        <v>902</v>
      </c>
      <c r="E11" s="108" t="s">
        <v>903</v>
      </c>
      <c r="F11" s="108" t="s">
        <v>904</v>
      </c>
      <c r="G11" s="108" t="s">
        <v>905</v>
      </c>
      <c r="H11" s="108" t="s">
        <v>540</v>
      </c>
      <c r="I11" s="108" t="s">
        <v>906</v>
      </c>
      <c r="J11" s="108" t="s">
        <v>907</v>
      </c>
      <c r="K11" s="153" t="s">
        <v>502</v>
      </c>
      <c r="L11" s="154"/>
      <c r="M11" s="108" t="s">
        <v>908</v>
      </c>
      <c r="N11" s="154"/>
      <c r="O11" s="108">
        <v>50.6645057870853</v>
      </c>
      <c r="P11" s="108">
        <v>-3.43472417536149</v>
      </c>
      <c r="Q11" s="155">
        <v>46273.0</v>
      </c>
      <c r="R11" s="157">
        <v>46343.0</v>
      </c>
      <c r="S11" s="158" t="s">
        <v>547</v>
      </c>
      <c r="T11" s="158" t="b">
        <v>0</v>
      </c>
      <c r="U11" s="159"/>
      <c r="V11" s="159"/>
      <c r="W11" s="108" t="s">
        <v>680</v>
      </c>
      <c r="X11" s="158" t="b">
        <v>1</v>
      </c>
      <c r="Y11" s="206">
        <v>0.7708333333333334</v>
      </c>
      <c r="Z11" s="162">
        <v>0.8125</v>
      </c>
      <c r="AA11" s="207"/>
      <c r="AB11" s="207"/>
      <c r="AC11" s="208"/>
      <c r="AD11" s="208"/>
      <c r="AE11" s="207"/>
      <c r="AF11" s="207"/>
      <c r="AG11" s="207"/>
      <c r="AH11" s="207"/>
      <c r="AI11" s="207"/>
      <c r="AJ11" s="207"/>
      <c r="AK11" s="207"/>
      <c r="AL11" s="207"/>
      <c r="AM11" s="207"/>
      <c r="AN11" s="207"/>
      <c r="AO11" s="108"/>
      <c r="AP11" s="168"/>
      <c r="AQ11" s="108"/>
      <c r="AR11" s="168"/>
      <c r="AS11" s="108"/>
      <c r="AT11" s="168"/>
      <c r="AU11" s="108"/>
      <c r="AV11" s="168"/>
      <c r="AW11" s="108"/>
      <c r="AX11" s="108"/>
      <c r="AY11" s="108"/>
      <c r="AZ11" s="168"/>
      <c r="BA11" s="108"/>
      <c r="BB11" s="168"/>
      <c r="BC11" s="108"/>
      <c r="BD11" s="108"/>
      <c r="BE11" s="108"/>
      <c r="BF11" s="108"/>
      <c r="BG11" s="158" t="b">
        <v>1</v>
      </c>
      <c r="BH11" s="158" t="b">
        <v>1</v>
      </c>
      <c r="BI11" s="108" t="s">
        <v>929</v>
      </c>
      <c r="BJ11" s="108" t="s">
        <v>930</v>
      </c>
      <c r="BK11" s="108" t="s">
        <v>414</v>
      </c>
      <c r="BL11" s="108" t="s">
        <v>414</v>
      </c>
      <c r="BM11" s="108" t="s">
        <v>414</v>
      </c>
      <c r="BN11" s="108" t="s">
        <v>414</v>
      </c>
      <c r="BO11" s="108" t="s">
        <v>414</v>
      </c>
      <c r="BP11" s="108" t="s">
        <v>414</v>
      </c>
      <c r="BQ11" s="108" t="s">
        <v>932</v>
      </c>
      <c r="BR11" s="108">
        <v>72.5</v>
      </c>
      <c r="BS11" s="108" t="s">
        <v>414</v>
      </c>
      <c r="BT11" s="108" t="s">
        <v>414</v>
      </c>
      <c r="BU11" s="108" t="s">
        <v>414</v>
      </c>
      <c r="BV11" s="108" t="s">
        <v>414</v>
      </c>
      <c r="BW11" s="108" t="s">
        <v>414</v>
      </c>
      <c r="BX11" s="108" t="s">
        <v>414</v>
      </c>
      <c r="BY11" s="108" t="s">
        <v>470</v>
      </c>
      <c r="BZ11" s="108" t="s">
        <v>933</v>
      </c>
      <c r="CA11" s="108"/>
      <c r="CB11" s="108" t="s">
        <v>756</v>
      </c>
      <c r="CC11" s="158" t="b">
        <v>0</v>
      </c>
      <c r="CD11" s="158" t="b">
        <v>0</v>
      </c>
      <c r="CE11" s="158" t="b">
        <v>0</v>
      </c>
      <c r="CF11" s="158" t="b">
        <v>0</v>
      </c>
      <c r="CG11" s="158" t="b">
        <v>1</v>
      </c>
      <c r="CH11" s="158" t="b">
        <v>1</v>
      </c>
      <c r="CI11" s="158" t="b">
        <v>0</v>
      </c>
      <c r="CJ11" s="108" t="s">
        <v>924</v>
      </c>
      <c r="CK11" s="108" t="s">
        <v>604</v>
      </c>
      <c r="CL11" s="108" t="s">
        <v>935</v>
      </c>
      <c r="CM11" s="154"/>
      <c r="CN11" s="108" t="s">
        <v>937</v>
      </c>
      <c r="CO11" s="108" t="s">
        <v>941</v>
      </c>
      <c r="CP11" s="171"/>
      <c r="CQ11" s="171"/>
      <c r="CR11" s="108" t="s">
        <v>944</v>
      </c>
      <c r="CS11" s="108" t="s">
        <v>947</v>
      </c>
      <c r="CT11" s="108" t="s">
        <v>949</v>
      </c>
      <c r="CU11" s="108" t="s">
        <v>504</v>
      </c>
      <c r="CV11" s="171"/>
      <c r="CW11" s="108"/>
      <c r="CX11" s="172" t="s">
        <v>955</v>
      </c>
      <c r="CY11" s="153" t="s">
        <v>512</v>
      </c>
      <c r="CZ11" s="173">
        <v>46310.88201061342</v>
      </c>
      <c r="DA11" s="174">
        <v>1.0</v>
      </c>
      <c r="DB11" s="153">
        <v>1.0</v>
      </c>
      <c r="DC11" s="113"/>
      <c r="DD11" s="153" t="b">
        <v>0</v>
      </c>
      <c r="DE11" s="153" t="b">
        <v>0</v>
      </c>
      <c r="DF11" s="153"/>
    </row>
    <row r="12" ht="27.75" customHeight="1">
      <c r="A12" s="108" t="s">
        <v>533</v>
      </c>
      <c r="B12" s="108" t="s">
        <v>900</v>
      </c>
      <c r="C12" s="108" t="s">
        <v>901</v>
      </c>
      <c r="D12" s="108" t="s">
        <v>965</v>
      </c>
      <c r="E12" s="108" t="s">
        <v>981</v>
      </c>
      <c r="F12" s="108" t="s">
        <v>904</v>
      </c>
      <c r="G12" s="108" t="s">
        <v>905</v>
      </c>
      <c r="H12" s="108" t="s">
        <v>540</v>
      </c>
      <c r="I12" s="108" t="s">
        <v>906</v>
      </c>
      <c r="J12" s="108" t="s">
        <v>907</v>
      </c>
      <c r="K12" s="153" t="s">
        <v>502</v>
      </c>
      <c r="L12" s="154"/>
      <c r="M12" s="108" t="s">
        <v>908</v>
      </c>
      <c r="N12" s="154"/>
      <c r="O12" s="108">
        <v>50.6645057870853</v>
      </c>
      <c r="P12" s="108">
        <v>-3.43472417536149</v>
      </c>
      <c r="Q12" s="155">
        <v>46273.0</v>
      </c>
      <c r="R12" s="157">
        <v>46343.0</v>
      </c>
      <c r="S12" s="158" t="s">
        <v>547</v>
      </c>
      <c r="T12" s="158" t="b">
        <v>1</v>
      </c>
      <c r="U12" s="159"/>
      <c r="V12" s="159"/>
      <c r="W12" s="108" t="s">
        <v>680</v>
      </c>
      <c r="X12" s="158" t="b">
        <v>0</v>
      </c>
      <c r="Y12" s="162"/>
      <c r="Z12" s="162"/>
      <c r="AA12" s="207"/>
      <c r="AB12" s="207"/>
      <c r="AC12" s="208"/>
      <c r="AD12" s="208"/>
      <c r="AE12" s="207"/>
      <c r="AF12" s="207"/>
      <c r="AG12" s="207"/>
      <c r="AH12" s="207"/>
      <c r="AI12" s="207"/>
      <c r="AJ12" s="207"/>
      <c r="AK12" s="207"/>
      <c r="AL12" s="207"/>
      <c r="AM12" s="207"/>
      <c r="AN12" s="207"/>
      <c r="AO12" s="108"/>
      <c r="AP12" s="168"/>
      <c r="AQ12" s="108">
        <v>3.0</v>
      </c>
      <c r="AR12" s="168" t="s">
        <v>998</v>
      </c>
      <c r="AS12" s="108"/>
      <c r="AT12" s="168"/>
      <c r="AU12" s="108"/>
      <c r="AV12" s="168"/>
      <c r="AW12" s="108"/>
      <c r="AX12" s="108"/>
      <c r="AY12" s="108"/>
      <c r="AZ12" s="168"/>
      <c r="BA12" s="108"/>
      <c r="BB12" s="168"/>
      <c r="BC12" s="108"/>
      <c r="BD12" s="108"/>
      <c r="BE12" s="108"/>
      <c r="BF12" s="108"/>
      <c r="BG12" s="158" t="b">
        <v>1</v>
      </c>
      <c r="BH12" s="158" t="b">
        <v>1</v>
      </c>
      <c r="BI12" s="108" t="s">
        <v>1010</v>
      </c>
      <c r="BJ12" s="108" t="s">
        <v>930</v>
      </c>
      <c r="BK12" s="108" t="s">
        <v>414</v>
      </c>
      <c r="BL12" s="108" t="s">
        <v>414</v>
      </c>
      <c r="BM12" s="228">
        <v>46299.0</v>
      </c>
      <c r="BN12" s="108">
        <v>72.5</v>
      </c>
      <c r="BO12" s="108" t="s">
        <v>414</v>
      </c>
      <c r="BP12" s="108" t="s">
        <v>414</v>
      </c>
      <c r="BQ12" s="108" t="s">
        <v>414</v>
      </c>
      <c r="BR12" s="108" t="s">
        <v>414</v>
      </c>
      <c r="BS12" s="108" t="s">
        <v>414</v>
      </c>
      <c r="BT12" s="108" t="s">
        <v>414</v>
      </c>
      <c r="BU12" s="108" t="s">
        <v>414</v>
      </c>
      <c r="BV12" s="108" t="s">
        <v>414</v>
      </c>
      <c r="BW12" s="108" t="s">
        <v>414</v>
      </c>
      <c r="BX12" s="108" t="s">
        <v>414</v>
      </c>
      <c r="BY12" s="108" t="s">
        <v>470</v>
      </c>
      <c r="BZ12" s="108" t="s">
        <v>933</v>
      </c>
      <c r="CA12" s="108"/>
      <c r="CB12" s="108" t="s">
        <v>756</v>
      </c>
      <c r="CC12" s="158" t="b">
        <v>0</v>
      </c>
      <c r="CD12" s="158" t="b">
        <v>0</v>
      </c>
      <c r="CE12" s="158" t="b">
        <v>1</v>
      </c>
      <c r="CF12" s="158" t="b">
        <v>1</v>
      </c>
      <c r="CG12" s="158" t="b">
        <v>1</v>
      </c>
      <c r="CH12" s="158" t="b">
        <v>0</v>
      </c>
      <c r="CI12" s="158" t="b">
        <v>0</v>
      </c>
      <c r="CJ12" s="108" t="s">
        <v>924</v>
      </c>
      <c r="CK12" s="108" t="s">
        <v>604</v>
      </c>
      <c r="CL12" s="108" t="s">
        <v>935</v>
      </c>
      <c r="CM12" s="154"/>
      <c r="CN12" s="108" t="s">
        <v>1030</v>
      </c>
      <c r="CO12" s="108" t="s">
        <v>1031</v>
      </c>
      <c r="CP12" s="171"/>
      <c r="CQ12" s="171"/>
      <c r="CR12" s="108" t="s">
        <v>1035</v>
      </c>
      <c r="CS12" s="108" t="s">
        <v>947</v>
      </c>
      <c r="CT12" s="108" t="s">
        <v>949</v>
      </c>
      <c r="CU12" s="108" t="s">
        <v>504</v>
      </c>
      <c r="CV12" s="171"/>
      <c r="CW12" s="108"/>
      <c r="CX12" s="172" t="s">
        <v>1040</v>
      </c>
      <c r="CY12" s="153" t="s">
        <v>512</v>
      </c>
      <c r="CZ12" s="173">
        <v>46310.88013424768</v>
      </c>
      <c r="DA12" s="174">
        <v>1.0</v>
      </c>
      <c r="DB12" s="153">
        <v>1.0</v>
      </c>
      <c r="DC12" s="113"/>
      <c r="DD12" s="153" t="b">
        <v>0</v>
      </c>
      <c r="DE12" s="153" t="b">
        <v>0</v>
      </c>
      <c r="DF12" s="153"/>
    </row>
    <row r="13" ht="27.75" customHeight="1">
      <c r="A13" s="108" t="s">
        <v>533</v>
      </c>
      <c r="B13" s="108" t="s">
        <v>551</v>
      </c>
      <c r="C13" s="108" t="s">
        <v>798</v>
      </c>
      <c r="D13" s="108" t="s">
        <v>1049</v>
      </c>
      <c r="E13" s="108" t="s">
        <v>1050</v>
      </c>
      <c r="F13" s="108" t="s">
        <v>802</v>
      </c>
      <c r="G13" s="108" t="s">
        <v>803</v>
      </c>
      <c r="H13" s="108" t="s">
        <v>540</v>
      </c>
      <c r="I13" s="108" t="s">
        <v>805</v>
      </c>
      <c r="J13" s="108"/>
      <c r="K13" s="153" t="s">
        <v>806</v>
      </c>
      <c r="L13" s="154"/>
      <c r="M13" s="108" t="s">
        <v>807</v>
      </c>
      <c r="N13" s="154"/>
      <c r="O13" s="108">
        <v>50.7109783180475</v>
      </c>
      <c r="P13" s="108">
        <v>-3.32218940049126</v>
      </c>
      <c r="Q13" s="155">
        <v>46311.0</v>
      </c>
      <c r="R13" s="157">
        <v>46374.0</v>
      </c>
      <c r="S13" s="158" t="s">
        <v>547</v>
      </c>
      <c r="T13" s="158" t="b">
        <v>0</v>
      </c>
      <c r="U13" s="159"/>
      <c r="V13" s="159"/>
      <c r="W13" s="108" t="s">
        <v>550</v>
      </c>
      <c r="X13" s="158" t="b">
        <v>1</v>
      </c>
      <c r="Y13" s="162">
        <v>0.5416666666678793</v>
      </c>
      <c r="Z13" s="162">
        <v>0.625</v>
      </c>
      <c r="AA13" s="108" t="s">
        <v>414</v>
      </c>
      <c r="AB13" s="108" t="s">
        <v>414</v>
      </c>
      <c r="AC13" s="108" t="s">
        <v>414</v>
      </c>
      <c r="AD13" s="108" t="s">
        <v>414</v>
      </c>
      <c r="AE13" s="108" t="s">
        <v>414</v>
      </c>
      <c r="AF13" s="108" t="s">
        <v>414</v>
      </c>
      <c r="AG13" s="108" t="s">
        <v>414</v>
      </c>
      <c r="AH13" s="108" t="s">
        <v>414</v>
      </c>
      <c r="AI13" s="108" t="s">
        <v>414</v>
      </c>
      <c r="AJ13" s="108" t="s">
        <v>414</v>
      </c>
      <c r="AK13" s="108" t="s">
        <v>414</v>
      </c>
      <c r="AL13" s="108" t="s">
        <v>414</v>
      </c>
      <c r="AM13" s="108" t="s">
        <v>414</v>
      </c>
      <c r="AN13" s="108" t="s">
        <v>414</v>
      </c>
      <c r="AO13" s="108" t="s">
        <v>414</v>
      </c>
      <c r="AP13" s="108" t="s">
        <v>414</v>
      </c>
      <c r="AQ13" s="108" t="s">
        <v>414</v>
      </c>
      <c r="AR13" s="108" t="s">
        <v>414</v>
      </c>
      <c r="AS13" s="108" t="s">
        <v>414</v>
      </c>
      <c r="AT13" s="108" t="s">
        <v>414</v>
      </c>
      <c r="AU13" s="108" t="s">
        <v>414</v>
      </c>
      <c r="AV13" s="108" t="s">
        <v>414</v>
      </c>
      <c r="AW13" s="108" t="s">
        <v>414</v>
      </c>
      <c r="AX13" s="108" t="s">
        <v>414</v>
      </c>
      <c r="AY13" s="108" t="s">
        <v>414</v>
      </c>
      <c r="AZ13" s="108" t="s">
        <v>414</v>
      </c>
      <c r="BA13" s="108" t="s">
        <v>414</v>
      </c>
      <c r="BB13" s="108" t="s">
        <v>414</v>
      </c>
      <c r="BC13" s="108" t="s">
        <v>414</v>
      </c>
      <c r="BD13" s="108" t="s">
        <v>414</v>
      </c>
      <c r="BE13" s="108" t="s">
        <v>414</v>
      </c>
      <c r="BF13" s="108" t="s">
        <v>414</v>
      </c>
      <c r="BG13" s="158" t="b">
        <v>1</v>
      </c>
      <c r="BH13" s="158" t="b">
        <v>1</v>
      </c>
      <c r="BI13" s="108" t="s">
        <v>436</v>
      </c>
      <c r="BJ13" s="108" t="s">
        <v>1079</v>
      </c>
      <c r="BK13" s="108" t="s">
        <v>414</v>
      </c>
      <c r="BL13" s="108" t="s">
        <v>414</v>
      </c>
      <c r="BM13" s="108" t="s">
        <v>1081</v>
      </c>
      <c r="BN13" s="168">
        <v>10.0</v>
      </c>
      <c r="BO13" s="108" t="s">
        <v>414</v>
      </c>
      <c r="BP13" s="108" t="s">
        <v>414</v>
      </c>
      <c r="BQ13" s="108" t="s">
        <v>414</v>
      </c>
      <c r="BR13" s="108" t="s">
        <v>414</v>
      </c>
      <c r="BS13" s="108" t="s">
        <v>414</v>
      </c>
      <c r="BT13" s="108" t="s">
        <v>414</v>
      </c>
      <c r="BU13" s="108" t="s">
        <v>414</v>
      </c>
      <c r="BV13" s="108" t="s">
        <v>414</v>
      </c>
      <c r="BW13" s="108" t="s">
        <v>909</v>
      </c>
      <c r="BX13" s="168">
        <v>15.0</v>
      </c>
      <c r="BY13" s="108" t="s">
        <v>470</v>
      </c>
      <c r="BZ13" s="108" t="s">
        <v>835</v>
      </c>
      <c r="CA13" s="108" t="s">
        <v>836</v>
      </c>
      <c r="CB13" s="108" t="s">
        <v>720</v>
      </c>
      <c r="CC13" s="158" t="b">
        <v>1</v>
      </c>
      <c r="CD13" s="158" t="b">
        <v>1</v>
      </c>
      <c r="CE13" s="158" t="b">
        <v>1</v>
      </c>
      <c r="CF13" s="158" t="b">
        <v>1</v>
      </c>
      <c r="CG13" s="158" t="b">
        <v>1</v>
      </c>
      <c r="CH13" s="158" t="b">
        <v>1</v>
      </c>
      <c r="CI13" s="158" t="b">
        <v>0</v>
      </c>
      <c r="CJ13" s="108" t="s">
        <v>839</v>
      </c>
      <c r="CK13" s="108" t="s">
        <v>392</v>
      </c>
      <c r="CL13" s="108"/>
      <c r="CM13" s="154"/>
      <c r="CN13" s="108"/>
      <c r="CO13" s="108" t="s">
        <v>843</v>
      </c>
      <c r="CP13" s="171"/>
      <c r="CQ13" s="171"/>
      <c r="CR13" s="108" t="s">
        <v>845</v>
      </c>
      <c r="CS13" s="108"/>
      <c r="CT13" s="108" t="s">
        <v>1103</v>
      </c>
      <c r="CU13" s="108" t="s">
        <v>504</v>
      </c>
      <c r="CV13" s="171"/>
      <c r="CW13" s="108"/>
      <c r="CX13" s="172" t="s">
        <v>1106</v>
      </c>
      <c r="CY13" s="153" t="s">
        <v>512</v>
      </c>
      <c r="CZ13" s="173">
        <v>46308.40843140046</v>
      </c>
      <c r="DA13" s="174">
        <v>1.0</v>
      </c>
      <c r="DB13" s="153">
        <v>1.0</v>
      </c>
      <c r="DC13" s="113"/>
      <c r="DD13" s="153" t="b">
        <v>0</v>
      </c>
      <c r="DE13" s="153" t="b">
        <v>0</v>
      </c>
      <c r="DF13" s="153"/>
    </row>
    <row r="14" ht="27.75" customHeight="1">
      <c r="A14" s="108" t="s">
        <v>533</v>
      </c>
      <c r="B14" s="108" t="s">
        <v>865</v>
      </c>
      <c r="C14" s="108"/>
      <c r="D14" s="108" t="s">
        <v>1112</v>
      </c>
      <c r="E14" s="108" t="s">
        <v>1129</v>
      </c>
      <c r="F14" s="108" t="s">
        <v>538</v>
      </c>
      <c r="G14" s="108" t="s">
        <v>539</v>
      </c>
      <c r="H14" s="108" t="s">
        <v>540</v>
      </c>
      <c r="I14" s="108" t="s">
        <v>666</v>
      </c>
      <c r="J14" s="108" t="s">
        <v>667</v>
      </c>
      <c r="K14" s="153" t="s">
        <v>668</v>
      </c>
      <c r="L14" s="154"/>
      <c r="M14" s="108" t="s">
        <v>670</v>
      </c>
      <c r="N14" s="154"/>
      <c r="O14" s="108">
        <v>50.6496161542058</v>
      </c>
      <c r="P14" s="108">
        <v>-3.42561371227211</v>
      </c>
      <c r="Q14" s="155">
        <v>46332.0</v>
      </c>
      <c r="R14" s="157">
        <v>46374.0</v>
      </c>
      <c r="S14" s="158" t="s">
        <v>547</v>
      </c>
      <c r="T14" s="158" t="b">
        <v>0</v>
      </c>
      <c r="U14" s="159"/>
      <c r="V14" s="159"/>
      <c r="W14" s="108" t="s">
        <v>550</v>
      </c>
      <c r="X14" s="158" t="b">
        <v>1</v>
      </c>
      <c r="Y14" s="162">
        <v>0.375</v>
      </c>
      <c r="Z14" s="162">
        <v>0.4583333333321207</v>
      </c>
      <c r="AA14" s="108" t="s">
        <v>414</v>
      </c>
      <c r="AB14" s="108" t="s">
        <v>414</v>
      </c>
      <c r="AC14" s="108" t="s">
        <v>414</v>
      </c>
      <c r="AD14" s="108" t="s">
        <v>414</v>
      </c>
      <c r="AE14" s="108" t="s">
        <v>414</v>
      </c>
      <c r="AF14" s="108" t="s">
        <v>414</v>
      </c>
      <c r="AG14" s="108" t="s">
        <v>414</v>
      </c>
      <c r="AH14" s="108" t="s">
        <v>414</v>
      </c>
      <c r="AI14" s="108" t="s">
        <v>414</v>
      </c>
      <c r="AJ14" s="108" t="s">
        <v>414</v>
      </c>
      <c r="AK14" s="108" t="s">
        <v>414</v>
      </c>
      <c r="AL14" s="108" t="s">
        <v>414</v>
      </c>
      <c r="AM14" s="108" t="s">
        <v>414</v>
      </c>
      <c r="AN14" s="108" t="s">
        <v>414</v>
      </c>
      <c r="AO14" s="108" t="s">
        <v>414</v>
      </c>
      <c r="AP14" s="108" t="s">
        <v>414</v>
      </c>
      <c r="AQ14" s="108" t="s">
        <v>414</v>
      </c>
      <c r="AR14" s="108" t="s">
        <v>414</v>
      </c>
      <c r="AS14" s="108" t="s">
        <v>414</v>
      </c>
      <c r="AT14" s="108" t="s">
        <v>414</v>
      </c>
      <c r="AU14" s="108" t="s">
        <v>414</v>
      </c>
      <c r="AV14" s="108" t="s">
        <v>414</v>
      </c>
      <c r="AW14" s="108" t="s">
        <v>414</v>
      </c>
      <c r="AX14" s="108" t="s">
        <v>414</v>
      </c>
      <c r="AY14" s="108" t="s">
        <v>414</v>
      </c>
      <c r="AZ14" s="108" t="s">
        <v>414</v>
      </c>
      <c r="BA14" s="108" t="s">
        <v>414</v>
      </c>
      <c r="BB14" s="108" t="s">
        <v>414</v>
      </c>
      <c r="BC14" s="108"/>
      <c r="BD14" s="108"/>
      <c r="BE14" s="108"/>
      <c r="BF14" s="108"/>
      <c r="BG14" s="158" t="b">
        <v>1</v>
      </c>
      <c r="BH14" s="158" t="b">
        <v>0</v>
      </c>
      <c r="BI14" s="108" t="s">
        <v>546</v>
      </c>
      <c r="BJ14" s="108" t="s">
        <v>588</v>
      </c>
      <c r="BK14" s="108" t="s">
        <v>414</v>
      </c>
      <c r="BL14" s="108" t="s">
        <v>414</v>
      </c>
      <c r="BM14" s="108" t="s">
        <v>414</v>
      </c>
      <c r="BN14" s="108" t="s">
        <v>414</v>
      </c>
      <c r="BO14" s="108" t="s">
        <v>414</v>
      </c>
      <c r="BP14" s="108" t="s">
        <v>414</v>
      </c>
      <c r="BQ14" s="108" t="s">
        <v>414</v>
      </c>
      <c r="BR14" s="108" t="s">
        <v>414</v>
      </c>
      <c r="BS14" s="108" t="s">
        <v>414</v>
      </c>
      <c r="BT14" s="108" t="s">
        <v>414</v>
      </c>
      <c r="BU14" s="108" t="s">
        <v>414</v>
      </c>
      <c r="BV14" s="108" t="s">
        <v>414</v>
      </c>
      <c r="BW14" s="108" t="s">
        <v>1156</v>
      </c>
      <c r="BX14" s="168">
        <v>2.0</v>
      </c>
      <c r="BY14" s="108" t="s">
        <v>470</v>
      </c>
      <c r="BZ14" s="108" t="s">
        <v>1161</v>
      </c>
      <c r="CA14" s="108" t="s">
        <v>1163</v>
      </c>
      <c r="CB14" s="108" t="s">
        <v>720</v>
      </c>
      <c r="CC14" s="158" t="b">
        <v>1</v>
      </c>
      <c r="CD14" s="158" t="b">
        <v>1</v>
      </c>
      <c r="CE14" s="158" t="b">
        <v>1</v>
      </c>
      <c r="CF14" s="158" t="b">
        <v>0</v>
      </c>
      <c r="CG14" s="158" t="b">
        <v>0</v>
      </c>
      <c r="CH14" s="158" t="b">
        <v>0</v>
      </c>
      <c r="CI14" s="158" t="b">
        <v>0</v>
      </c>
      <c r="CJ14" s="108" t="s">
        <v>602</v>
      </c>
      <c r="CK14" s="108" t="s">
        <v>604</v>
      </c>
      <c r="CL14" s="108"/>
      <c r="CM14" s="154"/>
      <c r="CN14" s="108"/>
      <c r="CO14" s="108" t="s">
        <v>1169</v>
      </c>
      <c r="CP14" s="171"/>
      <c r="CQ14" s="171"/>
      <c r="CR14" s="108" t="s">
        <v>1171</v>
      </c>
      <c r="CS14" s="108"/>
      <c r="CT14" s="108" t="s">
        <v>1174</v>
      </c>
      <c r="CU14" s="108" t="s">
        <v>504</v>
      </c>
      <c r="CV14" s="171"/>
      <c r="CW14" s="108"/>
      <c r="CX14" s="172" t="s">
        <v>1176</v>
      </c>
      <c r="CY14" s="153" t="s">
        <v>512</v>
      </c>
      <c r="CZ14" s="173">
        <v>46307.89384524306</v>
      </c>
      <c r="DA14" s="174">
        <v>1.0</v>
      </c>
      <c r="DB14" s="153">
        <v>1.0</v>
      </c>
      <c r="DC14" s="113"/>
      <c r="DD14" s="153" t="b">
        <v>0</v>
      </c>
      <c r="DE14" s="153" t="b">
        <v>0</v>
      </c>
      <c r="DF14" s="153"/>
    </row>
    <row r="15" ht="27.75" customHeight="1">
      <c r="A15" s="108" t="s">
        <v>533</v>
      </c>
      <c r="B15" s="108" t="s">
        <v>865</v>
      </c>
      <c r="C15" s="108"/>
      <c r="D15" s="108" t="s">
        <v>1112</v>
      </c>
      <c r="E15" s="108" t="s">
        <v>1129</v>
      </c>
      <c r="F15" s="108" t="s">
        <v>538</v>
      </c>
      <c r="G15" s="108" t="s">
        <v>539</v>
      </c>
      <c r="H15" s="108" t="s">
        <v>540</v>
      </c>
      <c r="I15" s="108" t="s">
        <v>666</v>
      </c>
      <c r="J15" s="108" t="s">
        <v>667</v>
      </c>
      <c r="K15" s="153" t="s">
        <v>668</v>
      </c>
      <c r="L15" s="154"/>
      <c r="M15" s="108" t="s">
        <v>670</v>
      </c>
      <c r="N15" s="154"/>
      <c r="O15" s="108">
        <v>50.6496161542058</v>
      </c>
      <c r="P15" s="108">
        <v>-3.42561371227211</v>
      </c>
      <c r="Q15" s="155">
        <v>46276.0</v>
      </c>
      <c r="R15" s="157">
        <v>46318.0</v>
      </c>
      <c r="S15" s="158" t="s">
        <v>547</v>
      </c>
      <c r="T15" s="158" t="b">
        <v>0</v>
      </c>
      <c r="U15" s="159"/>
      <c r="V15" s="159"/>
      <c r="W15" s="108" t="s">
        <v>550</v>
      </c>
      <c r="X15" s="158" t="b">
        <v>1</v>
      </c>
      <c r="Y15" s="162">
        <v>0.375</v>
      </c>
      <c r="Z15" s="162">
        <v>0.4583333333321207</v>
      </c>
      <c r="AA15" s="108" t="s">
        <v>414</v>
      </c>
      <c r="AB15" s="108" t="s">
        <v>414</v>
      </c>
      <c r="AC15" s="108" t="s">
        <v>414</v>
      </c>
      <c r="AD15" s="108" t="s">
        <v>414</v>
      </c>
      <c r="AE15" s="108" t="s">
        <v>414</v>
      </c>
      <c r="AF15" s="108" t="s">
        <v>414</v>
      </c>
      <c r="AG15" s="108" t="s">
        <v>414</v>
      </c>
      <c r="AH15" s="108" t="s">
        <v>414</v>
      </c>
      <c r="AI15" s="108" t="s">
        <v>414</v>
      </c>
      <c r="AJ15" s="108" t="s">
        <v>414</v>
      </c>
      <c r="AK15" s="108" t="s">
        <v>414</v>
      </c>
      <c r="AL15" s="108" t="s">
        <v>414</v>
      </c>
      <c r="AM15" s="108" t="s">
        <v>414</v>
      </c>
      <c r="AN15" s="108" t="s">
        <v>414</v>
      </c>
      <c r="AO15" s="108" t="s">
        <v>414</v>
      </c>
      <c r="AP15" s="108" t="s">
        <v>414</v>
      </c>
      <c r="AQ15" s="108" t="s">
        <v>414</v>
      </c>
      <c r="AR15" s="108" t="s">
        <v>414</v>
      </c>
      <c r="AS15" s="108" t="s">
        <v>414</v>
      </c>
      <c r="AT15" s="108" t="s">
        <v>414</v>
      </c>
      <c r="AU15" s="108" t="s">
        <v>414</v>
      </c>
      <c r="AV15" s="108" t="s">
        <v>414</v>
      </c>
      <c r="AW15" s="108" t="s">
        <v>414</v>
      </c>
      <c r="AX15" s="108" t="s">
        <v>414</v>
      </c>
      <c r="AY15" s="108" t="s">
        <v>414</v>
      </c>
      <c r="AZ15" s="108" t="s">
        <v>414</v>
      </c>
      <c r="BA15" s="108" t="s">
        <v>414</v>
      </c>
      <c r="BB15" s="108" t="s">
        <v>414</v>
      </c>
      <c r="BC15" s="108"/>
      <c r="BD15" s="108"/>
      <c r="BE15" s="108"/>
      <c r="BF15" s="108"/>
      <c r="BG15" s="158" t="b">
        <v>1</v>
      </c>
      <c r="BH15" s="158" t="b">
        <v>0</v>
      </c>
      <c r="BI15" s="108" t="s">
        <v>546</v>
      </c>
      <c r="BJ15" s="108" t="s">
        <v>588</v>
      </c>
      <c r="BK15" s="108" t="s">
        <v>414</v>
      </c>
      <c r="BL15" s="108" t="s">
        <v>414</v>
      </c>
      <c r="BM15" s="108" t="s">
        <v>414</v>
      </c>
      <c r="BN15" s="108" t="s">
        <v>414</v>
      </c>
      <c r="BO15" s="108" t="s">
        <v>414</v>
      </c>
      <c r="BP15" s="108" t="s">
        <v>414</v>
      </c>
      <c r="BQ15" s="108" t="s">
        <v>414</v>
      </c>
      <c r="BR15" s="108" t="s">
        <v>414</v>
      </c>
      <c r="BS15" s="108" t="s">
        <v>414</v>
      </c>
      <c r="BT15" s="108" t="s">
        <v>414</v>
      </c>
      <c r="BU15" s="108" t="s">
        <v>414</v>
      </c>
      <c r="BV15" s="108" t="s">
        <v>414</v>
      </c>
      <c r="BW15" s="108" t="s">
        <v>1156</v>
      </c>
      <c r="BX15" s="168">
        <v>2.0</v>
      </c>
      <c r="BY15" s="108" t="s">
        <v>470</v>
      </c>
      <c r="BZ15" s="108" t="s">
        <v>1161</v>
      </c>
      <c r="CA15" s="108" t="s">
        <v>1163</v>
      </c>
      <c r="CB15" s="108" t="s">
        <v>720</v>
      </c>
      <c r="CC15" s="158" t="b">
        <v>1</v>
      </c>
      <c r="CD15" s="158" t="b">
        <v>1</v>
      </c>
      <c r="CE15" s="158" t="b">
        <v>1</v>
      </c>
      <c r="CF15" s="158" t="b">
        <v>0</v>
      </c>
      <c r="CG15" s="158" t="b">
        <v>0</v>
      </c>
      <c r="CH15" s="158" t="b">
        <v>0</v>
      </c>
      <c r="CI15" s="158" t="b">
        <v>0</v>
      </c>
      <c r="CJ15" s="108" t="s">
        <v>602</v>
      </c>
      <c r="CK15" s="108" t="s">
        <v>604</v>
      </c>
      <c r="CL15" s="108"/>
      <c r="CM15" s="154"/>
      <c r="CN15" s="108"/>
      <c r="CO15" s="108" t="s">
        <v>1169</v>
      </c>
      <c r="CP15" s="171"/>
      <c r="CQ15" s="171"/>
      <c r="CR15" s="108" t="s">
        <v>1171</v>
      </c>
      <c r="CS15" s="108"/>
      <c r="CT15" s="108" t="s">
        <v>1174</v>
      </c>
      <c r="CU15" s="108" t="s">
        <v>504</v>
      </c>
      <c r="CV15" s="171"/>
      <c r="CW15" s="108"/>
      <c r="CX15" s="172" t="s">
        <v>1219</v>
      </c>
      <c r="CY15" s="153" t="s">
        <v>512</v>
      </c>
      <c r="CZ15" s="173">
        <v>46307.89358458333</v>
      </c>
      <c r="DA15" s="174">
        <v>1.0</v>
      </c>
      <c r="DB15" s="153">
        <v>1.0</v>
      </c>
      <c r="DC15" s="113"/>
      <c r="DD15" s="153" t="b">
        <v>0</v>
      </c>
      <c r="DE15" s="153" t="b">
        <v>0</v>
      </c>
      <c r="DF15" s="153"/>
    </row>
    <row r="16" ht="27.75" customHeight="1">
      <c r="A16" s="108" t="s">
        <v>533</v>
      </c>
      <c r="B16" s="108" t="s">
        <v>900</v>
      </c>
      <c r="C16" s="108" t="s">
        <v>1231</v>
      </c>
      <c r="D16" s="108" t="s">
        <v>1232</v>
      </c>
      <c r="E16" s="108" t="s">
        <v>1236</v>
      </c>
      <c r="F16" s="108" t="s">
        <v>1238</v>
      </c>
      <c r="G16" s="108" t="s">
        <v>1241</v>
      </c>
      <c r="H16" s="108" t="s">
        <v>540</v>
      </c>
      <c r="I16" s="108" t="s">
        <v>1244</v>
      </c>
      <c r="J16" s="108" t="s">
        <v>1245</v>
      </c>
      <c r="K16" s="153" t="s">
        <v>502</v>
      </c>
      <c r="L16" s="154"/>
      <c r="M16" s="108" t="s">
        <v>1246</v>
      </c>
      <c r="N16" s="154"/>
      <c r="O16" s="108">
        <v>50.6300234273043</v>
      </c>
      <c r="P16" s="108">
        <v>-3.39897428770263</v>
      </c>
      <c r="Q16" s="155">
        <v>46023.0</v>
      </c>
      <c r="R16" s="157">
        <v>46388.0</v>
      </c>
      <c r="S16" s="158" t="s">
        <v>547</v>
      </c>
      <c r="T16" s="158" t="b">
        <v>0</v>
      </c>
      <c r="U16" s="154"/>
      <c r="V16" s="154"/>
      <c r="W16" s="108" t="s">
        <v>1247</v>
      </c>
      <c r="X16" s="158" t="b">
        <v>1</v>
      </c>
      <c r="Y16" s="238">
        <v>0.6979166666678793</v>
      </c>
      <c r="Z16" s="238">
        <v>0.7256944444452529</v>
      </c>
      <c r="AA16" s="108" t="s">
        <v>414</v>
      </c>
      <c r="AB16" s="108" t="s">
        <v>414</v>
      </c>
      <c r="AC16" s="108" t="s">
        <v>414</v>
      </c>
      <c r="AD16" s="108" t="s">
        <v>414</v>
      </c>
      <c r="AE16" s="108" t="s">
        <v>414</v>
      </c>
      <c r="AF16" s="108" t="s">
        <v>414</v>
      </c>
      <c r="AG16" s="108" t="s">
        <v>414</v>
      </c>
      <c r="AH16" s="108" t="s">
        <v>414</v>
      </c>
      <c r="AI16" s="108" t="s">
        <v>414</v>
      </c>
      <c r="AJ16" s="108" t="s">
        <v>414</v>
      </c>
      <c r="AK16" s="108" t="s">
        <v>414</v>
      </c>
      <c r="AL16" s="108" t="s">
        <v>414</v>
      </c>
      <c r="AM16" s="108" t="s">
        <v>414</v>
      </c>
      <c r="AN16" s="108" t="s">
        <v>414</v>
      </c>
      <c r="AO16" s="108" t="s">
        <v>414</v>
      </c>
      <c r="AP16" s="108" t="s">
        <v>414</v>
      </c>
      <c r="AQ16" s="108" t="s">
        <v>414</v>
      </c>
      <c r="AR16" s="108" t="s">
        <v>414</v>
      </c>
      <c r="AS16" s="108" t="s">
        <v>414</v>
      </c>
      <c r="AT16" s="108" t="s">
        <v>414</v>
      </c>
      <c r="AU16" s="108" t="s">
        <v>414</v>
      </c>
      <c r="AV16" s="108" t="s">
        <v>414</v>
      </c>
      <c r="AW16" s="108" t="s">
        <v>414</v>
      </c>
      <c r="AX16" s="108" t="s">
        <v>414</v>
      </c>
      <c r="AY16" s="108" t="s">
        <v>414</v>
      </c>
      <c r="AZ16" s="108" t="s">
        <v>414</v>
      </c>
      <c r="BA16" s="108" t="s">
        <v>414</v>
      </c>
      <c r="BB16" s="108" t="s">
        <v>414</v>
      </c>
      <c r="BC16" s="108"/>
      <c r="BD16" s="108" t="s">
        <v>414</v>
      </c>
      <c r="BE16" s="108" t="s">
        <v>414</v>
      </c>
      <c r="BF16" s="108" t="s">
        <v>414</v>
      </c>
      <c r="BG16" s="158" t="b">
        <v>1</v>
      </c>
      <c r="BH16" s="158" t="b">
        <v>1</v>
      </c>
      <c r="BI16" s="108" t="s">
        <v>1010</v>
      </c>
      <c r="BJ16" s="108" t="s">
        <v>930</v>
      </c>
      <c r="BK16" s="108" t="s">
        <v>414</v>
      </c>
      <c r="BL16" s="168" t="s">
        <v>414</v>
      </c>
      <c r="BM16" s="228">
        <v>46207.0</v>
      </c>
      <c r="BN16" s="239">
        <v>29.0</v>
      </c>
      <c r="BO16" s="108" t="s">
        <v>414</v>
      </c>
      <c r="BP16" s="168" t="s">
        <v>414</v>
      </c>
      <c r="BQ16" s="108" t="s">
        <v>414</v>
      </c>
      <c r="BR16" s="168" t="s">
        <v>414</v>
      </c>
      <c r="BS16" s="108" t="s">
        <v>414</v>
      </c>
      <c r="BT16" s="108" t="s">
        <v>414</v>
      </c>
      <c r="BU16" s="108" t="s">
        <v>414</v>
      </c>
      <c r="BV16" s="108" t="s">
        <v>414</v>
      </c>
      <c r="BW16" s="108" t="s">
        <v>414</v>
      </c>
      <c r="BX16" s="108" t="s">
        <v>414</v>
      </c>
      <c r="BY16" s="108" t="s">
        <v>470</v>
      </c>
      <c r="BZ16" s="108" t="s">
        <v>1272</v>
      </c>
      <c r="CA16" s="108"/>
      <c r="CB16" s="108"/>
      <c r="CC16" s="158" t="b">
        <v>0</v>
      </c>
      <c r="CD16" s="158" t="b">
        <v>0</v>
      </c>
      <c r="CE16" s="158" t="b">
        <v>1</v>
      </c>
      <c r="CF16" s="158" t="b">
        <v>1</v>
      </c>
      <c r="CG16" s="158" t="b">
        <v>0</v>
      </c>
      <c r="CH16" s="158" t="b">
        <v>0</v>
      </c>
      <c r="CI16" s="158" t="b">
        <v>0</v>
      </c>
      <c r="CJ16" s="108" t="s">
        <v>648</v>
      </c>
      <c r="CK16" s="108" t="s">
        <v>604</v>
      </c>
      <c r="CL16" s="108" t="s">
        <v>1281</v>
      </c>
      <c r="CM16" s="154"/>
      <c r="CN16" s="108" t="s">
        <v>1030</v>
      </c>
      <c r="CO16" s="108" t="s">
        <v>1283</v>
      </c>
      <c r="CP16" s="171"/>
      <c r="CQ16" s="171"/>
      <c r="CR16" s="108" t="s">
        <v>1284</v>
      </c>
      <c r="CS16" s="108" t="s">
        <v>1285</v>
      </c>
      <c r="CT16" s="108" t="s">
        <v>1286</v>
      </c>
      <c r="CU16" s="108" t="s">
        <v>504</v>
      </c>
      <c r="CV16" s="171"/>
      <c r="CW16" s="108"/>
      <c r="CX16" s="172" t="s">
        <v>1287</v>
      </c>
      <c r="CY16" s="153" t="s">
        <v>958</v>
      </c>
      <c r="CZ16" s="173">
        <v>46307.88006693287</v>
      </c>
      <c r="DA16" s="174">
        <v>1.0</v>
      </c>
      <c r="DB16" s="153">
        <v>2.0</v>
      </c>
      <c r="DC16" s="113"/>
      <c r="DD16" s="153" t="b">
        <v>0</v>
      </c>
      <c r="DE16" s="153" t="b">
        <v>0</v>
      </c>
      <c r="DF16" s="153"/>
    </row>
    <row r="17" ht="27.75" customHeight="1">
      <c r="A17" s="108" t="s">
        <v>533</v>
      </c>
      <c r="B17" s="108" t="s">
        <v>900</v>
      </c>
      <c r="C17" s="108" t="s">
        <v>1296</v>
      </c>
      <c r="D17" s="108" t="s">
        <v>1297</v>
      </c>
      <c r="E17" s="108" t="s">
        <v>1298</v>
      </c>
      <c r="F17" s="108" t="s">
        <v>1238</v>
      </c>
      <c r="G17" s="108" t="s">
        <v>1241</v>
      </c>
      <c r="H17" s="108" t="s">
        <v>540</v>
      </c>
      <c r="I17" s="108" t="s">
        <v>1299</v>
      </c>
      <c r="J17" s="108" t="s">
        <v>1302</v>
      </c>
      <c r="K17" s="153" t="s">
        <v>558</v>
      </c>
      <c r="L17" s="154"/>
      <c r="M17" s="108" t="s">
        <v>1304</v>
      </c>
      <c r="N17" s="154"/>
      <c r="O17" s="108">
        <v>50.7168261108119</v>
      </c>
      <c r="P17" s="108">
        <v>-3.53083041838466</v>
      </c>
      <c r="Q17" s="155">
        <v>46023.0</v>
      </c>
      <c r="R17" s="157">
        <v>46388.0</v>
      </c>
      <c r="S17" s="158" t="s">
        <v>547</v>
      </c>
      <c r="T17" s="158" t="b">
        <v>0</v>
      </c>
      <c r="U17" s="154"/>
      <c r="V17" s="154"/>
      <c r="W17" s="108" t="s">
        <v>1309</v>
      </c>
      <c r="X17" s="158" t="b">
        <v>1</v>
      </c>
      <c r="Y17" s="238">
        <v>0.6875</v>
      </c>
      <c r="Z17" s="238">
        <v>0.7291666666678793</v>
      </c>
      <c r="AA17" s="108" t="s">
        <v>414</v>
      </c>
      <c r="AB17" s="108" t="s">
        <v>414</v>
      </c>
      <c r="AC17" s="108" t="s">
        <v>414</v>
      </c>
      <c r="AD17" s="108" t="s">
        <v>414</v>
      </c>
      <c r="AE17" s="108" t="s">
        <v>414</v>
      </c>
      <c r="AF17" s="108" t="s">
        <v>414</v>
      </c>
      <c r="AG17" s="108" t="s">
        <v>414</v>
      </c>
      <c r="AH17" s="108" t="s">
        <v>414</v>
      </c>
      <c r="AI17" s="108" t="s">
        <v>414</v>
      </c>
      <c r="AJ17" s="108" t="s">
        <v>414</v>
      </c>
      <c r="AK17" s="108" t="s">
        <v>414</v>
      </c>
      <c r="AL17" s="108" t="s">
        <v>414</v>
      </c>
      <c r="AM17" s="108" t="s">
        <v>414</v>
      </c>
      <c r="AN17" s="108" t="s">
        <v>414</v>
      </c>
      <c r="AO17" s="108" t="s">
        <v>414</v>
      </c>
      <c r="AP17" s="108" t="s">
        <v>414</v>
      </c>
      <c r="AQ17" s="108" t="s">
        <v>414</v>
      </c>
      <c r="AR17" s="108" t="s">
        <v>414</v>
      </c>
      <c r="AS17" s="108" t="s">
        <v>414</v>
      </c>
      <c r="AT17" s="108" t="s">
        <v>414</v>
      </c>
      <c r="AU17" s="108" t="s">
        <v>414</v>
      </c>
      <c r="AV17" s="108" t="s">
        <v>414</v>
      </c>
      <c r="AW17" s="108" t="s">
        <v>414</v>
      </c>
      <c r="AX17" s="108" t="s">
        <v>414</v>
      </c>
      <c r="AY17" s="108" t="s">
        <v>414</v>
      </c>
      <c r="AZ17" s="108" t="s">
        <v>414</v>
      </c>
      <c r="BA17" s="108" t="s">
        <v>414</v>
      </c>
      <c r="BB17" s="108" t="s">
        <v>414</v>
      </c>
      <c r="BC17" s="108"/>
      <c r="BD17" s="108" t="s">
        <v>414</v>
      </c>
      <c r="BE17" s="108" t="s">
        <v>414</v>
      </c>
      <c r="BF17" s="108" t="s">
        <v>414</v>
      </c>
      <c r="BG17" s="158" t="b">
        <v>1</v>
      </c>
      <c r="BH17" s="158" t="b">
        <v>1</v>
      </c>
      <c r="BI17" s="108" t="s">
        <v>1010</v>
      </c>
      <c r="BJ17" s="108" t="s">
        <v>1318</v>
      </c>
      <c r="BK17" s="108" t="s">
        <v>414</v>
      </c>
      <c r="BL17" s="168" t="s">
        <v>414</v>
      </c>
      <c r="BM17" s="108" t="s">
        <v>414</v>
      </c>
      <c r="BN17" s="239" t="s">
        <v>414</v>
      </c>
      <c r="BO17" s="228">
        <v>46207.0</v>
      </c>
      <c r="BP17" s="168">
        <v>32.0</v>
      </c>
      <c r="BQ17" s="108" t="s">
        <v>414</v>
      </c>
      <c r="BR17" s="168" t="s">
        <v>414</v>
      </c>
      <c r="BS17" s="108" t="s">
        <v>414</v>
      </c>
      <c r="BT17" s="108" t="s">
        <v>414</v>
      </c>
      <c r="BU17" s="108" t="s">
        <v>414</v>
      </c>
      <c r="BV17" s="108" t="s">
        <v>414</v>
      </c>
      <c r="BW17" s="108" t="s">
        <v>414</v>
      </c>
      <c r="BX17" s="108" t="s">
        <v>414</v>
      </c>
      <c r="BY17" s="108" t="s">
        <v>1329</v>
      </c>
      <c r="BZ17" s="108" t="s">
        <v>933</v>
      </c>
      <c r="CA17" s="108"/>
      <c r="CB17" s="108" t="s">
        <v>1331</v>
      </c>
      <c r="CC17" s="158" t="b">
        <v>0</v>
      </c>
      <c r="CD17" s="158" t="b">
        <v>0</v>
      </c>
      <c r="CE17" s="158" t="b">
        <v>1</v>
      </c>
      <c r="CF17" s="158" t="b">
        <v>1</v>
      </c>
      <c r="CG17" s="158" t="b">
        <v>0</v>
      </c>
      <c r="CH17" s="158" t="b">
        <v>0</v>
      </c>
      <c r="CI17" s="158" t="b">
        <v>0</v>
      </c>
      <c r="CJ17" s="108" t="s">
        <v>1345</v>
      </c>
      <c r="CK17" s="108" t="s">
        <v>604</v>
      </c>
      <c r="CL17" s="108" t="s">
        <v>1356</v>
      </c>
      <c r="CM17" s="154"/>
      <c r="CN17" s="108" t="s">
        <v>1030</v>
      </c>
      <c r="CO17" s="108" t="s">
        <v>1358</v>
      </c>
      <c r="CP17" s="171"/>
      <c r="CQ17" s="171"/>
      <c r="CR17" s="108" t="s">
        <v>1361</v>
      </c>
      <c r="CS17" s="108" t="s">
        <v>1285</v>
      </c>
      <c r="CT17" s="108" t="s">
        <v>1363</v>
      </c>
      <c r="CU17" s="108" t="s">
        <v>504</v>
      </c>
      <c r="CV17" s="171"/>
      <c r="CW17" s="108"/>
      <c r="CX17" s="172" t="s">
        <v>1365</v>
      </c>
      <c r="CY17" s="153" t="s">
        <v>958</v>
      </c>
      <c r="CZ17" s="173">
        <v>46307.87984601852</v>
      </c>
      <c r="DA17" s="174">
        <v>1.0</v>
      </c>
      <c r="DB17" s="153">
        <v>2.0</v>
      </c>
      <c r="DC17" s="113"/>
      <c r="DD17" s="153" t="b">
        <v>0</v>
      </c>
      <c r="DE17" s="153" t="b">
        <v>0</v>
      </c>
      <c r="DF17" s="153"/>
    </row>
    <row r="18" ht="27.75" customHeight="1">
      <c r="A18" s="108" t="s">
        <v>533</v>
      </c>
      <c r="B18" s="108" t="s">
        <v>900</v>
      </c>
      <c r="C18" s="108" t="s">
        <v>1296</v>
      </c>
      <c r="D18" s="108" t="s">
        <v>1373</v>
      </c>
      <c r="E18" s="108" t="s">
        <v>1375</v>
      </c>
      <c r="F18" s="108" t="s">
        <v>1238</v>
      </c>
      <c r="G18" s="108" t="s">
        <v>1241</v>
      </c>
      <c r="H18" s="108" t="s">
        <v>540</v>
      </c>
      <c r="I18" s="108" t="s">
        <v>1299</v>
      </c>
      <c r="J18" s="108" t="s">
        <v>1302</v>
      </c>
      <c r="K18" s="153" t="s">
        <v>558</v>
      </c>
      <c r="L18" s="154"/>
      <c r="M18" s="108" t="s">
        <v>1304</v>
      </c>
      <c r="N18" s="154"/>
      <c r="O18" s="108">
        <v>50.7168261108119</v>
      </c>
      <c r="P18" s="108">
        <v>-3.53083041838466</v>
      </c>
      <c r="Q18" s="155">
        <v>46023.0</v>
      </c>
      <c r="R18" s="157">
        <v>46388.0</v>
      </c>
      <c r="S18" s="158" t="s">
        <v>547</v>
      </c>
      <c r="T18" s="158" t="b">
        <v>1</v>
      </c>
      <c r="U18" s="154"/>
      <c r="V18" s="154"/>
      <c r="W18" s="108" t="s">
        <v>519</v>
      </c>
      <c r="X18" s="158" t="b">
        <v>0</v>
      </c>
      <c r="Y18" s="240"/>
      <c r="Z18" s="240"/>
      <c r="AA18" s="241">
        <v>0.6875</v>
      </c>
      <c r="AB18" s="241">
        <v>0.7291666666678793</v>
      </c>
      <c r="AC18" s="241">
        <v>0.6875</v>
      </c>
      <c r="AD18" s="241">
        <v>0.7291666666678793</v>
      </c>
      <c r="AE18" s="241">
        <v>0.6875</v>
      </c>
      <c r="AF18" s="241">
        <v>0.7291666666678793</v>
      </c>
      <c r="AG18" s="241">
        <v>0.6875</v>
      </c>
      <c r="AH18" s="241">
        <v>0.7291666666678793</v>
      </c>
      <c r="AI18" s="241">
        <v>0.6875</v>
      </c>
      <c r="AJ18" s="241">
        <v>0.7291666666678793</v>
      </c>
      <c r="AK18" s="108" t="s">
        <v>414</v>
      </c>
      <c r="AL18" s="108" t="s">
        <v>414</v>
      </c>
      <c r="AM18" s="108" t="s">
        <v>414</v>
      </c>
      <c r="AN18" s="108" t="s">
        <v>414</v>
      </c>
      <c r="AO18" s="108" t="s">
        <v>414</v>
      </c>
      <c r="AP18" s="108" t="s">
        <v>414</v>
      </c>
      <c r="AQ18" s="108" t="s">
        <v>414</v>
      </c>
      <c r="AR18" s="108" t="s">
        <v>414</v>
      </c>
      <c r="AS18" s="108" t="s">
        <v>414</v>
      </c>
      <c r="AT18" s="108" t="s">
        <v>414</v>
      </c>
      <c r="AU18" s="108" t="s">
        <v>414</v>
      </c>
      <c r="AV18" s="108" t="s">
        <v>414</v>
      </c>
      <c r="AW18" s="108" t="s">
        <v>414</v>
      </c>
      <c r="AX18" s="108" t="s">
        <v>414</v>
      </c>
      <c r="AY18" s="108">
        <v>4.0</v>
      </c>
      <c r="AZ18" s="108" t="s">
        <v>1399</v>
      </c>
      <c r="BA18" s="108">
        <v>2.0</v>
      </c>
      <c r="BB18" s="108" t="s">
        <v>1400</v>
      </c>
      <c r="BC18" s="108" t="s">
        <v>414</v>
      </c>
      <c r="BD18" s="108" t="s">
        <v>414</v>
      </c>
      <c r="BE18" s="108" t="s">
        <v>414</v>
      </c>
      <c r="BF18" s="108" t="s">
        <v>414</v>
      </c>
      <c r="BG18" s="158" t="b">
        <v>1</v>
      </c>
      <c r="BH18" s="158" t="b">
        <v>1</v>
      </c>
      <c r="BI18" s="108" t="s">
        <v>1010</v>
      </c>
      <c r="BJ18" s="108" t="s">
        <v>930</v>
      </c>
      <c r="BK18" s="108" t="s">
        <v>414</v>
      </c>
      <c r="BL18" s="168" t="s">
        <v>414</v>
      </c>
      <c r="BM18" s="228">
        <v>46333.0</v>
      </c>
      <c r="BN18" s="239">
        <v>32.0</v>
      </c>
      <c r="BO18" s="108" t="s">
        <v>414</v>
      </c>
      <c r="BP18" s="168" t="s">
        <v>414</v>
      </c>
      <c r="BQ18" s="108" t="s">
        <v>414</v>
      </c>
      <c r="BR18" s="168" t="s">
        <v>414</v>
      </c>
      <c r="BS18" s="108" t="s">
        <v>414</v>
      </c>
      <c r="BT18" s="108" t="s">
        <v>414</v>
      </c>
      <c r="BU18" s="108" t="s">
        <v>414</v>
      </c>
      <c r="BV18" s="108" t="s">
        <v>414</v>
      </c>
      <c r="BW18" s="108" t="s">
        <v>414</v>
      </c>
      <c r="BX18" s="108" t="s">
        <v>414</v>
      </c>
      <c r="BY18" s="108" t="s">
        <v>1329</v>
      </c>
      <c r="BZ18" s="108" t="s">
        <v>933</v>
      </c>
      <c r="CA18" s="108"/>
      <c r="CB18" s="108" t="s">
        <v>1331</v>
      </c>
      <c r="CC18" s="158" t="b">
        <v>0</v>
      </c>
      <c r="CD18" s="158" t="b">
        <v>0</v>
      </c>
      <c r="CE18" s="158" t="b">
        <v>0</v>
      </c>
      <c r="CF18" s="158" t="b">
        <v>1</v>
      </c>
      <c r="CG18" s="158" t="b">
        <v>1</v>
      </c>
      <c r="CH18" s="158" t="b">
        <v>0</v>
      </c>
      <c r="CI18" s="158" t="b">
        <v>0</v>
      </c>
      <c r="CJ18" s="108" t="s">
        <v>1345</v>
      </c>
      <c r="CK18" s="108" t="s">
        <v>604</v>
      </c>
      <c r="CL18" s="108" t="s">
        <v>1356</v>
      </c>
      <c r="CM18" s="154"/>
      <c r="CN18" s="108" t="s">
        <v>1414</v>
      </c>
      <c r="CO18" s="108" t="s">
        <v>1415</v>
      </c>
      <c r="CP18" s="171"/>
      <c r="CQ18" s="171"/>
      <c r="CR18" s="108" t="s">
        <v>1417</v>
      </c>
      <c r="CS18" s="108" t="s">
        <v>1285</v>
      </c>
      <c r="CT18" s="108" t="s">
        <v>1422</v>
      </c>
      <c r="CU18" s="108" t="s">
        <v>504</v>
      </c>
      <c r="CV18" s="171"/>
      <c r="CW18" s="108"/>
      <c r="CX18" s="172" t="s">
        <v>1426</v>
      </c>
      <c r="CY18" s="153" t="s">
        <v>958</v>
      </c>
      <c r="CZ18" s="236">
        <v>46307.87892878472</v>
      </c>
      <c r="DA18" s="243">
        <v>1.0</v>
      </c>
      <c r="DB18" s="153">
        <v>2.0</v>
      </c>
      <c r="DC18" s="113"/>
      <c r="DD18" s="153" t="b">
        <v>0</v>
      </c>
      <c r="DE18" s="153" t="b">
        <v>0</v>
      </c>
      <c r="DF18" s="153"/>
    </row>
    <row r="19" ht="27.75" customHeight="1">
      <c r="A19" s="108" t="s">
        <v>533</v>
      </c>
      <c r="B19" s="108" t="s">
        <v>900</v>
      </c>
      <c r="C19" s="108" t="s">
        <v>1296</v>
      </c>
      <c r="D19" s="108" t="s">
        <v>1434</v>
      </c>
      <c r="E19" s="108" t="s">
        <v>1436</v>
      </c>
      <c r="F19" s="108" t="s">
        <v>1238</v>
      </c>
      <c r="G19" s="108" t="s">
        <v>1241</v>
      </c>
      <c r="H19" s="108" t="s">
        <v>540</v>
      </c>
      <c r="I19" s="108" t="s">
        <v>1299</v>
      </c>
      <c r="J19" s="108" t="s">
        <v>1302</v>
      </c>
      <c r="K19" s="153" t="s">
        <v>558</v>
      </c>
      <c r="L19" s="154"/>
      <c r="M19" s="108" t="s">
        <v>1304</v>
      </c>
      <c r="N19" s="154"/>
      <c r="O19" s="108">
        <v>50.7168261108119</v>
      </c>
      <c r="P19" s="108">
        <v>-3.53083041838466</v>
      </c>
      <c r="Q19" s="155">
        <v>46023.0</v>
      </c>
      <c r="R19" s="157">
        <v>46388.0</v>
      </c>
      <c r="S19" s="158" t="s">
        <v>547</v>
      </c>
      <c r="T19" s="158" t="b">
        <v>1</v>
      </c>
      <c r="U19" s="154"/>
      <c r="V19" s="154"/>
      <c r="W19" s="108" t="s">
        <v>519</v>
      </c>
      <c r="X19" s="158" t="b">
        <v>0</v>
      </c>
      <c r="Y19" s="240"/>
      <c r="Z19" s="240"/>
      <c r="AA19" s="241">
        <v>0.7083333333321207</v>
      </c>
      <c r="AB19" s="241">
        <v>0.7708333333321207</v>
      </c>
      <c r="AC19" s="241">
        <v>0.7083333333321207</v>
      </c>
      <c r="AD19" s="241">
        <v>0.7708333333321207</v>
      </c>
      <c r="AE19" s="241">
        <v>0.7083333333321207</v>
      </c>
      <c r="AF19" s="241">
        <v>0.7708333333321207</v>
      </c>
      <c r="AG19" s="241">
        <v>0.7083333333321207</v>
      </c>
      <c r="AH19" s="241">
        <v>0.7708333333321207</v>
      </c>
      <c r="AI19" s="241">
        <v>0.7083333333321207</v>
      </c>
      <c r="AJ19" s="241">
        <v>0.7708333333321207</v>
      </c>
      <c r="AK19" s="108" t="s">
        <v>414</v>
      </c>
      <c r="AL19" s="108" t="s">
        <v>414</v>
      </c>
      <c r="AM19" s="108" t="s">
        <v>414</v>
      </c>
      <c r="AN19" s="108" t="s">
        <v>414</v>
      </c>
      <c r="AO19" s="108" t="s">
        <v>414</v>
      </c>
      <c r="AP19" s="108" t="s">
        <v>414</v>
      </c>
      <c r="AQ19" s="108" t="s">
        <v>414</v>
      </c>
      <c r="AR19" s="108" t="s">
        <v>414</v>
      </c>
      <c r="AS19" s="108" t="s">
        <v>414</v>
      </c>
      <c r="AT19" s="108" t="s">
        <v>414</v>
      </c>
      <c r="AU19" s="108" t="s">
        <v>414</v>
      </c>
      <c r="AV19" s="108" t="s">
        <v>414</v>
      </c>
      <c r="AW19" s="108" t="s">
        <v>414</v>
      </c>
      <c r="AX19" s="108" t="s">
        <v>414</v>
      </c>
      <c r="AY19" s="108">
        <v>3.0</v>
      </c>
      <c r="AZ19" s="108" t="s">
        <v>1449</v>
      </c>
      <c r="BA19" s="108">
        <v>2.0</v>
      </c>
      <c r="BB19" s="108" t="s">
        <v>1450</v>
      </c>
      <c r="BC19" s="108" t="s">
        <v>414</v>
      </c>
      <c r="BD19" s="108" t="s">
        <v>414</v>
      </c>
      <c r="BE19" s="108" t="s">
        <v>414</v>
      </c>
      <c r="BF19" s="108" t="s">
        <v>414</v>
      </c>
      <c r="BG19" s="158" t="b">
        <v>1</v>
      </c>
      <c r="BH19" s="158" t="b">
        <v>1</v>
      </c>
      <c r="BI19" s="108" t="s">
        <v>1452</v>
      </c>
      <c r="BJ19" s="108" t="s">
        <v>823</v>
      </c>
      <c r="BK19" s="108" t="s">
        <v>414</v>
      </c>
      <c r="BL19" s="168" t="s">
        <v>414</v>
      </c>
      <c r="BM19" s="108" t="s">
        <v>414</v>
      </c>
      <c r="BN19" s="239" t="s">
        <v>414</v>
      </c>
      <c r="BO19" s="108" t="s">
        <v>414</v>
      </c>
      <c r="BP19" s="168" t="s">
        <v>414</v>
      </c>
      <c r="BQ19" s="108" t="s">
        <v>1453</v>
      </c>
      <c r="BR19" s="168">
        <v>36.0</v>
      </c>
      <c r="BS19" s="108" t="s">
        <v>414</v>
      </c>
      <c r="BT19" s="108" t="s">
        <v>414</v>
      </c>
      <c r="BU19" s="108" t="s">
        <v>414</v>
      </c>
      <c r="BV19" s="108" t="s">
        <v>414</v>
      </c>
      <c r="BW19" s="108" t="s">
        <v>414</v>
      </c>
      <c r="BX19" s="108" t="s">
        <v>414</v>
      </c>
      <c r="BY19" s="108" t="s">
        <v>1329</v>
      </c>
      <c r="BZ19" s="108" t="s">
        <v>933</v>
      </c>
      <c r="CA19" s="108"/>
      <c r="CB19" s="108" t="s">
        <v>1331</v>
      </c>
      <c r="CC19" s="158" t="b">
        <v>0</v>
      </c>
      <c r="CD19" s="158" t="b">
        <v>0</v>
      </c>
      <c r="CE19" s="158" t="b">
        <v>0</v>
      </c>
      <c r="CF19" s="158" t="b">
        <v>0</v>
      </c>
      <c r="CG19" s="158" t="b">
        <v>1</v>
      </c>
      <c r="CH19" s="158" t="b">
        <v>1</v>
      </c>
      <c r="CI19" s="158" t="b">
        <v>0</v>
      </c>
      <c r="CJ19" s="108" t="s">
        <v>1345</v>
      </c>
      <c r="CK19" s="108" t="s">
        <v>604</v>
      </c>
      <c r="CL19" s="108" t="s">
        <v>1356</v>
      </c>
      <c r="CM19" s="154"/>
      <c r="CN19" s="108" t="s">
        <v>1466</v>
      </c>
      <c r="CO19" s="108" t="s">
        <v>1415</v>
      </c>
      <c r="CP19" s="171"/>
      <c r="CQ19" s="171"/>
      <c r="CR19" s="108" t="s">
        <v>1467</v>
      </c>
      <c r="CS19" s="108" t="s">
        <v>1285</v>
      </c>
      <c r="CT19" s="108" t="s">
        <v>1468</v>
      </c>
      <c r="CU19" s="108" t="s">
        <v>504</v>
      </c>
      <c r="CV19" s="171"/>
      <c r="CW19" s="108"/>
      <c r="CX19" s="172" t="s">
        <v>1469</v>
      </c>
      <c r="CY19" s="153" t="s">
        <v>958</v>
      </c>
      <c r="CZ19" s="236">
        <v>46307.8786621412</v>
      </c>
      <c r="DA19" s="243">
        <v>1.0</v>
      </c>
      <c r="DB19" s="153">
        <v>2.0</v>
      </c>
      <c r="DC19" s="113"/>
      <c r="DD19" s="153" t="b">
        <v>0</v>
      </c>
      <c r="DE19" s="153" t="b">
        <v>0</v>
      </c>
      <c r="DF19" s="153"/>
    </row>
    <row r="20" ht="27.75" customHeight="1">
      <c r="A20" s="108" t="s">
        <v>533</v>
      </c>
      <c r="B20" s="108" t="s">
        <v>551</v>
      </c>
      <c r="C20" s="108" t="s">
        <v>798</v>
      </c>
      <c r="D20" s="108" t="s">
        <v>1475</v>
      </c>
      <c r="E20" s="108" t="s">
        <v>1481</v>
      </c>
      <c r="F20" s="108" t="s">
        <v>538</v>
      </c>
      <c r="G20" s="108" t="s">
        <v>803</v>
      </c>
      <c r="H20" s="108" t="s">
        <v>540</v>
      </c>
      <c r="I20" s="108" t="s">
        <v>805</v>
      </c>
      <c r="J20" s="108"/>
      <c r="K20" s="153" t="s">
        <v>806</v>
      </c>
      <c r="L20" s="154"/>
      <c r="M20" s="108" t="s">
        <v>807</v>
      </c>
      <c r="N20" s="154"/>
      <c r="O20" s="108">
        <v>50.7109783180475</v>
      </c>
      <c r="P20" s="108">
        <v>-3.32218940049126</v>
      </c>
      <c r="Q20" s="155">
        <v>46276.0</v>
      </c>
      <c r="R20" s="173">
        <v>46318.0</v>
      </c>
      <c r="S20" s="158" t="s">
        <v>547</v>
      </c>
      <c r="T20" s="158" t="b">
        <v>0</v>
      </c>
      <c r="U20" s="159"/>
      <c r="V20" s="159"/>
      <c r="W20" s="108" t="s">
        <v>1486</v>
      </c>
      <c r="X20" s="158" t="b">
        <v>0</v>
      </c>
      <c r="Y20" s="240" t="s">
        <v>414</v>
      </c>
      <c r="Z20" s="240" t="s">
        <v>414</v>
      </c>
      <c r="AA20" s="207">
        <v>0.3958333333321207</v>
      </c>
      <c r="AB20" s="207">
        <v>0.4791666666678793</v>
      </c>
      <c r="AC20" s="108" t="s">
        <v>414</v>
      </c>
      <c r="AD20" s="108" t="s">
        <v>414</v>
      </c>
      <c r="AE20" s="108" t="s">
        <v>414</v>
      </c>
      <c r="AF20" s="108" t="s">
        <v>414</v>
      </c>
      <c r="AG20" s="207">
        <v>0.4166666666678793</v>
      </c>
      <c r="AH20" s="207">
        <v>0.5</v>
      </c>
      <c r="AI20" s="207">
        <v>0.4166666666678793</v>
      </c>
      <c r="AJ20" s="207">
        <v>0.5</v>
      </c>
      <c r="AK20" s="108" t="s">
        <v>414</v>
      </c>
      <c r="AL20" s="108" t="s">
        <v>414</v>
      </c>
      <c r="AM20" s="108" t="s">
        <v>414</v>
      </c>
      <c r="AN20" s="108" t="s">
        <v>414</v>
      </c>
      <c r="AO20" s="108"/>
      <c r="AP20" s="168"/>
      <c r="AQ20" s="108"/>
      <c r="AR20" s="168"/>
      <c r="AS20" s="108"/>
      <c r="AT20" s="168"/>
      <c r="AU20" s="108"/>
      <c r="AV20" s="168"/>
      <c r="AW20" s="108"/>
      <c r="AX20" s="108"/>
      <c r="AY20" s="108"/>
      <c r="AZ20" s="168"/>
      <c r="BA20" s="108"/>
      <c r="BB20" s="168"/>
      <c r="BC20" s="171"/>
      <c r="BD20" s="171"/>
      <c r="BE20" s="171"/>
      <c r="BF20" s="171"/>
      <c r="BG20" s="158" t="b">
        <v>1</v>
      </c>
      <c r="BH20" s="158" t="b">
        <v>1</v>
      </c>
      <c r="BI20" s="108" t="s">
        <v>436</v>
      </c>
      <c r="BJ20" s="108" t="s">
        <v>1493</v>
      </c>
      <c r="BK20" s="108" t="s">
        <v>623</v>
      </c>
      <c r="BL20" s="108">
        <v>0.0</v>
      </c>
      <c r="BM20" s="228">
        <v>46143.0</v>
      </c>
      <c r="BN20" s="240">
        <v>10.0</v>
      </c>
      <c r="BO20" s="108" t="s">
        <v>414</v>
      </c>
      <c r="BP20" s="108" t="s">
        <v>414</v>
      </c>
      <c r="BQ20" s="108" t="s">
        <v>414</v>
      </c>
      <c r="BR20" s="108" t="s">
        <v>414</v>
      </c>
      <c r="BS20" s="108" t="s">
        <v>414</v>
      </c>
      <c r="BT20" s="108" t="s">
        <v>414</v>
      </c>
      <c r="BU20" s="108" t="s">
        <v>414</v>
      </c>
      <c r="BV20" s="108" t="s">
        <v>414</v>
      </c>
      <c r="BW20" s="108" t="s">
        <v>414</v>
      </c>
      <c r="BX20" s="108" t="s">
        <v>414</v>
      </c>
      <c r="BY20" s="108" t="s">
        <v>470</v>
      </c>
      <c r="BZ20" s="108" t="s">
        <v>835</v>
      </c>
      <c r="CA20" s="108" t="s">
        <v>836</v>
      </c>
      <c r="CB20" s="108" t="s">
        <v>720</v>
      </c>
      <c r="CC20" s="158" t="b">
        <v>1</v>
      </c>
      <c r="CD20" s="158" t="b">
        <v>1</v>
      </c>
      <c r="CE20" s="158" t="b">
        <v>1</v>
      </c>
      <c r="CF20" s="158" t="b">
        <v>0</v>
      </c>
      <c r="CG20" s="158" t="b">
        <v>0</v>
      </c>
      <c r="CH20" s="158" t="b">
        <v>0</v>
      </c>
      <c r="CI20" s="158" t="b">
        <v>0</v>
      </c>
      <c r="CJ20" s="108" t="s">
        <v>839</v>
      </c>
      <c r="CK20" s="108" t="s">
        <v>392</v>
      </c>
      <c r="CL20" s="171"/>
      <c r="CM20" s="154"/>
      <c r="CN20" s="171"/>
      <c r="CO20" s="108" t="s">
        <v>892</v>
      </c>
      <c r="CP20" s="171"/>
      <c r="CQ20" s="171"/>
      <c r="CR20" s="108" t="s">
        <v>1502</v>
      </c>
      <c r="CS20" s="108"/>
      <c r="CT20" s="108" t="s">
        <v>1503</v>
      </c>
      <c r="CU20" s="108" t="s">
        <v>504</v>
      </c>
      <c r="CV20" s="171"/>
      <c r="CW20" s="171"/>
      <c r="CX20" s="172" t="s">
        <v>1504</v>
      </c>
      <c r="CY20" s="153" t="s">
        <v>512</v>
      </c>
      <c r="CZ20" s="236">
        <v>46297.64813263889</v>
      </c>
      <c r="DA20" s="243">
        <v>1.0</v>
      </c>
      <c r="DB20" s="153">
        <v>1.0</v>
      </c>
      <c r="DC20" s="113"/>
      <c r="DD20" s="153" t="b">
        <v>0</v>
      </c>
      <c r="DE20" s="153" t="b">
        <v>0</v>
      </c>
      <c r="DF20" s="153"/>
    </row>
    <row r="21" ht="27.75" customHeight="1">
      <c r="A21" s="108" t="s">
        <v>533</v>
      </c>
      <c r="B21" s="108" t="s">
        <v>551</v>
      </c>
      <c r="C21" s="108" t="s">
        <v>1511</v>
      </c>
      <c r="D21" s="108" t="s">
        <v>1512</v>
      </c>
      <c r="E21" s="108" t="s">
        <v>1514</v>
      </c>
      <c r="F21" s="108" t="s">
        <v>538</v>
      </c>
      <c r="G21" s="108" t="s">
        <v>905</v>
      </c>
      <c r="H21" s="108" t="s">
        <v>540</v>
      </c>
      <c r="I21" s="108" t="s">
        <v>556</v>
      </c>
      <c r="J21" s="108" t="s">
        <v>557</v>
      </c>
      <c r="K21" s="153" t="s">
        <v>558</v>
      </c>
      <c r="L21" s="154"/>
      <c r="M21" s="108" t="s">
        <v>559</v>
      </c>
      <c r="N21" s="154"/>
      <c r="O21" s="108">
        <v>50.7153182294733</v>
      </c>
      <c r="P21" s="108">
        <v>-3.78054633120452</v>
      </c>
      <c r="Q21" s="155">
        <v>46273.0</v>
      </c>
      <c r="R21" s="173">
        <v>46301.0</v>
      </c>
      <c r="S21" s="158" t="s">
        <v>547</v>
      </c>
      <c r="T21" s="158" t="b">
        <v>0</v>
      </c>
      <c r="U21" s="159"/>
      <c r="V21" s="159"/>
      <c r="W21" s="108" t="s">
        <v>1520</v>
      </c>
      <c r="X21" s="158" t="b">
        <v>0</v>
      </c>
      <c r="Y21" s="162">
        <v>0.4166666666678793</v>
      </c>
      <c r="Z21" s="162">
        <v>0.46875</v>
      </c>
      <c r="AA21" s="108" t="s">
        <v>414</v>
      </c>
      <c r="AB21" s="108" t="s">
        <v>414</v>
      </c>
      <c r="AC21" s="108" t="s">
        <v>414</v>
      </c>
      <c r="AD21" s="108" t="s">
        <v>414</v>
      </c>
      <c r="AE21" s="108" t="s">
        <v>414</v>
      </c>
      <c r="AF21" s="108" t="s">
        <v>414</v>
      </c>
      <c r="AG21" s="108" t="s">
        <v>414</v>
      </c>
      <c r="AH21" s="108" t="s">
        <v>414</v>
      </c>
      <c r="AI21" s="108" t="s">
        <v>414</v>
      </c>
      <c r="AJ21" s="108" t="s">
        <v>414</v>
      </c>
      <c r="AK21" s="108" t="s">
        <v>414</v>
      </c>
      <c r="AL21" s="108" t="s">
        <v>414</v>
      </c>
      <c r="AM21" s="108" t="s">
        <v>414</v>
      </c>
      <c r="AN21" s="108" t="s">
        <v>414</v>
      </c>
      <c r="AO21" s="108" t="s">
        <v>414</v>
      </c>
      <c r="AP21" s="108" t="s">
        <v>414</v>
      </c>
      <c r="AQ21" s="108" t="s">
        <v>414</v>
      </c>
      <c r="AR21" s="108" t="s">
        <v>414</v>
      </c>
      <c r="AS21" s="108" t="s">
        <v>414</v>
      </c>
      <c r="AT21" s="108" t="s">
        <v>414</v>
      </c>
      <c r="AU21" s="108" t="s">
        <v>414</v>
      </c>
      <c r="AV21" s="108" t="s">
        <v>414</v>
      </c>
      <c r="AW21" s="108" t="s">
        <v>414</v>
      </c>
      <c r="AX21" s="108" t="s">
        <v>414</v>
      </c>
      <c r="AY21" s="108" t="s">
        <v>414</v>
      </c>
      <c r="AZ21" s="108" t="s">
        <v>414</v>
      </c>
      <c r="BA21" s="108" t="s">
        <v>414</v>
      </c>
      <c r="BB21" s="108" t="s">
        <v>414</v>
      </c>
      <c r="BC21" s="171"/>
      <c r="BD21" s="171"/>
      <c r="BE21" s="171"/>
      <c r="BF21" s="171"/>
      <c r="BG21" s="158" t="b">
        <v>1</v>
      </c>
      <c r="BH21" s="158" t="b">
        <v>1</v>
      </c>
      <c r="BI21" s="108" t="s">
        <v>436</v>
      </c>
      <c r="BJ21" s="108" t="s">
        <v>930</v>
      </c>
      <c r="BK21" s="108" t="s">
        <v>572</v>
      </c>
      <c r="BL21" s="108">
        <v>0.0</v>
      </c>
      <c r="BM21" s="228">
        <v>46144.0</v>
      </c>
      <c r="BN21" s="240">
        <v>10.25</v>
      </c>
      <c r="BO21" s="108" t="s">
        <v>414</v>
      </c>
      <c r="BP21" s="108" t="s">
        <v>414</v>
      </c>
      <c r="BQ21" s="108" t="s">
        <v>414</v>
      </c>
      <c r="BR21" s="108" t="s">
        <v>414</v>
      </c>
      <c r="BS21" s="108" t="s">
        <v>414</v>
      </c>
      <c r="BT21" s="108" t="s">
        <v>414</v>
      </c>
      <c r="BU21" s="108" t="s">
        <v>414</v>
      </c>
      <c r="BV21" s="108" t="s">
        <v>414</v>
      </c>
      <c r="BW21" s="108" t="s">
        <v>414</v>
      </c>
      <c r="BX21" s="108" t="s">
        <v>414</v>
      </c>
      <c r="BY21" s="108" t="s">
        <v>470</v>
      </c>
      <c r="BZ21" s="108" t="s">
        <v>580</v>
      </c>
      <c r="CA21" s="108" t="s">
        <v>581</v>
      </c>
      <c r="CB21" s="108" t="s">
        <v>582</v>
      </c>
      <c r="CC21" s="158" t="b">
        <v>1</v>
      </c>
      <c r="CD21" s="158" t="b">
        <v>1</v>
      </c>
      <c r="CE21" s="158" t="b">
        <v>1</v>
      </c>
      <c r="CF21" s="158" t="b">
        <v>1</v>
      </c>
      <c r="CG21" s="158" t="b">
        <v>0</v>
      </c>
      <c r="CH21" s="158" t="b">
        <v>0</v>
      </c>
      <c r="CI21" s="158" t="b">
        <v>0</v>
      </c>
      <c r="CJ21" s="108" t="s">
        <v>1530</v>
      </c>
      <c r="CK21" s="108" t="s">
        <v>627</v>
      </c>
      <c r="CL21" s="171"/>
      <c r="CM21" s="154"/>
      <c r="CN21" s="171"/>
      <c r="CO21" s="108" t="s">
        <v>1531</v>
      </c>
      <c r="CP21" s="171"/>
      <c r="CQ21" s="171"/>
      <c r="CR21" s="108" t="s">
        <v>1532</v>
      </c>
      <c r="CS21" s="108" t="s">
        <v>1533</v>
      </c>
      <c r="CT21" s="108" t="s">
        <v>594</v>
      </c>
      <c r="CU21" s="108" t="s">
        <v>1534</v>
      </c>
      <c r="CV21" s="171"/>
      <c r="CW21" s="171"/>
      <c r="CX21" s="172" t="s">
        <v>1535</v>
      </c>
      <c r="CY21" s="153" t="s">
        <v>512</v>
      </c>
      <c r="CZ21" s="236">
        <v>46295.5900887037</v>
      </c>
      <c r="DA21" s="243">
        <v>1.0</v>
      </c>
      <c r="DB21" s="153">
        <v>1.0</v>
      </c>
      <c r="DC21" s="113"/>
      <c r="DD21" s="153" t="b">
        <v>0</v>
      </c>
      <c r="DE21" s="153" t="b">
        <v>0</v>
      </c>
      <c r="DF21" s="153"/>
    </row>
    <row r="22" ht="27.75" customHeight="1">
      <c r="A22" s="108" t="s">
        <v>533</v>
      </c>
      <c r="B22" s="108" t="s">
        <v>1470</v>
      </c>
      <c r="C22" s="108" t="s">
        <v>1472</v>
      </c>
      <c r="D22" s="108" t="s">
        <v>1541</v>
      </c>
      <c r="E22" s="108" t="s">
        <v>1547</v>
      </c>
      <c r="F22" s="108" t="s">
        <v>1548</v>
      </c>
      <c r="G22" s="108" t="s">
        <v>539</v>
      </c>
      <c r="H22" s="108" t="s">
        <v>540</v>
      </c>
      <c r="I22" s="108" t="s">
        <v>1550</v>
      </c>
      <c r="J22" s="108" t="s">
        <v>1482</v>
      </c>
      <c r="K22" s="153" t="s">
        <v>558</v>
      </c>
      <c r="L22" s="154"/>
      <c r="M22" s="108" t="s">
        <v>1483</v>
      </c>
      <c r="N22" s="154"/>
      <c r="O22" s="108">
        <v>50.7162096405405</v>
      </c>
      <c r="P22" s="108">
        <v>-3.53106343111171</v>
      </c>
      <c r="Q22" s="155">
        <v>46287.0</v>
      </c>
      <c r="R22" s="173">
        <v>46378.0</v>
      </c>
      <c r="S22" s="158" t="s">
        <v>1554</v>
      </c>
      <c r="T22" s="158" t="b">
        <v>0</v>
      </c>
      <c r="U22" s="159"/>
      <c r="V22" s="159"/>
      <c r="W22" s="108" t="s">
        <v>680</v>
      </c>
      <c r="X22" s="158" t="b">
        <v>0</v>
      </c>
      <c r="Y22" s="162"/>
      <c r="Z22" s="162"/>
      <c r="AA22" s="249"/>
      <c r="AB22" s="249"/>
      <c r="AC22" s="208">
        <v>0.4166666666678793</v>
      </c>
      <c r="AD22" s="208">
        <v>1.0</v>
      </c>
      <c r="AE22" s="249"/>
      <c r="AF22" s="249"/>
      <c r="AG22" s="249"/>
      <c r="AH22" s="249"/>
      <c r="AI22" s="249"/>
      <c r="AJ22" s="249"/>
      <c r="AK22" s="249"/>
      <c r="AL22" s="249"/>
      <c r="AM22" s="249"/>
      <c r="AN22" s="249"/>
      <c r="AO22" s="171"/>
      <c r="AP22" s="250"/>
      <c r="AQ22" s="171"/>
      <c r="AR22" s="250"/>
      <c r="AS22" s="171"/>
      <c r="AT22" s="250"/>
      <c r="AU22" s="171"/>
      <c r="AV22" s="250"/>
      <c r="AW22" s="171"/>
      <c r="AX22" s="171"/>
      <c r="AY22" s="171"/>
      <c r="AZ22" s="250"/>
      <c r="BA22" s="171"/>
      <c r="BB22" s="250"/>
      <c r="BC22" s="171"/>
      <c r="BD22" s="171"/>
      <c r="BE22" s="171"/>
      <c r="BF22" s="171"/>
      <c r="BG22" s="158" t="b">
        <v>1</v>
      </c>
      <c r="BH22" s="158" t="b">
        <v>1</v>
      </c>
      <c r="BI22" s="108" t="s">
        <v>838</v>
      </c>
      <c r="BJ22" s="108" t="s">
        <v>714</v>
      </c>
      <c r="BK22" s="108" t="s">
        <v>414</v>
      </c>
      <c r="BL22" s="108" t="s">
        <v>414</v>
      </c>
      <c r="BM22" s="108" t="s">
        <v>1495</v>
      </c>
      <c r="BN22" s="240">
        <v>3.0</v>
      </c>
      <c r="BO22" s="108" t="s">
        <v>414</v>
      </c>
      <c r="BP22" s="108" t="s">
        <v>414</v>
      </c>
      <c r="BQ22" s="108" t="s">
        <v>414</v>
      </c>
      <c r="BR22" s="108" t="s">
        <v>414</v>
      </c>
      <c r="BS22" s="108" t="s">
        <v>414</v>
      </c>
      <c r="BT22" s="108" t="s">
        <v>414</v>
      </c>
      <c r="BU22" s="108" t="s">
        <v>414</v>
      </c>
      <c r="BV22" s="108" t="s">
        <v>414</v>
      </c>
      <c r="BW22" s="108" t="s">
        <v>414</v>
      </c>
      <c r="BX22" s="108" t="s">
        <v>414</v>
      </c>
      <c r="BY22" s="108" t="s">
        <v>993</v>
      </c>
      <c r="BZ22" s="108" t="s">
        <v>1506</v>
      </c>
      <c r="CA22" s="108" t="s">
        <v>1560</v>
      </c>
      <c r="CB22" s="108" t="s">
        <v>1561</v>
      </c>
      <c r="CC22" s="158" t="b">
        <v>0</v>
      </c>
      <c r="CD22" s="158" t="b">
        <v>0</v>
      </c>
      <c r="CE22" s="158" t="b">
        <v>0</v>
      </c>
      <c r="CF22" s="158" t="b">
        <v>0</v>
      </c>
      <c r="CG22" s="158" t="b">
        <v>1</v>
      </c>
      <c r="CH22" s="158" t="b">
        <v>1</v>
      </c>
      <c r="CI22" s="158" t="b">
        <v>0</v>
      </c>
      <c r="CJ22" s="108" t="s">
        <v>924</v>
      </c>
      <c r="CK22" s="108" t="s">
        <v>604</v>
      </c>
      <c r="CL22" s="171"/>
      <c r="CM22" s="154"/>
      <c r="CN22" s="171"/>
      <c r="CO22" s="108" t="s">
        <v>1516</v>
      </c>
      <c r="CP22" s="171"/>
      <c r="CQ22" s="171"/>
      <c r="CR22" s="108" t="s">
        <v>1562</v>
      </c>
      <c r="CS22" s="108"/>
      <c r="CT22" s="108" t="s">
        <v>1519</v>
      </c>
      <c r="CU22" s="108" t="s">
        <v>504</v>
      </c>
      <c r="CV22" s="171"/>
      <c r="CW22" s="171"/>
      <c r="CX22" s="172" t="s">
        <v>1563</v>
      </c>
      <c r="CY22" s="153" t="s">
        <v>512</v>
      </c>
      <c r="CZ22" s="236">
        <v>46295.5719971875</v>
      </c>
      <c r="DA22" s="243">
        <v>1.0</v>
      </c>
      <c r="DB22" s="153">
        <v>1.0</v>
      </c>
      <c r="DC22" s="113"/>
      <c r="DD22" s="153" t="b">
        <v>0</v>
      </c>
      <c r="DE22" s="153" t="b">
        <v>0</v>
      </c>
      <c r="DF22" s="153"/>
    </row>
    <row r="23" ht="27.75" customHeight="1">
      <c r="A23" s="108" t="s">
        <v>533</v>
      </c>
      <c r="B23" s="108" t="s">
        <v>1470</v>
      </c>
      <c r="C23" s="108" t="s">
        <v>1527</v>
      </c>
      <c r="D23" s="108" t="s">
        <v>1564</v>
      </c>
      <c r="E23" s="108" t="s">
        <v>1565</v>
      </c>
      <c r="F23" s="108" t="s">
        <v>1548</v>
      </c>
      <c r="G23" s="108" t="s">
        <v>539</v>
      </c>
      <c r="H23" s="108" t="s">
        <v>540</v>
      </c>
      <c r="I23" s="108" t="s">
        <v>1479</v>
      </c>
      <c r="J23" s="108" t="s">
        <v>1482</v>
      </c>
      <c r="K23" s="153" t="s">
        <v>558</v>
      </c>
      <c r="L23" s="154"/>
      <c r="M23" s="108" t="s">
        <v>1483</v>
      </c>
      <c r="N23" s="154"/>
      <c r="O23" s="108">
        <v>50.7162096405405</v>
      </c>
      <c r="P23" s="108">
        <v>-3.53106343111171</v>
      </c>
      <c r="Q23" s="155">
        <v>46287.0</v>
      </c>
      <c r="R23" s="173">
        <v>46378.0</v>
      </c>
      <c r="S23" s="158" t="s">
        <v>1554</v>
      </c>
      <c r="T23" s="158" t="b">
        <v>0</v>
      </c>
      <c r="U23" s="159"/>
      <c r="V23" s="159"/>
      <c r="W23" s="108" t="s">
        <v>680</v>
      </c>
      <c r="X23" s="158" t="b">
        <v>0</v>
      </c>
      <c r="Y23" s="162"/>
      <c r="Z23" s="162"/>
      <c r="AA23" s="249"/>
      <c r="AB23" s="249"/>
      <c r="AC23" s="208">
        <v>0.4166666666678793</v>
      </c>
      <c r="AD23" s="208">
        <v>1.0</v>
      </c>
      <c r="AE23" s="249"/>
      <c r="AF23" s="249"/>
      <c r="AG23" s="249"/>
      <c r="AH23" s="249"/>
      <c r="AI23" s="249"/>
      <c r="AJ23" s="249"/>
      <c r="AK23" s="249"/>
      <c r="AL23" s="249"/>
      <c r="AM23" s="249"/>
      <c r="AN23" s="249"/>
      <c r="AO23" s="171"/>
      <c r="AP23" s="250"/>
      <c r="AQ23" s="171"/>
      <c r="AR23" s="250"/>
      <c r="AS23" s="171"/>
      <c r="AT23" s="250"/>
      <c r="AU23" s="171"/>
      <c r="AV23" s="250"/>
      <c r="AW23" s="171"/>
      <c r="AX23" s="171"/>
      <c r="AY23" s="171"/>
      <c r="AZ23" s="250"/>
      <c r="BA23" s="171"/>
      <c r="BB23" s="250"/>
      <c r="BC23" s="171"/>
      <c r="BD23" s="171"/>
      <c r="BE23" s="171"/>
      <c r="BF23" s="171"/>
      <c r="BG23" s="158" t="b">
        <v>1</v>
      </c>
      <c r="BH23" s="158" t="b">
        <v>1</v>
      </c>
      <c r="BI23" s="108" t="s">
        <v>712</v>
      </c>
      <c r="BJ23" s="108" t="s">
        <v>714</v>
      </c>
      <c r="BK23" s="108" t="s">
        <v>414</v>
      </c>
      <c r="BL23" s="108" t="s">
        <v>414</v>
      </c>
      <c r="BM23" s="108" t="s">
        <v>1166</v>
      </c>
      <c r="BN23" s="240">
        <v>4.25</v>
      </c>
      <c r="BO23" s="108" t="s">
        <v>414</v>
      </c>
      <c r="BP23" s="108" t="s">
        <v>414</v>
      </c>
      <c r="BQ23" s="108" t="s">
        <v>414</v>
      </c>
      <c r="BR23" s="108" t="s">
        <v>414</v>
      </c>
      <c r="BS23" s="108" t="s">
        <v>1168</v>
      </c>
      <c r="BT23" s="108">
        <v>4.98</v>
      </c>
      <c r="BU23" s="108" t="s">
        <v>414</v>
      </c>
      <c r="BV23" s="108" t="s">
        <v>414</v>
      </c>
      <c r="BW23" s="108" t="s">
        <v>414</v>
      </c>
      <c r="BX23" s="108" t="s">
        <v>414</v>
      </c>
      <c r="BY23" s="108" t="s">
        <v>993</v>
      </c>
      <c r="BZ23" s="108" t="s">
        <v>1506</v>
      </c>
      <c r="CA23" s="108" t="s">
        <v>1560</v>
      </c>
      <c r="CB23" s="108" t="s">
        <v>1561</v>
      </c>
      <c r="CC23" s="158" t="b">
        <v>0</v>
      </c>
      <c r="CD23" s="158" t="b">
        <v>0</v>
      </c>
      <c r="CE23" s="158" t="b">
        <v>1</v>
      </c>
      <c r="CF23" s="158" t="b">
        <v>1</v>
      </c>
      <c r="CG23" s="158" t="b">
        <v>1</v>
      </c>
      <c r="CH23" s="158" t="b">
        <v>1</v>
      </c>
      <c r="CI23" s="158" t="b">
        <v>1</v>
      </c>
      <c r="CJ23" s="108" t="s">
        <v>672</v>
      </c>
      <c r="CK23" s="108" t="s">
        <v>604</v>
      </c>
      <c r="CL23" s="171"/>
      <c r="CM23" s="154"/>
      <c r="CN23" s="171"/>
      <c r="CO23" s="108" t="s">
        <v>1540</v>
      </c>
      <c r="CP23" s="171"/>
      <c r="CQ23" s="171"/>
      <c r="CR23" s="108" t="s">
        <v>1566</v>
      </c>
      <c r="CS23" s="108"/>
      <c r="CT23" s="108" t="s">
        <v>1543</v>
      </c>
      <c r="CU23" s="108" t="s">
        <v>504</v>
      </c>
      <c r="CV23" s="171"/>
      <c r="CW23" s="171"/>
      <c r="CX23" s="172" t="s">
        <v>1567</v>
      </c>
      <c r="CY23" s="153" t="s">
        <v>512</v>
      </c>
      <c r="CZ23" s="236">
        <v>46295.57058190972</v>
      </c>
      <c r="DA23" s="243">
        <v>1.0</v>
      </c>
      <c r="DB23" s="153">
        <v>1.0</v>
      </c>
      <c r="DC23" s="113"/>
      <c r="DD23" s="153" t="b">
        <v>0</v>
      </c>
      <c r="DE23" s="153" t="b">
        <v>0</v>
      </c>
      <c r="DF23" s="153"/>
    </row>
    <row r="24" ht="27.75" customHeight="1">
      <c r="A24" s="108" t="s">
        <v>533</v>
      </c>
      <c r="B24" s="108" t="s">
        <v>380</v>
      </c>
      <c r="C24" s="108"/>
      <c r="D24" s="108" t="s">
        <v>1568</v>
      </c>
      <c r="E24" s="108" t="s">
        <v>1569</v>
      </c>
      <c r="F24" s="108" t="s">
        <v>538</v>
      </c>
      <c r="G24" s="251" t="s">
        <v>539</v>
      </c>
      <c r="H24" s="108" t="s">
        <v>1570</v>
      </c>
      <c r="I24" s="108" t="s">
        <v>1571</v>
      </c>
      <c r="J24" s="108" t="s">
        <v>1572</v>
      </c>
      <c r="K24" s="153" t="s">
        <v>558</v>
      </c>
      <c r="L24" s="154"/>
      <c r="M24" s="108" t="s">
        <v>579</v>
      </c>
      <c r="N24" s="154"/>
      <c r="O24" s="108">
        <v>50.7031904713831</v>
      </c>
      <c r="P24" s="108">
        <v>-3.39909577353358</v>
      </c>
      <c r="Q24" s="155">
        <v>46321.0</v>
      </c>
      <c r="R24" s="173">
        <v>46326.0</v>
      </c>
      <c r="S24" s="158" t="s">
        <v>1573</v>
      </c>
      <c r="T24" s="158" t="b">
        <v>0</v>
      </c>
      <c r="U24" s="159"/>
      <c r="V24" s="159"/>
      <c r="W24" s="108" t="s">
        <v>1574</v>
      </c>
      <c r="X24" s="158" t="b">
        <v>1</v>
      </c>
      <c r="Y24" s="162">
        <v>0.4166666666678793</v>
      </c>
      <c r="Z24" s="162">
        <v>0.4791666666678793</v>
      </c>
      <c r="AA24" s="249"/>
      <c r="AB24" s="249"/>
      <c r="AC24" s="252"/>
      <c r="AD24" s="252"/>
      <c r="AE24" s="249"/>
      <c r="AF24" s="249"/>
      <c r="AG24" s="249"/>
      <c r="AH24" s="249"/>
      <c r="AI24" s="249"/>
      <c r="AJ24" s="249"/>
      <c r="AK24" s="249"/>
      <c r="AL24" s="249"/>
      <c r="AM24" s="249"/>
      <c r="AN24" s="249"/>
      <c r="AO24" s="171"/>
      <c r="AP24" s="250"/>
      <c r="AQ24" s="171"/>
      <c r="AR24" s="250"/>
      <c r="AS24" s="171"/>
      <c r="AT24" s="250"/>
      <c r="AU24" s="171"/>
      <c r="AV24" s="250"/>
      <c r="AW24" s="171"/>
      <c r="AX24" s="171"/>
      <c r="AY24" s="171"/>
      <c r="AZ24" s="250"/>
      <c r="BA24" s="171"/>
      <c r="BB24" s="250"/>
      <c r="BC24" s="171"/>
      <c r="BD24" s="171"/>
      <c r="BE24" s="171"/>
      <c r="BF24" s="171"/>
      <c r="BG24" s="158" t="b">
        <v>1</v>
      </c>
      <c r="BH24" s="158" t="b">
        <v>1</v>
      </c>
      <c r="BI24" s="108" t="s">
        <v>436</v>
      </c>
      <c r="BJ24" s="108" t="s">
        <v>1216</v>
      </c>
      <c r="BK24" s="108" t="s">
        <v>623</v>
      </c>
      <c r="BL24" s="168">
        <v>0.0</v>
      </c>
      <c r="BM24" s="228">
        <v>46143.0</v>
      </c>
      <c r="BN24" s="253">
        <v>13.5</v>
      </c>
      <c r="BO24" s="108" t="s">
        <v>414</v>
      </c>
      <c r="BP24" s="108" t="s">
        <v>414</v>
      </c>
      <c r="BQ24" s="108" t="s">
        <v>414</v>
      </c>
      <c r="BR24" s="108" t="s">
        <v>414</v>
      </c>
      <c r="BS24" s="108" t="s">
        <v>704</v>
      </c>
      <c r="BT24" s="168">
        <v>0.0</v>
      </c>
      <c r="BU24" s="108" t="s">
        <v>414</v>
      </c>
      <c r="BV24" s="108" t="s">
        <v>414</v>
      </c>
      <c r="BW24" s="108" t="s">
        <v>414</v>
      </c>
      <c r="BX24" s="168" t="s">
        <v>414</v>
      </c>
      <c r="BY24" s="108" t="s">
        <v>470</v>
      </c>
      <c r="BZ24" s="108" t="s">
        <v>1575</v>
      </c>
      <c r="CA24" s="108" t="s">
        <v>1576</v>
      </c>
      <c r="CB24" s="108" t="s">
        <v>756</v>
      </c>
      <c r="CC24" s="158" t="b">
        <v>1</v>
      </c>
      <c r="CD24" s="158" t="b">
        <v>1</v>
      </c>
      <c r="CE24" s="158" t="b">
        <v>1</v>
      </c>
      <c r="CF24" s="158" t="b">
        <v>0</v>
      </c>
      <c r="CG24" s="158" t="b">
        <v>0</v>
      </c>
      <c r="CH24" s="158" t="b">
        <v>0</v>
      </c>
      <c r="CI24" s="158" t="b">
        <v>0</v>
      </c>
      <c r="CJ24" s="108" t="s">
        <v>672</v>
      </c>
      <c r="CK24" s="108" t="s">
        <v>392</v>
      </c>
      <c r="CL24" s="171"/>
      <c r="CM24" s="154"/>
      <c r="CN24" s="171"/>
      <c r="CO24" s="108" t="s">
        <v>1577</v>
      </c>
      <c r="CP24" s="171"/>
      <c r="CQ24" s="171"/>
      <c r="CR24" s="108" t="s">
        <v>1578</v>
      </c>
      <c r="CS24" s="108" t="s">
        <v>1579</v>
      </c>
      <c r="CT24" s="108" t="s">
        <v>1580</v>
      </c>
      <c r="CU24" s="108" t="s">
        <v>504</v>
      </c>
      <c r="CV24" s="171"/>
      <c r="CW24" s="171"/>
      <c r="CX24" s="172" t="s">
        <v>1581</v>
      </c>
      <c r="CY24" s="153" t="s">
        <v>512</v>
      </c>
      <c r="CZ24" s="236">
        <v>46295.515253854166</v>
      </c>
      <c r="DA24" s="243">
        <v>1.0</v>
      </c>
      <c r="DB24" s="153">
        <v>1.0</v>
      </c>
      <c r="DC24" s="113"/>
      <c r="DD24" s="153" t="b">
        <v>0</v>
      </c>
      <c r="DE24" s="153" t="b">
        <v>0</v>
      </c>
      <c r="DF24" s="153"/>
    </row>
    <row r="25" ht="27.75" customHeight="1">
      <c r="A25" s="108" t="s">
        <v>533</v>
      </c>
      <c r="B25" s="108" t="s">
        <v>551</v>
      </c>
      <c r="C25" s="108" t="s">
        <v>1582</v>
      </c>
      <c r="D25" s="108" t="s">
        <v>1583</v>
      </c>
      <c r="E25" s="108" t="s">
        <v>1584</v>
      </c>
      <c r="F25" s="108" t="s">
        <v>538</v>
      </c>
      <c r="G25" s="251" t="s">
        <v>539</v>
      </c>
      <c r="H25" s="108" t="s">
        <v>540</v>
      </c>
      <c r="I25" s="108" t="s">
        <v>1571</v>
      </c>
      <c r="J25" s="108" t="s">
        <v>1572</v>
      </c>
      <c r="K25" s="153" t="s">
        <v>558</v>
      </c>
      <c r="L25" s="154"/>
      <c r="M25" s="108" t="s">
        <v>579</v>
      </c>
      <c r="N25" s="154"/>
      <c r="O25" s="108">
        <v>50.7031904713831</v>
      </c>
      <c r="P25" s="108">
        <v>-3.39909577353358</v>
      </c>
      <c r="Q25" s="155">
        <v>46296.0</v>
      </c>
      <c r="R25" s="236">
        <v>46320.0</v>
      </c>
      <c r="S25" s="158" t="s">
        <v>547</v>
      </c>
      <c r="T25" s="158" t="b">
        <v>0</v>
      </c>
      <c r="U25" s="159"/>
      <c r="V25" s="159"/>
      <c r="W25" s="108" t="s">
        <v>1585</v>
      </c>
      <c r="X25" s="158" t="b">
        <v>1</v>
      </c>
      <c r="Y25" s="162">
        <v>0.4166666666678793</v>
      </c>
      <c r="Z25" s="162">
        <v>0.4791666666678793</v>
      </c>
      <c r="AA25" s="249"/>
      <c r="AB25" s="249"/>
      <c r="AC25" s="252"/>
      <c r="AD25" s="252"/>
      <c r="AE25" s="249"/>
      <c r="AF25" s="249"/>
      <c r="AG25" s="249"/>
      <c r="AH25" s="249"/>
      <c r="AI25" s="249"/>
      <c r="AJ25" s="249"/>
      <c r="AK25" s="249"/>
      <c r="AL25" s="249"/>
      <c r="AM25" s="249"/>
      <c r="AN25" s="249"/>
      <c r="AO25" s="171"/>
      <c r="AP25" s="250"/>
      <c r="AQ25" s="171"/>
      <c r="AR25" s="250"/>
      <c r="AS25" s="171"/>
      <c r="AT25" s="250"/>
      <c r="AU25" s="171"/>
      <c r="AV25" s="250"/>
      <c r="AW25" s="171"/>
      <c r="AX25" s="171"/>
      <c r="AY25" s="171"/>
      <c r="AZ25" s="250"/>
      <c r="BA25" s="171"/>
      <c r="BB25" s="250"/>
      <c r="BC25" s="171"/>
      <c r="BD25" s="171"/>
      <c r="BE25" s="171"/>
      <c r="BF25" s="171"/>
      <c r="BG25" s="158" t="b">
        <v>1</v>
      </c>
      <c r="BH25" s="158" t="b">
        <v>1</v>
      </c>
      <c r="BI25" s="108" t="s">
        <v>436</v>
      </c>
      <c r="BJ25" s="108" t="s">
        <v>1586</v>
      </c>
      <c r="BK25" s="108" t="s">
        <v>623</v>
      </c>
      <c r="BL25" s="168">
        <v>0.0</v>
      </c>
      <c r="BM25" s="228">
        <v>46143.0</v>
      </c>
      <c r="BN25" s="240">
        <v>7.85</v>
      </c>
      <c r="BO25" s="108" t="s">
        <v>414</v>
      </c>
      <c r="BP25" s="108" t="s">
        <v>414</v>
      </c>
      <c r="BQ25" s="108" t="s">
        <v>414</v>
      </c>
      <c r="BR25" s="108" t="s">
        <v>414</v>
      </c>
      <c r="BS25" s="108" t="s">
        <v>414</v>
      </c>
      <c r="BT25" s="168" t="s">
        <v>414</v>
      </c>
      <c r="BU25" s="108" t="s">
        <v>414</v>
      </c>
      <c r="BV25" s="108" t="s">
        <v>414</v>
      </c>
      <c r="BW25" s="108" t="s">
        <v>593</v>
      </c>
      <c r="BX25" s="168">
        <v>9.85</v>
      </c>
      <c r="BY25" s="108" t="s">
        <v>470</v>
      </c>
      <c r="BZ25" s="108" t="s">
        <v>1575</v>
      </c>
      <c r="CA25" s="108" t="s">
        <v>1576</v>
      </c>
      <c r="CB25" s="108" t="s">
        <v>756</v>
      </c>
      <c r="CC25" s="158" t="b">
        <v>1</v>
      </c>
      <c r="CD25" s="158" t="b">
        <v>1</v>
      </c>
      <c r="CE25" s="158" t="b">
        <v>1</v>
      </c>
      <c r="CF25" s="158" t="b">
        <v>0</v>
      </c>
      <c r="CG25" s="158" t="b">
        <v>0</v>
      </c>
      <c r="CH25" s="158" t="b">
        <v>0</v>
      </c>
      <c r="CI25" s="158" t="b">
        <v>0</v>
      </c>
      <c r="CJ25" s="108" t="s">
        <v>672</v>
      </c>
      <c r="CK25" s="108" t="s">
        <v>392</v>
      </c>
      <c r="CL25" s="171"/>
      <c r="CM25" s="154"/>
      <c r="CN25" s="171"/>
      <c r="CO25" s="108" t="s">
        <v>1587</v>
      </c>
      <c r="CP25" s="171"/>
      <c r="CQ25" s="171"/>
      <c r="CR25" s="108" t="s">
        <v>1578</v>
      </c>
      <c r="CS25" s="108" t="s">
        <v>1579</v>
      </c>
      <c r="CT25" s="108" t="s">
        <v>1580</v>
      </c>
      <c r="CU25" s="108" t="s">
        <v>504</v>
      </c>
      <c r="CV25" s="171"/>
      <c r="CW25" s="171"/>
      <c r="CX25" s="172" t="s">
        <v>1588</v>
      </c>
      <c r="CY25" s="153" t="s">
        <v>512</v>
      </c>
      <c r="CZ25" s="236">
        <v>46295.51332561343</v>
      </c>
      <c r="DA25" s="243">
        <v>1.0</v>
      </c>
      <c r="DB25" s="153">
        <v>1.0</v>
      </c>
      <c r="DC25" s="113"/>
      <c r="DD25" s="153" t="b">
        <v>0</v>
      </c>
      <c r="DE25" s="153" t="b">
        <v>0</v>
      </c>
      <c r="DF25" s="153"/>
    </row>
    <row r="26" ht="27.75" customHeight="1">
      <c r="A26" s="254" t="s">
        <v>533</v>
      </c>
      <c r="B26" s="254" t="s">
        <v>534</v>
      </c>
      <c r="C26" s="254" t="s">
        <v>535</v>
      </c>
      <c r="D26" s="255" t="s">
        <v>1589</v>
      </c>
      <c r="E26" s="256" t="s">
        <v>1590</v>
      </c>
      <c r="F26" s="254" t="s">
        <v>538</v>
      </c>
      <c r="G26" s="257" t="s">
        <v>539</v>
      </c>
      <c r="H26" s="258" t="s">
        <v>1570</v>
      </c>
      <c r="I26" s="254" t="s">
        <v>1591</v>
      </c>
      <c r="J26" s="254" t="s">
        <v>1273</v>
      </c>
      <c r="K26" s="254" t="s">
        <v>668</v>
      </c>
      <c r="L26" s="259"/>
      <c r="M26" s="254" t="s">
        <v>908</v>
      </c>
      <c r="N26" s="259"/>
      <c r="O26" s="260">
        <v>50.6646764215196</v>
      </c>
      <c r="P26" s="260">
        <v>-3.43268545142337</v>
      </c>
      <c r="Q26" s="261">
        <v>46294.04166666667</v>
      </c>
      <c r="R26" s="261">
        <v>46374.0</v>
      </c>
      <c r="S26" s="258" t="s">
        <v>1592</v>
      </c>
      <c r="T26" s="258" t="b">
        <v>0</v>
      </c>
      <c r="U26" s="159"/>
      <c r="V26" s="159"/>
      <c r="W26" s="254" t="s">
        <v>1520</v>
      </c>
      <c r="X26" s="258" t="b">
        <v>1</v>
      </c>
      <c r="Y26" s="262">
        <v>0.4166666666666667</v>
      </c>
      <c r="Z26" s="262">
        <v>0.5</v>
      </c>
      <c r="AA26" s="263" t="s">
        <v>414</v>
      </c>
      <c r="AB26" s="263" t="s">
        <v>414</v>
      </c>
      <c r="AC26" s="264" t="s">
        <v>414</v>
      </c>
      <c r="AD26" s="264" t="s">
        <v>414</v>
      </c>
      <c r="AE26" s="265" t="s">
        <v>414</v>
      </c>
      <c r="AF26" s="265" t="s">
        <v>414</v>
      </c>
      <c r="AG26" s="265" t="s">
        <v>414</v>
      </c>
      <c r="AH26" s="265" t="s">
        <v>414</v>
      </c>
      <c r="AI26" s="265" t="s">
        <v>414</v>
      </c>
      <c r="AJ26" s="265" t="s">
        <v>414</v>
      </c>
      <c r="AK26" s="263" t="s">
        <v>414</v>
      </c>
      <c r="AL26" s="263" t="s">
        <v>414</v>
      </c>
      <c r="AM26" s="263" t="s">
        <v>414</v>
      </c>
      <c r="AN26" s="263" t="s">
        <v>414</v>
      </c>
      <c r="AO26" s="256" t="s">
        <v>414</v>
      </c>
      <c r="AP26" s="266" t="s">
        <v>414</v>
      </c>
      <c r="AQ26" s="256" t="s">
        <v>414</v>
      </c>
      <c r="AR26" s="266" t="s">
        <v>414</v>
      </c>
      <c r="AS26" s="256" t="s">
        <v>414</v>
      </c>
      <c r="AT26" s="266" t="s">
        <v>414</v>
      </c>
      <c r="AU26" s="256" t="s">
        <v>414</v>
      </c>
      <c r="AV26" s="266" t="s">
        <v>414</v>
      </c>
      <c r="AW26" s="256" t="s">
        <v>414</v>
      </c>
      <c r="AX26" s="256" t="s">
        <v>414</v>
      </c>
      <c r="AY26" s="256" t="s">
        <v>414</v>
      </c>
      <c r="AZ26" s="266" t="s">
        <v>414</v>
      </c>
      <c r="BA26" s="256" t="s">
        <v>414</v>
      </c>
      <c r="BB26" s="266" t="s">
        <v>414</v>
      </c>
      <c r="BC26" s="256" t="s">
        <v>414</v>
      </c>
      <c r="BD26" s="267"/>
      <c r="BE26" s="267"/>
      <c r="BF26" s="267"/>
      <c r="BG26" s="268" t="b">
        <v>0</v>
      </c>
      <c r="BH26" s="268" t="b">
        <v>0</v>
      </c>
      <c r="BI26" s="256" t="s">
        <v>546</v>
      </c>
      <c r="BJ26" s="269"/>
      <c r="BK26" s="254" t="s">
        <v>414</v>
      </c>
      <c r="BL26" s="270" t="s">
        <v>414</v>
      </c>
      <c r="BM26" s="271" t="s">
        <v>414</v>
      </c>
      <c r="BN26" s="254" t="s">
        <v>414</v>
      </c>
      <c r="BO26" s="254" t="s">
        <v>414</v>
      </c>
      <c r="BP26" s="254" t="s">
        <v>414</v>
      </c>
      <c r="BQ26" s="254" t="s">
        <v>414</v>
      </c>
      <c r="BR26" s="254" t="s">
        <v>414</v>
      </c>
      <c r="BS26" s="254" t="s">
        <v>414</v>
      </c>
      <c r="BT26" s="270" t="s">
        <v>414</v>
      </c>
      <c r="BU26" s="254" t="s">
        <v>414</v>
      </c>
      <c r="BV26" s="254" t="s">
        <v>414</v>
      </c>
      <c r="BW26" s="254" t="s">
        <v>414</v>
      </c>
      <c r="BX26" s="270" t="s">
        <v>414</v>
      </c>
      <c r="BY26" s="256" t="s">
        <v>470</v>
      </c>
      <c r="BZ26" s="256" t="s">
        <v>1611</v>
      </c>
      <c r="CA26" s="256" t="s">
        <v>1612</v>
      </c>
      <c r="CB26" s="256" t="s">
        <v>1613</v>
      </c>
      <c r="CC26" s="272" t="b">
        <v>1</v>
      </c>
      <c r="CD26" s="272" t="b">
        <v>1</v>
      </c>
      <c r="CE26" s="272" t="b">
        <v>1</v>
      </c>
      <c r="CF26" s="272" t="b">
        <v>0</v>
      </c>
      <c r="CG26" s="272" t="b">
        <v>0</v>
      </c>
      <c r="CH26" s="272" t="b">
        <v>0</v>
      </c>
      <c r="CI26" s="272" t="b">
        <v>0</v>
      </c>
      <c r="CJ26" s="254" t="s">
        <v>602</v>
      </c>
      <c r="CK26" s="273" t="s">
        <v>604</v>
      </c>
      <c r="CL26" s="258" t="b">
        <v>0</v>
      </c>
      <c r="CM26" s="259"/>
      <c r="CN26" s="259"/>
      <c r="CO26" s="254" t="s">
        <v>1614</v>
      </c>
      <c r="CP26" s="259"/>
      <c r="CQ26" s="259"/>
      <c r="CR26" s="254" t="s">
        <v>1615</v>
      </c>
      <c r="CS26" s="259"/>
      <c r="CT26" s="254" t="s">
        <v>1616</v>
      </c>
      <c r="CU26" s="256" t="s">
        <v>504</v>
      </c>
      <c r="CV26" s="256" t="s">
        <v>1617</v>
      </c>
      <c r="CW26" s="272" t="b">
        <v>1</v>
      </c>
      <c r="CX26" s="272" t="s">
        <v>1618</v>
      </c>
      <c r="CY26" s="153" t="s">
        <v>512</v>
      </c>
      <c r="CZ26" s="236">
        <v>46313.0</v>
      </c>
      <c r="DA26" s="243">
        <v>1.0</v>
      </c>
      <c r="DB26" s="153">
        <v>1.0</v>
      </c>
      <c r="DC26" s="113"/>
      <c r="DD26" s="153" t="b">
        <v>0</v>
      </c>
      <c r="DE26" s="153" t="b">
        <v>0</v>
      </c>
      <c r="DF26" s="153"/>
    </row>
    <row r="27" ht="27.75" customHeight="1">
      <c r="A27" s="254" t="s">
        <v>533</v>
      </c>
      <c r="B27" s="254" t="s">
        <v>534</v>
      </c>
      <c r="C27" s="254" t="s">
        <v>659</v>
      </c>
      <c r="D27" s="255" t="s">
        <v>1619</v>
      </c>
      <c r="E27" s="274" t="s">
        <v>1620</v>
      </c>
      <c r="F27" s="254" t="s">
        <v>538</v>
      </c>
      <c r="G27" s="257" t="s">
        <v>539</v>
      </c>
      <c r="H27" s="258" t="s">
        <v>540</v>
      </c>
      <c r="I27" s="254" t="s">
        <v>1591</v>
      </c>
      <c r="J27" s="254" t="s">
        <v>1273</v>
      </c>
      <c r="K27" s="254" t="s">
        <v>668</v>
      </c>
      <c r="L27" s="259"/>
      <c r="M27" s="254" t="s">
        <v>908</v>
      </c>
      <c r="N27" s="259"/>
      <c r="O27" s="260">
        <v>50.6646764215196</v>
      </c>
      <c r="P27" s="260">
        <v>-3.43268545142337</v>
      </c>
      <c r="Q27" s="261">
        <v>46293.04166666667</v>
      </c>
      <c r="R27" s="261">
        <v>46314.04166666667</v>
      </c>
      <c r="S27" s="258" t="s">
        <v>547</v>
      </c>
      <c r="T27" s="258" t="b">
        <v>0</v>
      </c>
      <c r="U27" s="159"/>
      <c r="V27" s="159"/>
      <c r="W27" s="254" t="s">
        <v>858</v>
      </c>
      <c r="X27" s="258" t="b">
        <v>1</v>
      </c>
      <c r="Y27" s="275">
        <v>0.6458333333333334</v>
      </c>
      <c r="Z27" s="275">
        <v>0.7083333333333334</v>
      </c>
      <c r="AA27" s="263" t="s">
        <v>414</v>
      </c>
      <c r="AB27" s="265" t="s">
        <v>414</v>
      </c>
      <c r="AC27" s="276" t="s">
        <v>414</v>
      </c>
      <c r="AD27" s="276" t="s">
        <v>414</v>
      </c>
      <c r="AE27" s="263" t="s">
        <v>414</v>
      </c>
      <c r="AF27" s="263" t="s">
        <v>414</v>
      </c>
      <c r="AG27" s="263" t="s">
        <v>414</v>
      </c>
      <c r="AH27" s="263" t="s">
        <v>414</v>
      </c>
      <c r="AI27" s="263" t="s">
        <v>414</v>
      </c>
      <c r="AJ27" s="263" t="s">
        <v>414</v>
      </c>
      <c r="AK27" s="263" t="s">
        <v>414</v>
      </c>
      <c r="AL27" s="263" t="s">
        <v>414</v>
      </c>
      <c r="AM27" s="263" t="s">
        <v>414</v>
      </c>
      <c r="AN27" s="263" t="s">
        <v>414</v>
      </c>
      <c r="AO27" s="256" t="s">
        <v>414</v>
      </c>
      <c r="AP27" s="266" t="s">
        <v>414</v>
      </c>
      <c r="AQ27" s="256" t="s">
        <v>414</v>
      </c>
      <c r="AR27" s="266" t="s">
        <v>414</v>
      </c>
      <c r="AS27" s="256" t="s">
        <v>414</v>
      </c>
      <c r="AT27" s="266" t="s">
        <v>414</v>
      </c>
      <c r="AU27" s="256" t="s">
        <v>414</v>
      </c>
      <c r="AV27" s="266" t="s">
        <v>414</v>
      </c>
      <c r="AW27" s="256" t="s">
        <v>414</v>
      </c>
      <c r="AX27" s="256" t="s">
        <v>414</v>
      </c>
      <c r="AY27" s="256" t="s">
        <v>414</v>
      </c>
      <c r="AZ27" s="266" t="s">
        <v>414</v>
      </c>
      <c r="BA27" s="256" t="s">
        <v>414</v>
      </c>
      <c r="BB27" s="266" t="s">
        <v>414</v>
      </c>
      <c r="BC27" s="256" t="s">
        <v>414</v>
      </c>
      <c r="BD27" s="267"/>
      <c r="BE27" s="267"/>
      <c r="BF27" s="267"/>
      <c r="BG27" s="268" t="b">
        <v>0</v>
      </c>
      <c r="BH27" s="268" t="b">
        <v>0</v>
      </c>
      <c r="BI27" s="256" t="s">
        <v>546</v>
      </c>
      <c r="BJ27" s="269"/>
      <c r="BK27" s="254" t="s">
        <v>414</v>
      </c>
      <c r="BL27" s="270" t="s">
        <v>414</v>
      </c>
      <c r="BM27" s="271" t="s">
        <v>414</v>
      </c>
      <c r="BN27" s="254" t="s">
        <v>414</v>
      </c>
      <c r="BO27" s="254" t="s">
        <v>414</v>
      </c>
      <c r="BP27" s="254" t="s">
        <v>414</v>
      </c>
      <c r="BQ27" s="254" t="s">
        <v>414</v>
      </c>
      <c r="BR27" s="254" t="s">
        <v>414</v>
      </c>
      <c r="BS27" s="254" t="s">
        <v>414</v>
      </c>
      <c r="BT27" s="270" t="s">
        <v>414</v>
      </c>
      <c r="BU27" s="254" t="s">
        <v>414</v>
      </c>
      <c r="BV27" s="254" t="s">
        <v>414</v>
      </c>
      <c r="BW27" s="254" t="s">
        <v>414</v>
      </c>
      <c r="BX27" s="270" t="s">
        <v>414</v>
      </c>
      <c r="BY27" s="256" t="s">
        <v>470</v>
      </c>
      <c r="BZ27" s="256" t="s">
        <v>1611</v>
      </c>
      <c r="CA27" s="256" t="s">
        <v>1612</v>
      </c>
      <c r="CB27" s="256" t="s">
        <v>1621</v>
      </c>
      <c r="CC27" s="272" t="b">
        <v>0</v>
      </c>
      <c r="CD27" s="272" t="b">
        <v>0</v>
      </c>
      <c r="CE27" s="272" t="b">
        <v>1</v>
      </c>
      <c r="CF27" s="272" t="b">
        <v>1</v>
      </c>
      <c r="CG27" s="272" t="b">
        <v>1</v>
      </c>
      <c r="CH27" s="272" t="b">
        <v>0</v>
      </c>
      <c r="CI27" s="272" t="b">
        <v>0</v>
      </c>
      <c r="CJ27" s="254" t="s">
        <v>602</v>
      </c>
      <c r="CK27" s="273" t="s">
        <v>604</v>
      </c>
      <c r="CL27" s="258" t="b">
        <v>1</v>
      </c>
      <c r="CM27" s="259"/>
      <c r="CN27" s="259"/>
      <c r="CO27" s="254" t="s">
        <v>1622</v>
      </c>
      <c r="CP27" s="259"/>
      <c r="CQ27" s="259"/>
      <c r="CR27" s="254" t="s">
        <v>1623</v>
      </c>
      <c r="CS27" s="259"/>
      <c r="CT27" s="254" t="s">
        <v>1624</v>
      </c>
      <c r="CU27" s="256" t="s">
        <v>1625</v>
      </c>
      <c r="CV27" s="256" t="s">
        <v>1617</v>
      </c>
      <c r="CW27" s="272" t="b">
        <v>1</v>
      </c>
      <c r="CX27" s="272" t="s">
        <v>1626</v>
      </c>
      <c r="CY27" s="153" t="s">
        <v>512</v>
      </c>
      <c r="CZ27" s="236">
        <v>46313.0</v>
      </c>
      <c r="DA27" s="243">
        <v>1.0</v>
      </c>
      <c r="DB27" s="153">
        <v>1.0</v>
      </c>
      <c r="DC27" s="113"/>
      <c r="DD27" s="153" t="b">
        <v>0</v>
      </c>
      <c r="DE27" s="153" t="b">
        <v>0</v>
      </c>
      <c r="DF27" s="153"/>
    </row>
    <row r="28" ht="27.75" customHeight="1">
      <c r="A28" s="254" t="s">
        <v>533</v>
      </c>
      <c r="B28" s="254" t="s">
        <v>900</v>
      </c>
      <c r="C28" s="254" t="s">
        <v>901</v>
      </c>
      <c r="D28" s="255" t="s">
        <v>1627</v>
      </c>
      <c r="E28" s="274" t="s">
        <v>1628</v>
      </c>
      <c r="F28" s="256" t="s">
        <v>1238</v>
      </c>
      <c r="G28" s="257" t="s">
        <v>539</v>
      </c>
      <c r="H28" s="258" t="s">
        <v>540</v>
      </c>
      <c r="I28" s="254" t="s">
        <v>901</v>
      </c>
      <c r="J28" s="254" t="s">
        <v>906</v>
      </c>
      <c r="K28" s="254" t="s">
        <v>907</v>
      </c>
      <c r="L28" s="259"/>
      <c r="M28" s="254" t="s">
        <v>908</v>
      </c>
      <c r="N28" s="259"/>
      <c r="O28" s="260">
        <v>50.664416371884</v>
      </c>
      <c r="P28" s="260">
        <v>-3.43467574903001</v>
      </c>
      <c r="Q28" s="261">
        <v>46305.0</v>
      </c>
      <c r="R28" s="277">
        <v>46307.0</v>
      </c>
      <c r="S28" s="258" t="s">
        <v>1592</v>
      </c>
      <c r="T28" s="258" t="b">
        <v>0</v>
      </c>
      <c r="U28" s="159"/>
      <c r="V28" s="159"/>
      <c r="W28" s="254" t="s">
        <v>1276</v>
      </c>
      <c r="X28" s="258" t="b">
        <v>1</v>
      </c>
      <c r="Y28" s="275">
        <v>0.5729166666666666</v>
      </c>
      <c r="Z28" s="275">
        <v>0.6041666666666666</v>
      </c>
      <c r="AA28" s="263" t="s">
        <v>414</v>
      </c>
      <c r="AB28" s="263" t="s">
        <v>414</v>
      </c>
      <c r="AC28" s="276" t="s">
        <v>414</v>
      </c>
      <c r="AD28" s="276" t="s">
        <v>414</v>
      </c>
      <c r="AE28" s="263" t="s">
        <v>414</v>
      </c>
      <c r="AF28" s="263" t="s">
        <v>414</v>
      </c>
      <c r="AG28" s="263" t="s">
        <v>414</v>
      </c>
      <c r="AH28" s="263" t="s">
        <v>414</v>
      </c>
      <c r="AI28" s="263" t="s">
        <v>414</v>
      </c>
      <c r="AJ28" s="263" t="s">
        <v>414</v>
      </c>
      <c r="AK28" s="263" t="s">
        <v>414</v>
      </c>
      <c r="AL28" s="263" t="s">
        <v>414</v>
      </c>
      <c r="AM28" s="263" t="s">
        <v>414</v>
      </c>
      <c r="AN28" s="263" t="s">
        <v>414</v>
      </c>
      <c r="AO28" s="254" t="s">
        <v>414</v>
      </c>
      <c r="AP28" s="270" t="s">
        <v>414</v>
      </c>
      <c r="AQ28" s="254" t="s">
        <v>414</v>
      </c>
      <c r="AR28" s="270" t="s">
        <v>414</v>
      </c>
      <c r="AS28" s="254" t="s">
        <v>414</v>
      </c>
      <c r="AT28" s="270" t="s">
        <v>414</v>
      </c>
      <c r="AU28" s="254" t="s">
        <v>414</v>
      </c>
      <c r="AV28" s="270" t="s">
        <v>414</v>
      </c>
      <c r="AW28" s="254" t="s">
        <v>414</v>
      </c>
      <c r="AX28" s="254" t="s">
        <v>414</v>
      </c>
      <c r="AY28" s="254" t="s">
        <v>414</v>
      </c>
      <c r="AZ28" s="270" t="s">
        <v>414</v>
      </c>
      <c r="BA28" s="254" t="s">
        <v>414</v>
      </c>
      <c r="BB28" s="270" t="s">
        <v>414</v>
      </c>
      <c r="BC28" s="254" t="s">
        <v>414</v>
      </c>
      <c r="BD28" s="267"/>
      <c r="BE28" s="267"/>
      <c r="BF28" s="267"/>
      <c r="BG28" s="268" t="b">
        <v>0</v>
      </c>
      <c r="BH28" s="268" t="b">
        <v>0</v>
      </c>
      <c r="BI28" s="256" t="s">
        <v>546</v>
      </c>
      <c r="BJ28" s="269"/>
      <c r="BK28" s="254" t="s">
        <v>414</v>
      </c>
      <c r="BL28" s="270" t="s">
        <v>414</v>
      </c>
      <c r="BM28" s="271" t="s">
        <v>414</v>
      </c>
      <c r="BN28" s="254" t="s">
        <v>414</v>
      </c>
      <c r="BO28" s="254" t="s">
        <v>414</v>
      </c>
      <c r="BP28" s="254" t="s">
        <v>414</v>
      </c>
      <c r="BQ28" s="254" t="s">
        <v>414</v>
      </c>
      <c r="BR28" s="254" t="s">
        <v>414</v>
      </c>
      <c r="BS28" s="254" t="s">
        <v>414</v>
      </c>
      <c r="BT28" s="270" t="s">
        <v>414</v>
      </c>
      <c r="BU28" s="254" t="s">
        <v>414</v>
      </c>
      <c r="BV28" s="254" t="s">
        <v>414</v>
      </c>
      <c r="BW28" s="254" t="s">
        <v>414</v>
      </c>
      <c r="BX28" s="270" t="s">
        <v>414</v>
      </c>
      <c r="BY28" s="256" t="s">
        <v>1301</v>
      </c>
      <c r="BZ28" s="256" t="s">
        <v>1629</v>
      </c>
      <c r="CA28" s="259"/>
      <c r="CB28" s="259"/>
      <c r="CC28" s="272" t="b">
        <v>1</v>
      </c>
      <c r="CD28" s="272" t="b">
        <v>1</v>
      </c>
      <c r="CE28" s="272" t="b">
        <v>1</v>
      </c>
      <c r="CF28" s="272" t="b">
        <v>1</v>
      </c>
      <c r="CG28" s="272" t="b">
        <v>1</v>
      </c>
      <c r="CH28" s="272" t="b">
        <v>1</v>
      </c>
      <c r="CI28" s="272" t="b">
        <v>1</v>
      </c>
      <c r="CJ28" s="254" t="s">
        <v>924</v>
      </c>
      <c r="CK28" s="273" t="s">
        <v>604</v>
      </c>
      <c r="CL28" s="258" t="b">
        <v>1</v>
      </c>
      <c r="CM28" s="258" t="s">
        <v>935</v>
      </c>
      <c r="CN28" s="258" t="s">
        <v>1030</v>
      </c>
      <c r="CO28" s="254" t="s">
        <v>1630</v>
      </c>
      <c r="CP28" s="259"/>
      <c r="CQ28" s="259"/>
      <c r="CR28" s="254" t="s">
        <v>1631</v>
      </c>
      <c r="CS28" s="254" t="s">
        <v>1632</v>
      </c>
      <c r="CT28" s="254" t="s">
        <v>1633</v>
      </c>
      <c r="CU28" s="256" t="s">
        <v>504</v>
      </c>
      <c r="CV28" s="256" t="s">
        <v>1617</v>
      </c>
      <c r="CW28" s="272" t="b">
        <v>1</v>
      </c>
      <c r="CX28" s="272" t="s">
        <v>1634</v>
      </c>
      <c r="CY28" s="153" t="s">
        <v>512</v>
      </c>
      <c r="CZ28" s="236">
        <v>46313.0</v>
      </c>
      <c r="DA28" s="243">
        <v>1.0</v>
      </c>
      <c r="DB28" s="153">
        <v>1.0</v>
      </c>
      <c r="DC28" s="113"/>
      <c r="DD28" s="153" t="b">
        <v>0</v>
      </c>
      <c r="DE28" s="153" t="b">
        <v>0</v>
      </c>
      <c r="DF28" s="153"/>
    </row>
    <row r="29" ht="27.75" customHeight="1">
      <c r="A29" s="254" t="s">
        <v>533</v>
      </c>
      <c r="B29" s="254" t="s">
        <v>900</v>
      </c>
      <c r="C29" s="254" t="s">
        <v>901</v>
      </c>
      <c r="D29" s="255" t="s">
        <v>1627</v>
      </c>
      <c r="E29" s="274" t="s">
        <v>1628</v>
      </c>
      <c r="F29" s="256" t="s">
        <v>1238</v>
      </c>
      <c r="G29" s="257" t="s">
        <v>539</v>
      </c>
      <c r="H29" s="258" t="s">
        <v>540</v>
      </c>
      <c r="I29" s="254" t="s">
        <v>901</v>
      </c>
      <c r="J29" s="254" t="s">
        <v>906</v>
      </c>
      <c r="K29" s="254" t="s">
        <v>907</v>
      </c>
      <c r="L29" s="259"/>
      <c r="M29" s="254" t="s">
        <v>908</v>
      </c>
      <c r="N29" s="259"/>
      <c r="O29" s="260">
        <v>50.664416371884</v>
      </c>
      <c r="P29" s="260">
        <v>-3.43467574903001</v>
      </c>
      <c r="Q29" s="261">
        <v>46396.0</v>
      </c>
      <c r="R29" s="277">
        <v>46487.0</v>
      </c>
      <c r="S29" s="258" t="s">
        <v>1592</v>
      </c>
      <c r="T29" s="258" t="b">
        <v>0</v>
      </c>
      <c r="U29" s="159"/>
      <c r="V29" s="159"/>
      <c r="W29" s="254" t="s">
        <v>1276</v>
      </c>
      <c r="X29" s="258" t="b">
        <v>1</v>
      </c>
      <c r="Y29" s="275">
        <v>0.5729166666666666</v>
      </c>
      <c r="Z29" s="275">
        <v>0.6041666666666666</v>
      </c>
      <c r="AA29" s="263" t="s">
        <v>414</v>
      </c>
      <c r="AB29" s="263" t="s">
        <v>414</v>
      </c>
      <c r="AC29" s="276" t="s">
        <v>414</v>
      </c>
      <c r="AD29" s="276" t="s">
        <v>414</v>
      </c>
      <c r="AE29" s="263" t="s">
        <v>414</v>
      </c>
      <c r="AF29" s="263" t="s">
        <v>414</v>
      </c>
      <c r="AG29" s="263" t="s">
        <v>414</v>
      </c>
      <c r="AH29" s="263" t="s">
        <v>414</v>
      </c>
      <c r="AI29" s="263" t="s">
        <v>414</v>
      </c>
      <c r="AJ29" s="263" t="s">
        <v>414</v>
      </c>
      <c r="AK29" s="263" t="s">
        <v>414</v>
      </c>
      <c r="AL29" s="263" t="s">
        <v>414</v>
      </c>
      <c r="AM29" s="263" t="s">
        <v>414</v>
      </c>
      <c r="AN29" s="263" t="s">
        <v>414</v>
      </c>
      <c r="AO29" s="254" t="s">
        <v>414</v>
      </c>
      <c r="AP29" s="270" t="s">
        <v>414</v>
      </c>
      <c r="AQ29" s="254" t="s">
        <v>414</v>
      </c>
      <c r="AR29" s="270" t="s">
        <v>414</v>
      </c>
      <c r="AS29" s="254" t="s">
        <v>414</v>
      </c>
      <c r="AT29" s="270" t="s">
        <v>414</v>
      </c>
      <c r="AU29" s="254" t="s">
        <v>414</v>
      </c>
      <c r="AV29" s="270" t="s">
        <v>414</v>
      </c>
      <c r="AW29" s="254" t="s">
        <v>414</v>
      </c>
      <c r="AX29" s="254" t="s">
        <v>414</v>
      </c>
      <c r="AY29" s="254" t="s">
        <v>414</v>
      </c>
      <c r="AZ29" s="270" t="s">
        <v>414</v>
      </c>
      <c r="BA29" s="254" t="s">
        <v>414</v>
      </c>
      <c r="BB29" s="270" t="s">
        <v>414</v>
      </c>
      <c r="BC29" s="254" t="s">
        <v>414</v>
      </c>
      <c r="BD29" s="267"/>
      <c r="BE29" s="267"/>
      <c r="BF29" s="267"/>
      <c r="BG29" s="268" t="b">
        <v>0</v>
      </c>
      <c r="BH29" s="268" t="b">
        <v>0</v>
      </c>
      <c r="BI29" s="256" t="s">
        <v>546</v>
      </c>
      <c r="BJ29" s="269"/>
      <c r="BK29" s="254" t="s">
        <v>414</v>
      </c>
      <c r="BL29" s="270" t="s">
        <v>414</v>
      </c>
      <c r="BM29" s="271" t="s">
        <v>414</v>
      </c>
      <c r="BN29" s="254" t="s">
        <v>414</v>
      </c>
      <c r="BO29" s="254" t="s">
        <v>414</v>
      </c>
      <c r="BP29" s="254" t="s">
        <v>414</v>
      </c>
      <c r="BQ29" s="254" t="s">
        <v>414</v>
      </c>
      <c r="BR29" s="254" t="s">
        <v>414</v>
      </c>
      <c r="BS29" s="254" t="s">
        <v>414</v>
      </c>
      <c r="BT29" s="270" t="s">
        <v>414</v>
      </c>
      <c r="BU29" s="254" t="s">
        <v>414</v>
      </c>
      <c r="BV29" s="254" t="s">
        <v>414</v>
      </c>
      <c r="BW29" s="254" t="s">
        <v>414</v>
      </c>
      <c r="BX29" s="270" t="s">
        <v>414</v>
      </c>
      <c r="BY29" s="256" t="s">
        <v>1301</v>
      </c>
      <c r="BZ29" s="256" t="s">
        <v>1629</v>
      </c>
      <c r="CA29" s="259"/>
      <c r="CB29" s="259"/>
      <c r="CC29" s="272" t="b">
        <v>1</v>
      </c>
      <c r="CD29" s="272" t="b">
        <v>1</v>
      </c>
      <c r="CE29" s="272" t="b">
        <v>1</v>
      </c>
      <c r="CF29" s="272" t="b">
        <v>1</v>
      </c>
      <c r="CG29" s="272" t="b">
        <v>1</v>
      </c>
      <c r="CH29" s="272" t="b">
        <v>1</v>
      </c>
      <c r="CI29" s="272" t="b">
        <v>1</v>
      </c>
      <c r="CJ29" s="254" t="s">
        <v>924</v>
      </c>
      <c r="CK29" s="273" t="s">
        <v>604</v>
      </c>
      <c r="CL29" s="258" t="b">
        <v>1</v>
      </c>
      <c r="CM29" s="258" t="s">
        <v>935</v>
      </c>
      <c r="CN29" s="258" t="s">
        <v>1030</v>
      </c>
      <c r="CO29" s="254" t="s">
        <v>1630</v>
      </c>
      <c r="CP29" s="259"/>
      <c r="CQ29" s="259"/>
      <c r="CR29" s="254" t="s">
        <v>1631</v>
      </c>
      <c r="CS29" s="254" t="s">
        <v>1632</v>
      </c>
      <c r="CT29" s="254" t="s">
        <v>1633</v>
      </c>
      <c r="CU29" s="256" t="s">
        <v>504</v>
      </c>
      <c r="CV29" s="256" t="s">
        <v>1617</v>
      </c>
      <c r="CW29" s="272" t="b">
        <v>1</v>
      </c>
      <c r="CX29" s="272" t="s">
        <v>1635</v>
      </c>
      <c r="CY29" s="153" t="s">
        <v>512</v>
      </c>
      <c r="CZ29" s="236">
        <v>46313.0</v>
      </c>
      <c r="DA29" s="243">
        <v>1.0</v>
      </c>
      <c r="DB29" s="153">
        <v>1.0</v>
      </c>
      <c r="DC29" s="113"/>
      <c r="DD29" s="153" t="b">
        <v>0</v>
      </c>
      <c r="DE29" s="153" t="b">
        <v>0</v>
      </c>
      <c r="DF29" s="153"/>
    </row>
    <row r="30" ht="27.75" customHeight="1">
      <c r="A30" s="254" t="s">
        <v>533</v>
      </c>
      <c r="B30" s="254" t="s">
        <v>692</v>
      </c>
      <c r="C30" s="254" t="s">
        <v>1636</v>
      </c>
      <c r="D30" s="255" t="s">
        <v>1637</v>
      </c>
      <c r="E30" s="256" t="s">
        <v>1638</v>
      </c>
      <c r="F30" s="254" t="s">
        <v>538</v>
      </c>
      <c r="G30" s="257" t="s">
        <v>539</v>
      </c>
      <c r="H30" s="258" t="s">
        <v>540</v>
      </c>
      <c r="I30" s="254" t="s">
        <v>1639</v>
      </c>
      <c r="J30" s="254" t="s">
        <v>1273</v>
      </c>
      <c r="K30" s="254" t="s">
        <v>668</v>
      </c>
      <c r="L30" s="259"/>
      <c r="M30" s="254" t="s">
        <v>908</v>
      </c>
      <c r="N30" s="259"/>
      <c r="O30" s="260">
        <v>50.6646764215196</v>
      </c>
      <c r="P30" s="260">
        <v>-3.43268545142337</v>
      </c>
      <c r="Q30" s="261">
        <v>46293.04166666667</v>
      </c>
      <c r="R30" s="261">
        <v>46370.0</v>
      </c>
      <c r="S30" s="258" t="s">
        <v>1592</v>
      </c>
      <c r="T30" s="258" t="b">
        <v>0</v>
      </c>
      <c r="U30" s="278"/>
      <c r="V30" s="278"/>
      <c r="W30" s="254" t="s">
        <v>858</v>
      </c>
      <c r="X30" s="258" t="b">
        <v>1</v>
      </c>
      <c r="Y30" s="275">
        <v>0.4166666666666667</v>
      </c>
      <c r="Z30" s="275">
        <v>0.5</v>
      </c>
      <c r="AA30" s="263" t="s">
        <v>414</v>
      </c>
      <c r="AB30" s="263" t="s">
        <v>414</v>
      </c>
      <c r="AC30" s="276" t="s">
        <v>414</v>
      </c>
      <c r="AD30" s="276" t="s">
        <v>414</v>
      </c>
      <c r="AE30" s="263" t="s">
        <v>414</v>
      </c>
      <c r="AF30" s="263" t="s">
        <v>414</v>
      </c>
      <c r="AG30" s="263" t="s">
        <v>414</v>
      </c>
      <c r="AH30" s="263" t="s">
        <v>414</v>
      </c>
      <c r="AI30" s="263" t="s">
        <v>414</v>
      </c>
      <c r="AJ30" s="263" t="s">
        <v>414</v>
      </c>
      <c r="AK30" s="263" t="s">
        <v>414</v>
      </c>
      <c r="AL30" s="263" t="s">
        <v>414</v>
      </c>
      <c r="AM30" s="263" t="s">
        <v>414</v>
      </c>
      <c r="AN30" s="263" t="s">
        <v>414</v>
      </c>
      <c r="AO30" s="256" t="s">
        <v>414</v>
      </c>
      <c r="AP30" s="266" t="s">
        <v>414</v>
      </c>
      <c r="AQ30" s="256" t="s">
        <v>414</v>
      </c>
      <c r="AR30" s="266" t="s">
        <v>414</v>
      </c>
      <c r="AS30" s="256" t="s">
        <v>414</v>
      </c>
      <c r="AT30" s="266" t="s">
        <v>414</v>
      </c>
      <c r="AU30" s="256" t="s">
        <v>414</v>
      </c>
      <c r="AV30" s="266" t="s">
        <v>414</v>
      </c>
      <c r="AW30" s="256" t="s">
        <v>414</v>
      </c>
      <c r="AX30" s="256" t="s">
        <v>414</v>
      </c>
      <c r="AY30" s="256" t="s">
        <v>414</v>
      </c>
      <c r="AZ30" s="266" t="s">
        <v>414</v>
      </c>
      <c r="BA30" s="256" t="s">
        <v>414</v>
      </c>
      <c r="BB30" s="266" t="s">
        <v>414</v>
      </c>
      <c r="BC30" s="256" t="s">
        <v>414</v>
      </c>
      <c r="BD30" s="258"/>
      <c r="BE30" s="254"/>
      <c r="BF30" s="254"/>
      <c r="BG30" s="268" t="b">
        <v>0</v>
      </c>
      <c r="BH30" s="272" t="b">
        <v>0</v>
      </c>
      <c r="BI30" s="256" t="s">
        <v>546</v>
      </c>
      <c r="BJ30" s="279"/>
      <c r="BK30" s="280" t="s">
        <v>414</v>
      </c>
      <c r="BL30" s="270" t="s">
        <v>414</v>
      </c>
      <c r="BM30" s="271" t="s">
        <v>414</v>
      </c>
      <c r="BN30" s="254" t="s">
        <v>414</v>
      </c>
      <c r="BO30" s="254" t="s">
        <v>414</v>
      </c>
      <c r="BP30" s="254" t="s">
        <v>414</v>
      </c>
      <c r="BQ30" s="254" t="s">
        <v>414</v>
      </c>
      <c r="BR30" s="254" t="s">
        <v>414</v>
      </c>
      <c r="BS30" s="254" t="s">
        <v>414</v>
      </c>
      <c r="BT30" s="270" t="s">
        <v>414</v>
      </c>
      <c r="BU30" s="254" t="s">
        <v>414</v>
      </c>
      <c r="BV30" s="254" t="s">
        <v>414</v>
      </c>
      <c r="BW30" s="254" t="s">
        <v>414</v>
      </c>
      <c r="BX30" s="270" t="s">
        <v>414</v>
      </c>
      <c r="BY30" s="256" t="s">
        <v>470</v>
      </c>
      <c r="BZ30" s="256" t="s">
        <v>1611</v>
      </c>
      <c r="CA30" s="256" t="s">
        <v>1640</v>
      </c>
      <c r="CB30" s="256" t="s">
        <v>1641</v>
      </c>
      <c r="CC30" s="272" t="b">
        <v>1</v>
      </c>
      <c r="CD30" s="272" t="b">
        <v>0</v>
      </c>
      <c r="CE30" s="272" t="b">
        <v>0</v>
      </c>
      <c r="CF30" s="272" t="b">
        <v>0</v>
      </c>
      <c r="CG30" s="272" t="b">
        <v>0</v>
      </c>
      <c r="CH30" s="272" t="b">
        <v>0</v>
      </c>
      <c r="CI30" s="272" t="b">
        <v>1</v>
      </c>
      <c r="CJ30" s="254" t="s">
        <v>1255</v>
      </c>
      <c r="CK30" s="273" t="s">
        <v>604</v>
      </c>
      <c r="CL30" s="258" t="b">
        <v>0</v>
      </c>
      <c r="CM30" s="259"/>
      <c r="CN30" s="259"/>
      <c r="CO30" s="254" t="s">
        <v>1642</v>
      </c>
      <c r="CP30" s="259"/>
      <c r="CQ30" s="259"/>
      <c r="CR30" s="254" t="s">
        <v>1643</v>
      </c>
      <c r="CS30" s="259"/>
      <c r="CT30" s="254" t="s">
        <v>1644</v>
      </c>
      <c r="CU30" s="256" t="s">
        <v>504</v>
      </c>
      <c r="CV30" s="256" t="s">
        <v>1617</v>
      </c>
      <c r="CW30" s="272" t="b">
        <v>1</v>
      </c>
      <c r="CX30" s="272" t="s">
        <v>1645</v>
      </c>
      <c r="CY30" s="153" t="s">
        <v>512</v>
      </c>
      <c r="CZ30" s="236">
        <v>46313.0</v>
      </c>
      <c r="DA30" s="243">
        <v>1.0</v>
      </c>
      <c r="DB30" s="153">
        <v>1.0</v>
      </c>
      <c r="DC30" s="281"/>
      <c r="DD30" s="153" t="b">
        <v>0</v>
      </c>
      <c r="DE30" s="153" t="b">
        <v>0</v>
      </c>
      <c r="DF30" s="281"/>
    </row>
  </sheetData>
  <mergeCells count="27">
    <mergeCell ref="BY1:CB2"/>
    <mergeCell ref="CC1:CI2"/>
    <mergeCell ref="CJ1:CK2"/>
    <mergeCell ref="CL1:CN2"/>
    <mergeCell ref="CO1:CT2"/>
    <mergeCell ref="CU1:CW2"/>
    <mergeCell ref="CX1:DF2"/>
    <mergeCell ref="T2:V2"/>
    <mergeCell ref="W2:X2"/>
    <mergeCell ref="Y2:Z2"/>
    <mergeCell ref="AA2:AN2"/>
    <mergeCell ref="AO2:BB2"/>
    <mergeCell ref="BC2:BF2"/>
    <mergeCell ref="BK2:BL2"/>
    <mergeCell ref="BM2:BN2"/>
    <mergeCell ref="BO2:BP2"/>
    <mergeCell ref="BQ2:BR2"/>
    <mergeCell ref="BS2:BT2"/>
    <mergeCell ref="BU2:BV2"/>
    <mergeCell ref="A1:D2"/>
    <mergeCell ref="E1:H2"/>
    <mergeCell ref="I1:P2"/>
    <mergeCell ref="Q1:R2"/>
    <mergeCell ref="S1:S3"/>
    <mergeCell ref="T1:BE1"/>
    <mergeCell ref="BH1:BX1"/>
    <mergeCell ref="BW2:BX2"/>
  </mergeCells>
  <dataValidations>
    <dataValidation type="list" allowBlank="1" showErrorMessage="1" sqref="B26:B30">
      <formula1>Enums!$D$32:$D$55</formula1>
    </dataValidation>
    <dataValidation type="list" allowBlank="1" showErrorMessage="1" sqref="F26:F30">
      <formula1>Enums!$D$638:$D$642</formula1>
    </dataValidation>
    <dataValidation type="list" allowBlank="1" showErrorMessage="1" sqref="CQ26:CQ30">
      <formula1>Enums!$D$557:$D$603</formula1>
    </dataValidation>
    <dataValidation type="list" allowBlank="1" showErrorMessage="1" sqref="BZ26:BZ30">
      <formula1>Enums!$D$439:$D$457</formula1>
    </dataValidation>
    <dataValidation type="list" allowBlank="1" showErrorMessage="1" sqref="G24:G25">
      <formula1>Enums!$D$667:$D$671</formula1>
    </dataValidation>
    <dataValidation type="list" allowBlank="1" showErrorMessage="1" sqref="CS26:CS30">
      <formula1>Enums!$D$506:$D$536</formula1>
    </dataValidation>
    <dataValidation type="list" allowBlank="1" showErrorMessage="1" sqref="CN26:CN30">
      <formula1>Enums!$D$751:$D$754</formula1>
    </dataValidation>
    <dataValidation type="list" allowBlank="1" showErrorMessage="1" sqref="S26:S30">
      <formula1>Enums!$D$650:$D$653</formula1>
    </dataValidation>
    <dataValidation type="list" allowBlank="1" showErrorMessage="1" sqref="CJ26:CJ30">
      <formula1>Enums!$D$13:$D$19</formula1>
    </dataValidation>
    <dataValidation type="list" allowBlank="1" showErrorMessage="1" sqref="C26:C30">
      <formula1>CHelper!A26:Z26</formula1>
    </dataValidation>
    <dataValidation type="list" allowBlank="1" showErrorMessage="1" sqref="CK26:CK30">
      <formula1>Enums!$D$409:$D$411</formula1>
    </dataValidation>
    <dataValidation type="list" allowBlank="1" showErrorMessage="1" sqref="CR26:CR29">
      <formula1>#REF!</formula1>
    </dataValidation>
    <dataValidation type="list" allowBlank="1" showErrorMessage="1" sqref="CR30">
      <formula1>CHelper2!A30:AZ30</formula1>
    </dataValidation>
    <dataValidation type="list" allowBlank="1" showErrorMessage="1" sqref="H26:H30">
      <formula1>Enums!$D$644:$D$648</formula1>
    </dataValidation>
    <dataValidation type="list" allowBlank="1" showErrorMessage="1" sqref="CA26:CA30">
      <formula1>Enums!$D$473:$D$489</formula1>
    </dataValidation>
    <dataValidation type="list" allowBlank="1" showErrorMessage="1" sqref="W26:W30">
      <formula1>"Monday,Tuesday,Wednesday,Thursday,Friday,Saturday,Sunday"</formula1>
    </dataValidation>
    <dataValidation type="list" allowBlank="1" showErrorMessage="1" sqref="CM26:CM30">
      <formula1>Enums!$D$106:$D$138</formula1>
    </dataValidation>
    <dataValidation type="list" allowBlank="1" showErrorMessage="1" sqref="G26:G30">
      <formula1>Enums!$D$655:$D$659</formula1>
    </dataValidation>
    <dataValidation type="list" allowBlank="1" showErrorMessage="1" sqref="BY26:BY30">
      <formula1>Enums!$D$497:$D$503</formula1>
    </dataValidation>
    <dataValidation type="list" allowBlank="1" showErrorMessage="1" sqref="BI26:BI30">
      <formula1>Enums!$D$777:$D$781</formula1>
    </dataValidation>
    <dataValidation type="list" allowBlank="1" showErrorMessage="1" sqref="CB26:CB30">
      <formula1>Enums!$D$459:$D$471</formula1>
    </dataValidation>
    <dataValidation type="list" allowBlank="1" showErrorMessage="1" sqref="CP26:CP30">
      <formula1>Enums!$D$539:$D$554</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75"/>
  <cols>
    <col hidden="1" min="1" max="1" width="12.63"/>
    <col customWidth="1" min="2" max="2" width="19.0"/>
    <col customWidth="1" min="4" max="4" width="25.63"/>
    <col customWidth="1" min="5" max="5" width="15.5"/>
    <col customWidth="1" min="6" max="6" width="17.25"/>
    <col customWidth="1" min="13" max="14" width="11.25"/>
    <col customWidth="1" min="16" max="17" width="10.75"/>
    <col customWidth="1" min="18" max="22" width="15.63"/>
    <col customWidth="1" min="23" max="29" width="7.0"/>
    <col customWidth="1" min="30" max="30" width="18.13"/>
    <col customWidth="1" min="31" max="31" width="15.13"/>
    <col customWidth="1" min="32" max="32" width="16.38"/>
    <col customWidth="1" min="33" max="33" width="17.0"/>
    <col customWidth="1" min="34" max="34" width="14.5"/>
    <col customWidth="1" min="35" max="35" width="19.38"/>
    <col customWidth="1" min="36" max="36" width="20.5"/>
    <col customWidth="1" min="37" max="37" width="19.13"/>
    <col customWidth="1" min="38" max="38" width="17.38"/>
    <col customWidth="1" min="39" max="39" width="8.13"/>
    <col customWidth="1" min="40" max="40" width="16.38"/>
    <col customWidth="1" min="41" max="44" width="11.25"/>
    <col customWidth="1" min="45" max="45" width="14.75"/>
    <col customWidth="1" min="46" max="48" width="13.13"/>
  </cols>
  <sheetData>
    <row r="1" ht="17.25" customHeight="1">
      <c r="A1" s="4" t="s">
        <v>0</v>
      </c>
      <c r="E1" s="4" t="s">
        <v>859</v>
      </c>
      <c r="L1" s="198" t="s">
        <v>863</v>
      </c>
      <c r="R1" s="2" t="s">
        <v>13</v>
      </c>
      <c r="W1" s="2" t="s">
        <v>15</v>
      </c>
      <c r="AD1" s="2" t="s">
        <v>27</v>
      </c>
      <c r="AG1" s="4" t="s">
        <v>17</v>
      </c>
      <c r="AN1" s="15" t="s">
        <v>26</v>
      </c>
    </row>
    <row r="2" ht="24.75" customHeight="1"/>
    <row r="3" ht="70.5" customHeight="1">
      <c r="A3" s="76" t="s">
        <v>55</v>
      </c>
      <c r="B3" s="41" t="s">
        <v>876</v>
      </c>
      <c r="C3" s="41" t="s">
        <v>877</v>
      </c>
      <c r="D3" s="76" t="s">
        <v>878</v>
      </c>
      <c r="E3" s="41" t="s">
        <v>59</v>
      </c>
      <c r="F3" s="199" t="s">
        <v>61</v>
      </c>
      <c r="G3" s="76" t="s">
        <v>880</v>
      </c>
      <c r="H3" s="41" t="s">
        <v>881</v>
      </c>
      <c r="I3" s="11" t="s">
        <v>885</v>
      </c>
      <c r="J3" s="76" t="s">
        <v>887</v>
      </c>
      <c r="K3" s="76" t="s">
        <v>888</v>
      </c>
      <c r="L3" s="200" t="s">
        <v>62</v>
      </c>
      <c r="M3" s="201" t="s">
        <v>891</v>
      </c>
      <c r="N3" s="201" t="s">
        <v>143</v>
      </c>
      <c r="O3" s="202" t="s">
        <v>66</v>
      </c>
      <c r="P3" s="202" t="s">
        <v>68</v>
      </c>
      <c r="Q3" s="202" t="s">
        <v>69</v>
      </c>
      <c r="R3" s="24" t="s">
        <v>145</v>
      </c>
      <c r="S3" s="24" t="s">
        <v>146</v>
      </c>
      <c r="T3" s="24" t="s">
        <v>148</v>
      </c>
      <c r="U3" s="24" t="s">
        <v>149</v>
      </c>
      <c r="V3" s="38" t="s">
        <v>191</v>
      </c>
      <c r="W3" s="205" t="s">
        <v>151</v>
      </c>
      <c r="X3" s="205" t="s">
        <v>153</v>
      </c>
      <c r="Y3" s="205" t="s">
        <v>154</v>
      </c>
      <c r="Z3" s="205" t="s">
        <v>156</v>
      </c>
      <c r="AA3" s="205" t="s">
        <v>157</v>
      </c>
      <c r="AB3" s="205" t="s">
        <v>158</v>
      </c>
      <c r="AC3" s="205" t="s">
        <v>159</v>
      </c>
      <c r="AD3" s="24" t="s">
        <v>70</v>
      </c>
      <c r="AE3" s="38" t="s">
        <v>71</v>
      </c>
      <c r="AF3" s="24" t="s">
        <v>205</v>
      </c>
      <c r="AG3" s="41" t="s">
        <v>208</v>
      </c>
      <c r="AH3" s="24" t="s">
        <v>163</v>
      </c>
      <c r="AI3" s="24" t="s">
        <v>165</v>
      </c>
      <c r="AJ3" s="41" t="s">
        <v>211</v>
      </c>
      <c r="AK3" s="24" t="s">
        <v>169</v>
      </c>
      <c r="AL3" s="82" t="s">
        <v>917</v>
      </c>
      <c r="AM3" s="86" t="s">
        <v>183</v>
      </c>
      <c r="AN3" s="62" t="s">
        <v>189</v>
      </c>
      <c r="AO3" s="62" t="s">
        <v>193</v>
      </c>
      <c r="AP3" s="62" t="s">
        <v>196</v>
      </c>
      <c r="AQ3" s="62" t="s">
        <v>197</v>
      </c>
      <c r="AR3" s="62" t="s">
        <v>199</v>
      </c>
      <c r="AS3" s="62" t="s">
        <v>200</v>
      </c>
      <c r="AT3" s="62" t="s">
        <v>202</v>
      </c>
      <c r="AU3" s="62" t="s">
        <v>204</v>
      </c>
      <c r="AV3" s="62" t="s">
        <v>206</v>
      </c>
    </row>
    <row r="4" ht="33.0" hidden="1" customHeight="1">
      <c r="A4" s="115" t="s">
        <v>210</v>
      </c>
      <c r="B4" s="109" t="s">
        <v>936</v>
      </c>
      <c r="C4" s="109" t="s">
        <v>938</v>
      </c>
      <c r="D4" s="109" t="s">
        <v>939</v>
      </c>
      <c r="E4" s="109" t="s">
        <v>940</v>
      </c>
      <c r="F4" s="109" t="s">
        <v>942</v>
      </c>
      <c r="G4" s="109" t="s">
        <v>946</v>
      </c>
      <c r="H4" s="110" t="s">
        <v>951</v>
      </c>
      <c r="I4" s="115" t="s">
        <v>953</v>
      </c>
      <c r="J4" s="109" t="s">
        <v>956</v>
      </c>
      <c r="K4" s="110" t="s">
        <v>957</v>
      </c>
      <c r="L4" s="109" t="s">
        <v>959</v>
      </c>
      <c r="M4" s="222" t="s">
        <v>960</v>
      </c>
      <c r="N4" s="222" t="s">
        <v>961</v>
      </c>
      <c r="O4" s="222" t="s">
        <v>962</v>
      </c>
      <c r="P4" s="222" t="s">
        <v>234</v>
      </c>
      <c r="Q4" s="222" t="s">
        <v>236</v>
      </c>
      <c r="R4" s="109" t="s">
        <v>963</v>
      </c>
      <c r="S4" s="109" t="s">
        <v>964</v>
      </c>
      <c r="T4" s="109" t="s">
        <v>966</v>
      </c>
      <c r="U4" s="109" t="s">
        <v>967</v>
      </c>
      <c r="V4" s="109" t="s">
        <v>969</v>
      </c>
      <c r="W4" s="115" t="s">
        <v>972</v>
      </c>
      <c r="X4" s="115" t="s">
        <v>974</v>
      </c>
      <c r="Y4" s="115" t="s">
        <v>975</v>
      </c>
      <c r="Z4" s="115" t="s">
        <v>977</v>
      </c>
      <c r="AA4" s="115" t="s">
        <v>979</v>
      </c>
      <c r="AB4" s="115" t="s">
        <v>982</v>
      </c>
      <c r="AC4" s="115" t="s">
        <v>983</v>
      </c>
      <c r="AD4" s="225" t="s">
        <v>985</v>
      </c>
      <c r="AE4" s="225" t="s">
        <v>986</v>
      </c>
      <c r="AF4" s="225" t="s">
        <v>987</v>
      </c>
      <c r="AG4" s="109" t="s">
        <v>988</v>
      </c>
      <c r="AH4" s="109" t="s">
        <v>989</v>
      </c>
      <c r="AI4" s="109" t="s">
        <v>990</v>
      </c>
      <c r="AJ4" s="109" t="s">
        <v>991</v>
      </c>
      <c r="AK4" s="109" t="s">
        <v>992</v>
      </c>
      <c r="AL4" s="225" t="s">
        <v>340</v>
      </c>
      <c r="AM4" s="93" t="s">
        <v>341</v>
      </c>
      <c r="AN4" s="101" t="s">
        <v>350</v>
      </c>
      <c r="AO4" s="99" t="s">
        <v>358</v>
      </c>
      <c r="AP4" s="99" t="s">
        <v>360</v>
      </c>
      <c r="AQ4" s="99" t="s">
        <v>363</v>
      </c>
      <c r="AR4" s="99" t="s">
        <v>365</v>
      </c>
      <c r="AS4" s="99" t="s">
        <v>366</v>
      </c>
      <c r="AT4" s="99" t="s">
        <v>368</v>
      </c>
      <c r="AU4" s="99" t="s">
        <v>370</v>
      </c>
      <c r="AV4" s="101" t="s">
        <v>372</v>
      </c>
    </row>
    <row r="5" ht="19.5" customHeight="1">
      <c r="A5" s="153" t="s">
        <v>999</v>
      </c>
      <c r="B5" s="108" t="s">
        <v>1000</v>
      </c>
      <c r="C5" s="108" t="s">
        <v>1002</v>
      </c>
      <c r="D5" s="108" t="s">
        <v>1004</v>
      </c>
      <c r="E5" s="108" t="s">
        <v>924</v>
      </c>
      <c r="F5" s="108" t="s">
        <v>1012</v>
      </c>
      <c r="G5" s="108" t="s">
        <v>1014</v>
      </c>
      <c r="H5" s="108" t="s">
        <v>1015</v>
      </c>
      <c r="I5" s="227">
        <v>46176.0</v>
      </c>
      <c r="J5" s="108" t="s">
        <v>1017</v>
      </c>
      <c r="K5" s="108" t="s">
        <v>1018</v>
      </c>
      <c r="L5" s="102" t="s">
        <v>1020</v>
      </c>
      <c r="M5" s="153" t="s">
        <v>1022</v>
      </c>
      <c r="N5" s="102" t="s">
        <v>1024</v>
      </c>
      <c r="O5" s="102" t="s">
        <v>1026</v>
      </c>
      <c r="P5" s="107">
        <v>50.734464911528</v>
      </c>
      <c r="Q5" s="107">
        <v>-2.90030674504333</v>
      </c>
      <c r="R5" s="108" t="s">
        <v>619</v>
      </c>
      <c r="S5" s="108" t="s">
        <v>1029</v>
      </c>
      <c r="T5" s="153"/>
      <c r="U5" s="108"/>
      <c r="V5" s="108"/>
      <c r="W5" s="158" t="b">
        <v>0</v>
      </c>
      <c r="X5" s="158" t="b">
        <v>0</v>
      </c>
      <c r="Y5" s="158" t="b">
        <v>0</v>
      </c>
      <c r="Z5" s="158" t="b">
        <v>1</v>
      </c>
      <c r="AA5" s="158" t="b">
        <v>1</v>
      </c>
      <c r="AB5" s="158" t="b">
        <v>1</v>
      </c>
      <c r="AC5" s="158" t="b">
        <v>1</v>
      </c>
      <c r="AD5" s="108" t="s">
        <v>392</v>
      </c>
      <c r="AE5" s="108" t="s">
        <v>1036</v>
      </c>
      <c r="AF5" s="108" t="s">
        <v>1037</v>
      </c>
      <c r="AG5" s="108" t="s">
        <v>1038</v>
      </c>
      <c r="AH5" s="108" t="s">
        <v>1039</v>
      </c>
      <c r="AI5" s="108"/>
      <c r="AJ5" s="108" t="s">
        <v>1041</v>
      </c>
      <c r="AK5" s="230" t="s">
        <v>1042</v>
      </c>
      <c r="AL5" s="108" t="s">
        <v>1045</v>
      </c>
      <c r="AM5" s="108" t="s">
        <v>787</v>
      </c>
      <c r="AN5" s="231" t="s">
        <v>1048</v>
      </c>
      <c r="AO5" s="153" t="s">
        <v>512</v>
      </c>
      <c r="AP5" s="173">
        <v>46311.66267116898</v>
      </c>
      <c r="AQ5" s="153">
        <v>1.0</v>
      </c>
      <c r="AR5" s="153">
        <v>1.0</v>
      </c>
      <c r="AS5" s="232"/>
      <c r="AT5" s="153" t="b">
        <v>0</v>
      </c>
      <c r="AU5" s="153" t="b">
        <v>0</v>
      </c>
      <c r="AV5" s="153"/>
    </row>
    <row r="6" ht="19.5" customHeight="1">
      <c r="A6" s="153" t="s">
        <v>999</v>
      </c>
      <c r="B6" s="108" t="s">
        <v>1056</v>
      </c>
      <c r="C6" s="108" t="s">
        <v>1058</v>
      </c>
      <c r="D6" s="108" t="s">
        <v>1060</v>
      </c>
      <c r="E6" s="108" t="s">
        <v>924</v>
      </c>
      <c r="F6" s="108" t="s">
        <v>1061</v>
      </c>
      <c r="G6" s="108" t="s">
        <v>1062</v>
      </c>
      <c r="H6" s="108" t="s">
        <v>1063</v>
      </c>
      <c r="I6" s="158">
        <v>0.6</v>
      </c>
      <c r="J6" s="108" t="s">
        <v>1064</v>
      </c>
      <c r="K6" s="108" t="s">
        <v>1065</v>
      </c>
      <c r="L6" s="102" t="s">
        <v>1066</v>
      </c>
      <c r="M6" s="153" t="s">
        <v>1067</v>
      </c>
      <c r="N6" s="102" t="s">
        <v>558</v>
      </c>
      <c r="O6" s="102" t="s">
        <v>1068</v>
      </c>
      <c r="P6" s="107">
        <v>50.6524373131545</v>
      </c>
      <c r="Q6" s="107">
        <v>-3.58038117377829</v>
      </c>
      <c r="R6" s="108" t="s">
        <v>619</v>
      </c>
      <c r="S6" s="108" t="s">
        <v>1069</v>
      </c>
      <c r="T6" s="153" t="s">
        <v>1071</v>
      </c>
      <c r="U6" s="108" t="s">
        <v>1072</v>
      </c>
      <c r="V6" s="108" t="s">
        <v>821</v>
      </c>
      <c r="W6" s="158" t="b">
        <v>0</v>
      </c>
      <c r="X6" s="158" t="b">
        <v>0</v>
      </c>
      <c r="Y6" s="158" t="b">
        <v>0</v>
      </c>
      <c r="Z6" s="158" t="b">
        <v>0</v>
      </c>
      <c r="AA6" s="158" t="b">
        <v>1</v>
      </c>
      <c r="AB6" s="158" t="b">
        <v>1</v>
      </c>
      <c r="AC6" s="158" t="b">
        <v>1</v>
      </c>
      <c r="AD6" s="108" t="s">
        <v>392</v>
      </c>
      <c r="AE6" s="108" t="s">
        <v>781</v>
      </c>
      <c r="AF6" s="108" t="s">
        <v>561</v>
      </c>
      <c r="AG6" s="108" t="s">
        <v>1080</v>
      </c>
      <c r="AH6" s="108"/>
      <c r="AI6" s="108"/>
      <c r="AJ6" s="108" t="s">
        <v>1082</v>
      </c>
      <c r="AK6" s="230"/>
      <c r="AL6" s="108" t="s">
        <v>1086</v>
      </c>
      <c r="AM6" s="108" t="s">
        <v>504</v>
      </c>
      <c r="AN6" s="231" t="s">
        <v>1087</v>
      </c>
      <c r="AO6" s="153" t="s">
        <v>512</v>
      </c>
      <c r="AP6" s="173">
        <v>46311.45041333333</v>
      </c>
      <c r="AQ6" s="153">
        <v>1.0</v>
      </c>
      <c r="AR6" s="153">
        <v>1.0</v>
      </c>
      <c r="AS6" s="232"/>
      <c r="AT6" s="153" t="b">
        <v>0</v>
      </c>
      <c r="AU6" s="153" t="b">
        <v>0</v>
      </c>
      <c r="AV6" s="153"/>
    </row>
    <row r="7" ht="19.5" customHeight="1">
      <c r="A7" s="153" t="s">
        <v>999</v>
      </c>
      <c r="B7" s="108" t="s">
        <v>1000</v>
      </c>
      <c r="C7" s="108" t="s">
        <v>1093</v>
      </c>
      <c r="D7" s="108" t="s">
        <v>1096</v>
      </c>
      <c r="E7" s="108" t="s">
        <v>973</v>
      </c>
      <c r="F7" s="108" t="s">
        <v>1097</v>
      </c>
      <c r="G7" s="108" t="s">
        <v>1098</v>
      </c>
      <c r="H7" s="108" t="s">
        <v>1100</v>
      </c>
      <c r="I7" s="158">
        <v>2.5</v>
      </c>
      <c r="J7" s="108" t="s">
        <v>1101</v>
      </c>
      <c r="K7" s="108" t="s">
        <v>1102</v>
      </c>
      <c r="L7" s="102" t="s">
        <v>747</v>
      </c>
      <c r="M7" s="153" t="s">
        <v>587</v>
      </c>
      <c r="N7" s="102"/>
      <c r="O7" s="102" t="s">
        <v>748</v>
      </c>
      <c r="P7" s="107">
        <v>50.7182007454642</v>
      </c>
      <c r="Q7" s="107">
        <v>-3.06512158650731</v>
      </c>
      <c r="R7" s="108" t="s">
        <v>470</v>
      </c>
      <c r="S7" s="108" t="s">
        <v>753</v>
      </c>
      <c r="T7" s="153" t="s">
        <v>755</v>
      </c>
      <c r="U7" s="108" t="s">
        <v>756</v>
      </c>
      <c r="V7" s="108"/>
      <c r="W7" s="158" t="b">
        <v>1</v>
      </c>
      <c r="X7" s="158" t="b">
        <v>1</v>
      </c>
      <c r="Y7" s="158" t="b">
        <v>1</v>
      </c>
      <c r="Z7" s="158" t="b">
        <v>1</v>
      </c>
      <c r="AA7" s="158" t="b">
        <v>1</v>
      </c>
      <c r="AB7" s="158" t="b">
        <v>1</v>
      </c>
      <c r="AC7" s="158" t="b">
        <v>1</v>
      </c>
      <c r="AD7" s="108" t="s">
        <v>392</v>
      </c>
      <c r="AE7" s="108" t="s">
        <v>781</v>
      </c>
      <c r="AF7" s="108" t="s">
        <v>1113</v>
      </c>
      <c r="AG7" s="108" t="s">
        <v>1117</v>
      </c>
      <c r="AH7" s="108" t="s">
        <v>1119</v>
      </c>
      <c r="AI7" s="108" t="s">
        <v>1121</v>
      </c>
      <c r="AJ7" s="108" t="s">
        <v>1122</v>
      </c>
      <c r="AK7" s="230" t="s">
        <v>1123</v>
      </c>
      <c r="AL7" s="108" t="s">
        <v>1124</v>
      </c>
      <c r="AM7" s="108" t="s">
        <v>787</v>
      </c>
      <c r="AN7" s="231" t="s">
        <v>1125</v>
      </c>
      <c r="AO7" s="153" t="s">
        <v>512</v>
      </c>
      <c r="AP7" s="173">
        <v>46311.449668263886</v>
      </c>
      <c r="AQ7" s="153">
        <v>1.0</v>
      </c>
      <c r="AR7" s="153">
        <v>1.0</v>
      </c>
      <c r="AS7" s="232"/>
      <c r="AT7" s="153" t="b">
        <v>0</v>
      </c>
      <c r="AU7" s="153" t="b">
        <v>0</v>
      </c>
      <c r="AV7" s="153"/>
    </row>
    <row r="8" ht="19.5" customHeight="1">
      <c r="A8" s="153" t="s">
        <v>999</v>
      </c>
      <c r="B8" s="108" t="s">
        <v>1056</v>
      </c>
      <c r="C8" s="108" t="s">
        <v>1131</v>
      </c>
      <c r="D8" s="108" t="s">
        <v>1132</v>
      </c>
      <c r="E8" s="108" t="s">
        <v>924</v>
      </c>
      <c r="F8" s="108" t="s">
        <v>1134</v>
      </c>
      <c r="G8" s="108" t="s">
        <v>1062</v>
      </c>
      <c r="H8" s="108" t="s">
        <v>1063</v>
      </c>
      <c r="I8" s="158">
        <v>6.0</v>
      </c>
      <c r="J8" s="108" t="s">
        <v>1137</v>
      </c>
      <c r="K8" s="108" t="s">
        <v>1065</v>
      </c>
      <c r="L8" s="102" t="s">
        <v>1066</v>
      </c>
      <c r="M8" s="153" t="s">
        <v>1067</v>
      </c>
      <c r="N8" s="102" t="s">
        <v>558</v>
      </c>
      <c r="O8" s="102" t="s">
        <v>1068</v>
      </c>
      <c r="P8" s="107">
        <v>50.6524373131545</v>
      </c>
      <c r="Q8" s="107">
        <v>-3.58038117377829</v>
      </c>
      <c r="R8" s="108" t="s">
        <v>619</v>
      </c>
      <c r="S8" s="108" t="s">
        <v>1069</v>
      </c>
      <c r="T8" s="153" t="s">
        <v>1071</v>
      </c>
      <c r="U8" s="108" t="s">
        <v>1072</v>
      </c>
      <c r="V8" s="108" t="s">
        <v>821</v>
      </c>
      <c r="W8" s="158" t="b">
        <v>0</v>
      </c>
      <c r="X8" s="158" t="b">
        <v>0</v>
      </c>
      <c r="Y8" s="158" t="b">
        <v>0</v>
      </c>
      <c r="Z8" s="158" t="b">
        <v>0</v>
      </c>
      <c r="AA8" s="158" t="b">
        <v>1</v>
      </c>
      <c r="AB8" s="158" t="b">
        <v>1</v>
      </c>
      <c r="AC8" s="158" t="b">
        <v>1</v>
      </c>
      <c r="AD8" s="108" t="s">
        <v>392</v>
      </c>
      <c r="AE8" s="108" t="s">
        <v>1036</v>
      </c>
      <c r="AF8" s="108" t="s">
        <v>629</v>
      </c>
      <c r="AG8" s="108" t="s">
        <v>1158</v>
      </c>
      <c r="AH8" s="108"/>
      <c r="AI8" s="108"/>
      <c r="AJ8" s="108" t="s">
        <v>1162</v>
      </c>
      <c r="AK8" s="230"/>
      <c r="AL8" s="108" t="s">
        <v>1164</v>
      </c>
      <c r="AM8" s="108" t="s">
        <v>504</v>
      </c>
      <c r="AN8" s="231" t="s">
        <v>1165</v>
      </c>
      <c r="AO8" s="153" t="s">
        <v>512</v>
      </c>
      <c r="AP8" s="236">
        <v>46297.647068101855</v>
      </c>
      <c r="AQ8" s="153">
        <v>1.0</v>
      </c>
      <c r="AR8" s="153">
        <v>1.0</v>
      </c>
      <c r="AS8" s="232"/>
      <c r="AT8" s="153" t="b">
        <v>0</v>
      </c>
      <c r="AU8" s="153" t="b">
        <v>0</v>
      </c>
      <c r="AV8" s="153"/>
    </row>
    <row r="9" ht="19.5" customHeight="1">
      <c r="A9" s="153" t="s">
        <v>999</v>
      </c>
      <c r="B9" s="108" t="s">
        <v>1056</v>
      </c>
      <c r="C9" s="108" t="s">
        <v>1131</v>
      </c>
      <c r="D9" s="108" t="s">
        <v>1170</v>
      </c>
      <c r="E9" s="108" t="s">
        <v>924</v>
      </c>
      <c r="F9" s="108" t="s">
        <v>1175</v>
      </c>
      <c r="G9" s="108" t="s">
        <v>1062</v>
      </c>
      <c r="H9" s="108" t="s">
        <v>1063</v>
      </c>
      <c r="I9" s="158">
        <v>4.0</v>
      </c>
      <c r="J9" s="108" t="s">
        <v>1177</v>
      </c>
      <c r="K9" s="108" t="s">
        <v>1018</v>
      </c>
      <c r="L9" s="102" t="s">
        <v>1066</v>
      </c>
      <c r="M9" s="153" t="s">
        <v>1067</v>
      </c>
      <c r="N9" s="102" t="s">
        <v>558</v>
      </c>
      <c r="O9" s="102" t="s">
        <v>1068</v>
      </c>
      <c r="P9" s="107">
        <v>50.6524373131545</v>
      </c>
      <c r="Q9" s="107">
        <v>-3.58038117377829</v>
      </c>
      <c r="R9" s="108" t="s">
        <v>619</v>
      </c>
      <c r="S9" s="108" t="s">
        <v>1069</v>
      </c>
      <c r="T9" s="153" t="s">
        <v>1071</v>
      </c>
      <c r="U9" s="108" t="s">
        <v>1072</v>
      </c>
      <c r="V9" s="108" t="s">
        <v>821</v>
      </c>
      <c r="W9" s="158" t="b">
        <v>0</v>
      </c>
      <c r="X9" s="158" t="b">
        <v>0</v>
      </c>
      <c r="Y9" s="158" t="b">
        <v>0</v>
      </c>
      <c r="Z9" s="158" t="b">
        <v>0</v>
      </c>
      <c r="AA9" s="158" t="b">
        <v>1</v>
      </c>
      <c r="AB9" s="158" t="b">
        <v>1</v>
      </c>
      <c r="AC9" s="158" t="b">
        <v>1</v>
      </c>
      <c r="AD9" s="108" t="s">
        <v>392</v>
      </c>
      <c r="AE9" s="108" t="s">
        <v>1036</v>
      </c>
      <c r="AF9" s="108" t="s">
        <v>737</v>
      </c>
      <c r="AG9" s="108" t="s">
        <v>1186</v>
      </c>
      <c r="AH9" s="108"/>
      <c r="AI9" s="108"/>
      <c r="AJ9" s="108" t="s">
        <v>1187</v>
      </c>
      <c r="AK9" s="230"/>
      <c r="AL9" s="108" t="s">
        <v>1188</v>
      </c>
      <c r="AM9" s="108" t="s">
        <v>504</v>
      </c>
      <c r="AN9" s="231" t="s">
        <v>1189</v>
      </c>
      <c r="AO9" s="153" t="s">
        <v>512</v>
      </c>
      <c r="AP9" s="236">
        <v>46297.64685431713</v>
      </c>
      <c r="AQ9" s="153">
        <v>1.0</v>
      </c>
      <c r="AR9" s="153">
        <v>1.0</v>
      </c>
      <c r="AS9" s="232"/>
      <c r="AT9" s="153" t="b">
        <v>0</v>
      </c>
      <c r="AU9" s="153" t="b">
        <v>0</v>
      </c>
      <c r="AV9" s="153"/>
    </row>
    <row r="10" ht="19.5" customHeight="1">
      <c r="A10" s="153" t="s">
        <v>999</v>
      </c>
      <c r="B10" s="108" t="s">
        <v>1056</v>
      </c>
      <c r="C10" s="108" t="s">
        <v>1190</v>
      </c>
      <c r="D10" s="108" t="s">
        <v>1191</v>
      </c>
      <c r="E10" s="108" t="s">
        <v>924</v>
      </c>
      <c r="F10" s="108" t="s">
        <v>1193</v>
      </c>
      <c r="G10" s="108" t="s">
        <v>1062</v>
      </c>
      <c r="H10" s="108" t="s">
        <v>1063</v>
      </c>
      <c r="I10" s="158">
        <v>2.3</v>
      </c>
      <c r="J10" s="108" t="s">
        <v>1194</v>
      </c>
      <c r="K10" s="108" t="s">
        <v>1102</v>
      </c>
      <c r="L10" s="102" t="s">
        <v>1066</v>
      </c>
      <c r="M10" s="153" t="s">
        <v>1067</v>
      </c>
      <c r="N10" s="102" t="s">
        <v>558</v>
      </c>
      <c r="O10" s="102" t="s">
        <v>1068</v>
      </c>
      <c r="P10" s="107">
        <v>50.6524373131545</v>
      </c>
      <c r="Q10" s="107">
        <v>-3.58038117377829</v>
      </c>
      <c r="R10" s="108" t="s">
        <v>619</v>
      </c>
      <c r="S10" s="108" t="s">
        <v>1069</v>
      </c>
      <c r="T10" s="153" t="s">
        <v>1071</v>
      </c>
      <c r="U10" s="108" t="s">
        <v>1072</v>
      </c>
      <c r="V10" s="108" t="s">
        <v>821</v>
      </c>
      <c r="W10" s="158" t="b">
        <v>0</v>
      </c>
      <c r="X10" s="158" t="b">
        <v>0</v>
      </c>
      <c r="Y10" s="158" t="b">
        <v>0</v>
      </c>
      <c r="Z10" s="158" t="b">
        <v>1</v>
      </c>
      <c r="AA10" s="158" t="b">
        <v>1</v>
      </c>
      <c r="AB10" s="158" t="b">
        <v>1</v>
      </c>
      <c r="AC10" s="158" t="b">
        <v>1</v>
      </c>
      <c r="AD10" s="108" t="s">
        <v>392</v>
      </c>
      <c r="AE10" s="108" t="s">
        <v>1036</v>
      </c>
      <c r="AF10" s="108" t="s">
        <v>737</v>
      </c>
      <c r="AG10" s="108" t="s">
        <v>1206</v>
      </c>
      <c r="AH10" s="108"/>
      <c r="AI10" s="108"/>
      <c r="AJ10" s="108" t="s">
        <v>1210</v>
      </c>
      <c r="AK10" s="230"/>
      <c r="AL10" s="108" t="s">
        <v>1211</v>
      </c>
      <c r="AM10" s="108" t="s">
        <v>504</v>
      </c>
      <c r="AN10" s="231" t="s">
        <v>1212</v>
      </c>
      <c r="AO10" s="153" t="s">
        <v>512</v>
      </c>
      <c r="AP10" s="236">
        <v>46297.646603726855</v>
      </c>
      <c r="AQ10" s="153">
        <v>1.0</v>
      </c>
      <c r="AR10" s="153">
        <v>1.0</v>
      </c>
      <c r="AS10" s="232"/>
      <c r="AT10" s="153" t="b">
        <v>0</v>
      </c>
      <c r="AU10" s="153" t="b">
        <v>0</v>
      </c>
      <c r="AV10" s="153"/>
    </row>
    <row r="11" ht="19.5" customHeight="1">
      <c r="A11" s="153" t="s">
        <v>999</v>
      </c>
      <c r="B11" s="108" t="s">
        <v>1000</v>
      </c>
      <c r="C11" s="108" t="s">
        <v>1213</v>
      </c>
      <c r="D11" s="108" t="s">
        <v>1214</v>
      </c>
      <c r="E11" s="108" t="s">
        <v>924</v>
      </c>
      <c r="F11" s="108" t="s">
        <v>1215</v>
      </c>
      <c r="G11" s="108" t="s">
        <v>1062</v>
      </c>
      <c r="H11" s="108" t="s">
        <v>1217</v>
      </c>
      <c r="I11" s="158">
        <v>3.0</v>
      </c>
      <c r="J11" s="108" t="s">
        <v>1194</v>
      </c>
      <c r="K11" s="108" t="s">
        <v>1018</v>
      </c>
      <c r="L11" s="102" t="s">
        <v>1066</v>
      </c>
      <c r="M11" s="153" t="s">
        <v>1067</v>
      </c>
      <c r="N11" s="102" t="s">
        <v>558</v>
      </c>
      <c r="O11" s="102" t="s">
        <v>1068</v>
      </c>
      <c r="P11" s="107">
        <v>50.6524373131545</v>
      </c>
      <c r="Q11" s="107">
        <v>-3.58038117377829</v>
      </c>
      <c r="R11" s="108" t="s">
        <v>619</v>
      </c>
      <c r="S11" s="108" t="s">
        <v>1069</v>
      </c>
      <c r="T11" s="153" t="s">
        <v>1071</v>
      </c>
      <c r="U11" s="108" t="s">
        <v>1072</v>
      </c>
      <c r="V11" s="108" t="s">
        <v>821</v>
      </c>
      <c r="W11" s="158" t="b">
        <v>1</v>
      </c>
      <c r="X11" s="158" t="b">
        <v>1</v>
      </c>
      <c r="Y11" s="158" t="b">
        <v>1</v>
      </c>
      <c r="Z11" s="158" t="b">
        <v>1</v>
      </c>
      <c r="AA11" s="158" t="b">
        <v>1</v>
      </c>
      <c r="AB11" s="158" t="b">
        <v>1</v>
      </c>
      <c r="AC11" s="158" t="b">
        <v>1</v>
      </c>
      <c r="AD11" s="108" t="s">
        <v>392</v>
      </c>
      <c r="AE11" s="108" t="s">
        <v>781</v>
      </c>
      <c r="AF11" s="108" t="s">
        <v>1113</v>
      </c>
      <c r="AG11" s="108" t="s">
        <v>1226</v>
      </c>
      <c r="AH11" s="108"/>
      <c r="AI11" s="108"/>
      <c r="AJ11" s="108" t="s">
        <v>1228</v>
      </c>
      <c r="AK11" s="230"/>
      <c r="AL11" s="108" t="s">
        <v>1229</v>
      </c>
      <c r="AM11" s="108" t="s">
        <v>504</v>
      </c>
      <c r="AN11" s="231" t="s">
        <v>1230</v>
      </c>
      <c r="AO11" s="153" t="s">
        <v>512</v>
      </c>
      <c r="AP11" s="236">
        <v>46297.64543967592</v>
      </c>
      <c r="AQ11" s="153">
        <v>1.0</v>
      </c>
      <c r="AR11" s="153">
        <v>1.0</v>
      </c>
      <c r="AS11" s="232"/>
      <c r="AT11" s="153" t="b">
        <v>0</v>
      </c>
      <c r="AU11" s="153" t="b">
        <v>0</v>
      </c>
      <c r="AV11" s="153"/>
    </row>
    <row r="12" ht="19.5" customHeight="1">
      <c r="A12" s="153" t="s">
        <v>999</v>
      </c>
      <c r="B12" s="108" t="s">
        <v>1056</v>
      </c>
      <c r="C12" s="108" t="s">
        <v>1234</v>
      </c>
      <c r="D12" s="108" t="s">
        <v>1235</v>
      </c>
      <c r="E12" s="108" t="s">
        <v>924</v>
      </c>
      <c r="F12" s="108" t="s">
        <v>1239</v>
      </c>
      <c r="G12" s="108" t="s">
        <v>1062</v>
      </c>
      <c r="H12" s="108" t="s">
        <v>1063</v>
      </c>
      <c r="I12" s="158">
        <v>0.1</v>
      </c>
      <c r="J12" s="108" t="s">
        <v>1243</v>
      </c>
      <c r="K12" s="108" t="s">
        <v>1102</v>
      </c>
      <c r="L12" s="102" t="s">
        <v>1066</v>
      </c>
      <c r="M12" s="153" t="s">
        <v>1067</v>
      </c>
      <c r="N12" s="102" t="s">
        <v>558</v>
      </c>
      <c r="O12" s="102" t="s">
        <v>1068</v>
      </c>
      <c r="P12" s="107">
        <v>50.6524373131545</v>
      </c>
      <c r="Q12" s="107">
        <v>-3.58038117377829</v>
      </c>
      <c r="R12" s="108" t="s">
        <v>619</v>
      </c>
      <c r="S12" s="108" t="s">
        <v>1069</v>
      </c>
      <c r="T12" s="153" t="s">
        <v>1071</v>
      </c>
      <c r="U12" s="108" t="s">
        <v>1072</v>
      </c>
      <c r="V12" s="108" t="s">
        <v>821</v>
      </c>
      <c r="W12" s="158" t="b">
        <v>0</v>
      </c>
      <c r="X12" s="158" t="b">
        <v>0</v>
      </c>
      <c r="Y12" s="158" t="b">
        <v>0</v>
      </c>
      <c r="Z12" s="158" t="b">
        <v>0</v>
      </c>
      <c r="AA12" s="158" t="b">
        <v>1</v>
      </c>
      <c r="AB12" s="158" t="b">
        <v>1</v>
      </c>
      <c r="AC12" s="158" t="b">
        <v>1</v>
      </c>
      <c r="AD12" s="108" t="s">
        <v>392</v>
      </c>
      <c r="AE12" s="108" t="s">
        <v>781</v>
      </c>
      <c r="AF12" s="108" t="s">
        <v>1248</v>
      </c>
      <c r="AG12" s="108" t="s">
        <v>1249</v>
      </c>
      <c r="AH12" s="108"/>
      <c r="AI12" s="108"/>
      <c r="AJ12" s="108" t="s">
        <v>1250</v>
      </c>
      <c r="AK12" s="230"/>
      <c r="AL12" s="108" t="s">
        <v>1251</v>
      </c>
      <c r="AM12" s="108" t="s">
        <v>504</v>
      </c>
      <c r="AN12" s="231" t="s">
        <v>1252</v>
      </c>
      <c r="AO12" s="153" t="s">
        <v>512</v>
      </c>
      <c r="AP12" s="236">
        <v>46297.64092910879</v>
      </c>
      <c r="AQ12" s="153">
        <v>1.0</v>
      </c>
      <c r="AR12" s="153">
        <v>1.0</v>
      </c>
      <c r="AS12" s="232"/>
      <c r="AT12" s="153" t="b">
        <v>0</v>
      </c>
      <c r="AU12" s="153" t="b">
        <v>0</v>
      </c>
      <c r="AV12" s="153"/>
    </row>
    <row r="13" ht="19.5" customHeight="1">
      <c r="A13" s="153" t="s">
        <v>999</v>
      </c>
      <c r="B13" s="108" t="s">
        <v>1056</v>
      </c>
      <c r="C13" s="108" t="s">
        <v>1058</v>
      </c>
      <c r="D13" s="108" t="s">
        <v>1254</v>
      </c>
      <c r="E13" s="108" t="s">
        <v>1255</v>
      </c>
      <c r="F13" s="108" t="s">
        <v>1256</v>
      </c>
      <c r="G13" s="108" t="s">
        <v>1062</v>
      </c>
      <c r="H13" s="108" t="s">
        <v>1257</v>
      </c>
      <c r="I13" s="158">
        <v>0.1</v>
      </c>
      <c r="J13" s="108" t="s">
        <v>1258</v>
      </c>
      <c r="K13" s="108" t="s">
        <v>1102</v>
      </c>
      <c r="L13" s="102" t="s">
        <v>1066</v>
      </c>
      <c r="M13" s="153" t="s">
        <v>1067</v>
      </c>
      <c r="N13" s="102" t="s">
        <v>558</v>
      </c>
      <c r="O13" s="102" t="s">
        <v>1068</v>
      </c>
      <c r="P13" s="107">
        <v>50.6524373131545</v>
      </c>
      <c r="Q13" s="107">
        <v>-3.58038117377829</v>
      </c>
      <c r="R13" s="108" t="s">
        <v>619</v>
      </c>
      <c r="S13" s="108" t="s">
        <v>1069</v>
      </c>
      <c r="T13" s="153" t="s">
        <v>1071</v>
      </c>
      <c r="U13" s="108" t="s">
        <v>1072</v>
      </c>
      <c r="V13" s="108" t="s">
        <v>821</v>
      </c>
      <c r="W13" s="158" t="b">
        <v>1</v>
      </c>
      <c r="X13" s="158" t="b">
        <v>1</v>
      </c>
      <c r="Y13" s="158" t="b">
        <v>1</v>
      </c>
      <c r="Z13" s="158" t="b">
        <v>0</v>
      </c>
      <c r="AA13" s="158" t="b">
        <v>0</v>
      </c>
      <c r="AB13" s="158" t="b">
        <v>0</v>
      </c>
      <c r="AC13" s="158" t="b">
        <v>0</v>
      </c>
      <c r="AD13" s="108" t="s">
        <v>392</v>
      </c>
      <c r="AE13" s="108" t="s">
        <v>781</v>
      </c>
      <c r="AF13" s="108" t="s">
        <v>1248</v>
      </c>
      <c r="AG13" s="108" t="s">
        <v>1263</v>
      </c>
      <c r="AH13" s="108"/>
      <c r="AI13" s="108"/>
      <c r="AJ13" s="108" t="s">
        <v>1264</v>
      </c>
      <c r="AK13" s="230"/>
      <c r="AL13" s="108" t="s">
        <v>1265</v>
      </c>
      <c r="AM13" s="108" t="s">
        <v>504</v>
      </c>
      <c r="AN13" s="231" t="s">
        <v>1266</v>
      </c>
      <c r="AO13" s="153" t="s">
        <v>512</v>
      </c>
      <c r="AP13" s="236">
        <v>46297.64065446759</v>
      </c>
      <c r="AQ13" s="153">
        <v>1.0</v>
      </c>
      <c r="AR13" s="153">
        <v>1.0</v>
      </c>
      <c r="AS13" s="232"/>
      <c r="AT13" s="153" t="b">
        <v>0</v>
      </c>
      <c r="AU13" s="153" t="b">
        <v>0</v>
      </c>
      <c r="AV13" s="153"/>
    </row>
    <row r="14" ht="19.5" customHeight="1">
      <c r="A14" s="153" t="s">
        <v>999</v>
      </c>
      <c r="B14" s="108" t="s">
        <v>1000</v>
      </c>
      <c r="C14" s="108" t="s">
        <v>1269</v>
      </c>
      <c r="D14" s="108" t="s">
        <v>1271</v>
      </c>
      <c r="E14" s="108" t="s">
        <v>924</v>
      </c>
      <c r="F14" s="108" t="s">
        <v>1275</v>
      </c>
      <c r="G14" s="108" t="s">
        <v>1062</v>
      </c>
      <c r="H14" s="108" t="s">
        <v>1015</v>
      </c>
      <c r="I14" s="158">
        <v>3.4</v>
      </c>
      <c r="J14" s="108" t="s">
        <v>1277</v>
      </c>
      <c r="K14" s="108" t="s">
        <v>1065</v>
      </c>
      <c r="L14" s="102" t="s">
        <v>1278</v>
      </c>
      <c r="M14" s="153" t="s">
        <v>1279</v>
      </c>
      <c r="N14" s="102" t="s">
        <v>652</v>
      </c>
      <c r="O14" s="102" t="s">
        <v>1280</v>
      </c>
      <c r="P14" s="107">
        <v>50.4540897048859</v>
      </c>
      <c r="Q14" s="107">
        <v>-4.06723334232849</v>
      </c>
      <c r="R14" s="108" t="s">
        <v>619</v>
      </c>
      <c r="S14" s="108" t="s">
        <v>1282</v>
      </c>
      <c r="T14" s="153"/>
      <c r="U14" s="108"/>
      <c r="V14" s="171"/>
      <c r="W14" s="158" t="b">
        <v>0</v>
      </c>
      <c r="X14" s="158" t="b">
        <v>0</v>
      </c>
      <c r="Y14" s="158" t="b">
        <v>0</v>
      </c>
      <c r="Z14" s="158" t="b">
        <v>1</v>
      </c>
      <c r="AA14" s="158" t="b">
        <v>1</v>
      </c>
      <c r="AB14" s="158" t="b">
        <v>1</v>
      </c>
      <c r="AC14" s="158" t="b">
        <v>1</v>
      </c>
      <c r="AD14" s="108" t="s">
        <v>392</v>
      </c>
      <c r="AE14" s="108" t="s">
        <v>781</v>
      </c>
      <c r="AF14" s="108" t="s">
        <v>1037</v>
      </c>
      <c r="AG14" s="108" t="s">
        <v>1289</v>
      </c>
      <c r="AH14" s="108"/>
      <c r="AI14" s="108"/>
      <c r="AJ14" s="108" t="s">
        <v>1290</v>
      </c>
      <c r="AK14" s="230" t="s">
        <v>1291</v>
      </c>
      <c r="AL14" s="108" t="s">
        <v>1292</v>
      </c>
      <c r="AM14" s="108" t="s">
        <v>1293</v>
      </c>
      <c r="AN14" s="231" t="s">
        <v>1294</v>
      </c>
      <c r="AO14" s="153" t="s">
        <v>512</v>
      </c>
      <c r="AP14" s="236">
        <v>46295.679700625</v>
      </c>
      <c r="AQ14" s="153">
        <v>1.0</v>
      </c>
      <c r="AR14" s="153">
        <v>1.0</v>
      </c>
      <c r="AS14" s="232"/>
      <c r="AT14" s="153" t="b">
        <v>0</v>
      </c>
      <c r="AU14" s="153" t="b">
        <v>0</v>
      </c>
      <c r="AV14" s="153"/>
    </row>
    <row r="15" ht="19.5" customHeight="1">
      <c r="A15" s="153" t="s">
        <v>999</v>
      </c>
      <c r="B15" s="108" t="s">
        <v>1000</v>
      </c>
      <c r="C15" s="108" t="s">
        <v>1269</v>
      </c>
      <c r="D15" s="108" t="s">
        <v>1300</v>
      </c>
      <c r="E15" s="108" t="s">
        <v>924</v>
      </c>
      <c r="F15" s="108" t="s">
        <v>1307</v>
      </c>
      <c r="G15" s="108" t="s">
        <v>1062</v>
      </c>
      <c r="H15" s="108" t="s">
        <v>1015</v>
      </c>
      <c r="I15" s="158">
        <v>1.1</v>
      </c>
      <c r="J15" s="108" t="s">
        <v>1308</v>
      </c>
      <c r="K15" s="108" t="s">
        <v>1018</v>
      </c>
      <c r="L15" s="102" t="s">
        <v>1310</v>
      </c>
      <c r="M15" s="153"/>
      <c r="N15" s="102" t="s">
        <v>652</v>
      </c>
      <c r="O15" s="102" t="s">
        <v>1311</v>
      </c>
      <c r="P15" s="107">
        <v>50.4540897048859</v>
      </c>
      <c r="Q15" s="107">
        <v>-4.06723334232849</v>
      </c>
      <c r="R15" s="108" t="s">
        <v>619</v>
      </c>
      <c r="S15" s="108" t="s">
        <v>1282</v>
      </c>
      <c r="T15" s="153"/>
      <c r="U15" s="108"/>
      <c r="V15" s="171"/>
      <c r="W15" s="158" t="b">
        <v>1</v>
      </c>
      <c r="X15" s="158" t="b">
        <v>1</v>
      </c>
      <c r="Y15" s="158" t="b">
        <v>1</v>
      </c>
      <c r="Z15" s="158" t="b">
        <v>1</v>
      </c>
      <c r="AA15" s="158" t="b">
        <v>1</v>
      </c>
      <c r="AB15" s="158" t="b">
        <v>1</v>
      </c>
      <c r="AC15" s="158" t="b">
        <v>1</v>
      </c>
      <c r="AD15" s="108" t="s">
        <v>392</v>
      </c>
      <c r="AE15" s="108" t="s">
        <v>781</v>
      </c>
      <c r="AF15" s="108" t="s">
        <v>822</v>
      </c>
      <c r="AG15" s="108" t="s">
        <v>1316</v>
      </c>
      <c r="AH15" s="108"/>
      <c r="AI15" s="108"/>
      <c r="AJ15" s="108" t="s">
        <v>1319</v>
      </c>
      <c r="AK15" s="230" t="s">
        <v>1291</v>
      </c>
      <c r="AL15" s="108" t="s">
        <v>1322</v>
      </c>
      <c r="AM15" s="108" t="s">
        <v>1293</v>
      </c>
      <c r="AN15" s="231" t="s">
        <v>1324</v>
      </c>
      <c r="AO15" s="153" t="s">
        <v>512</v>
      </c>
      <c r="AP15" s="236">
        <v>46295.67346273148</v>
      </c>
      <c r="AQ15" s="153">
        <v>1.0</v>
      </c>
      <c r="AR15" s="153">
        <v>1.0</v>
      </c>
      <c r="AS15" s="232"/>
      <c r="AT15" s="153" t="b">
        <v>0</v>
      </c>
      <c r="AU15" s="153" t="b">
        <v>0</v>
      </c>
      <c r="AV15" s="153"/>
    </row>
    <row r="16" ht="19.5" customHeight="1">
      <c r="A16" s="153" t="s">
        <v>999</v>
      </c>
      <c r="B16" s="108" t="s">
        <v>1000</v>
      </c>
      <c r="C16" s="108" t="s">
        <v>1332</v>
      </c>
      <c r="D16" s="108" t="s">
        <v>1333</v>
      </c>
      <c r="E16" s="108" t="s">
        <v>924</v>
      </c>
      <c r="F16" s="108" t="s">
        <v>1334</v>
      </c>
      <c r="G16" s="108" t="s">
        <v>1335</v>
      </c>
      <c r="H16" s="108" t="s">
        <v>1336</v>
      </c>
      <c r="I16" s="227">
        <v>46146.0</v>
      </c>
      <c r="J16" s="108" t="s">
        <v>1338</v>
      </c>
      <c r="K16" s="108" t="s">
        <v>1018</v>
      </c>
      <c r="L16" s="102" t="s">
        <v>1339</v>
      </c>
      <c r="M16" s="153" t="s">
        <v>1340</v>
      </c>
      <c r="N16" s="102" t="s">
        <v>1342</v>
      </c>
      <c r="O16" s="102" t="s">
        <v>1343</v>
      </c>
      <c r="P16" s="107">
        <v>50.4512199444103</v>
      </c>
      <c r="Q16" s="107">
        <v>-3.86005312883575</v>
      </c>
      <c r="R16" s="108" t="s">
        <v>619</v>
      </c>
      <c r="S16" s="108" t="s">
        <v>1344</v>
      </c>
      <c r="T16" s="153"/>
      <c r="U16" s="108" t="s">
        <v>756</v>
      </c>
      <c r="V16" s="171"/>
      <c r="W16" s="158" t="b">
        <v>1</v>
      </c>
      <c r="X16" s="158" t="b">
        <v>1</v>
      </c>
      <c r="Y16" s="158" t="b">
        <v>1</v>
      </c>
      <c r="Z16" s="158" t="b">
        <v>1</v>
      </c>
      <c r="AA16" s="158" t="b">
        <v>1</v>
      </c>
      <c r="AB16" s="158" t="b">
        <v>1</v>
      </c>
      <c r="AC16" s="158" t="b">
        <v>1</v>
      </c>
      <c r="AD16" s="108" t="s">
        <v>392</v>
      </c>
      <c r="AE16" s="108" t="s">
        <v>781</v>
      </c>
      <c r="AF16" s="108" t="s">
        <v>1037</v>
      </c>
      <c r="AG16" s="108" t="s">
        <v>1349</v>
      </c>
      <c r="AH16" s="108"/>
      <c r="AI16" s="108"/>
      <c r="AJ16" s="108" t="s">
        <v>1350</v>
      </c>
      <c r="AK16" s="230" t="s">
        <v>1351</v>
      </c>
      <c r="AL16" s="108" t="s">
        <v>1352</v>
      </c>
      <c r="AM16" s="108" t="s">
        <v>1293</v>
      </c>
      <c r="AN16" s="231" t="s">
        <v>1355</v>
      </c>
      <c r="AO16" s="153" t="s">
        <v>512</v>
      </c>
      <c r="AP16" s="236">
        <v>46295.660767430556</v>
      </c>
      <c r="AQ16" s="153">
        <v>1.0</v>
      </c>
      <c r="AR16" s="153">
        <v>1.0</v>
      </c>
      <c r="AS16" s="232"/>
      <c r="AT16" s="153" t="b">
        <v>0</v>
      </c>
      <c r="AU16" s="153" t="b">
        <v>0</v>
      </c>
      <c r="AV16" s="153"/>
    </row>
    <row r="17" ht="19.5" customHeight="1">
      <c r="A17" s="153" t="s">
        <v>999</v>
      </c>
      <c r="B17" s="108" t="s">
        <v>551</v>
      </c>
      <c r="C17" s="108" t="s">
        <v>1364</v>
      </c>
      <c r="D17" s="108" t="s">
        <v>1366</v>
      </c>
      <c r="E17" s="108" t="s">
        <v>924</v>
      </c>
      <c r="F17" s="108" t="s">
        <v>1367</v>
      </c>
      <c r="G17" s="108" t="s">
        <v>1062</v>
      </c>
      <c r="H17" s="108" t="s">
        <v>1368</v>
      </c>
      <c r="I17" s="158" t="s">
        <v>1370</v>
      </c>
      <c r="J17" s="108" t="s">
        <v>1372</v>
      </c>
      <c r="K17" s="108" t="s">
        <v>1102</v>
      </c>
      <c r="L17" s="102" t="s">
        <v>1376</v>
      </c>
      <c r="M17" s="153" t="s">
        <v>1377</v>
      </c>
      <c r="N17" s="102" t="s">
        <v>1378</v>
      </c>
      <c r="O17" s="102" t="s">
        <v>1380</v>
      </c>
      <c r="P17" s="107">
        <v>50.7079439291592</v>
      </c>
      <c r="Q17" s="107">
        <v>-4.03921363120488</v>
      </c>
      <c r="R17" s="108" t="s">
        <v>470</v>
      </c>
      <c r="S17" s="108"/>
      <c r="T17" s="153"/>
      <c r="U17" s="108" t="s">
        <v>756</v>
      </c>
      <c r="V17" s="171"/>
      <c r="W17" s="158" t="b">
        <v>1</v>
      </c>
      <c r="X17" s="158" t="b">
        <v>1</v>
      </c>
      <c r="Y17" s="158" t="b">
        <v>1</v>
      </c>
      <c r="Z17" s="158" t="b">
        <v>1</v>
      </c>
      <c r="AA17" s="158" t="b">
        <v>1</v>
      </c>
      <c r="AB17" s="158" t="b">
        <v>1</v>
      </c>
      <c r="AC17" s="158" t="b">
        <v>1</v>
      </c>
      <c r="AD17" s="108" t="s">
        <v>392</v>
      </c>
      <c r="AE17" s="108" t="s">
        <v>781</v>
      </c>
      <c r="AF17" s="108" t="s">
        <v>629</v>
      </c>
      <c r="AG17" s="108" t="s">
        <v>1390</v>
      </c>
      <c r="AH17" s="108"/>
      <c r="AI17" s="108"/>
      <c r="AJ17" s="108" t="s">
        <v>1393</v>
      </c>
      <c r="AK17" s="242" t="s">
        <v>1395</v>
      </c>
      <c r="AL17" s="108" t="s">
        <v>1397</v>
      </c>
      <c r="AM17" s="108" t="s">
        <v>637</v>
      </c>
      <c r="AN17" s="231" t="s">
        <v>1398</v>
      </c>
      <c r="AO17" s="153" t="s">
        <v>512</v>
      </c>
      <c r="AP17" s="236">
        <v>46294.48201575231</v>
      </c>
      <c r="AQ17" s="153">
        <v>1.0</v>
      </c>
      <c r="AR17" s="153">
        <v>1.0</v>
      </c>
      <c r="AS17" s="232"/>
      <c r="AT17" s="153" t="b">
        <v>0</v>
      </c>
      <c r="AU17" s="153" t="b">
        <v>0</v>
      </c>
      <c r="AV17" s="153"/>
    </row>
    <row r="18" ht="19.5" customHeight="1">
      <c r="A18" s="153" t="s">
        <v>999</v>
      </c>
      <c r="B18" s="108" t="s">
        <v>551</v>
      </c>
      <c r="C18" s="108" t="s">
        <v>1364</v>
      </c>
      <c r="D18" s="108" t="s">
        <v>1402</v>
      </c>
      <c r="E18" s="108" t="s">
        <v>1403</v>
      </c>
      <c r="F18" s="108" t="s">
        <v>1404</v>
      </c>
      <c r="G18" s="108" t="s">
        <v>1098</v>
      </c>
      <c r="H18" s="108" t="s">
        <v>1405</v>
      </c>
      <c r="I18" s="158">
        <v>3.0</v>
      </c>
      <c r="J18" s="108" t="s">
        <v>1406</v>
      </c>
      <c r="K18" s="108" t="s">
        <v>1102</v>
      </c>
      <c r="L18" s="102" t="s">
        <v>1407</v>
      </c>
      <c r="M18" s="153"/>
      <c r="N18" s="102" t="s">
        <v>727</v>
      </c>
      <c r="O18" s="102" t="s">
        <v>1408</v>
      </c>
      <c r="P18" s="107">
        <v>50.6286192610396</v>
      </c>
      <c r="Q18" s="107">
        <v>-3.69080382578581</v>
      </c>
      <c r="R18" s="108" t="s">
        <v>619</v>
      </c>
      <c r="S18" s="108"/>
      <c r="T18" s="153"/>
      <c r="U18" s="108" t="s">
        <v>756</v>
      </c>
      <c r="V18" s="171"/>
      <c r="W18" s="158" t="b">
        <v>1</v>
      </c>
      <c r="X18" s="158" t="b">
        <v>1</v>
      </c>
      <c r="Y18" s="158" t="b">
        <v>1</v>
      </c>
      <c r="Z18" s="158" t="b">
        <v>1</v>
      </c>
      <c r="AA18" s="158" t="b">
        <v>1</v>
      </c>
      <c r="AB18" s="158" t="b">
        <v>1</v>
      </c>
      <c r="AC18" s="158" t="b">
        <v>1</v>
      </c>
      <c r="AD18" s="108" t="s">
        <v>392</v>
      </c>
      <c r="AE18" s="108" t="s">
        <v>781</v>
      </c>
      <c r="AF18" s="108" t="s">
        <v>737</v>
      </c>
      <c r="AG18" s="108" t="s">
        <v>1416</v>
      </c>
      <c r="AH18" s="108"/>
      <c r="AI18" s="108"/>
      <c r="AJ18" s="108" t="s">
        <v>1418</v>
      </c>
      <c r="AK18" s="108" t="s">
        <v>1420</v>
      </c>
      <c r="AL18" s="108" t="s">
        <v>1423</v>
      </c>
      <c r="AM18" s="108" t="s">
        <v>504</v>
      </c>
      <c r="AN18" s="231" t="s">
        <v>1425</v>
      </c>
      <c r="AO18" s="153" t="s">
        <v>512</v>
      </c>
      <c r="AP18" s="236">
        <v>46294.48144152778</v>
      </c>
      <c r="AQ18" s="153">
        <v>1.0</v>
      </c>
      <c r="AR18" s="153">
        <v>1.0</v>
      </c>
      <c r="AS18" s="232"/>
      <c r="AT18" s="153" t="b">
        <v>0</v>
      </c>
      <c r="AU18" s="153" t="b">
        <v>0</v>
      </c>
      <c r="AV18" s="153"/>
    </row>
    <row r="19" ht="19.5" customHeight="1">
      <c r="A19" s="153" t="s">
        <v>999</v>
      </c>
      <c r="B19" s="108" t="s">
        <v>551</v>
      </c>
      <c r="C19" s="108" t="s">
        <v>1364</v>
      </c>
      <c r="D19" s="108" t="s">
        <v>1431</v>
      </c>
      <c r="E19" s="108" t="s">
        <v>602</v>
      </c>
      <c r="F19" s="108" t="s">
        <v>1432</v>
      </c>
      <c r="G19" s="108" t="s">
        <v>1062</v>
      </c>
      <c r="H19" s="108" t="s">
        <v>1433</v>
      </c>
      <c r="I19" s="227">
        <v>46083.0</v>
      </c>
      <c r="J19" s="108" t="s">
        <v>1435</v>
      </c>
      <c r="K19" s="108" t="s">
        <v>1102</v>
      </c>
      <c r="L19" s="102" t="s">
        <v>1437</v>
      </c>
      <c r="M19" s="153" t="s">
        <v>1438</v>
      </c>
      <c r="N19" s="102" t="s">
        <v>1439</v>
      </c>
      <c r="O19" s="102" t="s">
        <v>1440</v>
      </c>
      <c r="P19" s="107">
        <v>50.6513348402047</v>
      </c>
      <c r="Q19" s="107">
        <v>-3.36212555606743</v>
      </c>
      <c r="R19" s="108" t="s">
        <v>470</v>
      </c>
      <c r="S19" s="108"/>
      <c r="T19" s="153"/>
      <c r="U19" s="108" t="s">
        <v>756</v>
      </c>
      <c r="V19" s="171"/>
      <c r="W19" s="158" t="b">
        <v>1</v>
      </c>
      <c r="X19" s="158" t="b">
        <v>1</v>
      </c>
      <c r="Y19" s="158" t="b">
        <v>1</v>
      </c>
      <c r="Z19" s="158" t="b">
        <v>1</v>
      </c>
      <c r="AA19" s="158" t="b">
        <v>1</v>
      </c>
      <c r="AB19" s="158" t="b">
        <v>1</v>
      </c>
      <c r="AC19" s="158" t="b">
        <v>1</v>
      </c>
      <c r="AD19" s="108" t="s">
        <v>392</v>
      </c>
      <c r="AE19" s="108" t="s">
        <v>781</v>
      </c>
      <c r="AF19" s="108" t="s">
        <v>1441</v>
      </c>
      <c r="AG19" s="108" t="s">
        <v>1442</v>
      </c>
      <c r="AH19" s="108" t="s">
        <v>1443</v>
      </c>
      <c r="AI19" s="108" t="s">
        <v>1444</v>
      </c>
      <c r="AJ19" s="108" t="s">
        <v>1445</v>
      </c>
      <c r="AK19" s="108" t="s">
        <v>1446</v>
      </c>
      <c r="AL19" s="108" t="s">
        <v>1447</v>
      </c>
      <c r="AM19" s="108" t="s">
        <v>504</v>
      </c>
      <c r="AN19" s="231" t="s">
        <v>1448</v>
      </c>
      <c r="AO19" s="153" t="s">
        <v>512</v>
      </c>
      <c r="AP19" s="236">
        <v>46294.478218425924</v>
      </c>
      <c r="AQ19" s="153">
        <v>1.0</v>
      </c>
      <c r="AR19" s="153">
        <v>1.0</v>
      </c>
      <c r="AS19" s="232"/>
      <c r="AT19" s="153" t="b">
        <v>0</v>
      </c>
      <c r="AU19" s="153" t="b">
        <v>0</v>
      </c>
      <c r="AV19" s="153"/>
    </row>
    <row r="20" ht="19.5" customHeight="1">
      <c r="A20" s="153" t="s">
        <v>999</v>
      </c>
      <c r="B20" s="108" t="s">
        <v>1056</v>
      </c>
      <c r="C20" s="108" t="s">
        <v>1131</v>
      </c>
      <c r="D20" s="108" t="s">
        <v>1451</v>
      </c>
      <c r="E20" s="108" t="s">
        <v>602</v>
      </c>
      <c r="F20" s="108" t="s">
        <v>1454</v>
      </c>
      <c r="G20" s="108" t="s">
        <v>1335</v>
      </c>
      <c r="H20" s="108" t="s">
        <v>1455</v>
      </c>
      <c r="I20" s="158">
        <v>5.0</v>
      </c>
      <c r="J20" s="108" t="s">
        <v>1456</v>
      </c>
      <c r="K20" s="108" t="s">
        <v>1102</v>
      </c>
      <c r="L20" s="102" t="s">
        <v>1457</v>
      </c>
      <c r="M20" s="153"/>
      <c r="N20" s="102" t="s">
        <v>1378</v>
      </c>
      <c r="O20" s="102" t="s">
        <v>1458</v>
      </c>
      <c r="P20" s="107">
        <v>50.7326262582522</v>
      </c>
      <c r="Q20" s="107">
        <v>-3.99644825382118</v>
      </c>
      <c r="R20" s="108" t="s">
        <v>1301</v>
      </c>
      <c r="S20" s="108" t="s">
        <v>1461</v>
      </c>
      <c r="T20" s="153"/>
      <c r="U20" s="108" t="s">
        <v>756</v>
      </c>
      <c r="V20" s="171"/>
      <c r="W20" s="158" t="b">
        <v>0</v>
      </c>
      <c r="X20" s="158" t="b">
        <v>0</v>
      </c>
      <c r="Y20" s="158" t="b">
        <v>0</v>
      </c>
      <c r="Z20" s="158" t="b">
        <v>1</v>
      </c>
      <c r="AA20" s="158" t="b">
        <v>1</v>
      </c>
      <c r="AB20" s="158" t="b">
        <v>1</v>
      </c>
      <c r="AC20" s="158" t="b">
        <v>1</v>
      </c>
      <c r="AD20" s="108" t="s">
        <v>392</v>
      </c>
      <c r="AE20" s="108" t="s">
        <v>1471</v>
      </c>
      <c r="AF20" s="108" t="s">
        <v>629</v>
      </c>
      <c r="AG20" s="108" t="s">
        <v>1474</v>
      </c>
      <c r="AH20" s="171"/>
      <c r="AI20" s="108"/>
      <c r="AJ20" s="108" t="s">
        <v>1476</v>
      </c>
      <c r="AK20" s="108"/>
      <c r="AL20" s="108" t="s">
        <v>1477</v>
      </c>
      <c r="AM20" s="108" t="s">
        <v>504</v>
      </c>
      <c r="AN20" s="231" t="s">
        <v>1480</v>
      </c>
      <c r="AO20" s="153" t="s">
        <v>512</v>
      </c>
      <c r="AP20" s="236">
        <v>46294.477728495374</v>
      </c>
      <c r="AQ20" s="153">
        <v>1.0</v>
      </c>
      <c r="AR20" s="153">
        <v>1.0</v>
      </c>
      <c r="AS20" s="232"/>
      <c r="AT20" s="153" t="b">
        <v>0</v>
      </c>
      <c r="AU20" s="153" t="b">
        <v>0</v>
      </c>
      <c r="AV20" s="153"/>
    </row>
    <row r="21" ht="19.5" customHeight="1">
      <c r="A21" s="154"/>
      <c r="B21" s="108" t="s">
        <v>1000</v>
      </c>
      <c r="C21" s="108" t="s">
        <v>1484</v>
      </c>
      <c r="D21" s="108" t="s">
        <v>1485</v>
      </c>
      <c r="E21" s="108" t="s">
        <v>602</v>
      </c>
      <c r="F21" s="108" t="s">
        <v>1487</v>
      </c>
      <c r="G21" s="108" t="s">
        <v>1335</v>
      </c>
      <c r="H21" s="108" t="s">
        <v>1488</v>
      </c>
      <c r="I21" s="227">
        <v>46176.0</v>
      </c>
      <c r="J21" s="108" t="s">
        <v>1101</v>
      </c>
      <c r="K21" s="108" t="s">
        <v>1102</v>
      </c>
      <c r="L21" s="102" t="s">
        <v>1489</v>
      </c>
      <c r="M21" s="153" t="s">
        <v>1490</v>
      </c>
      <c r="N21" s="102" t="s">
        <v>727</v>
      </c>
      <c r="O21" s="102" t="s">
        <v>1491</v>
      </c>
      <c r="P21" s="107">
        <v>50.5935227214689</v>
      </c>
      <c r="Q21" s="107">
        <v>-3.67939801760608</v>
      </c>
      <c r="R21" s="108" t="s">
        <v>911</v>
      </c>
      <c r="S21" s="108" t="s">
        <v>1492</v>
      </c>
      <c r="T21" s="153" t="s">
        <v>1034</v>
      </c>
      <c r="U21" s="108" t="s">
        <v>756</v>
      </c>
      <c r="V21" s="171"/>
      <c r="W21" s="158" t="b">
        <v>1</v>
      </c>
      <c r="X21" s="158" t="b">
        <v>1</v>
      </c>
      <c r="Y21" s="158" t="b">
        <v>1</v>
      </c>
      <c r="Z21" s="158" t="b">
        <v>1</v>
      </c>
      <c r="AA21" s="158" t="b">
        <v>1</v>
      </c>
      <c r="AB21" s="158" t="b">
        <v>1</v>
      </c>
      <c r="AC21" s="158" t="b">
        <v>1</v>
      </c>
      <c r="AD21" s="108" t="s">
        <v>392</v>
      </c>
      <c r="AE21" s="108" t="s">
        <v>1494</v>
      </c>
      <c r="AF21" s="108" t="s">
        <v>943</v>
      </c>
      <c r="AG21" s="108" t="s">
        <v>1496</v>
      </c>
      <c r="AH21" s="171"/>
      <c r="AI21" s="108" t="s">
        <v>1497</v>
      </c>
      <c r="AJ21" s="108" t="s">
        <v>1498</v>
      </c>
      <c r="AK21" s="108" t="s">
        <v>1499</v>
      </c>
      <c r="AL21" s="108" t="s">
        <v>1500</v>
      </c>
      <c r="AM21" s="108" t="s">
        <v>504</v>
      </c>
      <c r="AN21" s="231" t="s">
        <v>1501</v>
      </c>
      <c r="AO21" s="153" t="s">
        <v>512</v>
      </c>
      <c r="AP21" s="236">
        <v>46293.598482037036</v>
      </c>
      <c r="AQ21" s="153">
        <v>1.0</v>
      </c>
      <c r="AR21" s="153">
        <v>1.0</v>
      </c>
      <c r="AS21" s="232"/>
      <c r="AT21" s="153" t="b">
        <v>0</v>
      </c>
      <c r="AU21" s="153" t="b">
        <v>0</v>
      </c>
      <c r="AV21" s="153"/>
    </row>
    <row r="22" ht="19.5" customHeight="1">
      <c r="A22" s="154"/>
      <c r="B22" s="108" t="s">
        <v>1000</v>
      </c>
      <c r="C22" s="108" t="s">
        <v>1213</v>
      </c>
      <c r="D22" s="108" t="s">
        <v>1505</v>
      </c>
      <c r="E22" s="108" t="s">
        <v>973</v>
      </c>
      <c r="F22" s="108" t="s">
        <v>1507</v>
      </c>
      <c r="G22" s="108" t="s">
        <v>1335</v>
      </c>
      <c r="H22" s="108" t="s">
        <v>1368</v>
      </c>
      <c r="I22" s="158">
        <v>2.5</v>
      </c>
      <c r="J22" s="108" t="s">
        <v>1510</v>
      </c>
      <c r="K22" s="108" t="s">
        <v>1102</v>
      </c>
      <c r="L22" s="102" t="s">
        <v>1489</v>
      </c>
      <c r="M22" s="153" t="s">
        <v>1490</v>
      </c>
      <c r="N22" s="102" t="s">
        <v>727</v>
      </c>
      <c r="O22" s="102" t="s">
        <v>1491</v>
      </c>
      <c r="P22" s="107">
        <v>50.5935227214689</v>
      </c>
      <c r="Q22" s="107">
        <v>-3.67939801760608</v>
      </c>
      <c r="R22" s="108" t="s">
        <v>911</v>
      </c>
      <c r="S22" s="108" t="s">
        <v>1513</v>
      </c>
      <c r="T22" s="154"/>
      <c r="U22" s="108" t="s">
        <v>756</v>
      </c>
      <c r="V22" s="171"/>
      <c r="W22" s="158" t="b">
        <v>0</v>
      </c>
      <c r="X22" s="158" t="b">
        <v>0</v>
      </c>
      <c r="Y22" s="158" t="b">
        <v>1</v>
      </c>
      <c r="Z22" s="158" t="b">
        <v>1</v>
      </c>
      <c r="AA22" s="158" t="b">
        <v>1</v>
      </c>
      <c r="AB22" s="158" t="b">
        <v>1</v>
      </c>
      <c r="AC22" s="158" t="b">
        <v>1</v>
      </c>
      <c r="AD22" s="108" t="s">
        <v>392</v>
      </c>
      <c r="AE22" s="108" t="s">
        <v>393</v>
      </c>
      <c r="AF22" s="108" t="s">
        <v>1037</v>
      </c>
      <c r="AG22" s="108" t="s">
        <v>1518</v>
      </c>
      <c r="AH22" s="171"/>
      <c r="AI22" s="108" t="s">
        <v>1521</v>
      </c>
      <c r="AJ22" s="108" t="s">
        <v>1522</v>
      </c>
      <c r="AK22" s="108" t="s">
        <v>1524</v>
      </c>
      <c r="AL22" s="108" t="s">
        <v>1525</v>
      </c>
      <c r="AM22" s="108" t="s">
        <v>504</v>
      </c>
      <c r="AN22" s="231" t="s">
        <v>1526</v>
      </c>
      <c r="AO22" s="153" t="s">
        <v>512</v>
      </c>
      <c r="AP22" s="236">
        <v>46293.59327106482</v>
      </c>
      <c r="AQ22" s="153">
        <v>1.0</v>
      </c>
      <c r="AR22" s="153">
        <v>1.0</v>
      </c>
      <c r="AS22" s="232"/>
      <c r="AT22" s="153" t="b">
        <v>0</v>
      </c>
      <c r="AU22" s="153" t="b">
        <v>0</v>
      </c>
      <c r="AV22" s="153"/>
    </row>
  </sheetData>
  <mergeCells count="8">
    <mergeCell ref="A1:D2"/>
    <mergeCell ref="E1:K2"/>
    <mergeCell ref="L1:Q2"/>
    <mergeCell ref="R1:V2"/>
    <mergeCell ref="W1:AC2"/>
    <mergeCell ref="AD1:AF2"/>
    <mergeCell ref="AG1:AM2"/>
    <mergeCell ref="AN1:AV2"/>
  </mergeCells>
  <hyperlinks>
    <hyperlink r:id="rId1" ref="AL3"/>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5">
      <c r="A5" s="226" t="str">
        <f t="shared" ref="A5:A87" si="1">TRANSPOSE(INDIRECT(SWITCH(#REF!,
"Green Open Spaces","greenspaces",
"Nature &amp; Wildlife Exploration","natureexploration",
"Coastal Adventures","coastaladventure",
"Gardens &amp; Curated Outdoor Spaces","curatedoutdoor",
"Playgrounds &amp; Adventure Parks","playgrounds",
"Sporty Activities","sportyactivity",
"Rideable Routes","wheelsroutes",
"Water Activites","waterbasedfun",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#REF!</v>
      </c>
    </row>
    <row r="6">
      <c r="A6" s="226" t="str">
        <f t="shared" si="1"/>
        <v>#REF!</v>
      </c>
      <c r="B6" s="226"/>
      <c r="C6" s="226"/>
      <c r="D6" s="226"/>
      <c r="E6" s="226"/>
      <c r="F6" s="226"/>
      <c r="G6" s="226"/>
      <c r="H6" s="226"/>
      <c r="I6" s="226"/>
      <c r="J6" s="226"/>
      <c r="K6" s="226"/>
      <c r="L6" s="226"/>
      <c r="M6" s="226"/>
      <c r="N6" s="226"/>
    </row>
    <row r="7">
      <c r="A7" s="226" t="str">
        <f t="shared" si="1"/>
        <v>#REF!</v>
      </c>
    </row>
    <row r="8">
      <c r="A8" s="226" t="str">
        <f t="shared" si="1"/>
        <v>#REF!</v>
      </c>
    </row>
    <row r="9">
      <c r="A9" s="226" t="str">
        <f t="shared" si="1"/>
        <v>#REF!</v>
      </c>
    </row>
    <row r="10">
      <c r="A10" s="226" t="str">
        <f t="shared" si="1"/>
        <v>#REF!</v>
      </c>
    </row>
    <row r="11">
      <c r="A11" s="226" t="str">
        <f t="shared" si="1"/>
        <v>#REF!</v>
      </c>
    </row>
    <row r="12">
      <c r="A12" s="226" t="str">
        <f t="shared" si="1"/>
        <v>#REF!</v>
      </c>
    </row>
    <row r="13">
      <c r="A13" s="226" t="str">
        <f t="shared" si="1"/>
        <v>#REF!</v>
      </c>
    </row>
    <row r="14">
      <c r="A14" s="226" t="str">
        <f t="shared" si="1"/>
        <v>#REF!</v>
      </c>
    </row>
    <row r="15">
      <c r="A15" s="226" t="str">
        <f t="shared" si="1"/>
        <v>#REF!</v>
      </c>
    </row>
    <row r="16">
      <c r="A16" s="226" t="str">
        <f t="shared" si="1"/>
        <v>#REF!</v>
      </c>
    </row>
    <row r="17">
      <c r="A17" s="226" t="str">
        <f t="shared" si="1"/>
        <v>#REF!</v>
      </c>
    </row>
    <row r="18">
      <c r="A18" s="226" t="str">
        <f t="shared" si="1"/>
        <v>#REF!</v>
      </c>
    </row>
    <row r="19">
      <c r="A19" s="226" t="str">
        <f t="shared" si="1"/>
        <v>#REF!</v>
      </c>
    </row>
    <row r="20">
      <c r="A20" s="226" t="str">
        <f t="shared" si="1"/>
        <v>#REF!</v>
      </c>
    </row>
    <row r="21">
      <c r="A21" s="226" t="str">
        <f t="shared" si="1"/>
        <v>#REF!</v>
      </c>
    </row>
    <row r="22">
      <c r="A22" s="226" t="str">
        <f t="shared" si="1"/>
        <v>#REF!</v>
      </c>
    </row>
    <row r="23">
      <c r="A23" s="226" t="str">
        <f t="shared" si="1"/>
        <v>#REF!</v>
      </c>
    </row>
    <row r="24">
      <c r="A24" s="226" t="str">
        <f t="shared" si="1"/>
        <v>#REF!</v>
      </c>
    </row>
    <row r="25">
      <c r="A25" s="226" t="str">
        <f t="shared" si="1"/>
        <v>#REF!</v>
      </c>
    </row>
    <row r="26">
      <c r="A26" s="226" t="str">
        <f t="shared" si="1"/>
        <v>#REF!</v>
      </c>
    </row>
    <row r="27">
      <c r="A27" s="226" t="str">
        <f t="shared" si="1"/>
        <v>#REF!</v>
      </c>
    </row>
    <row r="28">
      <c r="A28" s="226" t="str">
        <f t="shared" si="1"/>
        <v>#REF!</v>
      </c>
    </row>
    <row r="29">
      <c r="A29" s="226" t="str">
        <f t="shared" si="1"/>
        <v>#REF!</v>
      </c>
    </row>
    <row r="30">
      <c r="A30" s="226" t="str">
        <f t="shared" si="1"/>
        <v>#REF!</v>
      </c>
    </row>
    <row r="31">
      <c r="A31" s="226" t="str">
        <f t="shared" si="1"/>
        <v>#REF!</v>
      </c>
    </row>
    <row r="32">
      <c r="A32" s="226" t="str">
        <f t="shared" si="1"/>
        <v>#REF!</v>
      </c>
    </row>
    <row r="33">
      <c r="A33" s="226" t="str">
        <f t="shared" si="1"/>
        <v>#REF!</v>
      </c>
    </row>
    <row r="34">
      <c r="A34" s="226" t="str">
        <f t="shared" si="1"/>
        <v>#REF!</v>
      </c>
    </row>
    <row r="35">
      <c r="A35" s="226" t="str">
        <f t="shared" si="1"/>
        <v>#REF!</v>
      </c>
    </row>
    <row r="36">
      <c r="A36" s="226" t="str">
        <f t="shared" si="1"/>
        <v>#REF!</v>
      </c>
    </row>
    <row r="37">
      <c r="A37" s="226" t="str">
        <f t="shared" si="1"/>
        <v>#REF!</v>
      </c>
    </row>
    <row r="38">
      <c r="A38" s="226" t="str">
        <f t="shared" si="1"/>
        <v>#REF!</v>
      </c>
    </row>
    <row r="39">
      <c r="A39" s="226" t="str">
        <f t="shared" si="1"/>
        <v>#REF!</v>
      </c>
    </row>
    <row r="40">
      <c r="A40" s="226" t="str">
        <f t="shared" si="1"/>
        <v>#REF!</v>
      </c>
    </row>
    <row r="41">
      <c r="A41" s="226" t="str">
        <f t="shared" si="1"/>
        <v>#REF!</v>
      </c>
    </row>
    <row r="42">
      <c r="A42" s="226" t="str">
        <f t="shared" si="1"/>
        <v>#REF!</v>
      </c>
    </row>
    <row r="43">
      <c r="A43" s="226" t="str">
        <f t="shared" si="1"/>
        <v>#REF!</v>
      </c>
    </row>
    <row r="44">
      <c r="A44" s="226" t="str">
        <f t="shared" si="1"/>
        <v>#REF!</v>
      </c>
    </row>
    <row r="45">
      <c r="A45" s="226" t="str">
        <f t="shared" si="1"/>
        <v>#REF!</v>
      </c>
    </row>
    <row r="46">
      <c r="A46" s="226" t="str">
        <f t="shared" si="1"/>
        <v>#REF!</v>
      </c>
    </row>
    <row r="47">
      <c r="A47" s="226" t="str">
        <f t="shared" si="1"/>
        <v>#REF!</v>
      </c>
    </row>
    <row r="48">
      <c r="A48" s="226" t="str">
        <f t="shared" si="1"/>
        <v>#REF!</v>
      </c>
    </row>
    <row r="49">
      <c r="A49" s="226" t="str">
        <f t="shared" si="1"/>
        <v>#REF!</v>
      </c>
    </row>
    <row r="50">
      <c r="A50" s="226" t="str">
        <f t="shared" si="1"/>
        <v>#REF!</v>
      </c>
    </row>
    <row r="51">
      <c r="A51" s="226" t="str">
        <f t="shared" si="1"/>
        <v>#REF!</v>
      </c>
    </row>
    <row r="52">
      <c r="A52" s="226" t="str">
        <f t="shared" si="1"/>
        <v>#REF!</v>
      </c>
    </row>
    <row r="53">
      <c r="A53" s="226" t="str">
        <f t="shared" si="1"/>
        <v>#REF!</v>
      </c>
    </row>
    <row r="54">
      <c r="A54" s="226" t="str">
        <f t="shared" si="1"/>
        <v>#REF!</v>
      </c>
    </row>
    <row r="55">
      <c r="A55" s="226" t="str">
        <f t="shared" si="1"/>
        <v>#REF!</v>
      </c>
    </row>
    <row r="56">
      <c r="A56" s="226" t="str">
        <f t="shared" si="1"/>
        <v>#REF!</v>
      </c>
    </row>
    <row r="57">
      <c r="A57" s="226" t="str">
        <f t="shared" si="1"/>
        <v>#REF!</v>
      </c>
    </row>
    <row r="58">
      <c r="A58" s="226" t="str">
        <f t="shared" si="1"/>
        <v>#REF!</v>
      </c>
    </row>
    <row r="59">
      <c r="A59" s="226" t="str">
        <f t="shared" si="1"/>
        <v>#REF!</v>
      </c>
    </row>
    <row r="60">
      <c r="A60" s="226" t="str">
        <f t="shared" si="1"/>
        <v>#REF!</v>
      </c>
    </row>
    <row r="61">
      <c r="A61" s="226" t="str">
        <f t="shared" si="1"/>
        <v>#REF!</v>
      </c>
    </row>
    <row r="62">
      <c r="A62" s="226" t="str">
        <f t="shared" si="1"/>
        <v>#REF!</v>
      </c>
    </row>
    <row r="63">
      <c r="A63" s="226" t="str">
        <f t="shared" si="1"/>
        <v>#REF!</v>
      </c>
    </row>
    <row r="64">
      <c r="A64" s="226" t="str">
        <f t="shared" si="1"/>
        <v>#REF!</v>
      </c>
    </row>
    <row r="65">
      <c r="A65" s="226" t="str">
        <f t="shared" si="1"/>
        <v>#REF!</v>
      </c>
    </row>
    <row r="66">
      <c r="A66" s="226" t="str">
        <f t="shared" si="1"/>
        <v>#REF!</v>
      </c>
    </row>
    <row r="67">
      <c r="A67" s="226" t="str">
        <f t="shared" si="1"/>
        <v>#REF!</v>
      </c>
    </row>
    <row r="68">
      <c r="A68" s="226" t="str">
        <f t="shared" si="1"/>
        <v>#REF!</v>
      </c>
    </row>
    <row r="69">
      <c r="A69" s="226" t="str">
        <f t="shared" si="1"/>
        <v>#REF!</v>
      </c>
    </row>
    <row r="70">
      <c r="A70" s="226" t="str">
        <f t="shared" si="1"/>
        <v>#REF!</v>
      </c>
    </row>
    <row r="71">
      <c r="A71" s="226" t="str">
        <f t="shared" si="1"/>
        <v>#REF!</v>
      </c>
    </row>
    <row r="72">
      <c r="A72" s="226" t="str">
        <f t="shared" si="1"/>
        <v>#REF!</v>
      </c>
    </row>
    <row r="73">
      <c r="A73" s="226" t="str">
        <f t="shared" si="1"/>
        <v>#REF!</v>
      </c>
    </row>
    <row r="74">
      <c r="A74" s="226" t="str">
        <f t="shared" si="1"/>
        <v>#REF!</v>
      </c>
    </row>
    <row r="75">
      <c r="A75" s="226" t="str">
        <f t="shared" si="1"/>
        <v>#REF!</v>
      </c>
    </row>
    <row r="76">
      <c r="A76" s="226" t="str">
        <f t="shared" si="1"/>
        <v>#REF!</v>
      </c>
    </row>
    <row r="77">
      <c r="A77" s="226" t="str">
        <f t="shared" si="1"/>
        <v>#REF!</v>
      </c>
    </row>
    <row r="78">
      <c r="A78" s="226" t="str">
        <f t="shared" si="1"/>
        <v>#REF!</v>
      </c>
    </row>
    <row r="79">
      <c r="A79" s="226" t="str">
        <f t="shared" si="1"/>
        <v>#REF!</v>
      </c>
    </row>
    <row r="80">
      <c r="A80" s="226" t="str">
        <f t="shared" si="1"/>
        <v>#REF!</v>
      </c>
    </row>
    <row r="81">
      <c r="A81" s="226" t="str">
        <f t="shared" si="1"/>
        <v>#REF!</v>
      </c>
    </row>
    <row r="82">
      <c r="A82" s="226" t="str">
        <f t="shared" si="1"/>
        <v>#REF!</v>
      </c>
    </row>
    <row r="83">
      <c r="A83" s="226" t="str">
        <f t="shared" si="1"/>
        <v>#REF!</v>
      </c>
    </row>
    <row r="84">
      <c r="A84" s="226" t="str">
        <f t="shared" si="1"/>
        <v>#REF!</v>
      </c>
    </row>
    <row r="85">
      <c r="A85" s="226" t="str">
        <f t="shared" si="1"/>
        <v>#REF!</v>
      </c>
    </row>
    <row r="86">
      <c r="A86" s="226" t="str">
        <f t="shared" si="1"/>
        <v>#REF!</v>
      </c>
    </row>
    <row r="87">
      <c r="A87" s="226" t="str">
        <f t="shared" si="1"/>
        <v>#REF!</v>
      </c>
    </row>
    <row r="88">
      <c r="A88" s="226" t="str">
        <f t="array" ref="A88">TRANSPOSE(INDIRECT(SWITCH(Clubs!B31,
"Green Open Spaces","greenspaces",
"Nature &amp; Wildlife Exploration","natureexploration",
"Coastal Adventures","coastaladventure",
"Gardens &amp; Curated Outdoor Spaces","curatedoutdoor",
"Playgrounds &amp; Adventure Parks","playgrounds",
"Sporty Activities","sportyactivity",
"Rideable Routes","wheelsroutes",
"Water Activites","waterbasedfun",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89">
      <c r="A89" s="226" t="str">
        <f t="array" ref="A89">TRANSPOSE(INDIRECT(SWITCH(Clubs!B32,
"Green Open Spaces","greenspaces",
"Nature &amp; Wildlife Exploration","natureexploration",
"Coastal Adventures","coastaladventure",
"Gardens &amp; Curated Outdoor Spaces","curatedoutdoor",
"Playgrounds &amp; Adventure Parks","playgrounds",
"Sporty Activities","sportyactivity",
"Rideable Routes","wheelsroutes",
"Water Activites","waterbasedfun",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90">
      <c r="A90" s="226" t="str">
        <f t="array" ref="A90">TRANSPOSE(INDIRECT(SWITCH(Clubs!B33,
"Green Open Spaces","greenspaces",
"Nature &amp; Wildlife Exploration","natureexploration",
"Coastal Adventures","coastaladventure",
"Gardens &amp; Curated Outdoor Spaces","curatedoutdoor",
"Playgrounds &amp; Adventure Parks","playgrounds",
"Sporty Activities","sportyactivity",
"Rideable Routes","wheelsroutes",
"Water Activites","waterbasedfun",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5">
      <c r="A5" s="226" t="str">
        <f t="array" ref="A5:M5">TRANSPOSE(INDIRECT(SWITCH(Routes!B22,
"Scenic Walks &amp; Trails","scenicwalks",
"Nature &amp; Wildlife Exploration","natureexploration",
"Coastal Adventures","coastaladventure",
"Rideable Routes","wheelsroutes",
)))</f>
        <v>Estate Grounds</v>
      </c>
      <c r="B5" s="226" t="s">
        <v>1384</v>
      </c>
      <c r="C5" s="226" t="s">
        <v>1385</v>
      </c>
      <c r="D5" s="226" t="s">
        <v>1386</v>
      </c>
      <c r="E5" s="226" t="s">
        <v>1387</v>
      </c>
      <c r="F5" s="226" t="s">
        <v>1388</v>
      </c>
      <c r="G5" s="226" t="s">
        <v>1389</v>
      </c>
      <c r="H5" s="226" t="s">
        <v>970</v>
      </c>
      <c r="I5" s="226" t="s">
        <v>1391</v>
      </c>
      <c r="J5" s="226" t="s">
        <v>1392</v>
      </c>
      <c r="K5" s="226" t="s">
        <v>1394</v>
      </c>
      <c r="L5" s="226" t="s">
        <v>1051</v>
      </c>
      <c r="M5" s="226" t="s">
        <v>1396</v>
      </c>
    </row>
    <row r="6">
      <c r="A6" s="226" t="str">
        <f t="shared" ref="A6:A58" si="1">TRANSPOSE(INDIRECT(SWITCH(#REF!,
"Scenic Walks &amp; Trails","scenicwalks",
"Nature &amp; Wildlife Exploration","natureexploration",
"Coastal Adventures","coastaladventure",
"Rideable Routes","wheelsroutes",
)))</f>
        <v>#REF!</v>
      </c>
    </row>
    <row r="7">
      <c r="A7" s="226" t="str">
        <f t="shared" si="1"/>
        <v>#REF!</v>
      </c>
    </row>
    <row r="8">
      <c r="A8" s="226" t="str">
        <f t="shared" si="1"/>
        <v>#REF!</v>
      </c>
    </row>
    <row r="9">
      <c r="A9" s="226" t="str">
        <f t="shared" si="1"/>
        <v>#REF!</v>
      </c>
    </row>
    <row r="10">
      <c r="A10" s="226" t="str">
        <f t="shared" si="1"/>
        <v>#REF!</v>
      </c>
    </row>
    <row r="11">
      <c r="A11" s="226" t="str">
        <f t="shared" si="1"/>
        <v>#REF!</v>
      </c>
    </row>
    <row r="12">
      <c r="A12" s="226" t="str">
        <f t="shared" si="1"/>
        <v>#REF!</v>
      </c>
    </row>
    <row r="13">
      <c r="A13" s="226" t="str">
        <f t="shared" si="1"/>
        <v>#REF!</v>
      </c>
    </row>
    <row r="14">
      <c r="A14" s="226" t="str">
        <f t="shared" si="1"/>
        <v>#REF!</v>
      </c>
    </row>
    <row r="15">
      <c r="A15" s="226" t="str">
        <f t="shared" si="1"/>
        <v>#REF!</v>
      </c>
    </row>
    <row r="16">
      <c r="A16" s="226" t="str">
        <f t="shared" si="1"/>
        <v>#REF!</v>
      </c>
    </row>
    <row r="17">
      <c r="A17" s="226" t="str">
        <f t="shared" si="1"/>
        <v>#REF!</v>
      </c>
    </row>
    <row r="18">
      <c r="A18" s="226" t="str">
        <f t="shared" si="1"/>
        <v>#REF!</v>
      </c>
    </row>
    <row r="19">
      <c r="A19" s="226" t="str">
        <f t="shared" si="1"/>
        <v>#REF!</v>
      </c>
    </row>
    <row r="20">
      <c r="A20" s="226" t="str">
        <f t="shared" si="1"/>
        <v>#REF!</v>
      </c>
    </row>
    <row r="21">
      <c r="A21" s="226" t="str">
        <f t="shared" si="1"/>
        <v>#REF!</v>
      </c>
    </row>
    <row r="22">
      <c r="A22" s="226" t="str">
        <f t="shared" si="1"/>
        <v>#REF!</v>
      </c>
    </row>
    <row r="23">
      <c r="A23" s="226" t="str">
        <f t="shared" si="1"/>
        <v>#REF!</v>
      </c>
    </row>
    <row r="24">
      <c r="A24" s="226" t="str">
        <f t="shared" si="1"/>
        <v>#REF!</v>
      </c>
    </row>
    <row r="25">
      <c r="A25" s="226" t="str">
        <f t="shared" si="1"/>
        <v>#REF!</v>
      </c>
    </row>
    <row r="26">
      <c r="A26" s="226" t="str">
        <f t="shared" si="1"/>
        <v>#REF!</v>
      </c>
    </row>
    <row r="27">
      <c r="A27" s="226" t="str">
        <f t="shared" si="1"/>
        <v>#REF!</v>
      </c>
    </row>
    <row r="28">
      <c r="A28" s="226" t="str">
        <f t="shared" si="1"/>
        <v>#REF!</v>
      </c>
    </row>
    <row r="29">
      <c r="A29" s="226" t="str">
        <f t="shared" si="1"/>
        <v>#REF!</v>
      </c>
    </row>
    <row r="30">
      <c r="A30" s="226" t="str">
        <f t="shared" si="1"/>
        <v>#REF!</v>
      </c>
    </row>
    <row r="31">
      <c r="A31" s="226" t="str">
        <f t="shared" si="1"/>
        <v>#REF!</v>
      </c>
    </row>
    <row r="32">
      <c r="A32" s="226" t="str">
        <f t="shared" si="1"/>
        <v>#REF!</v>
      </c>
    </row>
    <row r="33">
      <c r="A33" s="226" t="str">
        <f t="shared" si="1"/>
        <v>#REF!</v>
      </c>
    </row>
    <row r="34">
      <c r="A34" s="226" t="str">
        <f t="shared" si="1"/>
        <v>#REF!</v>
      </c>
    </row>
    <row r="35">
      <c r="A35" s="226" t="str">
        <f t="shared" si="1"/>
        <v>#REF!</v>
      </c>
    </row>
    <row r="36">
      <c r="A36" s="226" t="str">
        <f t="shared" si="1"/>
        <v>#REF!</v>
      </c>
    </row>
    <row r="37">
      <c r="A37" s="226" t="str">
        <f t="shared" si="1"/>
        <v>#REF!</v>
      </c>
    </row>
    <row r="38">
      <c r="A38" s="226" t="str">
        <f t="shared" si="1"/>
        <v>#REF!</v>
      </c>
    </row>
    <row r="39">
      <c r="A39" s="226" t="str">
        <f t="shared" si="1"/>
        <v>#REF!</v>
      </c>
    </row>
    <row r="40">
      <c r="A40" s="226" t="str">
        <f t="shared" si="1"/>
        <v>#REF!</v>
      </c>
    </row>
    <row r="41">
      <c r="A41" s="226" t="str">
        <f t="shared" si="1"/>
        <v>#REF!</v>
      </c>
    </row>
    <row r="42">
      <c r="A42" s="226" t="str">
        <f t="shared" si="1"/>
        <v>#REF!</v>
      </c>
    </row>
    <row r="43">
      <c r="A43" s="226" t="str">
        <f t="shared" si="1"/>
        <v>#REF!</v>
      </c>
    </row>
    <row r="44">
      <c r="A44" s="226" t="str">
        <f t="shared" si="1"/>
        <v>#REF!</v>
      </c>
    </row>
    <row r="45">
      <c r="A45" s="226" t="str">
        <f t="shared" si="1"/>
        <v>#REF!</v>
      </c>
    </row>
    <row r="46">
      <c r="A46" s="226" t="str">
        <f t="shared" si="1"/>
        <v>#REF!</v>
      </c>
    </row>
    <row r="47">
      <c r="A47" s="226" t="str">
        <f t="shared" si="1"/>
        <v>#REF!</v>
      </c>
    </row>
    <row r="48">
      <c r="A48" s="226" t="str">
        <f t="shared" si="1"/>
        <v>#REF!</v>
      </c>
    </row>
    <row r="49">
      <c r="A49" s="226" t="str">
        <f t="shared" si="1"/>
        <v>#REF!</v>
      </c>
    </row>
    <row r="50">
      <c r="A50" s="226" t="str">
        <f t="shared" si="1"/>
        <v>#REF!</v>
      </c>
    </row>
    <row r="51">
      <c r="A51" s="226" t="str">
        <f t="shared" si="1"/>
        <v>#REF!</v>
      </c>
    </row>
    <row r="52">
      <c r="A52" s="226" t="str">
        <f t="shared" si="1"/>
        <v>#REF!</v>
      </c>
    </row>
    <row r="53">
      <c r="A53" s="226" t="str">
        <f t="shared" si="1"/>
        <v>#REF!</v>
      </c>
    </row>
    <row r="54">
      <c r="A54" s="226" t="str">
        <f t="shared" si="1"/>
        <v>#REF!</v>
      </c>
    </row>
    <row r="55">
      <c r="A55" s="226" t="str">
        <f t="shared" si="1"/>
        <v>#REF!</v>
      </c>
    </row>
    <row r="56">
      <c r="A56" s="226" t="str">
        <f t="shared" si="1"/>
        <v>#REF!</v>
      </c>
    </row>
    <row r="57">
      <c r="A57" s="226" t="str">
        <f t="shared" si="1"/>
        <v>#REF!</v>
      </c>
    </row>
    <row r="58">
      <c r="A58" s="226" t="str">
        <f t="shared" si="1"/>
        <v>#REF!</v>
      </c>
    </row>
    <row r="59">
      <c r="A59" s="226" t="str">
        <f t="array" ref="A59">TRANSPOSE(INDIRECT(SWITCH(Routes!B23,
"Scenic Walks &amp; Trails","scenicwalks",
"Nature &amp; Wildlife Exploration","natureexploration",
"Coastal Adventures","coastaladventure",
"Rideable Routes","wheelsroutes",
)))</f>
        <v>#REF!</v>
      </c>
    </row>
    <row r="60">
      <c r="A60" s="226" t="str">
        <f t="array" ref="A60">TRANSPOSE(INDIRECT(SWITCH(Routes!B24,
"Scenic Walks &amp; Trails","scenicwalks",
"Nature &amp; Wildlife Exploration","natureexploration",
"Coastal Adventures","coastaladventure",
"Rideable Routes","wheelsroutes",
)))</f>
        <v>#REF!</v>
      </c>
    </row>
    <row r="61">
      <c r="A61" s="226" t="str">
        <f t="array" ref="A61">TRANSPOSE(INDIRECT(SWITCH(Routes!B25,
"Scenic Walks &amp; Trails","scenicwalks",
"Nature &amp; Wildlife Exploration","natureexploration",
"Coastal Adventures","coastaladventure",
"Rideable Routes","wheelsroutes",
)))</f>
        <v>#REF!</v>
      </c>
    </row>
    <row r="62">
      <c r="A62" s="226" t="str">
        <f t="array" ref="A62">TRANSPOSE(INDIRECT(SWITCH(Routes!B26,
"Scenic Walks &amp; Trails","scenicwalks",
"Nature &amp; Wildlife Exploration","natureexploration",
"Coastal Adventures","coastaladventure",
"Rideable Routes","wheelsroutes",
)))</f>
        <v>#REF!</v>
      </c>
    </row>
    <row r="63">
      <c r="A63" s="226" t="str">
        <f t="array" ref="A63">TRANSPOSE(INDIRECT(SWITCH(Routes!B27,
"Scenic Walks &amp; Trails","scenicwalks",
"Nature &amp; Wildlife Exploration","natureexploration",
"Coastal Adventures","coastaladventure",
"Rideable Routes","wheelsroutes",
)))</f>
        <v>#REF!</v>
      </c>
    </row>
    <row r="64">
      <c r="A64" s="226" t="str">
        <f t="array" ref="A64">TRANSPOSE(INDIRECT(SWITCH(Routes!B28,
"Scenic Walks &amp; Trails","scenicwalks",
"Nature &amp; Wildlife Exploration","natureexploration",
"Coastal Adventures","coastaladventure",
"Rideable Routes","wheelsroutes",
)))</f>
        <v>#REF!</v>
      </c>
    </row>
    <row r="65">
      <c r="A65" s="226" t="str">
        <f t="array" ref="A65">TRANSPOSE(INDIRECT(SWITCH(Routes!B29,
"Scenic Walks &amp; Trails","scenicwalks",
"Nature &amp; Wildlife Exploration","natureexploration",
"Coastal Adventures","coastaladventure",
"Rideable Routes","wheelsroutes",
)))</f>
        <v>#REF!</v>
      </c>
    </row>
    <row r="66">
      <c r="A66" s="226" t="str">
        <f t="array" ref="A66">TRANSPOSE(INDIRECT(SWITCH(Routes!B30,
"Scenic Walks &amp; Trails","scenicwalks",
"Nature &amp; Wildlife Exploration","natureexploration",
"Coastal Adventures","coastaladventure",
"Rideable Routes","wheelsroutes",
)))</f>
        <v>#REF!</v>
      </c>
    </row>
    <row r="67">
      <c r="A67" s="226" t="str">
        <f t="array" ref="A67">TRANSPOSE(INDIRECT(SWITCH(Routes!B31,
"Scenic Walks &amp; Trails","scenicwalks",
"Nature &amp; Wildlife Exploration","natureexploration",
"Coastal Adventures","coastaladventure",
"Rideable Routes","wheelsroutes",
)))</f>
        <v>#REF!</v>
      </c>
    </row>
    <row r="68">
      <c r="A68" s="226" t="str">
        <f t="array" ref="A68">TRANSPOSE(INDIRECT(SWITCH(Routes!B32,
"Scenic Walks &amp; Trails","scenicwalks",
"Nature &amp; Wildlife Exploration","natureexploration",
"Coastal Adventures","coastaladventure",
"Rideable Routes","wheelsroutes",
)))</f>
        <v>#REF!</v>
      </c>
    </row>
    <row r="69">
      <c r="A69" s="226" t="str">
        <f t="array" ref="A69">TRANSPOSE(INDIRECT(SWITCH(Routes!B33,
"Scenic Walks &amp; Trails","scenicwalks",
"Nature &amp; Wildlife Exploration","natureexploration",
"Coastal Adventures","coastaladventure",
"Rideable Routes","wheelsroutes",
)))</f>
        <v>#REF!</v>
      </c>
    </row>
    <row r="70">
      <c r="A70" s="226" t="str">
        <f t="array" ref="A70">TRANSPOSE(INDIRECT(SWITCH(Routes!B34,
"Scenic Walks &amp; Trails","scenicwalks",
"Nature &amp; Wildlife Exploration","natureexploration",
"Coastal Adventures","coastaladventure",
"Rideable Routes","wheelsroutes",
)))</f>
        <v>#REF!</v>
      </c>
    </row>
    <row r="71">
      <c r="A71" s="226" t="str">
        <f t="array" ref="A71">TRANSPOSE(INDIRECT(SWITCH(Routes!B35,
"Scenic Walks &amp; Trails","scenicwalks",
"Nature &amp; Wildlife Exploration","natureexploration",
"Coastal Adventures","coastaladventure",
"Rideable Routes","wheelsroutes",
)))</f>
        <v>#REF!</v>
      </c>
    </row>
    <row r="72">
      <c r="A72" s="226" t="str">
        <f t="array" ref="A72">TRANSPOSE(INDIRECT(SWITCH(Routes!B36,
"Scenic Walks &amp; Trails","scenicwalks",
"Nature &amp; Wildlife Exploration","natureexploration",
"Coastal Adventures","coastaladventure",
"Rideable Routes","wheelsroutes",
)))</f>
        <v>#REF!</v>
      </c>
    </row>
    <row r="73">
      <c r="A73" s="226" t="str">
        <f t="array" ref="A73">TRANSPOSE(INDIRECT(SWITCH(Routes!B37,
"Scenic Walks &amp; Trails","scenicwalks",
"Nature &amp; Wildlife Exploration","natureexploration",
"Coastal Adventures","coastaladventure",
"Rideable Routes","wheelsroutes",
)))</f>
        <v>#REF!</v>
      </c>
    </row>
    <row r="74">
      <c r="A74" s="226" t="str">
        <f t="array" ref="A74">TRANSPOSE(INDIRECT(SWITCH(Routes!B38,
"Scenic Walks &amp; Trails","scenicwalks",
"Nature &amp; Wildlife Exploration","natureexploration",
"Coastal Adventures","coastaladventure",
"Rideable Routes","wheelsroutes",
)))</f>
        <v>#REF!</v>
      </c>
    </row>
    <row r="75">
      <c r="A75" s="226" t="str">
        <f t="array" ref="A75">TRANSPOSE(INDIRECT(SWITCH(Routes!B39,
"Scenic Walks &amp; Trails","scenicwalks",
"Nature &amp; Wildlife Exploration","natureexploration",
"Coastal Adventures","coastaladventure",
"Rideable Routes","wheelsroutes",
)))</f>
        <v>#REF!</v>
      </c>
    </row>
    <row r="76">
      <c r="A76" s="226" t="str">
        <f t="array" ref="A76">TRANSPOSE(INDIRECT(SWITCH(Routes!B40,
"Scenic Walks &amp; Trails","scenicwalks",
"Nature &amp; Wildlife Exploration","natureexploration",
"Coastal Adventures","coastaladventure",
"Rideable Routes","wheelsroutes",
)))</f>
        <v>#REF!</v>
      </c>
    </row>
    <row r="77">
      <c r="A77" s="226" t="str">
        <f t="array" ref="A77">TRANSPOSE(INDIRECT(SWITCH(Routes!B41,
"Scenic Walks &amp; Trails","scenicwalks",
"Nature &amp; Wildlife Exploration","natureexploration",
"Coastal Adventures","coastaladventure",
"Rideable Routes","wheelsroutes",
)))</f>
        <v>#REF!</v>
      </c>
    </row>
    <row r="78">
      <c r="A78" s="226" t="str">
        <f t="array" ref="A78">TRANSPOSE(INDIRECT(SWITCH(Routes!B42,
"Scenic Walks &amp; Trails","scenicwalks",
"Nature &amp; Wildlife Exploration","natureexploration",
"Coastal Adventures","coastaladventure",
"Rideable Routes","wheelsroutes",
)))</f>
        <v>#REF!</v>
      </c>
    </row>
    <row r="79">
      <c r="A79" s="226" t="str">
        <f t="shared" ref="A79:A90" si="2">TRANSPOSE(INDIRECT(SWITCH(#REF!,
"Scenic Walks &amp; Trails","scenicwalks",
"Nature &amp; Wildlife Exploration","natureexploration",
"Coastal Adventures","coastaladventure",
"Rideable Routes","wheelsroutes",
)))</f>
        <v>#REF!</v>
      </c>
    </row>
    <row r="80">
      <c r="A80" s="226" t="str">
        <f t="shared" si="2"/>
        <v>#REF!</v>
      </c>
    </row>
    <row r="81">
      <c r="A81" s="226" t="str">
        <f t="shared" si="2"/>
        <v>#REF!</v>
      </c>
    </row>
    <row r="82">
      <c r="A82" s="226" t="str">
        <f t="shared" si="2"/>
        <v>#REF!</v>
      </c>
    </row>
    <row r="83">
      <c r="A83" s="226" t="str">
        <f t="shared" si="2"/>
        <v>#REF!</v>
      </c>
    </row>
    <row r="84">
      <c r="A84" s="226" t="str">
        <f t="shared" si="2"/>
        <v>#REF!</v>
      </c>
    </row>
    <row r="85">
      <c r="A85" s="226" t="str">
        <f t="shared" si="2"/>
        <v>#REF!</v>
      </c>
    </row>
    <row r="86">
      <c r="A86" s="226" t="str">
        <f t="shared" si="2"/>
        <v>#REF!</v>
      </c>
    </row>
    <row r="87">
      <c r="A87" s="226" t="str">
        <f t="shared" si="2"/>
        <v>#REF!</v>
      </c>
    </row>
    <row r="88">
      <c r="A88" s="226" t="str">
        <f t="shared" si="2"/>
        <v>#REF!</v>
      </c>
    </row>
    <row r="89">
      <c r="A89" s="226" t="str">
        <f t="shared" si="2"/>
        <v>#REF!</v>
      </c>
    </row>
    <row r="90">
      <c r="A90" s="226" t="str">
        <f t="shared" si="2"/>
        <v>#REF!</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5">
      <c r="A5" s="226" t="str">
        <f t="shared" ref="A5:A154" si="1">TRANSPOSE(INDIRECT(SWITCH(#REF!,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#REF!</v>
      </c>
    </row>
    <row r="6">
      <c r="A6" s="226" t="str">
        <f t="shared" si="1"/>
        <v>#REF!</v>
      </c>
    </row>
    <row r="7">
      <c r="A7" s="226" t="str">
        <f t="shared" si="1"/>
        <v>#REF!</v>
      </c>
    </row>
    <row r="8">
      <c r="A8" s="226" t="str">
        <f t="shared" si="1"/>
        <v>#REF!</v>
      </c>
    </row>
    <row r="9">
      <c r="A9" s="226" t="str">
        <f t="shared" si="1"/>
        <v>#REF!</v>
      </c>
    </row>
    <row r="10">
      <c r="A10" s="226" t="str">
        <f t="shared" si="1"/>
        <v>#REF!</v>
      </c>
    </row>
    <row r="11">
      <c r="A11" s="226" t="str">
        <f t="shared" si="1"/>
        <v>#REF!</v>
      </c>
    </row>
    <row r="12">
      <c r="A12" s="226" t="str">
        <f t="shared" si="1"/>
        <v>#REF!</v>
      </c>
    </row>
    <row r="13">
      <c r="A13" s="226" t="str">
        <f t="shared" si="1"/>
        <v>#REF!</v>
      </c>
    </row>
    <row r="14">
      <c r="A14" s="226" t="str">
        <f t="shared" si="1"/>
        <v>#REF!</v>
      </c>
    </row>
    <row r="15">
      <c r="A15" s="226" t="str">
        <f t="shared" si="1"/>
        <v>#REF!</v>
      </c>
    </row>
    <row r="16">
      <c r="A16" s="226" t="str">
        <f t="shared" si="1"/>
        <v>#REF!</v>
      </c>
    </row>
    <row r="17">
      <c r="A17" s="226" t="str">
        <f t="shared" si="1"/>
        <v>#REF!</v>
      </c>
    </row>
    <row r="18">
      <c r="A18" s="226" t="str">
        <f t="shared" si="1"/>
        <v>#REF!</v>
      </c>
    </row>
    <row r="19">
      <c r="A19" s="226" t="str">
        <f t="shared" si="1"/>
        <v>#REF!</v>
      </c>
    </row>
    <row r="20">
      <c r="A20" s="226" t="str">
        <f t="shared" si="1"/>
        <v>#REF!</v>
      </c>
    </row>
    <row r="21">
      <c r="A21" s="226" t="str">
        <f t="shared" si="1"/>
        <v>#REF!</v>
      </c>
    </row>
    <row r="22">
      <c r="A22" s="226" t="str">
        <f t="shared" si="1"/>
        <v>#REF!</v>
      </c>
    </row>
    <row r="23">
      <c r="A23" s="226" t="str">
        <f t="shared" si="1"/>
        <v>#REF!</v>
      </c>
    </row>
    <row r="24">
      <c r="A24" s="226" t="str">
        <f t="shared" si="1"/>
        <v>#REF!</v>
      </c>
    </row>
    <row r="25">
      <c r="A25" s="226" t="str">
        <f t="shared" si="1"/>
        <v>#REF!</v>
      </c>
    </row>
    <row r="26">
      <c r="A26" s="226" t="str">
        <f t="shared" si="1"/>
        <v>#REF!</v>
      </c>
    </row>
    <row r="27">
      <c r="A27" s="226" t="str">
        <f t="shared" si="1"/>
        <v>#REF!</v>
      </c>
    </row>
    <row r="28">
      <c r="A28" s="226" t="str">
        <f t="shared" si="1"/>
        <v>#REF!</v>
      </c>
    </row>
    <row r="29">
      <c r="A29" s="226" t="str">
        <f t="shared" si="1"/>
        <v>#REF!</v>
      </c>
    </row>
    <row r="30">
      <c r="A30" s="226" t="str">
        <f t="shared" si="1"/>
        <v>#REF!</v>
      </c>
    </row>
    <row r="31">
      <c r="A31" s="226" t="str">
        <f t="shared" si="1"/>
        <v>#REF!</v>
      </c>
    </row>
    <row r="32">
      <c r="A32" s="226" t="str">
        <f t="shared" si="1"/>
        <v>#REF!</v>
      </c>
    </row>
    <row r="33">
      <c r="A33" s="226" t="str">
        <f t="shared" si="1"/>
        <v>#REF!</v>
      </c>
    </row>
    <row r="34">
      <c r="A34" s="226" t="str">
        <f t="shared" si="1"/>
        <v>#REF!</v>
      </c>
    </row>
    <row r="35">
      <c r="A35" s="226" t="str">
        <f t="shared" si="1"/>
        <v>#REF!</v>
      </c>
    </row>
    <row r="36">
      <c r="A36" s="226" t="str">
        <f t="shared" si="1"/>
        <v>#REF!</v>
      </c>
    </row>
    <row r="37">
      <c r="A37" s="226" t="str">
        <f t="shared" si="1"/>
        <v>#REF!</v>
      </c>
    </row>
    <row r="38">
      <c r="A38" s="226" t="str">
        <f t="shared" si="1"/>
        <v>#REF!</v>
      </c>
    </row>
    <row r="39">
      <c r="A39" s="226" t="str">
        <f t="shared" si="1"/>
        <v>#REF!</v>
      </c>
    </row>
    <row r="40">
      <c r="A40" s="226" t="str">
        <f t="shared" si="1"/>
        <v>#REF!</v>
      </c>
    </row>
    <row r="41">
      <c r="A41" s="226" t="str">
        <f t="shared" si="1"/>
        <v>#REF!</v>
      </c>
    </row>
    <row r="42">
      <c r="A42" s="226" t="str">
        <f t="shared" si="1"/>
        <v>#REF!</v>
      </c>
    </row>
    <row r="43">
      <c r="A43" s="226" t="str">
        <f t="shared" si="1"/>
        <v>#REF!</v>
      </c>
    </row>
    <row r="44">
      <c r="A44" s="226" t="str">
        <f t="shared" si="1"/>
        <v>#REF!</v>
      </c>
    </row>
    <row r="45">
      <c r="A45" s="226" t="str">
        <f t="shared" si="1"/>
        <v>#REF!</v>
      </c>
    </row>
    <row r="46">
      <c r="A46" s="226" t="str">
        <f t="shared" si="1"/>
        <v>#REF!</v>
      </c>
    </row>
    <row r="47">
      <c r="A47" s="226" t="str">
        <f t="shared" si="1"/>
        <v>#REF!</v>
      </c>
    </row>
    <row r="48">
      <c r="A48" s="226" t="str">
        <f t="shared" si="1"/>
        <v>#REF!</v>
      </c>
    </row>
    <row r="49">
      <c r="A49" s="226" t="str">
        <f t="shared" si="1"/>
        <v>#REF!</v>
      </c>
    </row>
    <row r="50">
      <c r="A50" s="226" t="str">
        <f t="shared" si="1"/>
        <v>#REF!</v>
      </c>
    </row>
    <row r="51">
      <c r="A51" s="226" t="str">
        <f t="shared" si="1"/>
        <v>#REF!</v>
      </c>
    </row>
    <row r="52">
      <c r="A52" s="226" t="str">
        <f t="shared" si="1"/>
        <v>#REF!</v>
      </c>
    </row>
    <row r="53">
      <c r="A53" s="226" t="str">
        <f t="shared" si="1"/>
        <v>#REF!</v>
      </c>
    </row>
    <row r="54">
      <c r="A54" s="226" t="str">
        <f t="shared" si="1"/>
        <v>#REF!</v>
      </c>
    </row>
    <row r="55">
      <c r="A55" s="226" t="str">
        <f t="shared" si="1"/>
        <v>#REF!</v>
      </c>
    </row>
    <row r="56">
      <c r="A56" s="226" t="str">
        <f t="shared" si="1"/>
        <v>#REF!</v>
      </c>
    </row>
    <row r="57">
      <c r="A57" s="226" t="str">
        <f t="shared" si="1"/>
        <v>#REF!</v>
      </c>
    </row>
    <row r="58">
      <c r="A58" s="226" t="str">
        <f t="shared" si="1"/>
        <v>#REF!</v>
      </c>
    </row>
    <row r="59">
      <c r="A59" s="226" t="str">
        <f t="shared" si="1"/>
        <v>#REF!</v>
      </c>
    </row>
    <row r="60">
      <c r="A60" s="226" t="str">
        <f t="shared" si="1"/>
        <v>#REF!</v>
      </c>
    </row>
    <row r="61">
      <c r="A61" s="226" t="str">
        <f t="shared" si="1"/>
        <v>#REF!</v>
      </c>
    </row>
    <row r="62">
      <c r="A62" s="226" t="str">
        <f t="shared" si="1"/>
        <v>#REF!</v>
      </c>
    </row>
    <row r="63">
      <c r="A63" s="226" t="str">
        <f t="shared" si="1"/>
        <v>#REF!</v>
      </c>
    </row>
    <row r="64">
      <c r="A64" s="226" t="str">
        <f t="shared" si="1"/>
        <v>#REF!</v>
      </c>
    </row>
    <row r="65">
      <c r="A65" s="226" t="str">
        <f t="shared" si="1"/>
        <v>#REF!</v>
      </c>
    </row>
    <row r="66">
      <c r="A66" s="226" t="str">
        <f t="shared" si="1"/>
        <v>#REF!</v>
      </c>
    </row>
    <row r="67">
      <c r="A67" s="226" t="str">
        <f t="shared" si="1"/>
        <v>#REF!</v>
      </c>
    </row>
    <row r="68">
      <c r="A68" s="226" t="str">
        <f t="shared" si="1"/>
        <v>#REF!</v>
      </c>
    </row>
    <row r="69">
      <c r="A69" s="226" t="str">
        <f t="shared" si="1"/>
        <v>#REF!</v>
      </c>
    </row>
    <row r="70">
      <c r="A70" s="226" t="str">
        <f t="shared" si="1"/>
        <v>#REF!</v>
      </c>
    </row>
    <row r="71">
      <c r="A71" s="226" t="str">
        <f t="shared" si="1"/>
        <v>#REF!</v>
      </c>
    </row>
    <row r="72">
      <c r="A72" s="226" t="str">
        <f t="shared" si="1"/>
        <v>#REF!</v>
      </c>
    </row>
    <row r="73">
      <c r="A73" s="226" t="str">
        <f t="shared" si="1"/>
        <v>#REF!</v>
      </c>
    </row>
    <row r="74">
      <c r="A74" s="226" t="str">
        <f t="shared" si="1"/>
        <v>#REF!</v>
      </c>
    </row>
    <row r="75">
      <c r="A75" s="226" t="str">
        <f t="shared" si="1"/>
        <v>#REF!</v>
      </c>
    </row>
    <row r="76">
      <c r="A76" s="226" t="str">
        <f t="shared" si="1"/>
        <v>#REF!</v>
      </c>
    </row>
    <row r="77">
      <c r="A77" s="226" t="str">
        <f t="shared" si="1"/>
        <v>#REF!</v>
      </c>
    </row>
    <row r="78">
      <c r="A78" s="226" t="str">
        <f t="shared" si="1"/>
        <v>#REF!</v>
      </c>
    </row>
    <row r="79">
      <c r="A79" s="226" t="str">
        <f t="shared" si="1"/>
        <v>#REF!</v>
      </c>
    </row>
    <row r="80">
      <c r="A80" s="226" t="str">
        <f t="shared" si="1"/>
        <v>#REF!</v>
      </c>
    </row>
    <row r="81">
      <c r="A81" s="226" t="str">
        <f t="shared" si="1"/>
        <v>#REF!</v>
      </c>
    </row>
    <row r="82">
      <c r="A82" s="226" t="str">
        <f t="shared" si="1"/>
        <v>#REF!</v>
      </c>
    </row>
    <row r="83">
      <c r="A83" s="226" t="str">
        <f t="shared" si="1"/>
        <v>#REF!</v>
      </c>
    </row>
    <row r="84">
      <c r="A84" s="226" t="str">
        <f t="shared" si="1"/>
        <v>#REF!</v>
      </c>
    </row>
    <row r="85">
      <c r="A85" s="226" t="str">
        <f t="shared" si="1"/>
        <v>#REF!</v>
      </c>
    </row>
    <row r="86">
      <c r="A86" s="226" t="str">
        <f t="shared" si="1"/>
        <v>#REF!</v>
      </c>
    </row>
    <row r="87">
      <c r="A87" s="226" t="str">
        <f t="shared" si="1"/>
        <v>#REF!</v>
      </c>
    </row>
    <row r="88">
      <c r="A88" s="226" t="str">
        <f t="shared" si="1"/>
        <v>#REF!</v>
      </c>
    </row>
    <row r="89">
      <c r="A89" s="226" t="str">
        <f t="shared" si="1"/>
        <v>#REF!</v>
      </c>
    </row>
    <row r="90">
      <c r="A90" s="226" t="str">
        <f t="shared" si="1"/>
        <v>#REF!</v>
      </c>
    </row>
    <row r="91">
      <c r="A91" s="226" t="str">
        <f t="shared" si="1"/>
        <v>#REF!</v>
      </c>
    </row>
    <row r="92">
      <c r="A92" s="226" t="str">
        <f t="shared" si="1"/>
        <v>#REF!</v>
      </c>
    </row>
    <row r="93">
      <c r="A93" s="226" t="str">
        <f t="shared" si="1"/>
        <v>#REF!</v>
      </c>
    </row>
    <row r="94">
      <c r="A94" s="226" t="str">
        <f t="shared" si="1"/>
        <v>#REF!</v>
      </c>
    </row>
    <row r="95">
      <c r="A95" s="226" t="str">
        <f t="shared" si="1"/>
        <v>#REF!</v>
      </c>
    </row>
    <row r="96">
      <c r="A96" s="226" t="str">
        <f t="shared" si="1"/>
        <v>#REF!</v>
      </c>
    </row>
    <row r="97">
      <c r="A97" s="226" t="str">
        <f t="shared" si="1"/>
        <v>#REF!</v>
      </c>
    </row>
    <row r="98">
      <c r="A98" s="226" t="str">
        <f t="shared" si="1"/>
        <v>#REF!</v>
      </c>
    </row>
    <row r="99">
      <c r="A99" s="226" t="str">
        <f t="shared" si="1"/>
        <v>#REF!</v>
      </c>
    </row>
    <row r="100">
      <c r="A100" s="226" t="str">
        <f t="shared" si="1"/>
        <v>#REF!</v>
      </c>
    </row>
    <row r="101">
      <c r="A101" s="226" t="str">
        <f t="shared" si="1"/>
        <v>#REF!</v>
      </c>
    </row>
    <row r="102">
      <c r="A102" s="226" t="str">
        <f t="shared" si="1"/>
        <v>#REF!</v>
      </c>
    </row>
    <row r="103">
      <c r="A103" s="226" t="str">
        <f t="shared" si="1"/>
        <v>#REF!</v>
      </c>
    </row>
    <row r="104">
      <c r="A104" s="226" t="str">
        <f t="shared" si="1"/>
        <v>#REF!</v>
      </c>
    </row>
    <row r="105">
      <c r="A105" s="226" t="str">
        <f t="shared" si="1"/>
        <v>#REF!</v>
      </c>
    </row>
    <row r="106">
      <c r="A106" s="226" t="str">
        <f t="shared" si="1"/>
        <v>#REF!</v>
      </c>
    </row>
    <row r="107">
      <c r="A107" s="226" t="str">
        <f t="shared" si="1"/>
        <v>#REF!</v>
      </c>
    </row>
    <row r="108">
      <c r="A108" s="226" t="str">
        <f t="shared" si="1"/>
        <v>#REF!</v>
      </c>
    </row>
    <row r="109">
      <c r="A109" s="226" t="str">
        <f t="shared" si="1"/>
        <v>#REF!</v>
      </c>
    </row>
    <row r="110">
      <c r="A110" s="226" t="str">
        <f t="shared" si="1"/>
        <v>#REF!</v>
      </c>
    </row>
    <row r="111">
      <c r="A111" s="226" t="str">
        <f t="shared" si="1"/>
        <v>#REF!</v>
      </c>
    </row>
    <row r="112">
      <c r="A112" s="226" t="str">
        <f t="shared" si="1"/>
        <v>#REF!</v>
      </c>
    </row>
    <row r="113">
      <c r="A113" s="226" t="str">
        <f t="shared" si="1"/>
        <v>#REF!</v>
      </c>
    </row>
    <row r="114">
      <c r="A114" s="226" t="str">
        <f t="shared" si="1"/>
        <v>#REF!</v>
      </c>
    </row>
    <row r="115">
      <c r="A115" s="226" t="str">
        <f t="shared" si="1"/>
        <v>#REF!</v>
      </c>
    </row>
    <row r="116">
      <c r="A116" s="226" t="str">
        <f t="shared" si="1"/>
        <v>#REF!</v>
      </c>
    </row>
    <row r="117">
      <c r="A117" s="226" t="str">
        <f t="shared" si="1"/>
        <v>#REF!</v>
      </c>
    </row>
    <row r="118">
      <c r="A118" s="226" t="str">
        <f t="shared" si="1"/>
        <v>#REF!</v>
      </c>
    </row>
    <row r="119">
      <c r="A119" s="226" t="str">
        <f t="shared" si="1"/>
        <v>#REF!</v>
      </c>
    </row>
    <row r="120">
      <c r="A120" s="226" t="str">
        <f t="shared" si="1"/>
        <v>#REF!</v>
      </c>
    </row>
    <row r="121">
      <c r="A121" s="226" t="str">
        <f t="shared" si="1"/>
        <v>#REF!</v>
      </c>
    </row>
    <row r="122">
      <c r="A122" s="226" t="str">
        <f t="shared" si="1"/>
        <v>#REF!</v>
      </c>
    </row>
    <row r="123">
      <c r="A123" s="226" t="str">
        <f t="shared" si="1"/>
        <v>#REF!</v>
      </c>
    </row>
    <row r="124">
      <c r="A124" s="226" t="str">
        <f t="shared" si="1"/>
        <v>#REF!</v>
      </c>
    </row>
    <row r="125">
      <c r="A125" s="226" t="str">
        <f t="shared" si="1"/>
        <v>#REF!</v>
      </c>
    </row>
    <row r="126">
      <c r="A126" s="226" t="str">
        <f t="shared" si="1"/>
        <v>#REF!</v>
      </c>
    </row>
    <row r="127">
      <c r="A127" s="226" t="str">
        <f t="shared" si="1"/>
        <v>#REF!</v>
      </c>
    </row>
    <row r="128">
      <c r="A128" s="226" t="str">
        <f t="shared" si="1"/>
        <v>#REF!</v>
      </c>
    </row>
    <row r="129">
      <c r="A129" s="226" t="str">
        <f t="shared" si="1"/>
        <v>#REF!</v>
      </c>
    </row>
    <row r="130">
      <c r="A130" s="226" t="str">
        <f t="shared" si="1"/>
        <v>#REF!</v>
      </c>
    </row>
    <row r="131">
      <c r="A131" s="226" t="str">
        <f t="shared" si="1"/>
        <v>#REF!</v>
      </c>
    </row>
    <row r="132">
      <c r="A132" s="226" t="str">
        <f t="shared" si="1"/>
        <v>#REF!</v>
      </c>
    </row>
    <row r="133">
      <c r="A133" s="226" t="str">
        <f t="shared" si="1"/>
        <v>#REF!</v>
      </c>
    </row>
    <row r="134">
      <c r="A134" s="226" t="str">
        <f t="shared" si="1"/>
        <v>#REF!</v>
      </c>
    </row>
    <row r="135">
      <c r="A135" s="226" t="str">
        <f t="shared" si="1"/>
        <v>#REF!</v>
      </c>
    </row>
    <row r="136">
      <c r="A136" s="226" t="str">
        <f t="shared" si="1"/>
        <v>#REF!</v>
      </c>
    </row>
    <row r="137">
      <c r="A137" s="226" t="str">
        <f t="shared" si="1"/>
        <v>#REF!</v>
      </c>
    </row>
    <row r="138">
      <c r="A138" s="226" t="str">
        <f t="shared" si="1"/>
        <v>#REF!</v>
      </c>
    </row>
    <row r="139">
      <c r="A139" s="226" t="str">
        <f t="shared" si="1"/>
        <v>#REF!</v>
      </c>
    </row>
    <row r="140">
      <c r="A140" s="226" t="str">
        <f t="shared" si="1"/>
        <v>#REF!</v>
      </c>
    </row>
    <row r="141">
      <c r="A141" s="226" t="str">
        <f t="shared" si="1"/>
        <v>#REF!</v>
      </c>
    </row>
    <row r="142">
      <c r="A142" s="226" t="str">
        <f t="shared" si="1"/>
        <v>#REF!</v>
      </c>
    </row>
    <row r="143">
      <c r="A143" s="226" t="str">
        <f t="shared" si="1"/>
        <v>#REF!</v>
      </c>
    </row>
    <row r="144">
      <c r="A144" s="226" t="str">
        <f t="shared" si="1"/>
        <v>#REF!</v>
      </c>
    </row>
    <row r="145">
      <c r="A145" s="226" t="str">
        <f t="shared" si="1"/>
        <v>#REF!</v>
      </c>
    </row>
    <row r="146">
      <c r="A146" s="226" t="str">
        <f t="shared" si="1"/>
        <v>#REF!</v>
      </c>
    </row>
    <row r="147">
      <c r="A147" s="226" t="str">
        <f t="shared" si="1"/>
        <v>#REF!</v>
      </c>
    </row>
    <row r="148">
      <c r="A148" s="226" t="str">
        <f t="shared" si="1"/>
        <v>#REF!</v>
      </c>
    </row>
    <row r="149">
      <c r="A149" s="226" t="str">
        <f t="shared" si="1"/>
        <v>#REF!</v>
      </c>
    </row>
    <row r="150">
      <c r="A150" s="226" t="str">
        <f t="shared" si="1"/>
        <v>#REF!</v>
      </c>
    </row>
    <row r="151">
      <c r="A151" s="226" t="str">
        <f t="shared" si="1"/>
        <v>#REF!</v>
      </c>
    </row>
    <row r="152">
      <c r="A152" s="226" t="str">
        <f t="shared" si="1"/>
        <v>#REF!</v>
      </c>
    </row>
    <row r="153">
      <c r="A153" s="226" t="str">
        <f t="shared" si="1"/>
        <v>#REF!</v>
      </c>
    </row>
    <row r="154">
      <c r="A154" s="226" t="str">
        <f t="shared" si="1"/>
        <v>#REF!</v>
      </c>
    </row>
    <row r="155">
      <c r="A155" s="226" t="str">
        <f t="array" ref="A155">TRANSPOSE(INDIRECT(SWITCH(Venues!B34,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c r="B155" s="226"/>
      <c r="C155" s="226"/>
      <c r="D155" s="226"/>
      <c r="E155" s="226"/>
      <c r="F155" s="226"/>
      <c r="G155" s="226"/>
    </row>
    <row r="156">
      <c r="A156" s="226" t="str">
        <f t="array" ref="A156">TRANSPOSE(INDIRECT(SWITCH(Venues!B35,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c r="B156" s="226"/>
      <c r="C156" s="226"/>
      <c r="D156" s="226"/>
      <c r="E156" s="226"/>
      <c r="F156" s="226"/>
      <c r="G156" s="226"/>
      <c r="H156" s="226"/>
      <c r="I156" s="226"/>
      <c r="J156" s="226"/>
      <c r="K156" s="226"/>
      <c r="L156" s="226"/>
    </row>
    <row r="157">
      <c r="A157" s="226" t="str">
        <f t="array" ref="A157">TRANSPOSE(INDIRECT(SWITCH(Venues!B36,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c r="B157" s="226"/>
      <c r="C157" s="226"/>
      <c r="D157" s="226"/>
      <c r="E157" s="226"/>
      <c r="F157" s="226"/>
    </row>
    <row r="158">
      <c r="A158" s="226" t="str">
        <f t="array" ref="A158">TRANSPOSE(INDIRECT(SWITCH(Venues!B37,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59">
      <c r="A159" s="226" t="str">
        <f t="array" ref="A159">TRANSPOSE(INDIRECT(SWITCH(Venues!B38,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60">
      <c r="A160" s="226" t="str">
        <f t="array" ref="A160">TRANSPOSE(INDIRECT(SWITCH(Venues!B39,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61">
      <c r="A161" s="226" t="str">
        <f t="array" ref="A161">TRANSPOSE(INDIRECT(SWITCH(Venues!B40,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62">
      <c r="A162" s="226" t="str">
        <f t="array" ref="A162">TRANSPOSE(INDIRECT(SWITCH(Venues!B41,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63">
      <c r="A163" s="226" t="str">
        <f t="array" ref="A163">TRANSPOSE(INDIRECT(SWITCH(Venues!B42,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64">
      <c r="A164" s="226" t="str">
        <f t="array" ref="A164">TRANSPOSE(INDIRECT(SWITCH(Venues!B43,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65">
      <c r="A165" s="226" t="str">
        <f t="array" ref="A165">TRANSPOSE(INDIRECT(SWITCH(Venues!B44,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66">
      <c r="A166" s="226" t="str">
        <f t="array" ref="A166">TRANSPOSE(INDIRECT(SWITCH(Venues!B45,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67">
      <c r="A167" s="226" t="str">
        <f t="array" ref="A167">TRANSPOSE(INDIRECT(SWITCH(Venues!B46,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68">
      <c r="A168" s="226" t="str">
        <f t="array" ref="A168">TRANSPOSE(INDIRECT(SWITCH(Venues!B47,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69">
      <c r="A169" s="226" t="str">
        <f t="array" ref="A169">TRANSPOSE(INDIRECT(SWITCH(Venues!B48,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70">
      <c r="A170" s="226" t="str">
        <f t="array" ref="A170">TRANSPOSE(INDIRECT(SWITCH(Venues!B49,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71">
      <c r="A171" s="226" t="str">
        <f t="array" ref="A171">TRANSPOSE(INDIRECT(SWITCH(Venues!B50,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72">
      <c r="A172" s="226" t="str">
        <f t="array" ref="A172">TRANSPOSE(INDIRECT(SWITCH(Venues!B51,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73">
      <c r="A173" s="226" t="str">
        <f t="array" ref="A173">TRANSPOSE(INDIRECT(SWITCH(Venues!B52,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74">
      <c r="A174" s="226" t="str">
        <f t="array" ref="A174">TRANSPOSE(INDIRECT(SWITCH(Venues!B53,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75">
      <c r="A175" s="226" t="str">
        <f t="array" ref="A175">TRANSPOSE(INDIRECT(SWITCH(Venues!B54,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76">
      <c r="A176" s="226" t="str">
        <f t="array" ref="A176">TRANSPOSE(INDIRECT(SWITCH(Venues!B55,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77">
      <c r="A177" s="226" t="str">
        <f t="array" ref="A177">TRANSPOSE(INDIRECT(SWITCH(Venues!B56,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78">
      <c r="A178" s="226" t="str">
        <f t="array" ref="A178">TRANSPOSE(INDIRECT(SWITCH(Venues!B57,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79">
      <c r="A179" s="226" t="str">
        <f t="array" ref="A179">TRANSPOSE(INDIRECT(SWITCH(Venues!B58,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5">
      <c r="A5" s="226" t="str">
        <f t="array" ref="A5">TRANSPOSE(INDIRECT(SWITCH('Old Events'!B7,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"Seasonal", "seasonal",
)))</f>
        <v>#REF!</v>
      </c>
    </row>
    <row r="6">
      <c r="A6" s="226" t="str">
        <f t="shared" ref="A6:A37" si="1">TRANSPOSE(INDIRECT(SWITCH(#REF!,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"Seasonal", "seasonal",
)))</f>
        <v>#REF!</v>
      </c>
    </row>
    <row r="7">
      <c r="A7" s="226" t="str">
        <f t="shared" si="1"/>
        <v>#REF!</v>
      </c>
    </row>
    <row r="8">
      <c r="A8" s="226" t="str">
        <f t="shared" si="1"/>
        <v>#REF!</v>
      </c>
    </row>
    <row r="9">
      <c r="A9" s="226" t="str">
        <f t="shared" si="1"/>
        <v>#REF!</v>
      </c>
    </row>
    <row r="10">
      <c r="A10" s="226" t="str">
        <f t="shared" si="1"/>
        <v>#REF!</v>
      </c>
    </row>
    <row r="11">
      <c r="A11" s="226" t="str">
        <f t="shared" si="1"/>
        <v>#REF!</v>
      </c>
    </row>
    <row r="12">
      <c r="A12" s="226" t="str">
        <f t="shared" si="1"/>
        <v>#REF!</v>
      </c>
    </row>
    <row r="13">
      <c r="A13" s="226" t="str">
        <f t="shared" si="1"/>
        <v>#REF!</v>
      </c>
    </row>
    <row r="14">
      <c r="A14" s="226" t="str">
        <f t="shared" si="1"/>
        <v>#REF!</v>
      </c>
    </row>
    <row r="15">
      <c r="A15" s="226" t="str">
        <f t="shared" si="1"/>
        <v>#REF!</v>
      </c>
    </row>
    <row r="16">
      <c r="A16" s="226" t="str">
        <f t="shared" si="1"/>
        <v>#REF!</v>
      </c>
    </row>
    <row r="17">
      <c r="A17" s="226" t="str">
        <f t="shared" si="1"/>
        <v>#REF!</v>
      </c>
    </row>
    <row r="18">
      <c r="A18" s="226" t="str">
        <f t="shared" si="1"/>
        <v>#REF!</v>
      </c>
    </row>
    <row r="19">
      <c r="A19" s="226" t="str">
        <f t="shared" si="1"/>
        <v>#REF!</v>
      </c>
    </row>
    <row r="20">
      <c r="A20" s="226" t="str">
        <f t="shared" si="1"/>
        <v>#REF!</v>
      </c>
    </row>
    <row r="21">
      <c r="A21" s="226" t="str">
        <f t="shared" si="1"/>
        <v>#REF!</v>
      </c>
    </row>
    <row r="22">
      <c r="A22" s="226" t="str">
        <f t="shared" si="1"/>
        <v>#REF!</v>
      </c>
    </row>
    <row r="23">
      <c r="A23" s="226" t="str">
        <f t="shared" si="1"/>
        <v>#REF!</v>
      </c>
    </row>
    <row r="24">
      <c r="A24" s="226" t="str">
        <f t="shared" si="1"/>
        <v>#REF!</v>
      </c>
    </row>
    <row r="25">
      <c r="A25" s="226" t="str">
        <f t="shared" si="1"/>
        <v>#REF!</v>
      </c>
    </row>
    <row r="26">
      <c r="A26" s="226" t="str">
        <f t="shared" si="1"/>
        <v>#REF!</v>
      </c>
    </row>
    <row r="27">
      <c r="A27" s="226" t="str">
        <f t="shared" si="1"/>
        <v>#REF!</v>
      </c>
    </row>
    <row r="28">
      <c r="A28" s="226" t="str">
        <f t="shared" si="1"/>
        <v>#REF!</v>
      </c>
    </row>
    <row r="29">
      <c r="A29" s="226" t="str">
        <f t="shared" si="1"/>
        <v>#REF!</v>
      </c>
    </row>
    <row r="30">
      <c r="A30" s="226" t="str">
        <f t="shared" si="1"/>
        <v>#REF!</v>
      </c>
    </row>
    <row r="31">
      <c r="A31" s="226" t="str">
        <f t="shared" si="1"/>
        <v>#REF!</v>
      </c>
    </row>
    <row r="32">
      <c r="A32" s="226" t="str">
        <f t="shared" si="1"/>
        <v>#REF!</v>
      </c>
    </row>
    <row r="33">
      <c r="A33" s="226" t="str">
        <f t="shared" si="1"/>
        <v>#REF!</v>
      </c>
    </row>
    <row r="34">
      <c r="A34" s="226" t="str">
        <f t="shared" si="1"/>
        <v>#REF!</v>
      </c>
    </row>
    <row r="35">
      <c r="A35" s="226" t="str">
        <f t="shared" si="1"/>
        <v>#REF!</v>
      </c>
    </row>
    <row r="36">
      <c r="A36" s="226" t="str">
        <f t="shared" si="1"/>
        <v>#REF!</v>
      </c>
    </row>
    <row r="37">
      <c r="A37" s="226" t="str">
        <f t="shared" si="1"/>
        <v>#REF!</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5">
      <c r="A5" s="226" t="str">
        <f t="shared" ref="A5:A87" si="1">TRANSPOSE(INDIRECT(SWITCH(#REF!,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6">
      <c r="A6" s="226" t="str">
        <f t="shared" si="1"/>
        <v>#REF!</v>
      </c>
      <c r="B6" s="226"/>
      <c r="C6" s="226"/>
      <c r="D6" s="226"/>
      <c r="E6" s="226"/>
      <c r="F6" s="226"/>
      <c r="G6" s="226"/>
      <c r="H6" s="226"/>
      <c r="I6" s="226"/>
      <c r="J6" s="226"/>
      <c r="K6" s="226"/>
      <c r="L6" s="226"/>
      <c r="M6" s="226"/>
      <c r="N6" s="226"/>
      <c r="O6" s="226"/>
      <c r="P6" s="226"/>
      <c r="Q6" s="226"/>
      <c r="R6" s="226"/>
      <c r="S6" s="226"/>
      <c r="T6" s="226"/>
      <c r="U6" s="226"/>
      <c r="V6" s="226"/>
      <c r="W6" s="226"/>
      <c r="X6" s="226"/>
      <c r="Y6" s="226"/>
      <c r="Z6" s="226"/>
      <c r="AA6" s="226"/>
      <c r="AB6" s="226"/>
    </row>
    <row r="7">
      <c r="A7" s="226" t="str">
        <f t="shared" si="1"/>
        <v>#REF!</v>
      </c>
    </row>
    <row r="8">
      <c r="A8" s="226" t="str">
        <f t="shared" si="1"/>
        <v>#REF!</v>
      </c>
    </row>
    <row r="9">
      <c r="A9" s="226" t="str">
        <f t="shared" si="1"/>
        <v>#REF!</v>
      </c>
    </row>
    <row r="10">
      <c r="A10" s="226" t="str">
        <f t="shared" si="1"/>
        <v>#REF!</v>
      </c>
    </row>
    <row r="11">
      <c r="A11" s="226" t="str">
        <f t="shared" si="1"/>
        <v>#REF!</v>
      </c>
    </row>
    <row r="12">
      <c r="A12" s="226" t="str">
        <f t="shared" si="1"/>
        <v>#REF!</v>
      </c>
    </row>
    <row r="13">
      <c r="A13" s="226" t="str">
        <f t="shared" si="1"/>
        <v>#REF!</v>
      </c>
    </row>
    <row r="14">
      <c r="A14" s="226" t="str">
        <f t="shared" si="1"/>
        <v>#REF!</v>
      </c>
    </row>
    <row r="15">
      <c r="A15" s="226" t="str">
        <f t="shared" si="1"/>
        <v>#REF!</v>
      </c>
    </row>
    <row r="16">
      <c r="A16" s="226" t="str">
        <f t="shared" si="1"/>
        <v>#REF!</v>
      </c>
    </row>
    <row r="17">
      <c r="A17" s="226" t="str">
        <f t="shared" si="1"/>
        <v>#REF!</v>
      </c>
    </row>
    <row r="18">
      <c r="A18" s="226" t="str">
        <f t="shared" si="1"/>
        <v>#REF!</v>
      </c>
    </row>
    <row r="19">
      <c r="A19" s="226" t="str">
        <f t="shared" si="1"/>
        <v>#REF!</v>
      </c>
    </row>
    <row r="20">
      <c r="A20" s="226" t="str">
        <f t="shared" si="1"/>
        <v>#REF!</v>
      </c>
    </row>
    <row r="21">
      <c r="A21" s="226" t="str">
        <f t="shared" si="1"/>
        <v>#REF!</v>
      </c>
    </row>
    <row r="22">
      <c r="A22" s="226" t="str">
        <f t="shared" si="1"/>
        <v>#REF!</v>
      </c>
    </row>
    <row r="23">
      <c r="A23" s="226" t="str">
        <f t="shared" si="1"/>
        <v>#REF!</v>
      </c>
    </row>
    <row r="24">
      <c r="A24" s="226" t="str">
        <f t="shared" si="1"/>
        <v>#REF!</v>
      </c>
    </row>
    <row r="25">
      <c r="A25" s="226" t="str">
        <f t="shared" si="1"/>
        <v>#REF!</v>
      </c>
    </row>
    <row r="26">
      <c r="A26" s="226" t="str">
        <f t="shared" si="1"/>
        <v>#REF!</v>
      </c>
    </row>
    <row r="27">
      <c r="A27" s="226" t="str">
        <f t="shared" si="1"/>
        <v>#REF!</v>
      </c>
    </row>
    <row r="28">
      <c r="A28" s="226" t="str">
        <f t="shared" si="1"/>
        <v>#REF!</v>
      </c>
    </row>
    <row r="29">
      <c r="A29" s="226" t="str">
        <f t="shared" si="1"/>
        <v>#REF!</v>
      </c>
    </row>
    <row r="30">
      <c r="A30" s="226" t="str">
        <f t="shared" si="1"/>
        <v>#REF!</v>
      </c>
    </row>
    <row r="31">
      <c r="A31" s="226" t="str">
        <f t="shared" si="1"/>
        <v>#REF!</v>
      </c>
    </row>
    <row r="32">
      <c r="A32" s="226" t="str">
        <f t="shared" si="1"/>
        <v>#REF!</v>
      </c>
    </row>
    <row r="33">
      <c r="A33" s="226" t="str">
        <f t="shared" si="1"/>
        <v>#REF!</v>
      </c>
    </row>
    <row r="34">
      <c r="A34" s="226" t="str">
        <f t="shared" si="1"/>
        <v>#REF!</v>
      </c>
    </row>
    <row r="35">
      <c r="A35" s="226" t="str">
        <f t="shared" si="1"/>
        <v>#REF!</v>
      </c>
    </row>
    <row r="36">
      <c r="A36" s="226" t="str">
        <f t="shared" si="1"/>
        <v>#REF!</v>
      </c>
    </row>
    <row r="37">
      <c r="A37" s="226" t="str">
        <f t="shared" si="1"/>
        <v>#REF!</v>
      </c>
    </row>
    <row r="38">
      <c r="A38" s="226" t="str">
        <f t="shared" si="1"/>
        <v>#REF!</v>
      </c>
    </row>
    <row r="39">
      <c r="A39" s="226" t="str">
        <f t="shared" si="1"/>
        <v>#REF!</v>
      </c>
    </row>
    <row r="40">
      <c r="A40" s="226" t="str">
        <f t="shared" si="1"/>
        <v>#REF!</v>
      </c>
    </row>
    <row r="41">
      <c r="A41" s="226" t="str">
        <f t="shared" si="1"/>
        <v>#REF!</v>
      </c>
    </row>
    <row r="42">
      <c r="A42" s="226" t="str">
        <f t="shared" si="1"/>
        <v>#REF!</v>
      </c>
    </row>
    <row r="43">
      <c r="A43" s="226" t="str">
        <f t="shared" si="1"/>
        <v>#REF!</v>
      </c>
    </row>
    <row r="44">
      <c r="A44" s="226" t="str">
        <f t="shared" si="1"/>
        <v>#REF!</v>
      </c>
    </row>
    <row r="45">
      <c r="A45" s="226" t="str">
        <f t="shared" si="1"/>
        <v>#REF!</v>
      </c>
    </row>
    <row r="46">
      <c r="A46" s="226" t="str">
        <f t="shared" si="1"/>
        <v>#REF!</v>
      </c>
    </row>
    <row r="47">
      <c r="A47" s="226" t="str">
        <f t="shared" si="1"/>
        <v>#REF!</v>
      </c>
    </row>
    <row r="48">
      <c r="A48" s="226" t="str">
        <f t="shared" si="1"/>
        <v>#REF!</v>
      </c>
    </row>
    <row r="49">
      <c r="A49" s="226" t="str">
        <f t="shared" si="1"/>
        <v>#REF!</v>
      </c>
    </row>
    <row r="50">
      <c r="A50" s="226" t="str">
        <f t="shared" si="1"/>
        <v>#REF!</v>
      </c>
    </row>
    <row r="51">
      <c r="A51" s="226" t="str">
        <f t="shared" si="1"/>
        <v>#REF!</v>
      </c>
    </row>
    <row r="52">
      <c r="A52" s="226" t="str">
        <f t="shared" si="1"/>
        <v>#REF!</v>
      </c>
    </row>
    <row r="53">
      <c r="A53" s="226" t="str">
        <f t="shared" si="1"/>
        <v>#REF!</v>
      </c>
    </row>
    <row r="54">
      <c r="A54" s="226" t="str">
        <f t="shared" si="1"/>
        <v>#REF!</v>
      </c>
    </row>
    <row r="55">
      <c r="A55" s="226" t="str">
        <f t="shared" si="1"/>
        <v>#REF!</v>
      </c>
    </row>
    <row r="56">
      <c r="A56" s="226" t="str">
        <f t="shared" si="1"/>
        <v>#REF!</v>
      </c>
    </row>
    <row r="57">
      <c r="A57" s="226" t="str">
        <f t="shared" si="1"/>
        <v>#REF!</v>
      </c>
    </row>
    <row r="58">
      <c r="A58" s="226" t="str">
        <f t="shared" si="1"/>
        <v>#REF!</v>
      </c>
    </row>
    <row r="59">
      <c r="A59" s="226" t="str">
        <f t="shared" si="1"/>
        <v>#REF!</v>
      </c>
    </row>
    <row r="60">
      <c r="A60" s="226" t="str">
        <f t="shared" si="1"/>
        <v>#REF!</v>
      </c>
    </row>
    <row r="61">
      <c r="A61" s="226" t="str">
        <f t="shared" si="1"/>
        <v>#REF!</v>
      </c>
    </row>
    <row r="62">
      <c r="A62" s="226" t="str">
        <f t="shared" si="1"/>
        <v>#REF!</v>
      </c>
    </row>
    <row r="63">
      <c r="A63" s="226" t="str">
        <f t="shared" si="1"/>
        <v>#REF!</v>
      </c>
    </row>
    <row r="64">
      <c r="A64" s="226" t="str">
        <f t="shared" si="1"/>
        <v>#REF!</v>
      </c>
    </row>
    <row r="65">
      <c r="A65" s="226" t="str">
        <f t="shared" si="1"/>
        <v>#REF!</v>
      </c>
    </row>
    <row r="66">
      <c r="A66" s="226" t="str">
        <f t="shared" si="1"/>
        <v>#REF!</v>
      </c>
    </row>
    <row r="67">
      <c r="A67" s="226" t="str">
        <f t="shared" si="1"/>
        <v>#REF!</v>
      </c>
    </row>
    <row r="68">
      <c r="A68" s="226" t="str">
        <f t="shared" si="1"/>
        <v>#REF!</v>
      </c>
    </row>
    <row r="69">
      <c r="A69" s="226" t="str">
        <f t="shared" si="1"/>
        <v>#REF!</v>
      </c>
    </row>
    <row r="70">
      <c r="A70" s="226" t="str">
        <f t="shared" si="1"/>
        <v>#REF!</v>
      </c>
    </row>
    <row r="71">
      <c r="A71" s="226" t="str">
        <f t="shared" si="1"/>
        <v>#REF!</v>
      </c>
    </row>
    <row r="72">
      <c r="A72" s="226" t="str">
        <f t="shared" si="1"/>
        <v>#REF!</v>
      </c>
    </row>
    <row r="73">
      <c r="A73" s="226" t="str">
        <f t="shared" si="1"/>
        <v>#REF!</v>
      </c>
    </row>
    <row r="74">
      <c r="A74" s="226" t="str">
        <f t="shared" si="1"/>
        <v>#REF!</v>
      </c>
    </row>
    <row r="75">
      <c r="A75" s="226" t="str">
        <f t="shared" si="1"/>
        <v>#REF!</v>
      </c>
    </row>
    <row r="76">
      <c r="A76" s="226" t="str">
        <f t="shared" si="1"/>
        <v>#REF!</v>
      </c>
    </row>
    <row r="77">
      <c r="A77" s="226" t="str">
        <f t="shared" si="1"/>
        <v>#REF!</v>
      </c>
    </row>
    <row r="78">
      <c r="A78" s="226" t="str">
        <f t="shared" si="1"/>
        <v>#REF!</v>
      </c>
    </row>
    <row r="79">
      <c r="A79" s="226" t="str">
        <f t="shared" si="1"/>
        <v>#REF!</v>
      </c>
    </row>
    <row r="80">
      <c r="A80" s="226" t="str">
        <f t="shared" si="1"/>
        <v>#REF!</v>
      </c>
    </row>
    <row r="81">
      <c r="A81" s="226" t="str">
        <f t="shared" si="1"/>
        <v>#REF!</v>
      </c>
    </row>
    <row r="82">
      <c r="A82" s="226" t="str">
        <f t="shared" si="1"/>
        <v>#REF!</v>
      </c>
    </row>
    <row r="83">
      <c r="A83" s="226" t="str">
        <f t="shared" si="1"/>
        <v>#REF!</v>
      </c>
    </row>
    <row r="84">
      <c r="A84" s="226" t="str">
        <f t="shared" si="1"/>
        <v>#REF!</v>
      </c>
    </row>
    <row r="85">
      <c r="A85" s="226" t="str">
        <f t="shared" si="1"/>
        <v>#REF!</v>
      </c>
    </row>
    <row r="86">
      <c r="A86" s="226" t="str">
        <f t="shared" si="1"/>
        <v>#REF!</v>
      </c>
    </row>
    <row r="87">
      <c r="A87" s="226" t="str">
        <f t="shared" si="1"/>
        <v>#REF!</v>
      </c>
    </row>
    <row r="88">
      <c r="A88" s="226" t="str">
        <f t="array" ref="A88">TRANSPOSE(INDIRECT(SWITCH(Clubs!B31,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89">
      <c r="A89" s="226" t="str">
        <f t="array" ref="A89">TRANSPOSE(INDIRECT(SWITCH(Clubs!B32,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90">
      <c r="A90" s="226" t="str">
        <f t="array" ref="A90">TRANSPOSE(INDIRECT(SWITCH(Clubs!B33,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5">
      <c r="A5" s="226" t="str">
        <f t="array" ref="A5:S5">TRANSPOSE(INDIRECT(SWITCH(Routes!B22,
"Nature &amp; Wildlife Exploration","highlightsnature",
"Coastal Adventures","highlightscoastal",
"Rideable Routes","highlightswheels",
"Scenic Walks &amp; Trails","highlightswalks"
)))</f>
        <v>Rockpools</v>
      </c>
      <c r="B5" s="226" t="s">
        <v>1593</v>
      </c>
      <c r="C5" s="226" t="s">
        <v>1594</v>
      </c>
      <c r="D5" s="226" t="s">
        <v>1595</v>
      </c>
      <c r="E5" s="226" t="s">
        <v>1596</v>
      </c>
      <c r="F5" s="226" t="s">
        <v>1597</v>
      </c>
      <c r="G5" s="226" t="s">
        <v>1598</v>
      </c>
      <c r="H5" s="226" t="s">
        <v>1599</v>
      </c>
      <c r="I5" s="226" t="s">
        <v>1600</v>
      </c>
      <c r="J5" s="226" t="s">
        <v>1601</v>
      </c>
      <c r="K5" s="226" t="s">
        <v>1602</v>
      </c>
      <c r="L5" s="226" t="s">
        <v>1603</v>
      </c>
      <c r="M5" s="226" t="s">
        <v>1604</v>
      </c>
      <c r="N5" s="226" t="s">
        <v>1605</v>
      </c>
      <c r="O5" s="226" t="s">
        <v>1606</v>
      </c>
      <c r="P5" s="226" t="s">
        <v>1607</v>
      </c>
      <c r="Q5" s="226" t="s">
        <v>1608</v>
      </c>
      <c r="R5" s="226" t="s">
        <v>1609</v>
      </c>
      <c r="S5" s="226" t="s">
        <v>1610</v>
      </c>
    </row>
    <row r="6">
      <c r="A6" s="226" t="str">
        <f t="shared" ref="A6:A58" si="1">TRANSPOSE(INDIRECT(SWITCH(#REF!,
"Nature &amp; Wildlife Exploration","highlightsnature",
"Coastal Adventures","highlightscoastal",
"Rideable Routes","highlightswheels",
"Scenic Walks &amp; Trails","highlightswalks"
)))</f>
        <v>#REF!</v>
      </c>
    </row>
    <row r="7">
      <c r="A7" s="226" t="str">
        <f t="shared" si="1"/>
        <v>#REF!</v>
      </c>
    </row>
    <row r="8">
      <c r="A8" s="226" t="str">
        <f t="shared" si="1"/>
        <v>#REF!</v>
      </c>
    </row>
    <row r="9">
      <c r="A9" s="226" t="str">
        <f t="shared" si="1"/>
        <v>#REF!</v>
      </c>
    </row>
    <row r="10">
      <c r="A10" s="226" t="str">
        <f t="shared" si="1"/>
        <v>#REF!</v>
      </c>
    </row>
    <row r="11">
      <c r="A11" s="226" t="str">
        <f t="shared" si="1"/>
        <v>#REF!</v>
      </c>
    </row>
    <row r="12">
      <c r="A12" s="226" t="str">
        <f t="shared" si="1"/>
        <v>#REF!</v>
      </c>
    </row>
    <row r="13">
      <c r="A13" s="226" t="str">
        <f t="shared" si="1"/>
        <v>#REF!</v>
      </c>
    </row>
    <row r="14">
      <c r="A14" s="226" t="str">
        <f t="shared" si="1"/>
        <v>#REF!</v>
      </c>
    </row>
    <row r="15">
      <c r="A15" s="226" t="str">
        <f t="shared" si="1"/>
        <v>#REF!</v>
      </c>
    </row>
    <row r="16">
      <c r="A16" s="226" t="str">
        <f t="shared" si="1"/>
        <v>#REF!</v>
      </c>
    </row>
    <row r="17">
      <c r="A17" s="226" t="str">
        <f t="shared" si="1"/>
        <v>#REF!</v>
      </c>
    </row>
    <row r="18">
      <c r="A18" s="226" t="str">
        <f t="shared" si="1"/>
        <v>#REF!</v>
      </c>
    </row>
    <row r="19">
      <c r="A19" s="226" t="str">
        <f t="shared" si="1"/>
        <v>#REF!</v>
      </c>
    </row>
    <row r="20">
      <c r="A20" s="226" t="str">
        <f t="shared" si="1"/>
        <v>#REF!</v>
      </c>
    </row>
    <row r="21">
      <c r="A21" s="226" t="str">
        <f t="shared" si="1"/>
        <v>#REF!</v>
      </c>
    </row>
    <row r="22">
      <c r="A22" s="226" t="str">
        <f t="shared" si="1"/>
        <v>#REF!</v>
      </c>
    </row>
    <row r="23">
      <c r="A23" s="226" t="str">
        <f t="shared" si="1"/>
        <v>#REF!</v>
      </c>
    </row>
    <row r="24">
      <c r="A24" s="226" t="str">
        <f t="shared" si="1"/>
        <v>#REF!</v>
      </c>
    </row>
    <row r="25">
      <c r="A25" s="226" t="str">
        <f t="shared" si="1"/>
        <v>#REF!</v>
      </c>
    </row>
    <row r="26">
      <c r="A26" s="226" t="str">
        <f t="shared" si="1"/>
        <v>#REF!</v>
      </c>
    </row>
    <row r="27">
      <c r="A27" s="226" t="str">
        <f t="shared" si="1"/>
        <v>#REF!</v>
      </c>
    </row>
    <row r="28">
      <c r="A28" s="226" t="str">
        <f t="shared" si="1"/>
        <v>#REF!</v>
      </c>
    </row>
    <row r="29">
      <c r="A29" s="226" t="str">
        <f t="shared" si="1"/>
        <v>#REF!</v>
      </c>
    </row>
    <row r="30">
      <c r="A30" s="226" t="str">
        <f t="shared" si="1"/>
        <v>#REF!</v>
      </c>
    </row>
    <row r="31">
      <c r="A31" s="226" t="str">
        <f t="shared" si="1"/>
        <v>#REF!</v>
      </c>
    </row>
    <row r="32">
      <c r="A32" s="226" t="str">
        <f t="shared" si="1"/>
        <v>#REF!</v>
      </c>
    </row>
    <row r="33">
      <c r="A33" s="226" t="str">
        <f t="shared" si="1"/>
        <v>#REF!</v>
      </c>
    </row>
    <row r="34">
      <c r="A34" s="226" t="str">
        <f t="shared" si="1"/>
        <v>#REF!</v>
      </c>
    </row>
    <row r="35">
      <c r="A35" s="226" t="str">
        <f t="shared" si="1"/>
        <v>#REF!</v>
      </c>
    </row>
    <row r="36">
      <c r="A36" s="226" t="str">
        <f t="shared" si="1"/>
        <v>#REF!</v>
      </c>
    </row>
    <row r="37">
      <c r="A37" s="226" t="str">
        <f t="shared" si="1"/>
        <v>#REF!</v>
      </c>
    </row>
    <row r="38">
      <c r="A38" s="226" t="str">
        <f t="shared" si="1"/>
        <v>#REF!</v>
      </c>
    </row>
    <row r="39">
      <c r="A39" s="226" t="str">
        <f t="shared" si="1"/>
        <v>#REF!</v>
      </c>
    </row>
    <row r="40">
      <c r="A40" s="226" t="str">
        <f t="shared" si="1"/>
        <v>#REF!</v>
      </c>
    </row>
    <row r="41">
      <c r="A41" s="226" t="str">
        <f t="shared" si="1"/>
        <v>#REF!</v>
      </c>
    </row>
    <row r="42">
      <c r="A42" s="226" t="str">
        <f t="shared" si="1"/>
        <v>#REF!</v>
      </c>
    </row>
    <row r="43">
      <c r="A43" s="226" t="str">
        <f t="shared" si="1"/>
        <v>#REF!</v>
      </c>
    </row>
    <row r="44">
      <c r="A44" s="226" t="str">
        <f t="shared" si="1"/>
        <v>#REF!</v>
      </c>
    </row>
    <row r="45">
      <c r="A45" s="226" t="str">
        <f t="shared" si="1"/>
        <v>#REF!</v>
      </c>
    </row>
    <row r="46">
      <c r="A46" s="226" t="str">
        <f t="shared" si="1"/>
        <v>#REF!</v>
      </c>
    </row>
    <row r="47">
      <c r="A47" s="226" t="str">
        <f t="shared" si="1"/>
        <v>#REF!</v>
      </c>
    </row>
    <row r="48">
      <c r="A48" s="226" t="str">
        <f t="shared" si="1"/>
        <v>#REF!</v>
      </c>
    </row>
    <row r="49">
      <c r="A49" s="226" t="str">
        <f t="shared" si="1"/>
        <v>#REF!</v>
      </c>
    </row>
    <row r="50">
      <c r="A50" s="226" t="str">
        <f t="shared" si="1"/>
        <v>#REF!</v>
      </c>
    </row>
    <row r="51">
      <c r="A51" s="226" t="str">
        <f t="shared" si="1"/>
        <v>#REF!</v>
      </c>
    </row>
    <row r="52">
      <c r="A52" s="226" t="str">
        <f t="shared" si="1"/>
        <v>#REF!</v>
      </c>
    </row>
    <row r="53">
      <c r="A53" s="226" t="str">
        <f t="shared" si="1"/>
        <v>#REF!</v>
      </c>
    </row>
    <row r="54">
      <c r="A54" s="226" t="str">
        <f t="shared" si="1"/>
        <v>#REF!</v>
      </c>
    </row>
    <row r="55">
      <c r="A55" s="226" t="str">
        <f t="shared" si="1"/>
        <v>#REF!</v>
      </c>
    </row>
    <row r="56">
      <c r="A56" s="226" t="str">
        <f t="shared" si="1"/>
        <v>#REF!</v>
      </c>
    </row>
    <row r="57">
      <c r="A57" s="226" t="str">
        <f t="shared" si="1"/>
        <v>#REF!</v>
      </c>
    </row>
    <row r="58">
      <c r="A58" s="226" t="str">
        <f t="shared" si="1"/>
        <v>#REF!</v>
      </c>
    </row>
    <row r="59">
      <c r="A59" s="226" t="str">
        <f t="array" ref="A59">TRANSPOSE(INDIRECT(SWITCH(Routes!B23,
"Nature &amp; Wildlife Exploration","highlightsnature",
"Coastal Adventures","highlightscoastal",
"Rideable Routes","highlightswheels",
"Scenic Walks &amp; Trails","highlightswalks"
)))</f>
        <v>#N/A</v>
      </c>
    </row>
    <row r="60">
      <c r="A60" s="226" t="str">
        <f t="array" ref="A60">TRANSPOSE(INDIRECT(SWITCH(Routes!B24,
"Nature &amp; Wildlife Exploration","highlightsnature",
"Coastal Adventures","highlightscoastal",
"Rideable Routes","highlightswheels",
"Scenic Walks &amp; Trails","highlightswalks"
)))</f>
        <v>#N/A</v>
      </c>
    </row>
    <row r="61">
      <c r="A61" s="226" t="str">
        <f t="array" ref="A61">TRANSPOSE(INDIRECT(SWITCH(Routes!B25,
"Nature &amp; Wildlife Exploration","highlightsnature",
"Coastal Adventures","highlightscoastal",
"Rideable Routes","highlightswheels",
"Scenic Walks &amp; Trails","highlightswalks"
)))</f>
        <v>#N/A</v>
      </c>
    </row>
    <row r="62">
      <c r="A62" s="226" t="str">
        <f t="array" ref="A62">TRANSPOSE(INDIRECT(SWITCH(Routes!B26,
"Nature &amp; Wildlife Exploration","highlightsnature",
"Coastal Adventures","highlightscoastal",
"Rideable Routes","highlightswheels",
"Scenic Walks &amp; Trails","highlightswalks"
)))</f>
        <v>#N/A</v>
      </c>
    </row>
    <row r="63">
      <c r="A63" s="226" t="str">
        <f t="array" ref="A63">TRANSPOSE(INDIRECT(SWITCH(Routes!B27,
"Nature &amp; Wildlife Exploration","highlightsnature",
"Coastal Adventures","highlightscoastal",
"Rideable Routes","highlightswheels",
"Scenic Walks &amp; Trails","highlightswalks"
)))</f>
        <v>#N/A</v>
      </c>
    </row>
    <row r="64">
      <c r="A64" s="226" t="str">
        <f t="array" ref="A64">TRANSPOSE(INDIRECT(SWITCH(Routes!B28,
"Nature &amp; Wildlife Exploration","highlightsnature",
"Coastal Adventures","highlightscoastal",
"Rideable Routes","highlightswheels",
"Scenic Walks &amp; Trails","highlightswalks"
)))</f>
        <v>#N/A</v>
      </c>
    </row>
    <row r="65">
      <c r="A65" s="226" t="str">
        <f t="array" ref="A65">TRANSPOSE(INDIRECT(SWITCH(Routes!B29,
"Nature &amp; Wildlife Exploration","highlightsnature",
"Coastal Adventures","highlightscoastal",
"Rideable Routes","highlightswheels",
"Scenic Walks &amp; Trails","highlightswalks"
)))</f>
        <v>#N/A</v>
      </c>
    </row>
    <row r="66">
      <c r="A66" s="226" t="str">
        <f t="shared" ref="A66:A90" si="2">TRANSPOSE(INDIRECT(SWITCH(#REF!,
"Nature &amp; Wildlife Exploration","highlightsnature",
"Coastal Adventures","highlightscoastal",
"Rideable Routes","highlightswheels",
"Scenic Walks &amp; Trails","highlightswalks"
)))</f>
        <v>#REF!</v>
      </c>
    </row>
    <row r="67">
      <c r="A67" s="226" t="str">
        <f t="shared" si="2"/>
        <v>#REF!</v>
      </c>
    </row>
    <row r="68">
      <c r="A68" s="226" t="str">
        <f t="shared" si="2"/>
        <v>#REF!</v>
      </c>
    </row>
    <row r="69">
      <c r="A69" s="226" t="str">
        <f t="shared" si="2"/>
        <v>#REF!</v>
      </c>
    </row>
    <row r="70">
      <c r="A70" s="226" t="str">
        <f t="shared" si="2"/>
        <v>#REF!</v>
      </c>
    </row>
    <row r="71">
      <c r="A71" s="226" t="str">
        <f t="shared" si="2"/>
        <v>#REF!</v>
      </c>
    </row>
    <row r="72">
      <c r="A72" s="226" t="str">
        <f t="shared" si="2"/>
        <v>#REF!</v>
      </c>
    </row>
    <row r="73">
      <c r="A73" s="226" t="str">
        <f t="shared" si="2"/>
        <v>#REF!</v>
      </c>
    </row>
    <row r="74">
      <c r="A74" s="226" t="str">
        <f t="shared" si="2"/>
        <v>#REF!</v>
      </c>
    </row>
    <row r="75">
      <c r="A75" s="226" t="str">
        <f t="shared" si="2"/>
        <v>#REF!</v>
      </c>
    </row>
    <row r="76">
      <c r="A76" s="226" t="str">
        <f t="shared" si="2"/>
        <v>#REF!</v>
      </c>
    </row>
    <row r="77">
      <c r="A77" s="226" t="str">
        <f t="shared" si="2"/>
        <v>#REF!</v>
      </c>
    </row>
    <row r="78">
      <c r="A78" s="226" t="str">
        <f t="shared" si="2"/>
        <v>#REF!</v>
      </c>
    </row>
    <row r="79">
      <c r="A79" s="226" t="str">
        <f t="shared" si="2"/>
        <v>#REF!</v>
      </c>
    </row>
    <row r="80">
      <c r="A80" s="226" t="str">
        <f t="shared" si="2"/>
        <v>#REF!</v>
      </c>
    </row>
    <row r="81">
      <c r="A81" s="226" t="str">
        <f t="shared" si="2"/>
        <v>#REF!</v>
      </c>
    </row>
    <row r="82">
      <c r="A82" s="226" t="str">
        <f t="shared" si="2"/>
        <v>#REF!</v>
      </c>
    </row>
    <row r="83">
      <c r="A83" s="226" t="str">
        <f t="shared" si="2"/>
        <v>#REF!</v>
      </c>
    </row>
    <row r="84">
      <c r="A84" s="226" t="str">
        <f t="shared" si="2"/>
        <v>#REF!</v>
      </c>
    </row>
    <row r="85">
      <c r="A85" s="226" t="str">
        <f t="shared" si="2"/>
        <v>#REF!</v>
      </c>
    </row>
    <row r="86">
      <c r="A86" s="226" t="str">
        <f t="shared" si="2"/>
        <v>#REF!</v>
      </c>
    </row>
    <row r="87">
      <c r="A87" s="226" t="str">
        <f t="shared" si="2"/>
        <v>#REF!</v>
      </c>
    </row>
    <row r="88">
      <c r="A88" s="226" t="str">
        <f t="shared" si="2"/>
        <v>#REF!</v>
      </c>
    </row>
    <row r="89">
      <c r="A89" s="226" t="str">
        <f t="shared" si="2"/>
        <v>#REF!</v>
      </c>
    </row>
    <row r="90">
      <c r="A90" s="226" t="str">
        <f t="shared" si="2"/>
        <v>#REF!</v>
      </c>
    </row>
    <row r="91">
      <c r="A91" s="226" t="str">
        <f t="array" ref="A91">TRANSPOSE(INDIRECT(SWITCH(Routes!B23,
"Nature &amp; Wildlife Exploration","highlightsnature",
"Coastal Adventures","highlightscoastal",
"Rideable Routes","highlightswheels",
"Scenic Walks &amp; Trails","highlightswalks"
)))</f>
        <v>#N/A</v>
      </c>
    </row>
    <row r="92">
      <c r="A92" s="226" t="str">
        <f t="array" ref="A92">TRANSPOSE(INDIRECT(SWITCH(Routes!B24,
"Nature &amp; Wildlife Exploration","highlightsnature",
"Coastal Adventures","highlightscoastal",
"Rideable Routes","highlightswheels",
"Scenic Walks &amp; Trails","highlightswalks"
)))</f>
        <v>#N/A</v>
      </c>
    </row>
    <row r="93">
      <c r="A93" s="226" t="str">
        <f t="array" ref="A93">TRANSPOSE(INDIRECT(SWITCH(Routes!B25,
"Nature &amp; Wildlife Exploration","highlightsnature",
"Coastal Adventures","highlightscoastal",
"Rideable Routes","highlightswheels",
"Scenic Walks &amp; Trails","highlightswalks"
)))</f>
        <v>#N/A</v>
      </c>
    </row>
    <row r="94">
      <c r="A94" s="226" t="str">
        <f t="array" ref="A94">TRANSPOSE(INDIRECT(SWITCH(Routes!B26,
"Nature &amp; Wildlife Exploration","highlightsnature",
"Coastal Adventures","highlightscoastal",
"Rideable Routes","highlightswheels",
"Scenic Walks &amp; Trails","highlightswalks"
)))</f>
        <v>#N/A</v>
      </c>
    </row>
    <row r="95">
      <c r="A95" s="226" t="str">
        <f t="array" ref="A95">TRANSPOSE(INDIRECT(SWITCH(Routes!B27,
"Nature &amp; Wildlife Exploration","highlightsnature",
"Coastal Adventures","highlightscoastal",
"Rideable Routes","highlightswheels",
"Scenic Walks &amp; Trails","highlightswalks"
)))</f>
        <v>#N/A</v>
      </c>
    </row>
    <row r="96">
      <c r="A96" s="226" t="str">
        <f t="array" ref="A96">TRANSPOSE(INDIRECT(SWITCH(Routes!B28,
"Nature &amp; Wildlife Exploration","highlightsnature",
"Coastal Adventures","highlightscoastal",
"Rideable Routes","highlightswheels",
"Scenic Walks &amp; Trails","highlightswalks"
)))</f>
        <v>#N/A</v>
      </c>
    </row>
    <row r="97">
      <c r="A97" s="226" t="str">
        <f t="array" ref="A97">TRANSPOSE(INDIRECT(SWITCH(Routes!B29,
"Nature &amp; Wildlife Exploration","highlightsnature",
"Coastal Adventures","highlightscoastal",
"Rideable Routes","highlightswheels",
"Scenic Walks &amp; Trails","highlightswalks"
)))</f>
        <v>#N/A</v>
      </c>
    </row>
    <row r="98">
      <c r="A98" s="226" t="str">
        <f t="array" ref="A98">TRANSPOSE(INDIRECT(SWITCH(Routes!B30,
"Nature &amp; Wildlife Exploration","highlightsnature",
"Coastal Adventures","highlightscoastal",
"Rideable Routes","highlightswheels",
"Scenic Walks &amp; Trails","highlightswalks"
)))</f>
        <v>#N/A</v>
      </c>
    </row>
    <row r="99">
      <c r="A99" s="226" t="str">
        <f t="array" ref="A99">TRANSPOSE(INDIRECT(SWITCH(Routes!B31,
"Nature &amp; Wildlife Exploration","highlightsnature",
"Coastal Adventures","highlightscoastal",
"Rideable Routes","highlightswheels",
"Scenic Walks &amp; Trails","highlightswalks"
)))</f>
        <v>#N/A</v>
      </c>
    </row>
    <row r="100">
      <c r="A100" s="226" t="str">
        <f t="array" ref="A100">TRANSPOSE(INDIRECT(SWITCH(Routes!B32,
"Nature &amp; Wildlife Exploration","highlightsnature",
"Coastal Adventures","highlightscoastal",
"Rideable Routes","highlightswheels",
"Scenic Walks &amp; Trails","highlightswalks"
)))</f>
        <v>#N/A</v>
      </c>
    </row>
    <row r="101">
      <c r="A101" s="226" t="str">
        <f t="array" ref="A101">TRANSPOSE(INDIRECT(SWITCH(Routes!B33,
"Nature &amp; Wildlife Exploration","highlightsnature",
"Coastal Adventures","highlightscoastal",
"Rideable Routes","highlightswheels",
"Scenic Walks &amp; Trails","highlightswalks"
)))</f>
        <v>#N/A</v>
      </c>
    </row>
    <row r="102">
      <c r="A102" s="226" t="str">
        <f t="array" ref="A102">TRANSPOSE(INDIRECT(SWITCH(Routes!B34,
"Nature &amp; Wildlife Exploration","highlightsnature",
"Coastal Adventures","highlightscoastal",
"Rideable Routes","highlightswheels",
"Scenic Walks &amp; Trails","highlightswalks"
)))</f>
        <v>#N/A</v>
      </c>
    </row>
    <row r="103">
      <c r="A103" s="226" t="str">
        <f t="array" ref="A103">TRANSPOSE(INDIRECT(SWITCH(Routes!B35,
"Nature &amp; Wildlife Exploration","highlightsnature",
"Coastal Adventures","highlightscoastal",
"Rideable Routes","highlightswheels",
"Scenic Walks &amp; Trails","highlightswalks"
)))</f>
        <v>#N/A</v>
      </c>
    </row>
    <row r="104">
      <c r="A104" s="226" t="str">
        <f t="array" ref="A104">TRANSPOSE(INDIRECT(SWITCH(Routes!B36,
"Nature &amp; Wildlife Exploration","highlightsnature",
"Coastal Adventures","highlightscoastal",
"Rideable Routes","highlightswheels",
"Scenic Walks &amp; Trails","highlightswalks"
)))</f>
        <v>#N/A</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5">
      <c r="A5" s="226" t="str">
        <f t="shared" ref="A5:A154" si="1">TRANSPOSE(INDIRECT(SWITCH(#REF!,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6">
      <c r="A6" s="226" t="str">
        <f t="shared" si="1"/>
        <v>#REF!</v>
      </c>
    </row>
    <row r="7">
      <c r="A7" s="226" t="str">
        <f t="shared" si="1"/>
        <v>#REF!</v>
      </c>
    </row>
    <row r="8">
      <c r="A8" s="226" t="str">
        <f t="shared" si="1"/>
        <v>#REF!</v>
      </c>
    </row>
    <row r="9">
      <c r="A9" s="226" t="str">
        <f t="shared" si="1"/>
        <v>#REF!</v>
      </c>
    </row>
    <row r="10">
      <c r="A10" s="226" t="str">
        <f t="shared" si="1"/>
        <v>#REF!</v>
      </c>
    </row>
    <row r="11">
      <c r="A11" s="226" t="str">
        <f t="shared" si="1"/>
        <v>#REF!</v>
      </c>
    </row>
    <row r="12">
      <c r="A12" s="226" t="str">
        <f t="shared" si="1"/>
        <v>#REF!</v>
      </c>
    </row>
    <row r="13">
      <c r="A13" s="226" t="str">
        <f t="shared" si="1"/>
        <v>#REF!</v>
      </c>
    </row>
    <row r="14">
      <c r="A14" s="226" t="str">
        <f t="shared" si="1"/>
        <v>#REF!</v>
      </c>
    </row>
    <row r="15">
      <c r="A15" s="226" t="str">
        <f t="shared" si="1"/>
        <v>#REF!</v>
      </c>
    </row>
    <row r="16">
      <c r="A16" s="226" t="str">
        <f t="shared" si="1"/>
        <v>#REF!</v>
      </c>
    </row>
    <row r="17">
      <c r="A17" s="226" t="str">
        <f t="shared" si="1"/>
        <v>#REF!</v>
      </c>
    </row>
    <row r="18">
      <c r="A18" s="226" t="str">
        <f t="shared" si="1"/>
        <v>#REF!</v>
      </c>
    </row>
    <row r="19">
      <c r="A19" s="226" t="str">
        <f t="shared" si="1"/>
        <v>#REF!</v>
      </c>
    </row>
    <row r="20">
      <c r="A20" s="226" t="str">
        <f t="shared" si="1"/>
        <v>#REF!</v>
      </c>
    </row>
    <row r="21">
      <c r="A21" s="226" t="str">
        <f t="shared" si="1"/>
        <v>#REF!</v>
      </c>
    </row>
    <row r="22">
      <c r="A22" s="226" t="str">
        <f t="shared" si="1"/>
        <v>#REF!</v>
      </c>
    </row>
    <row r="23">
      <c r="A23" s="226" t="str">
        <f t="shared" si="1"/>
        <v>#REF!</v>
      </c>
    </row>
    <row r="24">
      <c r="A24" s="226" t="str">
        <f t="shared" si="1"/>
        <v>#REF!</v>
      </c>
    </row>
    <row r="25">
      <c r="A25" s="226" t="str">
        <f t="shared" si="1"/>
        <v>#REF!</v>
      </c>
    </row>
    <row r="26">
      <c r="A26" s="226" t="str">
        <f t="shared" si="1"/>
        <v>#REF!</v>
      </c>
    </row>
    <row r="27">
      <c r="A27" s="226" t="str">
        <f t="shared" si="1"/>
        <v>#REF!</v>
      </c>
    </row>
    <row r="28">
      <c r="A28" s="226" t="str">
        <f t="shared" si="1"/>
        <v>#REF!</v>
      </c>
    </row>
    <row r="29">
      <c r="A29" s="226" t="str">
        <f t="shared" si="1"/>
        <v>#REF!</v>
      </c>
    </row>
    <row r="30">
      <c r="A30" s="226" t="str">
        <f t="shared" si="1"/>
        <v>#REF!</v>
      </c>
    </row>
    <row r="31">
      <c r="A31" s="226" t="str">
        <f t="shared" si="1"/>
        <v>#REF!</v>
      </c>
    </row>
    <row r="32">
      <c r="A32" s="226" t="str">
        <f t="shared" si="1"/>
        <v>#REF!</v>
      </c>
    </row>
    <row r="33">
      <c r="A33" s="226" t="str">
        <f t="shared" si="1"/>
        <v>#REF!</v>
      </c>
    </row>
    <row r="34">
      <c r="A34" s="226" t="str">
        <f t="shared" si="1"/>
        <v>#REF!</v>
      </c>
    </row>
    <row r="35">
      <c r="A35" s="226" t="str">
        <f t="shared" si="1"/>
        <v>#REF!</v>
      </c>
    </row>
    <row r="36">
      <c r="A36" s="226" t="str">
        <f t="shared" si="1"/>
        <v>#REF!</v>
      </c>
    </row>
    <row r="37">
      <c r="A37" s="226" t="str">
        <f t="shared" si="1"/>
        <v>#REF!</v>
      </c>
    </row>
    <row r="38">
      <c r="A38" s="226" t="str">
        <f t="shared" si="1"/>
        <v>#REF!</v>
      </c>
    </row>
    <row r="39">
      <c r="A39" s="226" t="str">
        <f t="shared" si="1"/>
        <v>#REF!</v>
      </c>
    </row>
    <row r="40">
      <c r="A40" s="226" t="str">
        <f t="shared" si="1"/>
        <v>#REF!</v>
      </c>
    </row>
    <row r="41">
      <c r="A41" s="226" t="str">
        <f t="shared" si="1"/>
        <v>#REF!</v>
      </c>
    </row>
    <row r="42">
      <c r="A42" s="226" t="str">
        <f t="shared" si="1"/>
        <v>#REF!</v>
      </c>
    </row>
    <row r="43">
      <c r="A43" s="226" t="str">
        <f t="shared" si="1"/>
        <v>#REF!</v>
      </c>
    </row>
    <row r="44">
      <c r="A44" s="226" t="str">
        <f t="shared" si="1"/>
        <v>#REF!</v>
      </c>
    </row>
    <row r="45">
      <c r="A45" s="226" t="str">
        <f t="shared" si="1"/>
        <v>#REF!</v>
      </c>
    </row>
    <row r="46">
      <c r="A46" s="226" t="str">
        <f t="shared" si="1"/>
        <v>#REF!</v>
      </c>
    </row>
    <row r="47">
      <c r="A47" s="226" t="str">
        <f t="shared" si="1"/>
        <v>#REF!</v>
      </c>
    </row>
    <row r="48">
      <c r="A48" s="226" t="str">
        <f t="shared" si="1"/>
        <v>#REF!</v>
      </c>
    </row>
    <row r="49">
      <c r="A49" s="226" t="str">
        <f t="shared" si="1"/>
        <v>#REF!</v>
      </c>
    </row>
    <row r="50">
      <c r="A50" s="226" t="str">
        <f t="shared" si="1"/>
        <v>#REF!</v>
      </c>
    </row>
    <row r="51">
      <c r="A51" s="226" t="str">
        <f t="shared" si="1"/>
        <v>#REF!</v>
      </c>
    </row>
    <row r="52">
      <c r="A52" s="226" t="str">
        <f t="shared" si="1"/>
        <v>#REF!</v>
      </c>
    </row>
    <row r="53">
      <c r="A53" s="226" t="str">
        <f t="shared" si="1"/>
        <v>#REF!</v>
      </c>
    </row>
    <row r="54">
      <c r="A54" s="226" t="str">
        <f t="shared" si="1"/>
        <v>#REF!</v>
      </c>
    </row>
    <row r="55">
      <c r="A55" s="226" t="str">
        <f t="shared" si="1"/>
        <v>#REF!</v>
      </c>
    </row>
    <row r="56">
      <c r="A56" s="226" t="str">
        <f t="shared" si="1"/>
        <v>#REF!</v>
      </c>
    </row>
    <row r="57">
      <c r="A57" s="226" t="str">
        <f t="shared" si="1"/>
        <v>#REF!</v>
      </c>
    </row>
    <row r="58">
      <c r="A58" s="226" t="str">
        <f t="shared" si="1"/>
        <v>#REF!</v>
      </c>
    </row>
    <row r="59">
      <c r="A59" s="226" t="str">
        <f t="shared" si="1"/>
        <v>#REF!</v>
      </c>
    </row>
    <row r="60">
      <c r="A60" s="226" t="str">
        <f t="shared" si="1"/>
        <v>#REF!</v>
      </c>
    </row>
    <row r="61">
      <c r="A61" s="226" t="str">
        <f t="shared" si="1"/>
        <v>#REF!</v>
      </c>
    </row>
    <row r="62">
      <c r="A62" s="226" t="str">
        <f t="shared" si="1"/>
        <v>#REF!</v>
      </c>
    </row>
    <row r="63">
      <c r="A63" s="226" t="str">
        <f t="shared" si="1"/>
        <v>#REF!</v>
      </c>
    </row>
    <row r="64">
      <c r="A64" s="226" t="str">
        <f t="shared" si="1"/>
        <v>#REF!</v>
      </c>
    </row>
    <row r="65">
      <c r="A65" s="226" t="str">
        <f t="shared" si="1"/>
        <v>#REF!</v>
      </c>
    </row>
    <row r="66">
      <c r="A66" s="226" t="str">
        <f t="shared" si="1"/>
        <v>#REF!</v>
      </c>
    </row>
    <row r="67">
      <c r="A67" s="226" t="str">
        <f t="shared" si="1"/>
        <v>#REF!</v>
      </c>
    </row>
    <row r="68">
      <c r="A68" s="226" t="str">
        <f t="shared" si="1"/>
        <v>#REF!</v>
      </c>
    </row>
    <row r="69">
      <c r="A69" s="226" t="str">
        <f t="shared" si="1"/>
        <v>#REF!</v>
      </c>
    </row>
    <row r="70">
      <c r="A70" s="226" t="str">
        <f t="shared" si="1"/>
        <v>#REF!</v>
      </c>
    </row>
    <row r="71">
      <c r="A71" s="226" t="str">
        <f t="shared" si="1"/>
        <v>#REF!</v>
      </c>
    </row>
    <row r="72">
      <c r="A72" s="226" t="str">
        <f t="shared" si="1"/>
        <v>#REF!</v>
      </c>
    </row>
    <row r="73">
      <c r="A73" s="226" t="str">
        <f t="shared" si="1"/>
        <v>#REF!</v>
      </c>
    </row>
    <row r="74">
      <c r="A74" s="226" t="str">
        <f t="shared" si="1"/>
        <v>#REF!</v>
      </c>
    </row>
    <row r="75">
      <c r="A75" s="226" t="str">
        <f t="shared" si="1"/>
        <v>#REF!</v>
      </c>
    </row>
    <row r="76">
      <c r="A76" s="226" t="str">
        <f t="shared" si="1"/>
        <v>#REF!</v>
      </c>
    </row>
    <row r="77">
      <c r="A77" s="226" t="str">
        <f t="shared" si="1"/>
        <v>#REF!</v>
      </c>
    </row>
    <row r="78">
      <c r="A78" s="226" t="str">
        <f t="shared" si="1"/>
        <v>#REF!</v>
      </c>
    </row>
    <row r="79">
      <c r="A79" s="226" t="str">
        <f t="shared" si="1"/>
        <v>#REF!</v>
      </c>
    </row>
    <row r="80">
      <c r="A80" s="226" t="str">
        <f t="shared" si="1"/>
        <v>#REF!</v>
      </c>
    </row>
    <row r="81">
      <c r="A81" s="226" t="str">
        <f t="shared" si="1"/>
        <v>#REF!</v>
      </c>
    </row>
    <row r="82">
      <c r="A82" s="226" t="str">
        <f t="shared" si="1"/>
        <v>#REF!</v>
      </c>
    </row>
    <row r="83">
      <c r="A83" s="226" t="str">
        <f t="shared" si="1"/>
        <v>#REF!</v>
      </c>
    </row>
    <row r="84">
      <c r="A84" s="226" t="str">
        <f t="shared" si="1"/>
        <v>#REF!</v>
      </c>
    </row>
    <row r="85">
      <c r="A85" s="226" t="str">
        <f t="shared" si="1"/>
        <v>#REF!</v>
      </c>
    </row>
    <row r="86">
      <c r="A86" s="226" t="str">
        <f t="shared" si="1"/>
        <v>#REF!</v>
      </c>
    </row>
    <row r="87">
      <c r="A87" s="226" t="str">
        <f t="shared" si="1"/>
        <v>#REF!</v>
      </c>
    </row>
    <row r="88">
      <c r="A88" s="226" t="str">
        <f t="shared" si="1"/>
        <v>#REF!</v>
      </c>
    </row>
    <row r="89">
      <c r="A89" s="226" t="str">
        <f t="shared" si="1"/>
        <v>#REF!</v>
      </c>
    </row>
    <row r="90">
      <c r="A90" s="226" t="str">
        <f t="shared" si="1"/>
        <v>#REF!</v>
      </c>
    </row>
    <row r="91">
      <c r="A91" s="226" t="str">
        <f t="shared" si="1"/>
        <v>#REF!</v>
      </c>
    </row>
    <row r="92">
      <c r="A92" s="226" t="str">
        <f t="shared" si="1"/>
        <v>#REF!</v>
      </c>
    </row>
    <row r="93">
      <c r="A93" s="226" t="str">
        <f t="shared" si="1"/>
        <v>#REF!</v>
      </c>
    </row>
    <row r="94">
      <c r="A94" s="226" t="str">
        <f t="shared" si="1"/>
        <v>#REF!</v>
      </c>
    </row>
    <row r="95">
      <c r="A95" s="226" t="str">
        <f t="shared" si="1"/>
        <v>#REF!</v>
      </c>
    </row>
    <row r="96">
      <c r="A96" s="226" t="str">
        <f t="shared" si="1"/>
        <v>#REF!</v>
      </c>
    </row>
    <row r="97">
      <c r="A97" s="226" t="str">
        <f t="shared" si="1"/>
        <v>#REF!</v>
      </c>
    </row>
    <row r="98">
      <c r="A98" s="226" t="str">
        <f t="shared" si="1"/>
        <v>#REF!</v>
      </c>
    </row>
    <row r="99">
      <c r="A99" s="226" t="str">
        <f t="shared" si="1"/>
        <v>#REF!</v>
      </c>
    </row>
    <row r="100">
      <c r="A100" s="226" t="str">
        <f t="shared" si="1"/>
        <v>#REF!</v>
      </c>
    </row>
    <row r="101">
      <c r="A101" s="226" t="str">
        <f t="shared" si="1"/>
        <v>#REF!</v>
      </c>
    </row>
    <row r="102">
      <c r="A102" s="226" t="str">
        <f t="shared" si="1"/>
        <v>#REF!</v>
      </c>
    </row>
    <row r="103">
      <c r="A103" s="226" t="str">
        <f t="shared" si="1"/>
        <v>#REF!</v>
      </c>
    </row>
    <row r="104">
      <c r="A104" s="226" t="str">
        <f t="shared" si="1"/>
        <v>#REF!</v>
      </c>
      <c r="B104" s="226"/>
      <c r="C104" s="226"/>
      <c r="D104" s="226"/>
      <c r="E104" s="226"/>
      <c r="F104" s="226"/>
      <c r="G104" s="226"/>
      <c r="H104" s="226"/>
      <c r="I104" s="226"/>
      <c r="J104" s="226"/>
    </row>
    <row r="105">
      <c r="A105" s="226" t="str">
        <f t="shared" si="1"/>
        <v>#REF!</v>
      </c>
    </row>
    <row r="106">
      <c r="A106" s="226" t="str">
        <f t="shared" si="1"/>
        <v>#REF!</v>
      </c>
    </row>
    <row r="107">
      <c r="A107" s="226" t="str">
        <f t="shared" si="1"/>
        <v>#REF!</v>
      </c>
    </row>
    <row r="108">
      <c r="A108" s="226" t="str">
        <f t="shared" si="1"/>
        <v>#REF!</v>
      </c>
    </row>
    <row r="109">
      <c r="A109" s="226" t="str">
        <f t="shared" si="1"/>
        <v>#REF!</v>
      </c>
    </row>
    <row r="110">
      <c r="A110" s="226" t="str">
        <f t="shared" si="1"/>
        <v>#REF!</v>
      </c>
    </row>
    <row r="111">
      <c r="A111" s="226" t="str">
        <f t="shared" si="1"/>
        <v>#REF!</v>
      </c>
    </row>
    <row r="112">
      <c r="A112" s="226" t="str">
        <f t="shared" si="1"/>
        <v>#REF!</v>
      </c>
    </row>
    <row r="113">
      <c r="A113" s="226" t="str">
        <f t="shared" si="1"/>
        <v>#REF!</v>
      </c>
    </row>
    <row r="114">
      <c r="A114" s="226" t="str">
        <f t="shared" si="1"/>
        <v>#REF!</v>
      </c>
    </row>
    <row r="115">
      <c r="A115" s="226" t="str">
        <f t="shared" si="1"/>
        <v>#REF!</v>
      </c>
    </row>
    <row r="116">
      <c r="A116" s="226" t="str">
        <f t="shared" si="1"/>
        <v>#REF!</v>
      </c>
    </row>
    <row r="117">
      <c r="A117" s="226" t="str">
        <f t="shared" si="1"/>
        <v>#REF!</v>
      </c>
    </row>
    <row r="118">
      <c r="A118" s="226" t="str">
        <f t="shared" si="1"/>
        <v>#REF!</v>
      </c>
    </row>
    <row r="119">
      <c r="A119" s="226" t="str">
        <f t="shared" si="1"/>
        <v>#REF!</v>
      </c>
    </row>
    <row r="120">
      <c r="A120" s="226" t="str">
        <f t="shared" si="1"/>
        <v>#REF!</v>
      </c>
    </row>
    <row r="121">
      <c r="A121" s="226" t="str">
        <f t="shared" si="1"/>
        <v>#REF!</v>
      </c>
    </row>
    <row r="122">
      <c r="A122" s="226" t="str">
        <f t="shared" si="1"/>
        <v>#REF!</v>
      </c>
    </row>
    <row r="123">
      <c r="A123" s="226" t="str">
        <f t="shared" si="1"/>
        <v>#REF!</v>
      </c>
    </row>
    <row r="124">
      <c r="A124" s="226" t="str">
        <f t="shared" si="1"/>
        <v>#REF!</v>
      </c>
    </row>
    <row r="125">
      <c r="A125" s="226" t="str">
        <f t="shared" si="1"/>
        <v>#REF!</v>
      </c>
      <c r="B125" s="226"/>
      <c r="C125" s="226"/>
      <c r="D125" s="226"/>
      <c r="E125" s="226"/>
      <c r="F125" s="226"/>
      <c r="G125" s="226"/>
      <c r="H125" s="226"/>
      <c r="I125" s="226"/>
      <c r="J125" s="226"/>
    </row>
    <row r="126">
      <c r="A126" s="226" t="str">
        <f t="shared" si="1"/>
        <v>#REF!</v>
      </c>
    </row>
    <row r="127">
      <c r="A127" s="226" t="str">
        <f t="shared" si="1"/>
        <v>#REF!</v>
      </c>
    </row>
    <row r="128">
      <c r="A128" s="226" t="str">
        <f t="shared" si="1"/>
        <v>#REF!</v>
      </c>
    </row>
    <row r="129">
      <c r="A129" s="226" t="str">
        <f t="shared" si="1"/>
        <v>#REF!</v>
      </c>
    </row>
    <row r="130">
      <c r="A130" s="226" t="str">
        <f t="shared" si="1"/>
        <v>#REF!</v>
      </c>
    </row>
    <row r="131">
      <c r="A131" s="226" t="str">
        <f t="shared" si="1"/>
        <v>#REF!</v>
      </c>
    </row>
    <row r="132">
      <c r="A132" s="226" t="str">
        <f t="shared" si="1"/>
        <v>#REF!</v>
      </c>
    </row>
    <row r="133">
      <c r="A133" s="226" t="str">
        <f t="shared" si="1"/>
        <v>#REF!</v>
      </c>
    </row>
    <row r="134">
      <c r="A134" s="226" t="str">
        <f t="shared" si="1"/>
        <v>#REF!</v>
      </c>
    </row>
    <row r="135">
      <c r="A135" s="226" t="str">
        <f t="shared" si="1"/>
        <v>#REF!</v>
      </c>
    </row>
    <row r="136">
      <c r="A136" s="226" t="str">
        <f t="shared" si="1"/>
        <v>#REF!</v>
      </c>
    </row>
    <row r="137">
      <c r="A137" s="226" t="str">
        <f t="shared" si="1"/>
        <v>#REF!</v>
      </c>
    </row>
    <row r="138">
      <c r="A138" s="226" t="str">
        <f t="shared" si="1"/>
        <v>#REF!</v>
      </c>
    </row>
    <row r="139">
      <c r="A139" s="226" t="str">
        <f t="shared" si="1"/>
        <v>#REF!</v>
      </c>
    </row>
    <row r="140">
      <c r="A140" s="226" t="str">
        <f t="shared" si="1"/>
        <v>#REF!</v>
      </c>
    </row>
    <row r="141">
      <c r="A141" s="226" t="str">
        <f t="shared" si="1"/>
        <v>#REF!</v>
      </c>
    </row>
    <row r="142">
      <c r="A142" s="226" t="str">
        <f t="shared" si="1"/>
        <v>#REF!</v>
      </c>
    </row>
    <row r="143">
      <c r="A143" s="226" t="str">
        <f t="shared" si="1"/>
        <v>#REF!</v>
      </c>
    </row>
    <row r="144">
      <c r="A144" s="226" t="str">
        <f t="shared" si="1"/>
        <v>#REF!</v>
      </c>
    </row>
    <row r="145">
      <c r="A145" s="226" t="str">
        <f t="shared" si="1"/>
        <v>#REF!</v>
      </c>
    </row>
    <row r="146">
      <c r="A146" s="226" t="str">
        <f t="shared" si="1"/>
        <v>#REF!</v>
      </c>
    </row>
    <row r="147">
      <c r="A147" s="226" t="str">
        <f t="shared" si="1"/>
        <v>#REF!</v>
      </c>
    </row>
    <row r="148">
      <c r="A148" s="226" t="str">
        <f t="shared" si="1"/>
        <v>#REF!</v>
      </c>
    </row>
    <row r="149">
      <c r="A149" s="226" t="str">
        <f t="shared" si="1"/>
        <v>#REF!</v>
      </c>
    </row>
    <row r="150">
      <c r="A150" s="226" t="str">
        <f t="shared" si="1"/>
        <v>#REF!</v>
      </c>
    </row>
    <row r="151">
      <c r="A151" s="226" t="str">
        <f t="shared" si="1"/>
        <v>#REF!</v>
      </c>
    </row>
    <row r="152">
      <c r="A152" s="226" t="str">
        <f t="shared" si="1"/>
        <v>#REF!</v>
      </c>
    </row>
    <row r="153">
      <c r="A153" s="226" t="str">
        <f t="shared" si="1"/>
        <v>#REF!</v>
      </c>
    </row>
    <row r="154">
      <c r="A154" s="226" t="str">
        <f t="shared" si="1"/>
        <v>#REF!</v>
      </c>
    </row>
    <row r="155">
      <c r="A155" s="226" t="str">
        <f t="array" ref="A155">TRANSPOSE(INDIRECT(SWITCH(Venues!B34,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c r="B155" s="226"/>
      <c r="C155" s="226"/>
      <c r="D155" s="226"/>
      <c r="E155" s="226"/>
      <c r="F155" s="226"/>
      <c r="G155" s="226"/>
      <c r="H155" s="226"/>
      <c r="I155" s="226"/>
      <c r="J155" s="226"/>
      <c r="K155" s="226"/>
      <c r="L155" s="226"/>
      <c r="M155" s="226"/>
      <c r="N155" s="226"/>
      <c r="O155" s="226"/>
      <c r="P155" s="226"/>
      <c r="Q155" s="226"/>
      <c r="R155" s="226"/>
      <c r="S155" s="226"/>
      <c r="T155" s="226"/>
      <c r="U155" s="226"/>
      <c r="V155" s="226"/>
      <c r="W155" s="226"/>
      <c r="X155" s="226"/>
      <c r="Y155" s="226"/>
      <c r="Z155" s="226"/>
      <c r="AA155" s="226"/>
      <c r="AB155" s="226"/>
      <c r="AC155" s="226"/>
      <c r="AD155" s="226"/>
      <c r="AE155" s="226"/>
    </row>
    <row r="156">
      <c r="A156" s="226" t="str">
        <f t="array" ref="A156">TRANSPOSE(INDIRECT(SWITCH(Venues!B35,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c r="B156" s="226"/>
      <c r="C156" s="226"/>
      <c r="D156" s="226"/>
      <c r="E156" s="226"/>
      <c r="F156" s="226"/>
      <c r="G156" s="226"/>
      <c r="H156" s="226"/>
      <c r="I156" s="226"/>
      <c r="J156" s="226"/>
      <c r="K156" s="226"/>
      <c r="L156" s="226"/>
      <c r="M156" s="226"/>
      <c r="N156" s="226"/>
      <c r="O156" s="226"/>
    </row>
    <row r="157">
      <c r="A157" s="226" t="str">
        <f t="array" ref="A157">TRANSPOSE(INDIRECT(SWITCH(Venues!B36,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c r="B157" s="226"/>
      <c r="C157" s="226"/>
      <c r="D157" s="226"/>
      <c r="E157" s="226"/>
      <c r="F157" s="226"/>
      <c r="G157" s="226"/>
      <c r="H157" s="226"/>
      <c r="I157" s="226"/>
    </row>
    <row r="158">
      <c r="A158" s="226" t="str">
        <f t="array" ref="A158">TRANSPOSE(INDIRECT(SWITCH(Venues!B37,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159">
      <c r="A159" s="226" t="str">
        <f t="array" ref="A159">TRANSPOSE(INDIRECT(SWITCH(Venues!B38,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160">
      <c r="A160" s="226" t="str">
        <f t="array" ref="A160">TRANSPOSE(INDIRECT(SWITCH(Venues!B39,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161">
      <c r="A161" s="226" t="str">
        <f t="array" ref="A161">TRANSPOSE(INDIRECT(SWITCH(Venues!B40,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162">
      <c r="A162" s="226" t="str">
        <f t="array" ref="A162">TRANSPOSE(INDIRECT(SWITCH(Venues!B41,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163">
      <c r="A163" s="226" t="str">
        <f t="array" ref="A163">TRANSPOSE(INDIRECT(SWITCH(Venues!B42,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164">
      <c r="A164" s="226" t="str">
        <f t="array" ref="A164">TRANSPOSE(INDIRECT(SWITCH(Venues!B43,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165">
      <c r="A165" s="226" t="str">
        <f t="array" ref="A165">TRANSPOSE(INDIRECT(SWITCH(Venues!B44,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166">
      <c r="A166" s="226" t="str">
        <f t="array" ref="A166">TRANSPOSE(INDIRECT(SWITCH(Venues!B45,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167">
      <c r="A167" s="226" t="str">
        <f t="array" ref="A167">TRANSPOSE(INDIRECT(SWITCH(Venues!B46,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168">
      <c r="A168" s="226" t="str">
        <f t="array" ref="A168">TRANSPOSE(INDIRECT(SWITCH(Venues!B47,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169">
      <c r="A169" s="226" t="str">
        <f t="array" ref="A169">TRANSPOSE(INDIRECT(SWITCH(Venues!B48,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170">
      <c r="A170" s="226" t="str">
        <f t="array" ref="A170">TRANSPOSE(INDIRECT(SWITCH(Venues!B49,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171">
      <c r="A171" s="226" t="str">
        <f t="array" ref="A171">TRANSPOSE(INDIRECT(SWITCH(Venues!B50,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172">
      <c r="A172" s="226" t="str">
        <f t="array" ref="A172">TRANSPOSE(INDIRECT(SWITCH(Venues!B51,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173">
      <c r="A173" s="226" t="str">
        <f t="array" ref="A173">TRANSPOSE(INDIRECT(SWITCH(Venues!B52,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174">
      <c r="A174" s="226" t="str">
        <f t="array" ref="A174">TRANSPOSE(INDIRECT(SWITCH(Venues!B53,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175">
      <c r="A175" s="226" t="str">
        <f t="array" ref="A175">TRANSPOSE(INDIRECT(SWITCH(Venues!B54,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176">
      <c r="A176" s="226" t="str">
        <f t="array" ref="A176">TRANSPOSE(INDIRECT(SWITCH(Venues!B71,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5">
      <c r="A5" s="226" t="str">
        <f t="array" ref="A5">TRANSPOSE(INDIRECT(SWITCH('Old Events'!B7,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6">
      <c r="A6" s="226" t="str">
        <f t="shared" ref="A6:A39" si="1">TRANSPOSE(INDIRECT(SWITCH(#REF!,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7">
      <c r="A7" s="226" t="str">
        <f t="shared" si="1"/>
        <v>#REF!</v>
      </c>
    </row>
    <row r="8">
      <c r="A8" s="226" t="str">
        <f t="shared" si="1"/>
        <v>#REF!</v>
      </c>
    </row>
    <row r="9">
      <c r="A9" s="226" t="str">
        <f t="shared" si="1"/>
        <v>#REF!</v>
      </c>
    </row>
    <row r="10">
      <c r="A10" s="226" t="str">
        <f t="shared" si="1"/>
        <v>#REF!</v>
      </c>
    </row>
    <row r="11">
      <c r="A11" s="226" t="str">
        <f t="shared" si="1"/>
        <v>#REF!</v>
      </c>
    </row>
    <row r="12">
      <c r="A12" s="226" t="str">
        <f t="shared" si="1"/>
        <v>#REF!</v>
      </c>
    </row>
    <row r="13">
      <c r="A13" s="226" t="str">
        <f t="shared" si="1"/>
        <v>#REF!</v>
      </c>
    </row>
    <row r="14">
      <c r="A14" s="226" t="str">
        <f t="shared" si="1"/>
        <v>#REF!</v>
      </c>
    </row>
    <row r="15">
      <c r="A15" s="226" t="str">
        <f t="shared" si="1"/>
        <v>#REF!</v>
      </c>
    </row>
    <row r="16">
      <c r="A16" s="226" t="str">
        <f t="shared" si="1"/>
        <v>#REF!</v>
      </c>
    </row>
    <row r="17">
      <c r="A17" s="226" t="str">
        <f t="shared" si="1"/>
        <v>#REF!</v>
      </c>
    </row>
    <row r="18">
      <c r="A18" s="226" t="str">
        <f t="shared" si="1"/>
        <v>#REF!</v>
      </c>
    </row>
    <row r="19">
      <c r="A19" s="226" t="str">
        <f t="shared" si="1"/>
        <v>#REF!</v>
      </c>
    </row>
    <row r="20">
      <c r="A20" s="226" t="str">
        <f t="shared" si="1"/>
        <v>#REF!</v>
      </c>
    </row>
    <row r="21">
      <c r="A21" s="226" t="str">
        <f t="shared" si="1"/>
        <v>#REF!</v>
      </c>
    </row>
    <row r="22">
      <c r="A22" s="226" t="str">
        <f t="shared" si="1"/>
        <v>#REF!</v>
      </c>
    </row>
    <row r="23">
      <c r="A23" s="226" t="str">
        <f t="shared" si="1"/>
        <v>#REF!</v>
      </c>
    </row>
    <row r="24">
      <c r="A24" s="226" t="str">
        <f t="shared" si="1"/>
        <v>#REF!</v>
      </c>
    </row>
    <row r="25">
      <c r="A25" s="226" t="str">
        <f t="shared" si="1"/>
        <v>#REF!</v>
      </c>
    </row>
    <row r="26">
      <c r="A26" s="226" t="str">
        <f t="shared" si="1"/>
        <v>#REF!</v>
      </c>
    </row>
    <row r="27">
      <c r="A27" s="226" t="str">
        <f t="shared" si="1"/>
        <v>#REF!</v>
      </c>
    </row>
    <row r="28">
      <c r="A28" s="226" t="str">
        <f t="shared" si="1"/>
        <v>#REF!</v>
      </c>
    </row>
    <row r="29">
      <c r="A29" s="226" t="str">
        <f t="shared" si="1"/>
        <v>#REF!</v>
      </c>
    </row>
    <row r="30">
      <c r="A30" s="226" t="str">
        <f t="shared" si="1"/>
        <v>#REF!</v>
      </c>
    </row>
    <row r="31">
      <c r="A31" s="226" t="str">
        <f t="shared" si="1"/>
        <v>#REF!</v>
      </c>
    </row>
    <row r="32">
      <c r="A32" s="226" t="str">
        <f t="shared" si="1"/>
        <v>#REF!</v>
      </c>
    </row>
    <row r="33">
      <c r="A33" s="226" t="str">
        <f t="shared" si="1"/>
        <v>#REF!</v>
      </c>
    </row>
    <row r="34">
      <c r="A34" s="226" t="str">
        <f t="shared" si="1"/>
        <v>#REF!</v>
      </c>
    </row>
    <row r="35">
      <c r="A35" s="226" t="str">
        <f t="shared" si="1"/>
        <v>#REF!</v>
      </c>
    </row>
    <row r="36">
      <c r="A36" s="226" t="str">
        <f t="shared" si="1"/>
        <v>#REF!</v>
      </c>
    </row>
    <row r="37">
      <c r="A37" s="226" t="str">
        <f t="shared" si="1"/>
        <v>#REF!</v>
      </c>
    </row>
    <row r="38">
      <c r="A38" s="226" t="str">
        <f t="shared" si="1"/>
        <v>#REF!</v>
      </c>
    </row>
    <row r="39">
      <c r="A39" s="226" t="str">
        <f t="shared" si="1"/>
        <v>#REF!</v>
      </c>
    </row>
    <row r="40">
      <c r="A40" s="226" t="str">
        <f t="array" ref="A40">TRANSPOSE(INDIRECT(SWITCH('Old Events'!B8,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41">
      <c r="A41" s="226" t="str">
        <f t="array" ref="A41">TRANSPOSE(INDIRECT(SWITCH('Old Events'!B9,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42">
      <c r="A42" s="226" t="str">
        <f t="array" ref="A42">TRANSPOSE(INDIRECT(SWITCH('Old Events'!B10,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43">
      <c r="A43" s="226" t="str">
        <f t="array" ref="A43">TRANSPOSE(INDIRECT(SWITCH('Old Events'!B11,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44">
      <c r="A44" s="226" t="str">
        <f t="array" ref="A44">TRANSPOSE(INDIRECT(SWITCH('Old Events'!B12,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45">
      <c r="A45" s="226" t="str">
        <f t="array" ref="A45">TRANSPOSE(INDIRECT(SWITCH('Old Events'!B13,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46">
      <c r="A46" s="226" t="str">
        <f t="array" ref="A46">TRANSPOSE(INDIRECT(SWITCH('Old Events'!B14,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47">
      <c r="A47" s="226" t="str">
        <f t="array" ref="A47">TRANSPOSE(INDIRECT(SWITCH('Old Events'!B15,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48">
      <c r="A48" s="226" t="str">
        <f t="array" ref="A48">TRANSPOSE(INDIRECT(SWITCH('Old Events'!B16,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49">
      <c r="A49" s="226" t="str">
        <f t="array" ref="A49">TRANSPOSE(INDIRECT(SWITCH('Old Events'!B17,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50">
      <c r="A50" s="226" t="str">
        <f t="array" ref="A50">TRANSPOSE(INDIRECT(SWITCH('Old Events'!B18,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51">
      <c r="A51" s="226" t="str">
        <f t="array" ref="A51">TRANSPOSE(INDIRECT(SWITCH('Old Events'!B19,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52">
      <c r="A52" s="226" t="str">
        <f t="array" ref="A52">TRANSPOSE(INDIRECT(SWITCH('Old Events'!B20,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53">
      <c r="A53" s="226" t="str">
        <f t="array" ref="A53">TRANSPOSE(INDIRECT(SWITCH('Old Events'!B21,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54">
      <c r="A54" s="226" t="str">
        <f t="array" ref="A54">TRANSPOSE(INDIRECT(SWITCH('Old Events'!B22,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55">
      <c r="A55" s="226" t="str">
        <f t="array" ref="A55">TRANSPOSE(INDIRECT(SWITCH('Old Events'!B23,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56">
      <c r="A56" s="226" t="str">
        <f t="array" ref="A56">TRANSPOSE(INDIRECT(SWITCH('Old Events'!B24,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57">
      <c r="A57" s="226" t="str">
        <f t="array" ref="A57">TRANSPOSE(INDIRECT(SWITCH('Old Events'!B25,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58">
      <c r="A58" s="226" t="str">
        <f t="array" ref="A58">TRANSPOSE(INDIRECT(SWITCH('Old Events'!B26,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59">
      <c r="A59" s="226" t="str">
        <f t="array" ref="A59">TRANSPOSE(INDIRECT(SWITCH('Old Events'!B27,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60">
      <c r="A60" s="226" t="str">
        <f t="array" ref="A60">TRANSPOSE(INDIRECT(SWITCH('Old Events'!B28,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61">
      <c r="A61" s="226" t="str">
        <f t="array" ref="A61">TRANSPOSE(INDIRECT(SWITCH('Old Events'!B29,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62">
      <c r="A62" s="226" t="str">
        <f t="array" ref="A62">TRANSPOSE(INDIRECT(SWITCH('Old Events'!B30,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63">
      <c r="A63" s="226" t="str">
        <f t="array" ref="A63">TRANSPOSE(INDIRECT(SWITCH('Old Events'!B31,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64">
      <c r="A64" s="226" t="str">
        <f t="array" ref="A64">TRANSPOSE(INDIRECT(SWITCH('Old Events'!B32,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65">
      <c r="A65" s="226" t="str">
        <f t="array" ref="A65">TRANSPOSE(INDIRECT(SWITCH('Old Events'!B33,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66">
      <c r="A66" s="226" t="str">
        <f t="array" ref="A66">TRANSPOSE(INDIRECT(SWITCH('Old Events'!B34,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67">
      <c r="A67" s="226" t="str">
        <f t="array" ref="A67">TRANSPOSE(INDIRECT(SWITCH('Old Events'!B35,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68">
      <c r="A68" s="226" t="str">
        <f t="array" ref="A68">TRANSPOSE(INDIRECT(SWITCH('Old Events'!B36,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69">
      <c r="A69" s="226" t="str">
        <f t="array" ref="A69">TRANSPOSE(INDIRECT(SWITCH('Old Events'!B37,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70">
      <c r="A70" s="226" t="str">
        <f t="array" ref="A70">TRANSPOSE(INDIRECT(SWITCH('Old Events'!B38,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71">
      <c r="A71" s="226" t="str">
        <f t="array" ref="A71">TRANSPOSE(INDIRECT(SWITCH('Old Events'!B39,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72">
      <c r="A72" s="226" t="str">
        <f t="array" ref="A72">TRANSPOSE(INDIRECT(SWITCH('Old Events'!B40,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73">
      <c r="A73" s="226" t="str">
        <f t="array" ref="A73">TRANSPOSE(INDIRECT(SWITCH('Old Events'!B41,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74">
      <c r="A74" s="226" t="str">
        <f t="array" ref="A74">TRANSPOSE(INDIRECT(SWITCH('Old Events'!B42,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75">
      <c r="A75" s="226" t="str">
        <f t="array" ref="A75">TRANSPOSE(INDIRECT(SWITCH('Old Events'!B43,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76">
      <c r="A76" s="226" t="str">
        <f t="array" ref="A76">TRANSPOSE(INDIRECT(SWITCH('Old Events'!B44,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77">
      <c r="A77" s="226" t="str">
        <f t="array" ref="A77">TRANSPOSE(INDIRECT(SWITCH('Old Events'!B45,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78">
      <c r="A78" s="226" t="str">
        <f t="array" ref="A78">TRANSPOSE(INDIRECT(SWITCH('Old Events'!B46,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79">
      <c r="A79" s="226" t="str">
        <f t="array" ref="A79">TRANSPOSE(INDIRECT(SWITCH('Old Events'!B47,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80">
      <c r="A80" s="226" t="str">
        <f t="array" ref="A80">TRANSPOSE(INDIRECT(SWITCH('Old Events'!B48,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81">
      <c r="A81" s="226" t="str">
        <f t="array" ref="A81">TRANSPOSE(INDIRECT(SWITCH('Old Events'!B49,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82">
      <c r="A82" s="226" t="str">
        <f t="array" ref="A82">TRANSPOSE(INDIRECT(SWITCH('Old Events'!B50,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83">
      <c r="A83" s="226" t="str">
        <f t="array" ref="A83">TRANSPOSE(INDIRECT(SWITCH('Old Events'!B51,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84">
      <c r="A84" s="226" t="str">
        <f t="array" ref="A84">TRANSPOSE(INDIRECT(SWITCH('Old Events'!B52,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85">
      <c r="A85" s="226" t="str">
        <f t="array" ref="A85">TRANSPOSE(INDIRECT(SWITCH('Old Events'!B53,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86">
      <c r="A86" s="226" t="str">
        <f t="array" ref="A86">TRANSPOSE(INDIRECT(SWITCH('Old Events'!B54,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87">
      <c r="A87" s="226" t="str">
        <f t="array" ref="A87">TRANSPOSE(INDIRECT(SWITCH('Old Events'!B55,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88">
      <c r="A88" s="226" t="str">
        <f t="array" ref="A88">TRANSPOSE(INDIRECT(SWITCH('Old Events'!B56,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89">
      <c r="A89" s="226" t="str">
        <f t="array" ref="A89">TRANSPOSE(INDIRECT(SWITCH('Old Events'!B57,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90">
      <c r="A90" s="226" t="str">
        <f t="array" ref="A90">TRANSPOSE(INDIRECT(SWITCH('Old Events'!B58,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2.13"/>
    <col customWidth="1" min="2" max="2" width="21.38"/>
    <col customWidth="1" min="3" max="3" width="23.75"/>
    <col customWidth="1" min="4" max="4" width="27.38"/>
    <col customWidth="1" min="5" max="8" width="21.38"/>
  </cols>
  <sheetData>
    <row r="1">
      <c r="A1" s="282" t="s">
        <v>1646</v>
      </c>
    </row>
    <row r="2">
      <c r="A2" s="283" t="s">
        <v>1647</v>
      </c>
      <c r="B2" s="284" t="s">
        <v>1648</v>
      </c>
      <c r="C2" s="283" t="s">
        <v>1649</v>
      </c>
      <c r="D2" s="284" t="s">
        <v>1650</v>
      </c>
      <c r="E2" s="283" t="s">
        <v>1651</v>
      </c>
      <c r="F2" s="283" t="s">
        <v>1652</v>
      </c>
      <c r="G2" s="283" t="s">
        <v>1653</v>
      </c>
      <c r="H2" s="285" t="s">
        <v>1654</v>
      </c>
    </row>
    <row r="3" ht="18.0" customHeight="1">
      <c r="A3" s="286" t="s">
        <v>1655</v>
      </c>
    </row>
    <row r="4">
      <c r="A4" s="287" t="s">
        <v>210</v>
      </c>
      <c r="B4" s="285" t="s">
        <v>55</v>
      </c>
      <c r="C4" s="287" t="s">
        <v>490</v>
      </c>
      <c r="D4" s="288" t="s">
        <v>1656</v>
      </c>
      <c r="E4" s="287" t="s">
        <v>1657</v>
      </c>
      <c r="F4" s="287" t="s">
        <v>1658</v>
      </c>
      <c r="G4" s="185"/>
      <c r="H4" s="288" t="s">
        <v>414</v>
      </c>
    </row>
    <row r="5">
      <c r="A5" s="287" t="s">
        <v>210</v>
      </c>
      <c r="C5" s="287" t="s">
        <v>999</v>
      </c>
      <c r="D5" s="288" t="s">
        <v>1659</v>
      </c>
      <c r="E5" s="287" t="s">
        <v>1657</v>
      </c>
      <c r="F5" s="287" t="s">
        <v>1658</v>
      </c>
      <c r="G5" s="185"/>
      <c r="H5" s="288" t="s">
        <v>414</v>
      </c>
    </row>
    <row r="6">
      <c r="A6" s="287" t="s">
        <v>210</v>
      </c>
      <c r="C6" s="287" t="s">
        <v>533</v>
      </c>
      <c r="D6" s="288" t="s">
        <v>1660</v>
      </c>
      <c r="E6" s="287" t="s">
        <v>1657</v>
      </c>
      <c r="F6" s="287" t="s">
        <v>1658</v>
      </c>
      <c r="G6" s="185"/>
      <c r="H6" s="288" t="s">
        <v>414</v>
      </c>
    </row>
    <row r="7">
      <c r="A7" s="287" t="s">
        <v>210</v>
      </c>
      <c r="C7" s="287" t="s">
        <v>376</v>
      </c>
      <c r="D7" s="288" t="s">
        <v>1661</v>
      </c>
      <c r="E7" s="287" t="s">
        <v>1657</v>
      </c>
      <c r="F7" s="287" t="s">
        <v>1658</v>
      </c>
      <c r="G7" s="185"/>
      <c r="H7" s="288" t="s">
        <v>414</v>
      </c>
    </row>
    <row r="8">
      <c r="A8" s="287" t="s">
        <v>210</v>
      </c>
      <c r="C8" s="287" t="s">
        <v>1662</v>
      </c>
      <c r="D8" s="288" t="s">
        <v>1663</v>
      </c>
      <c r="E8" s="287" t="s">
        <v>414</v>
      </c>
      <c r="F8" s="287" t="s">
        <v>1664</v>
      </c>
      <c r="G8" s="287" t="s">
        <v>1665</v>
      </c>
      <c r="H8" s="288" t="s">
        <v>414</v>
      </c>
    </row>
    <row r="9">
      <c r="A9" s="287" t="s">
        <v>210</v>
      </c>
      <c r="C9" s="287" t="s">
        <v>1666</v>
      </c>
      <c r="D9" s="288" t="s">
        <v>1667</v>
      </c>
      <c r="E9" s="287" t="s">
        <v>414</v>
      </c>
      <c r="F9" s="287" t="s">
        <v>1664</v>
      </c>
      <c r="G9" s="287" t="s">
        <v>1665</v>
      </c>
      <c r="H9" s="288" t="s">
        <v>414</v>
      </c>
    </row>
    <row r="10">
      <c r="A10" s="287" t="s">
        <v>210</v>
      </c>
      <c r="C10" s="287" t="s">
        <v>1668</v>
      </c>
      <c r="D10" s="288" t="s">
        <v>1669</v>
      </c>
      <c r="E10" s="287" t="s">
        <v>414</v>
      </c>
      <c r="F10" s="287" t="s">
        <v>1664</v>
      </c>
      <c r="G10" s="287" t="s">
        <v>1665</v>
      </c>
      <c r="H10" s="288" t="s">
        <v>414</v>
      </c>
    </row>
    <row r="11">
      <c r="A11" s="185"/>
      <c r="B11" s="185"/>
      <c r="C11" s="185"/>
      <c r="D11" s="185"/>
      <c r="E11" s="185"/>
      <c r="F11" s="185"/>
      <c r="G11" s="185"/>
      <c r="H11" s="185"/>
    </row>
    <row r="12">
      <c r="A12" s="286" t="s">
        <v>346</v>
      </c>
    </row>
    <row r="13" ht="24.75" customHeight="1">
      <c r="A13" s="287" t="s">
        <v>1670</v>
      </c>
      <c r="B13" s="285" t="s">
        <v>346</v>
      </c>
      <c r="C13" s="287" t="s">
        <v>1671</v>
      </c>
      <c r="D13" s="288" t="s">
        <v>602</v>
      </c>
      <c r="E13" s="287" t="s">
        <v>1657</v>
      </c>
      <c r="F13" s="287" t="s">
        <v>1672</v>
      </c>
      <c r="G13" s="287" t="s">
        <v>1673</v>
      </c>
      <c r="H13" s="288" t="s">
        <v>414</v>
      </c>
    </row>
    <row r="14" ht="24.75" customHeight="1">
      <c r="A14" s="287" t="s">
        <v>1670</v>
      </c>
      <c r="C14" s="287" t="s">
        <v>1674</v>
      </c>
      <c r="D14" s="288" t="s">
        <v>924</v>
      </c>
      <c r="E14" s="287" t="s">
        <v>1657</v>
      </c>
      <c r="F14" s="287" t="s">
        <v>1672</v>
      </c>
      <c r="G14" s="287" t="s">
        <v>1675</v>
      </c>
      <c r="H14" s="288" t="s">
        <v>414</v>
      </c>
    </row>
    <row r="15" ht="24.75" customHeight="1">
      <c r="A15" s="287" t="s">
        <v>1670</v>
      </c>
      <c r="C15" s="287" t="s">
        <v>1676</v>
      </c>
      <c r="D15" s="288" t="s">
        <v>1255</v>
      </c>
      <c r="E15" s="287" t="s">
        <v>1657</v>
      </c>
      <c r="F15" s="287" t="s">
        <v>1672</v>
      </c>
      <c r="G15" s="287" t="s">
        <v>1677</v>
      </c>
      <c r="H15" s="288" t="s">
        <v>414</v>
      </c>
    </row>
    <row r="16" ht="24.75" customHeight="1">
      <c r="A16" s="287" t="s">
        <v>1670</v>
      </c>
      <c r="C16" s="287" t="s">
        <v>1678</v>
      </c>
      <c r="D16" s="288" t="s">
        <v>384</v>
      </c>
      <c r="E16" s="287" t="s">
        <v>1657</v>
      </c>
      <c r="F16" s="287" t="s">
        <v>1672</v>
      </c>
      <c r="G16" s="287" t="s">
        <v>1679</v>
      </c>
      <c r="H16" s="288" t="s">
        <v>414</v>
      </c>
    </row>
    <row r="17" ht="24.75" customHeight="1">
      <c r="A17" s="287" t="s">
        <v>1670</v>
      </c>
      <c r="C17" s="287" t="s">
        <v>1680</v>
      </c>
      <c r="D17" s="289" t="s">
        <v>672</v>
      </c>
      <c r="E17" s="287" t="s">
        <v>1657</v>
      </c>
      <c r="F17" s="287" t="s">
        <v>1672</v>
      </c>
      <c r="G17" s="287" t="s">
        <v>1681</v>
      </c>
      <c r="H17" s="288" t="s">
        <v>414</v>
      </c>
    </row>
    <row r="18">
      <c r="A18" s="287" t="s">
        <v>1670</v>
      </c>
      <c r="C18" s="287" t="s">
        <v>1682</v>
      </c>
      <c r="D18" s="288" t="s">
        <v>553</v>
      </c>
      <c r="E18" s="287" t="s">
        <v>1657</v>
      </c>
      <c r="F18" s="287" t="s">
        <v>1672</v>
      </c>
      <c r="G18" s="287" t="s">
        <v>1683</v>
      </c>
      <c r="H18" s="288" t="s">
        <v>414</v>
      </c>
    </row>
    <row r="19">
      <c r="A19" s="287" t="s">
        <v>1670</v>
      </c>
      <c r="C19" s="287" t="s">
        <v>1684</v>
      </c>
      <c r="D19" s="288" t="s">
        <v>1685</v>
      </c>
      <c r="E19" s="287" t="s">
        <v>1657</v>
      </c>
      <c r="F19" s="287" t="s">
        <v>1672</v>
      </c>
      <c r="G19" s="287" t="s">
        <v>1686</v>
      </c>
      <c r="H19" s="288" t="s">
        <v>414</v>
      </c>
    </row>
    <row r="20" ht="22.5" customHeight="1">
      <c r="A20" s="185"/>
      <c r="B20" s="185"/>
      <c r="C20" s="185"/>
      <c r="D20" s="185"/>
      <c r="E20" s="185"/>
      <c r="F20" s="185"/>
      <c r="G20" s="185"/>
      <c r="H20" s="185"/>
    </row>
    <row r="21" ht="22.5" customHeight="1">
      <c r="A21" s="286" t="s">
        <v>1687</v>
      </c>
    </row>
    <row r="22" ht="22.5" customHeight="1">
      <c r="A22" s="287" t="s">
        <v>1688</v>
      </c>
      <c r="B22" s="285" t="s">
        <v>1689</v>
      </c>
      <c r="C22" s="287" t="s">
        <v>1690</v>
      </c>
      <c r="D22" s="288" t="s">
        <v>1691</v>
      </c>
      <c r="E22" s="287" t="s">
        <v>1692</v>
      </c>
      <c r="F22" s="287" t="s">
        <v>1672</v>
      </c>
      <c r="G22" s="287" t="s">
        <v>1693</v>
      </c>
      <c r="H22" s="290" t="s">
        <v>1694</v>
      </c>
    </row>
    <row r="23" ht="22.5" customHeight="1">
      <c r="A23" s="287" t="s">
        <v>1688</v>
      </c>
      <c r="C23" s="287" t="s">
        <v>1695</v>
      </c>
      <c r="D23" s="288" t="s">
        <v>1696</v>
      </c>
      <c r="E23" s="287" t="s">
        <v>1692</v>
      </c>
      <c r="F23" s="287" t="s">
        <v>1672</v>
      </c>
      <c r="G23" s="287" t="s">
        <v>1697</v>
      </c>
      <c r="H23" s="290" t="s">
        <v>1698</v>
      </c>
    </row>
    <row r="24" ht="22.5" customHeight="1">
      <c r="A24" s="287" t="s">
        <v>1688</v>
      </c>
      <c r="C24" s="287" t="s">
        <v>1699</v>
      </c>
      <c r="D24" s="288" t="s">
        <v>1700</v>
      </c>
      <c r="E24" s="287" t="s">
        <v>1692</v>
      </c>
      <c r="F24" s="287" t="s">
        <v>1672</v>
      </c>
      <c r="G24" s="287" t="s">
        <v>1701</v>
      </c>
      <c r="H24" s="290" t="s">
        <v>1702</v>
      </c>
    </row>
    <row r="25" ht="22.5" customHeight="1">
      <c r="A25" s="287" t="s">
        <v>1688</v>
      </c>
      <c r="C25" s="287" t="s">
        <v>1703</v>
      </c>
      <c r="D25" s="288" t="s">
        <v>1704</v>
      </c>
      <c r="E25" s="287" t="s">
        <v>1692</v>
      </c>
      <c r="F25" s="287" t="s">
        <v>1672</v>
      </c>
      <c r="G25" s="287" t="s">
        <v>1705</v>
      </c>
      <c r="H25" s="290" t="s">
        <v>1706</v>
      </c>
    </row>
    <row r="26" ht="22.5" customHeight="1">
      <c r="A26" s="287" t="s">
        <v>1688</v>
      </c>
      <c r="C26" s="287" t="s">
        <v>1707</v>
      </c>
      <c r="D26" s="288" t="s">
        <v>1708</v>
      </c>
      <c r="E26" s="287" t="s">
        <v>1692</v>
      </c>
      <c r="F26" s="287" t="s">
        <v>1672</v>
      </c>
      <c r="G26" s="287" t="s">
        <v>1709</v>
      </c>
      <c r="H26" s="290" t="s">
        <v>1710</v>
      </c>
    </row>
    <row r="27">
      <c r="A27" s="287" t="s">
        <v>1688</v>
      </c>
      <c r="C27" s="287" t="s">
        <v>1711</v>
      </c>
      <c r="D27" s="288" t="s">
        <v>1712</v>
      </c>
      <c r="E27" s="287" t="s">
        <v>1692</v>
      </c>
      <c r="F27" s="287" t="s">
        <v>1672</v>
      </c>
      <c r="G27" s="287" t="s">
        <v>1713</v>
      </c>
      <c r="H27" s="290" t="s">
        <v>1714</v>
      </c>
    </row>
    <row r="28">
      <c r="A28" s="287" t="s">
        <v>1688</v>
      </c>
      <c r="C28" s="287" t="s">
        <v>1715</v>
      </c>
      <c r="D28" s="288" t="s">
        <v>1716</v>
      </c>
      <c r="E28" s="287" t="s">
        <v>1692</v>
      </c>
      <c r="F28" s="287" t="s">
        <v>1672</v>
      </c>
      <c r="G28" s="287" t="s">
        <v>1717</v>
      </c>
      <c r="H28" s="291" t="s">
        <v>1710</v>
      </c>
    </row>
    <row r="29" ht="18.0" customHeight="1">
      <c r="A29" s="292" t="s">
        <v>1688</v>
      </c>
      <c r="C29" s="292" t="s">
        <v>1718</v>
      </c>
      <c r="D29" s="293" t="s">
        <v>1719</v>
      </c>
      <c r="E29" s="292" t="s">
        <v>1692</v>
      </c>
      <c r="F29" s="292" t="s">
        <v>1672</v>
      </c>
      <c r="G29" s="292" t="s">
        <v>1720</v>
      </c>
      <c r="H29" s="294"/>
    </row>
    <row r="30" ht="18.0" customHeight="1">
      <c r="A30" s="185"/>
      <c r="B30" s="185"/>
      <c r="C30" s="185"/>
      <c r="D30" s="184"/>
      <c r="E30" s="185"/>
      <c r="F30" s="185"/>
      <c r="G30" s="185"/>
      <c r="H30" s="185"/>
    </row>
    <row r="31" ht="18.0" customHeight="1">
      <c r="A31" s="286" t="s">
        <v>1721</v>
      </c>
    </row>
    <row r="32" ht="18.0" customHeight="1">
      <c r="A32" s="287" t="s">
        <v>1722</v>
      </c>
      <c r="B32" s="288" t="s">
        <v>1723</v>
      </c>
      <c r="C32" s="287" t="s">
        <v>1724</v>
      </c>
      <c r="D32" s="288" t="s">
        <v>1000</v>
      </c>
      <c r="E32" s="287" t="s">
        <v>1725</v>
      </c>
      <c r="F32" s="287" t="s">
        <v>1672</v>
      </c>
      <c r="G32" s="287" t="s">
        <v>1726</v>
      </c>
      <c r="H32" s="295" t="s">
        <v>1727</v>
      </c>
    </row>
    <row r="33" ht="18.0" customHeight="1">
      <c r="A33" s="287" t="s">
        <v>1722</v>
      </c>
      <c r="B33" s="288" t="s">
        <v>1723</v>
      </c>
      <c r="C33" s="287" t="s">
        <v>1728</v>
      </c>
      <c r="D33" s="289" t="s">
        <v>968</v>
      </c>
      <c r="E33" s="287" t="s">
        <v>1729</v>
      </c>
      <c r="F33" s="287" t="s">
        <v>1672</v>
      </c>
      <c r="G33" s="287" t="s">
        <v>1730</v>
      </c>
      <c r="H33" s="295" t="s">
        <v>1731</v>
      </c>
    </row>
    <row r="34" ht="18.0" customHeight="1">
      <c r="A34" s="287" t="s">
        <v>1722</v>
      </c>
      <c r="B34" s="288" t="s">
        <v>1723</v>
      </c>
      <c r="C34" s="287" t="s">
        <v>1732</v>
      </c>
      <c r="D34" s="289" t="s">
        <v>551</v>
      </c>
      <c r="E34" s="287" t="s">
        <v>1733</v>
      </c>
      <c r="F34" s="287" t="s">
        <v>1672</v>
      </c>
      <c r="G34" s="287" t="s">
        <v>1734</v>
      </c>
      <c r="H34" s="295" t="s">
        <v>1735</v>
      </c>
    </row>
    <row r="35" ht="18.0" customHeight="1">
      <c r="A35" s="287" t="s">
        <v>1722</v>
      </c>
      <c r="B35" s="288" t="s">
        <v>1723</v>
      </c>
      <c r="C35" s="287" t="s">
        <v>1736</v>
      </c>
      <c r="D35" s="288" t="s">
        <v>768</v>
      </c>
      <c r="E35" s="287" t="s">
        <v>1729</v>
      </c>
      <c r="F35" s="287" t="s">
        <v>1672</v>
      </c>
      <c r="G35" s="287" t="s">
        <v>1737</v>
      </c>
      <c r="H35" s="295" t="s">
        <v>1738</v>
      </c>
    </row>
    <row r="36" ht="18.0" customHeight="1">
      <c r="A36" s="287" t="s">
        <v>1722</v>
      </c>
      <c r="B36" s="288" t="s">
        <v>1723</v>
      </c>
      <c r="C36" s="287" t="s">
        <v>1739</v>
      </c>
      <c r="D36" s="289" t="s">
        <v>921</v>
      </c>
      <c r="E36" s="287" t="s">
        <v>1729</v>
      </c>
      <c r="F36" s="287" t="s">
        <v>1672</v>
      </c>
      <c r="G36" s="287" t="s">
        <v>1740</v>
      </c>
      <c r="H36" s="295" t="s">
        <v>1741</v>
      </c>
    </row>
    <row r="37" ht="18.0" customHeight="1">
      <c r="A37" s="287" t="s">
        <v>1722</v>
      </c>
      <c r="B37" s="288" t="s">
        <v>1723</v>
      </c>
      <c r="C37" s="287" t="s">
        <v>1742</v>
      </c>
      <c r="D37" s="289" t="s">
        <v>495</v>
      </c>
      <c r="E37" s="287" t="s">
        <v>1729</v>
      </c>
      <c r="F37" s="287" t="s">
        <v>1672</v>
      </c>
      <c r="G37" s="287" t="s">
        <v>1743</v>
      </c>
      <c r="H37" s="295" t="s">
        <v>1744</v>
      </c>
    </row>
    <row r="38" ht="18.0" customHeight="1">
      <c r="A38" s="287" t="s">
        <v>1722</v>
      </c>
      <c r="B38" s="288" t="s">
        <v>1723</v>
      </c>
      <c r="C38" s="287" t="s">
        <v>1745</v>
      </c>
      <c r="D38" s="289" t="s">
        <v>900</v>
      </c>
      <c r="E38" s="287" t="s">
        <v>1729</v>
      </c>
      <c r="F38" s="287" t="s">
        <v>1672</v>
      </c>
      <c r="G38" s="287" t="s">
        <v>1746</v>
      </c>
      <c r="H38" s="295" t="s">
        <v>1747</v>
      </c>
    </row>
    <row r="39" ht="18.0" customHeight="1">
      <c r="A39" s="287" t="s">
        <v>1722</v>
      </c>
      <c r="B39" s="288" t="s">
        <v>1723</v>
      </c>
      <c r="C39" s="287" t="s">
        <v>1748</v>
      </c>
      <c r="D39" s="288" t="s">
        <v>1056</v>
      </c>
      <c r="E39" s="287" t="s">
        <v>1725</v>
      </c>
      <c r="F39" s="287" t="s">
        <v>1672</v>
      </c>
      <c r="G39" s="287" t="s">
        <v>1749</v>
      </c>
      <c r="H39" s="295" t="s">
        <v>1750</v>
      </c>
    </row>
    <row r="40" ht="18.0" customHeight="1">
      <c r="A40" s="287" t="s">
        <v>1722</v>
      </c>
      <c r="B40" s="288" t="s">
        <v>1723</v>
      </c>
      <c r="C40" s="287" t="s">
        <v>1751</v>
      </c>
      <c r="D40" s="288" t="s">
        <v>790</v>
      </c>
      <c r="E40" s="287" t="s">
        <v>1729</v>
      </c>
      <c r="F40" s="287" t="s">
        <v>1672</v>
      </c>
      <c r="G40" s="287" t="s">
        <v>1752</v>
      </c>
      <c r="H40" s="295" t="s">
        <v>1753</v>
      </c>
    </row>
    <row r="41" ht="18.0" customHeight="1">
      <c r="A41" s="287" t="s">
        <v>1722</v>
      </c>
      <c r="B41" s="288" t="s">
        <v>1723</v>
      </c>
      <c r="C41" s="287" t="s">
        <v>1754</v>
      </c>
      <c r="D41" s="288" t="s">
        <v>865</v>
      </c>
      <c r="E41" s="287" t="s">
        <v>1729</v>
      </c>
      <c r="F41" s="287" t="s">
        <v>1672</v>
      </c>
      <c r="G41" s="287" t="s">
        <v>1755</v>
      </c>
      <c r="H41" s="295" t="s">
        <v>1756</v>
      </c>
    </row>
    <row r="42" ht="18.0" customHeight="1">
      <c r="A42" s="287" t="s">
        <v>1722</v>
      </c>
      <c r="B42" s="288" t="s">
        <v>1723</v>
      </c>
      <c r="C42" s="287" t="s">
        <v>1757</v>
      </c>
      <c r="D42" s="289" t="s">
        <v>1758</v>
      </c>
      <c r="E42" s="287" t="s">
        <v>1729</v>
      </c>
      <c r="F42" s="287" t="s">
        <v>1672</v>
      </c>
      <c r="G42" s="287" t="s">
        <v>1759</v>
      </c>
      <c r="H42" s="295" t="s">
        <v>1760</v>
      </c>
    </row>
    <row r="43" ht="18.0" customHeight="1">
      <c r="A43" s="287" t="s">
        <v>1722</v>
      </c>
      <c r="B43" s="288" t="s">
        <v>1723</v>
      </c>
      <c r="C43" s="287" t="s">
        <v>1761</v>
      </c>
      <c r="D43" s="289" t="s">
        <v>692</v>
      </c>
      <c r="E43" s="287" t="s">
        <v>1729</v>
      </c>
      <c r="F43" s="287" t="s">
        <v>1672</v>
      </c>
      <c r="G43" s="287" t="s">
        <v>1762</v>
      </c>
      <c r="H43" s="295" t="s">
        <v>1763</v>
      </c>
    </row>
    <row r="44" ht="18.0" customHeight="1">
      <c r="A44" s="287" t="s">
        <v>1722</v>
      </c>
      <c r="B44" s="288" t="s">
        <v>1723</v>
      </c>
      <c r="C44" s="287" t="s">
        <v>1764</v>
      </c>
      <c r="D44" s="288" t="s">
        <v>1765</v>
      </c>
      <c r="E44" s="287" t="s">
        <v>1729</v>
      </c>
      <c r="F44" s="287" t="s">
        <v>1672</v>
      </c>
      <c r="G44" s="287" t="s">
        <v>1766</v>
      </c>
      <c r="H44" s="295" t="s">
        <v>1767</v>
      </c>
    </row>
    <row r="45" ht="18.0" customHeight="1">
      <c r="A45" s="287" t="s">
        <v>1722</v>
      </c>
      <c r="B45" s="288" t="s">
        <v>1723</v>
      </c>
      <c r="C45" s="287" t="s">
        <v>1768</v>
      </c>
      <c r="D45" s="289" t="s">
        <v>576</v>
      </c>
      <c r="E45" s="287" t="s">
        <v>1729</v>
      </c>
      <c r="F45" s="287" t="s">
        <v>1672</v>
      </c>
      <c r="G45" s="287" t="s">
        <v>1769</v>
      </c>
      <c r="H45" s="295" t="s">
        <v>1770</v>
      </c>
    </row>
    <row r="46" ht="18.0" customHeight="1">
      <c r="A46" s="287" t="s">
        <v>1722</v>
      </c>
      <c r="B46" s="288" t="s">
        <v>1723</v>
      </c>
      <c r="C46" s="287" t="s">
        <v>1771</v>
      </c>
      <c r="D46" s="289" t="s">
        <v>1772</v>
      </c>
      <c r="E46" s="287" t="s">
        <v>1729</v>
      </c>
      <c r="F46" s="287" t="s">
        <v>1672</v>
      </c>
      <c r="G46" s="287" t="s">
        <v>1773</v>
      </c>
      <c r="H46" s="295" t="s">
        <v>1774</v>
      </c>
    </row>
    <row r="47" ht="18.0" customHeight="1">
      <c r="A47" s="287" t="s">
        <v>1722</v>
      </c>
      <c r="B47" s="288" t="s">
        <v>1723</v>
      </c>
      <c r="C47" s="287" t="s">
        <v>1775</v>
      </c>
      <c r="D47" s="288" t="s">
        <v>1083</v>
      </c>
      <c r="E47" s="287" t="s">
        <v>1729</v>
      </c>
      <c r="F47" s="287" t="s">
        <v>1672</v>
      </c>
      <c r="G47" s="287" t="s">
        <v>1776</v>
      </c>
      <c r="H47" s="295" t="s">
        <v>1777</v>
      </c>
    </row>
    <row r="48" ht="18.0" customHeight="1">
      <c r="A48" s="287" t="s">
        <v>1722</v>
      </c>
      <c r="B48" s="288" t="s">
        <v>1723</v>
      </c>
      <c r="C48" s="287" t="s">
        <v>1778</v>
      </c>
      <c r="D48" s="288" t="s">
        <v>644</v>
      </c>
      <c r="E48" s="287" t="s">
        <v>1779</v>
      </c>
      <c r="F48" s="287" t="s">
        <v>1672</v>
      </c>
      <c r="G48" s="287" t="s">
        <v>1780</v>
      </c>
      <c r="H48" s="295" t="s">
        <v>1781</v>
      </c>
    </row>
    <row r="49" ht="18.0" customHeight="1">
      <c r="A49" s="287" t="s">
        <v>1722</v>
      </c>
      <c r="B49" s="288" t="s">
        <v>1723</v>
      </c>
      <c r="C49" s="287" t="s">
        <v>1782</v>
      </c>
      <c r="D49" s="289" t="s">
        <v>1470</v>
      </c>
      <c r="E49" s="287" t="s">
        <v>1783</v>
      </c>
      <c r="F49" s="287" t="s">
        <v>1672</v>
      </c>
      <c r="G49" s="287" t="s">
        <v>1784</v>
      </c>
      <c r="H49" s="295" t="s">
        <v>1785</v>
      </c>
    </row>
    <row r="50" ht="18.0" customHeight="1">
      <c r="A50" s="287" t="s">
        <v>1722</v>
      </c>
      <c r="B50" s="288" t="s">
        <v>1723</v>
      </c>
      <c r="C50" s="287" t="s">
        <v>1786</v>
      </c>
      <c r="D50" s="289" t="s">
        <v>1201</v>
      </c>
      <c r="E50" s="287" t="s">
        <v>1729</v>
      </c>
      <c r="F50" s="287" t="s">
        <v>1672</v>
      </c>
      <c r="G50" s="287" t="s">
        <v>1787</v>
      </c>
      <c r="H50" s="295" t="s">
        <v>1788</v>
      </c>
    </row>
    <row r="51" ht="18.0" customHeight="1">
      <c r="A51" s="296" t="s">
        <v>1722</v>
      </c>
      <c r="B51" s="289" t="s">
        <v>1723</v>
      </c>
      <c r="C51" s="296" t="s">
        <v>1789</v>
      </c>
      <c r="D51" s="289" t="s">
        <v>1126</v>
      </c>
      <c r="E51" s="296" t="s">
        <v>1779</v>
      </c>
      <c r="F51" s="287" t="s">
        <v>1672</v>
      </c>
      <c r="G51" s="287" t="s">
        <v>1790</v>
      </c>
      <c r="H51" s="295" t="s">
        <v>1791</v>
      </c>
    </row>
    <row r="52">
      <c r="A52" s="287" t="s">
        <v>1722</v>
      </c>
      <c r="B52" s="288" t="s">
        <v>1723</v>
      </c>
      <c r="C52" s="287" t="s">
        <v>1792</v>
      </c>
      <c r="D52" s="288" t="s">
        <v>1317</v>
      </c>
      <c r="E52" s="287" t="s">
        <v>490</v>
      </c>
      <c r="F52" s="287" t="s">
        <v>1672</v>
      </c>
      <c r="G52" s="287" t="s">
        <v>1793</v>
      </c>
      <c r="H52" s="295" t="s">
        <v>1794</v>
      </c>
    </row>
    <row r="53">
      <c r="A53" s="287" t="s">
        <v>1722</v>
      </c>
      <c r="B53" s="288" t="s">
        <v>1723</v>
      </c>
      <c r="C53" s="287" t="s">
        <v>1795</v>
      </c>
      <c r="D53" s="288" t="s">
        <v>831</v>
      </c>
      <c r="E53" s="287" t="s">
        <v>490</v>
      </c>
      <c r="F53" s="287" t="s">
        <v>1672</v>
      </c>
      <c r="G53" s="287" t="s">
        <v>1796</v>
      </c>
      <c r="H53" s="295" t="s">
        <v>1797</v>
      </c>
    </row>
    <row r="54" ht="21.0" customHeight="1">
      <c r="A54" s="287" t="s">
        <v>1722</v>
      </c>
      <c r="B54" s="288" t="s">
        <v>1723</v>
      </c>
      <c r="C54" s="287" t="s">
        <v>1798</v>
      </c>
      <c r="D54" s="289" t="s">
        <v>380</v>
      </c>
      <c r="E54" s="287" t="s">
        <v>1729</v>
      </c>
      <c r="F54" s="287" t="s">
        <v>1672</v>
      </c>
      <c r="G54" s="287" t="s">
        <v>1799</v>
      </c>
      <c r="H54" s="295" t="s">
        <v>1800</v>
      </c>
    </row>
    <row r="55" ht="21.0" customHeight="1">
      <c r="A55" s="292" t="s">
        <v>1722</v>
      </c>
      <c r="B55" s="297" t="s">
        <v>1723</v>
      </c>
      <c r="C55" s="292" t="s">
        <v>1801</v>
      </c>
      <c r="D55" s="293" t="s">
        <v>534</v>
      </c>
      <c r="E55" s="292" t="s">
        <v>1729</v>
      </c>
      <c r="F55" s="292" t="s">
        <v>1672</v>
      </c>
      <c r="G55" s="292" t="s">
        <v>1802</v>
      </c>
      <c r="H55" s="298"/>
    </row>
    <row r="56" ht="21.0" customHeight="1">
      <c r="A56" s="185"/>
      <c r="B56" s="185"/>
      <c r="C56" s="185"/>
      <c r="D56" s="185"/>
      <c r="E56" s="185"/>
      <c r="F56" s="185"/>
      <c r="G56" s="185"/>
      <c r="H56" s="185"/>
    </row>
    <row r="57" ht="21.0" customHeight="1">
      <c r="A57" s="286" t="s">
        <v>1803</v>
      </c>
    </row>
    <row r="58" ht="21.0" customHeight="1">
      <c r="A58" s="287" t="s">
        <v>1804</v>
      </c>
      <c r="B58" s="285" t="s">
        <v>1805</v>
      </c>
      <c r="C58" s="287" t="s">
        <v>1724</v>
      </c>
      <c r="D58" s="288" t="s">
        <v>1806</v>
      </c>
      <c r="E58" s="185"/>
      <c r="F58" s="185"/>
      <c r="G58" s="185"/>
      <c r="H58" s="288" t="s">
        <v>414</v>
      </c>
    </row>
    <row r="59" ht="21.0" customHeight="1">
      <c r="C59" s="287" t="s">
        <v>1728</v>
      </c>
      <c r="D59" s="289" t="s">
        <v>968</v>
      </c>
      <c r="E59" s="185"/>
      <c r="F59" s="185"/>
      <c r="G59" s="185"/>
    </row>
    <row r="60" ht="21.0" customHeight="1">
      <c r="C60" s="287" t="s">
        <v>1732</v>
      </c>
      <c r="D60" s="289" t="s">
        <v>551</v>
      </c>
      <c r="E60" s="185"/>
      <c r="F60" s="185"/>
      <c r="G60" s="185"/>
    </row>
    <row r="61" ht="21.0" customHeight="1">
      <c r="C61" s="287" t="s">
        <v>1736</v>
      </c>
      <c r="D61" s="289" t="s">
        <v>768</v>
      </c>
      <c r="E61" s="185"/>
      <c r="F61" s="185"/>
      <c r="G61" s="185"/>
    </row>
    <row r="62" ht="21.0" customHeight="1">
      <c r="E62" s="185"/>
      <c r="F62" s="185"/>
      <c r="G62" s="185"/>
    </row>
    <row r="63" ht="21.0" customHeight="1">
      <c r="C63" s="287" t="s">
        <v>1739</v>
      </c>
      <c r="D63" s="289" t="s">
        <v>1807</v>
      </c>
      <c r="E63" s="185"/>
      <c r="F63" s="185"/>
      <c r="G63" s="185"/>
    </row>
    <row r="64">
      <c r="C64" s="287" t="s">
        <v>1751</v>
      </c>
      <c r="D64" s="289" t="s">
        <v>790</v>
      </c>
      <c r="E64" s="185"/>
      <c r="F64" s="185"/>
      <c r="G64" s="185"/>
    </row>
    <row r="65">
      <c r="E65" s="185"/>
      <c r="F65" s="185"/>
      <c r="G65" s="185"/>
    </row>
    <row r="66">
      <c r="E66" s="185"/>
      <c r="F66" s="185"/>
      <c r="G66" s="185"/>
    </row>
    <row r="67">
      <c r="E67" s="185"/>
      <c r="F67" s="185"/>
      <c r="G67" s="185"/>
    </row>
    <row r="68">
      <c r="A68" s="299" t="s">
        <v>1809</v>
      </c>
      <c r="B68" s="300" t="s">
        <v>1696</v>
      </c>
      <c r="C68" s="299" t="s">
        <v>1810</v>
      </c>
      <c r="D68" s="301" t="s">
        <v>495</v>
      </c>
      <c r="E68" s="302"/>
      <c r="F68" s="302"/>
      <c r="G68" s="302"/>
      <c r="H68" s="301" t="s">
        <v>414</v>
      </c>
    </row>
    <row r="69">
      <c r="C69" s="287" t="s">
        <v>1745</v>
      </c>
      <c r="D69" s="288" t="s">
        <v>900</v>
      </c>
      <c r="E69" s="185"/>
      <c r="F69" s="185"/>
      <c r="G69" s="185"/>
    </row>
    <row r="70">
      <c r="E70" s="185"/>
      <c r="F70" s="185"/>
      <c r="G70" s="185"/>
    </row>
    <row r="71">
      <c r="E71" s="185"/>
      <c r="F71" s="185"/>
      <c r="G71" s="185"/>
    </row>
    <row r="72">
      <c r="E72" s="185"/>
      <c r="F72" s="185"/>
      <c r="G72" s="185"/>
    </row>
    <row r="73">
      <c r="E73" s="185"/>
      <c r="F73" s="185"/>
      <c r="G73" s="185"/>
    </row>
    <row r="74">
      <c r="C74" s="287" t="s">
        <v>1748</v>
      </c>
      <c r="D74" s="289" t="s">
        <v>1056</v>
      </c>
      <c r="E74" s="185"/>
      <c r="F74" s="185"/>
      <c r="G74" s="185"/>
    </row>
    <row r="75">
      <c r="E75" s="185"/>
      <c r="F75" s="185"/>
      <c r="G75" s="185"/>
    </row>
    <row r="76">
      <c r="E76" s="185"/>
      <c r="F76" s="185"/>
      <c r="G76" s="185"/>
    </row>
    <row r="77">
      <c r="C77" s="287" t="s">
        <v>1778</v>
      </c>
      <c r="D77" s="289" t="s">
        <v>644</v>
      </c>
      <c r="E77" s="185"/>
      <c r="F77" s="185"/>
      <c r="G77" s="185"/>
    </row>
    <row r="78">
      <c r="C78" s="287" t="s">
        <v>1751</v>
      </c>
      <c r="D78" s="289" t="s">
        <v>790</v>
      </c>
      <c r="E78" s="185"/>
      <c r="F78" s="185"/>
      <c r="G78" s="185"/>
    </row>
    <row r="79">
      <c r="C79" s="303" t="s">
        <v>1764</v>
      </c>
      <c r="D79" s="304" t="s">
        <v>1765</v>
      </c>
      <c r="E79" s="305"/>
      <c r="F79" s="305"/>
      <c r="G79" s="305"/>
    </row>
    <row r="80">
      <c r="A80" s="299" t="s">
        <v>1811</v>
      </c>
      <c r="B80" s="300" t="s">
        <v>1700</v>
      </c>
      <c r="C80" s="299" t="s">
        <v>1754</v>
      </c>
      <c r="D80" s="306" t="s">
        <v>865</v>
      </c>
      <c r="E80" s="302"/>
      <c r="F80" s="302"/>
      <c r="G80" s="302"/>
      <c r="H80" s="301" t="s">
        <v>414</v>
      </c>
    </row>
    <row r="81">
      <c r="E81" s="185"/>
      <c r="F81" s="185"/>
      <c r="G81" s="185"/>
    </row>
    <row r="82">
      <c r="E82" s="185"/>
      <c r="F82" s="185"/>
      <c r="G82" s="185"/>
    </row>
    <row r="83">
      <c r="C83" s="287" t="s">
        <v>1757</v>
      </c>
      <c r="D83" s="288" t="s">
        <v>1758</v>
      </c>
      <c r="E83" s="185"/>
      <c r="F83" s="185"/>
      <c r="G83" s="185"/>
    </row>
    <row r="84">
      <c r="C84" s="287" t="s">
        <v>1768</v>
      </c>
      <c r="D84" s="289" t="s">
        <v>576</v>
      </c>
      <c r="E84" s="185"/>
      <c r="F84" s="185"/>
      <c r="G84" s="185"/>
    </row>
    <row r="85">
      <c r="C85" s="287" t="s">
        <v>1782</v>
      </c>
      <c r="D85" s="289" t="s">
        <v>1470</v>
      </c>
      <c r="E85" s="185"/>
      <c r="F85" s="185"/>
      <c r="G85" s="185"/>
    </row>
    <row r="86">
      <c r="C86" s="287" t="s">
        <v>1771</v>
      </c>
      <c r="D86" s="288" t="s">
        <v>1772</v>
      </c>
      <c r="E86" s="185"/>
      <c r="F86" s="185"/>
      <c r="G86" s="185"/>
    </row>
    <row r="87">
      <c r="A87" s="299" t="s">
        <v>1812</v>
      </c>
      <c r="B87" s="300" t="s">
        <v>1704</v>
      </c>
      <c r="C87" s="299" t="s">
        <v>1764</v>
      </c>
      <c r="D87" s="301" t="s">
        <v>1765</v>
      </c>
      <c r="E87" s="302"/>
      <c r="F87" s="302"/>
      <c r="G87" s="302"/>
      <c r="H87" s="301" t="s">
        <v>414</v>
      </c>
    </row>
    <row r="88">
      <c r="C88" s="287" t="s">
        <v>1768</v>
      </c>
      <c r="D88" s="288" t="s">
        <v>576</v>
      </c>
      <c r="E88" s="185"/>
      <c r="F88" s="185"/>
      <c r="G88" s="185"/>
    </row>
    <row r="89">
      <c r="C89" s="287" t="s">
        <v>1771</v>
      </c>
      <c r="D89" s="288" t="s">
        <v>1772</v>
      </c>
      <c r="E89" s="185"/>
      <c r="F89" s="185"/>
      <c r="G89" s="185"/>
    </row>
    <row r="90">
      <c r="C90" s="287" t="s">
        <v>1775</v>
      </c>
      <c r="D90" s="288" t="s">
        <v>1083</v>
      </c>
      <c r="E90" s="185"/>
      <c r="F90" s="185"/>
      <c r="G90" s="185"/>
    </row>
    <row r="91">
      <c r="E91" s="185"/>
      <c r="F91" s="185"/>
      <c r="G91" s="185"/>
    </row>
    <row r="92">
      <c r="C92" s="287" t="s">
        <v>1786</v>
      </c>
      <c r="D92" s="289" t="s">
        <v>1201</v>
      </c>
      <c r="E92" s="185"/>
      <c r="F92" s="185"/>
      <c r="G92" s="185"/>
    </row>
    <row r="93">
      <c r="E93" s="185"/>
      <c r="F93" s="185"/>
      <c r="G93" s="185"/>
    </row>
    <row r="94">
      <c r="A94" s="299" t="s">
        <v>1813</v>
      </c>
      <c r="B94" s="300" t="s">
        <v>1708</v>
      </c>
      <c r="C94" s="299" t="s">
        <v>1761</v>
      </c>
      <c r="D94" s="301" t="s">
        <v>692</v>
      </c>
      <c r="E94" s="302"/>
      <c r="F94" s="302"/>
      <c r="G94" s="302"/>
      <c r="H94" s="301" t="s">
        <v>414</v>
      </c>
    </row>
    <row r="95">
      <c r="C95" s="287" t="s">
        <v>1792</v>
      </c>
      <c r="D95" s="289" t="s">
        <v>1317</v>
      </c>
      <c r="E95" s="185"/>
      <c r="F95" s="185"/>
      <c r="G95" s="185"/>
    </row>
    <row r="96">
      <c r="A96" s="299" t="s">
        <v>1814</v>
      </c>
      <c r="B96" s="300" t="s">
        <v>1712</v>
      </c>
      <c r="C96" s="299" t="s">
        <v>1795</v>
      </c>
      <c r="D96" s="301" t="s">
        <v>831</v>
      </c>
      <c r="E96" s="302"/>
      <c r="F96" s="302"/>
      <c r="G96" s="302"/>
      <c r="H96" s="301" t="s">
        <v>414</v>
      </c>
    </row>
    <row r="97">
      <c r="C97" s="287" t="s">
        <v>1789</v>
      </c>
      <c r="D97" s="288" t="s">
        <v>1126</v>
      </c>
      <c r="E97" s="185"/>
      <c r="F97" s="185"/>
      <c r="G97" s="185"/>
    </row>
    <row r="98">
      <c r="C98" s="287" t="s">
        <v>1782</v>
      </c>
      <c r="D98" s="288" t="s">
        <v>1470</v>
      </c>
      <c r="E98" s="185"/>
      <c r="F98" s="185"/>
      <c r="G98" s="185"/>
    </row>
    <row r="99">
      <c r="C99" s="287" t="s">
        <v>1792</v>
      </c>
      <c r="D99" s="288" t="s">
        <v>1317</v>
      </c>
      <c r="E99" s="185"/>
      <c r="F99" s="185"/>
      <c r="G99" s="185"/>
    </row>
    <row r="100">
      <c r="A100" s="299" t="s">
        <v>1815</v>
      </c>
      <c r="B100" s="300" t="s">
        <v>1716</v>
      </c>
      <c r="C100" s="299" t="s">
        <v>1816</v>
      </c>
      <c r="D100" s="301" t="s">
        <v>1126</v>
      </c>
      <c r="E100" s="302"/>
      <c r="F100" s="302"/>
      <c r="G100" s="302"/>
      <c r="H100" s="301" t="s">
        <v>414</v>
      </c>
    </row>
    <row r="101">
      <c r="C101" s="287" t="s">
        <v>1782</v>
      </c>
      <c r="D101" s="288" t="s">
        <v>1470</v>
      </c>
      <c r="E101" s="185"/>
      <c r="F101" s="185"/>
      <c r="G101" s="185"/>
    </row>
    <row r="102">
      <c r="A102" s="307" t="s">
        <v>1817</v>
      </c>
      <c r="B102" s="308" t="s">
        <v>1719</v>
      </c>
      <c r="C102" s="307" t="s">
        <v>1801</v>
      </c>
      <c r="D102" s="309" t="s">
        <v>534</v>
      </c>
      <c r="E102" s="310"/>
      <c r="F102" s="310"/>
      <c r="G102" s="310"/>
      <c r="H102" s="309" t="s">
        <v>414</v>
      </c>
    </row>
    <row r="103">
      <c r="C103" s="298"/>
      <c r="D103" s="298"/>
      <c r="E103" s="298"/>
      <c r="F103" s="298"/>
      <c r="G103" s="298"/>
    </row>
    <row r="104">
      <c r="A104" s="185"/>
      <c r="B104" s="185"/>
      <c r="C104" s="185"/>
      <c r="D104" s="185"/>
      <c r="E104" s="185"/>
      <c r="F104" s="185"/>
      <c r="G104" s="185"/>
      <c r="H104" s="185"/>
    </row>
    <row r="105">
      <c r="A105" s="286" t="s">
        <v>1818</v>
      </c>
    </row>
    <row r="106">
      <c r="A106" s="298"/>
      <c r="B106" s="297" t="s">
        <v>1819</v>
      </c>
      <c r="C106" s="292" t="s">
        <v>1820</v>
      </c>
      <c r="D106" s="297" t="s">
        <v>1821</v>
      </c>
      <c r="E106" s="298"/>
      <c r="F106" s="298"/>
      <c r="G106" s="292" t="s">
        <v>1822</v>
      </c>
      <c r="H106" s="298"/>
    </row>
    <row r="107">
      <c r="A107" s="298"/>
      <c r="C107" s="292" t="s">
        <v>1823</v>
      </c>
      <c r="D107" s="297" t="s">
        <v>1824</v>
      </c>
      <c r="E107" s="298"/>
      <c r="F107" s="298"/>
      <c r="G107" s="292" t="s">
        <v>1825</v>
      </c>
      <c r="H107" s="298"/>
    </row>
    <row r="108">
      <c r="A108" s="298"/>
      <c r="C108" s="292" t="s">
        <v>1826</v>
      </c>
      <c r="D108" s="293" t="s">
        <v>1827</v>
      </c>
      <c r="E108" s="298"/>
      <c r="F108" s="298"/>
      <c r="G108" s="292" t="s">
        <v>1828</v>
      </c>
      <c r="H108" s="298"/>
    </row>
    <row r="109">
      <c r="A109" s="298"/>
      <c r="C109" s="292" t="s">
        <v>1829</v>
      </c>
      <c r="D109" s="293" t="s">
        <v>1830</v>
      </c>
      <c r="E109" s="298"/>
      <c r="F109" s="298"/>
      <c r="G109" s="292" t="s">
        <v>1831</v>
      </c>
      <c r="H109" s="298"/>
    </row>
    <row r="110">
      <c r="A110" s="298"/>
      <c r="C110" s="292" t="s">
        <v>1832</v>
      </c>
      <c r="D110" s="297" t="s">
        <v>935</v>
      </c>
      <c r="E110" s="298"/>
      <c r="F110" s="298"/>
      <c r="G110" s="292" t="s">
        <v>1833</v>
      </c>
      <c r="H110" s="298"/>
    </row>
    <row r="111">
      <c r="A111" s="311" t="s">
        <v>1834</v>
      </c>
      <c r="B111" s="297" t="s">
        <v>1835</v>
      </c>
      <c r="C111" s="312" t="s">
        <v>1836</v>
      </c>
      <c r="D111" s="297" t="s">
        <v>1837</v>
      </c>
      <c r="E111" s="298"/>
      <c r="F111" s="298"/>
      <c r="G111" s="292" t="s">
        <v>1838</v>
      </c>
      <c r="H111" s="298"/>
    </row>
    <row r="112">
      <c r="B112" s="297" t="s">
        <v>1839</v>
      </c>
      <c r="C112" s="292" t="s">
        <v>1840</v>
      </c>
      <c r="D112" s="297" t="s">
        <v>1841</v>
      </c>
      <c r="E112" s="298"/>
      <c r="F112" s="298"/>
      <c r="G112" s="292" t="s">
        <v>1842</v>
      </c>
      <c r="H112" s="298"/>
    </row>
    <row r="113">
      <c r="B113" s="297" t="s">
        <v>1839</v>
      </c>
      <c r="C113" s="292" t="s">
        <v>1843</v>
      </c>
      <c r="D113" s="297" t="s">
        <v>1844</v>
      </c>
      <c r="E113" s="298"/>
      <c r="F113" s="298"/>
      <c r="G113" s="292" t="s">
        <v>1838</v>
      </c>
      <c r="H113" s="298"/>
    </row>
    <row r="114">
      <c r="A114" s="298"/>
      <c r="B114" s="297" t="s">
        <v>1845</v>
      </c>
      <c r="C114" s="292" t="s">
        <v>1846</v>
      </c>
      <c r="D114" s="297" t="s">
        <v>1847</v>
      </c>
      <c r="E114" s="298"/>
      <c r="F114" s="298"/>
      <c r="G114" s="292" t="s">
        <v>1838</v>
      </c>
      <c r="H114" s="298"/>
    </row>
    <row r="115">
      <c r="A115" s="298"/>
      <c r="B115" s="297" t="s">
        <v>1845</v>
      </c>
      <c r="C115" s="292" t="s">
        <v>1848</v>
      </c>
      <c r="D115" s="297" t="s">
        <v>1849</v>
      </c>
      <c r="E115" s="298"/>
      <c r="F115" s="298"/>
      <c r="G115" s="292" t="s">
        <v>1838</v>
      </c>
      <c r="H115" s="298"/>
    </row>
    <row r="116">
      <c r="A116" s="298"/>
      <c r="B116" s="297" t="s">
        <v>1845</v>
      </c>
      <c r="C116" s="292" t="s">
        <v>1850</v>
      </c>
      <c r="D116" s="293" t="s">
        <v>1851</v>
      </c>
      <c r="E116" s="298"/>
      <c r="F116" s="298"/>
      <c r="G116" s="292" t="s">
        <v>1842</v>
      </c>
      <c r="H116" s="298"/>
    </row>
    <row r="117">
      <c r="A117" s="298"/>
      <c r="B117" s="297" t="s">
        <v>1852</v>
      </c>
      <c r="C117" s="292" t="s">
        <v>1853</v>
      </c>
      <c r="D117" s="297" t="s">
        <v>1356</v>
      </c>
      <c r="E117" s="298"/>
      <c r="F117" s="298"/>
      <c r="G117" s="292" t="s">
        <v>1842</v>
      </c>
      <c r="H117" s="298"/>
    </row>
    <row r="118">
      <c r="A118" s="298"/>
      <c r="B118" s="297" t="s">
        <v>1852</v>
      </c>
      <c r="C118" s="292" t="s">
        <v>1854</v>
      </c>
      <c r="D118" s="293" t="s">
        <v>1855</v>
      </c>
      <c r="E118" s="298"/>
      <c r="F118" s="298"/>
      <c r="G118" s="292" t="s">
        <v>1842</v>
      </c>
      <c r="H118" s="298"/>
    </row>
    <row r="119">
      <c r="A119" s="298"/>
      <c r="B119" s="297" t="s">
        <v>1852</v>
      </c>
      <c r="C119" s="292" t="s">
        <v>1856</v>
      </c>
      <c r="D119" s="293" t="s">
        <v>1857</v>
      </c>
      <c r="E119" s="298"/>
      <c r="F119" s="298"/>
      <c r="G119" s="292" t="s">
        <v>1858</v>
      </c>
      <c r="H119" s="298"/>
    </row>
    <row r="120">
      <c r="A120" s="298"/>
      <c r="B120" s="297" t="s">
        <v>1852</v>
      </c>
      <c r="C120" s="292" t="s">
        <v>1859</v>
      </c>
      <c r="D120" s="293" t="s">
        <v>1860</v>
      </c>
      <c r="E120" s="298"/>
      <c r="F120" s="298"/>
      <c r="G120" s="292" t="s">
        <v>1861</v>
      </c>
      <c r="H120" s="298"/>
    </row>
    <row r="121">
      <c r="A121" s="298"/>
      <c r="B121" s="297" t="s">
        <v>1852</v>
      </c>
      <c r="C121" s="292" t="s">
        <v>1862</v>
      </c>
      <c r="D121" s="297" t="s">
        <v>1863</v>
      </c>
      <c r="E121" s="298"/>
      <c r="F121" s="298"/>
      <c r="G121" s="292" t="s">
        <v>1861</v>
      </c>
      <c r="H121" s="298"/>
    </row>
    <row r="122">
      <c r="A122" s="298"/>
      <c r="B122" s="297" t="s">
        <v>1852</v>
      </c>
      <c r="C122" s="292" t="s">
        <v>1864</v>
      </c>
      <c r="D122" s="297" t="s">
        <v>1281</v>
      </c>
      <c r="E122" s="298"/>
      <c r="F122" s="298"/>
      <c r="G122" s="292" t="s">
        <v>1842</v>
      </c>
      <c r="H122" s="298"/>
    </row>
    <row r="123">
      <c r="A123" s="298"/>
      <c r="B123" s="297" t="s">
        <v>1852</v>
      </c>
      <c r="C123" s="292" t="s">
        <v>1865</v>
      </c>
      <c r="D123" s="297" t="s">
        <v>1866</v>
      </c>
      <c r="E123" s="298"/>
      <c r="F123" s="298"/>
      <c r="G123" s="292" t="s">
        <v>1861</v>
      </c>
      <c r="H123" s="298"/>
    </row>
    <row r="124">
      <c r="A124" s="298"/>
      <c r="B124" s="297" t="s">
        <v>1852</v>
      </c>
      <c r="C124" s="292" t="s">
        <v>1867</v>
      </c>
      <c r="D124" s="293" t="s">
        <v>1868</v>
      </c>
      <c r="E124" s="298"/>
      <c r="F124" s="298"/>
      <c r="G124" s="292" t="s">
        <v>1842</v>
      </c>
      <c r="H124" s="298"/>
    </row>
    <row r="125">
      <c r="A125" s="298"/>
      <c r="B125" s="297" t="s">
        <v>1852</v>
      </c>
      <c r="C125" s="292" t="s">
        <v>1869</v>
      </c>
      <c r="D125" s="293" t="s">
        <v>1870</v>
      </c>
      <c r="E125" s="298"/>
      <c r="F125" s="298"/>
      <c r="G125" s="292" t="s">
        <v>1842</v>
      </c>
      <c r="H125" s="298"/>
    </row>
    <row r="126">
      <c r="A126" s="298"/>
      <c r="B126" s="297" t="s">
        <v>1871</v>
      </c>
      <c r="C126" s="292" t="s">
        <v>1872</v>
      </c>
      <c r="D126" s="297" t="s">
        <v>1873</v>
      </c>
      <c r="E126" s="298"/>
      <c r="F126" s="298"/>
      <c r="G126" s="292" t="s">
        <v>1858</v>
      </c>
      <c r="H126" s="298"/>
    </row>
    <row r="127">
      <c r="A127" s="298"/>
      <c r="B127" s="297" t="s">
        <v>1871</v>
      </c>
      <c r="C127" s="292" t="s">
        <v>1874</v>
      </c>
      <c r="D127" s="293" t="s">
        <v>1875</v>
      </c>
      <c r="E127" s="298"/>
      <c r="F127" s="298"/>
      <c r="G127" s="292" t="s">
        <v>1838</v>
      </c>
      <c r="H127" s="298"/>
    </row>
    <row r="128">
      <c r="A128" s="298"/>
      <c r="B128" s="297" t="s">
        <v>1871</v>
      </c>
      <c r="C128" s="292" t="s">
        <v>1876</v>
      </c>
      <c r="D128" s="297" t="s">
        <v>1877</v>
      </c>
      <c r="E128" s="298"/>
      <c r="F128" s="298"/>
      <c r="G128" s="292" t="s">
        <v>1878</v>
      </c>
      <c r="H128" s="298"/>
    </row>
    <row r="129">
      <c r="A129" s="298"/>
      <c r="B129" s="297" t="s">
        <v>1871</v>
      </c>
      <c r="C129" s="292" t="s">
        <v>1879</v>
      </c>
      <c r="D129" s="297" t="s">
        <v>1880</v>
      </c>
      <c r="E129" s="298"/>
      <c r="F129" s="298"/>
      <c r="G129" s="292" t="s">
        <v>1858</v>
      </c>
      <c r="H129" s="298"/>
    </row>
    <row r="130">
      <c r="A130" s="298"/>
      <c r="B130" s="297" t="s">
        <v>1881</v>
      </c>
      <c r="C130" s="292" t="s">
        <v>1882</v>
      </c>
      <c r="D130" s="297" t="s">
        <v>1880</v>
      </c>
      <c r="E130" s="298"/>
      <c r="F130" s="298"/>
      <c r="G130" s="292" t="s">
        <v>1858</v>
      </c>
      <c r="H130" s="298"/>
    </row>
    <row r="131">
      <c r="A131" s="298"/>
      <c r="B131" s="297" t="s">
        <v>1883</v>
      </c>
      <c r="C131" s="292" t="s">
        <v>1884</v>
      </c>
      <c r="D131" s="293" t="s">
        <v>1885</v>
      </c>
      <c r="E131" s="298"/>
      <c r="F131" s="298"/>
      <c r="G131" s="292" t="s">
        <v>1838</v>
      </c>
      <c r="H131" s="298"/>
    </row>
    <row r="132">
      <c r="A132" s="298"/>
      <c r="B132" s="297" t="s">
        <v>1886</v>
      </c>
      <c r="C132" s="292" t="s">
        <v>1887</v>
      </c>
      <c r="D132" s="297" t="s">
        <v>1888</v>
      </c>
      <c r="E132" s="298"/>
      <c r="F132" s="298"/>
      <c r="G132" s="292" t="s">
        <v>1842</v>
      </c>
      <c r="H132" s="298"/>
    </row>
    <row r="133">
      <c r="A133" s="313"/>
      <c r="B133" s="297" t="s">
        <v>1886</v>
      </c>
      <c r="C133" s="292" t="s">
        <v>1889</v>
      </c>
      <c r="D133" s="293" t="s">
        <v>1890</v>
      </c>
      <c r="E133" s="313"/>
      <c r="F133" s="298"/>
      <c r="G133" s="292" t="s">
        <v>1838</v>
      </c>
      <c r="H133" s="298"/>
    </row>
    <row r="134">
      <c r="A134" s="298"/>
      <c r="B134" s="297" t="s">
        <v>1891</v>
      </c>
      <c r="C134" s="292" t="s">
        <v>1892</v>
      </c>
      <c r="D134" s="297" t="s">
        <v>1893</v>
      </c>
      <c r="E134" s="298"/>
      <c r="F134" s="298"/>
      <c r="G134" s="292" t="s">
        <v>1838</v>
      </c>
      <c r="H134" s="298"/>
    </row>
    <row r="135">
      <c r="A135" s="298"/>
      <c r="B135" s="297" t="s">
        <v>1891</v>
      </c>
      <c r="C135" s="292" t="s">
        <v>1894</v>
      </c>
      <c r="D135" s="293" t="s">
        <v>1895</v>
      </c>
      <c r="E135" s="298"/>
      <c r="F135" s="298"/>
      <c r="G135" s="292" t="s">
        <v>1838</v>
      </c>
      <c r="H135" s="298"/>
    </row>
    <row r="136">
      <c r="A136" s="298"/>
      <c r="B136" s="297" t="s">
        <v>1896</v>
      </c>
      <c r="C136" s="292" t="s">
        <v>1897</v>
      </c>
      <c r="D136" s="297" t="s">
        <v>1898</v>
      </c>
      <c r="E136" s="298"/>
      <c r="F136" s="298"/>
      <c r="G136" s="292" t="s">
        <v>1878</v>
      </c>
      <c r="H136" s="298"/>
    </row>
    <row r="137">
      <c r="A137" s="298"/>
      <c r="B137" s="297" t="s">
        <v>1899</v>
      </c>
      <c r="C137" s="292" t="s">
        <v>1900</v>
      </c>
      <c r="D137" s="297" t="s">
        <v>1901</v>
      </c>
      <c r="E137" s="298"/>
      <c r="F137" s="298"/>
      <c r="G137" s="292" t="s">
        <v>1838</v>
      </c>
      <c r="H137" s="298"/>
    </row>
    <row r="138">
      <c r="A138" s="298"/>
      <c r="B138" s="297" t="s">
        <v>1902</v>
      </c>
      <c r="C138" s="292" t="s">
        <v>1903</v>
      </c>
      <c r="D138" s="297" t="s">
        <v>1904</v>
      </c>
      <c r="E138" s="298"/>
      <c r="F138" s="298"/>
      <c r="G138" s="292" t="s">
        <v>1838</v>
      </c>
      <c r="H138" s="298"/>
    </row>
    <row r="139">
      <c r="A139" s="185"/>
      <c r="B139" s="185"/>
      <c r="C139" s="185"/>
      <c r="D139" s="184"/>
      <c r="E139" s="185"/>
      <c r="F139" s="185"/>
      <c r="G139" s="185"/>
      <c r="H139" s="185"/>
    </row>
    <row r="140">
      <c r="A140" s="314" t="s">
        <v>1905</v>
      </c>
    </row>
    <row r="141">
      <c r="A141" s="287" t="s">
        <v>1906</v>
      </c>
      <c r="B141" s="285" t="s">
        <v>1907</v>
      </c>
      <c r="C141" s="287" t="s">
        <v>1908</v>
      </c>
      <c r="D141" s="289" t="s">
        <v>1000</v>
      </c>
      <c r="E141" s="287" t="s">
        <v>999</v>
      </c>
      <c r="F141" s="287" t="s">
        <v>1672</v>
      </c>
      <c r="G141" s="185"/>
      <c r="H141" s="185"/>
    </row>
    <row r="142">
      <c r="A142" s="287" t="s">
        <v>1906</v>
      </c>
      <c r="C142" s="287" t="s">
        <v>1908</v>
      </c>
      <c r="D142" s="288" t="s">
        <v>1056</v>
      </c>
      <c r="E142" s="287" t="s">
        <v>999</v>
      </c>
      <c r="F142" s="287" t="s">
        <v>1672</v>
      </c>
      <c r="G142" s="185"/>
      <c r="H142" s="185"/>
    </row>
    <row r="143">
      <c r="A143" s="287" t="s">
        <v>1906</v>
      </c>
      <c r="C143" s="287" t="s">
        <v>1908</v>
      </c>
      <c r="D143" s="288" t="s">
        <v>551</v>
      </c>
      <c r="E143" s="287" t="s">
        <v>999</v>
      </c>
      <c r="F143" s="287" t="s">
        <v>1672</v>
      </c>
      <c r="G143" s="185"/>
      <c r="H143" s="185"/>
    </row>
    <row r="144">
      <c r="A144" s="185"/>
      <c r="B144" s="185"/>
      <c r="C144" s="185"/>
      <c r="D144" s="185"/>
      <c r="E144" s="185"/>
      <c r="F144" s="185"/>
      <c r="G144" s="185"/>
      <c r="H144" s="185"/>
    </row>
    <row r="145">
      <c r="A145" s="287" t="s">
        <v>1906</v>
      </c>
      <c r="B145" s="285" t="s">
        <v>1909</v>
      </c>
      <c r="C145" s="287" t="s">
        <v>1910</v>
      </c>
      <c r="D145" s="288" t="s">
        <v>968</v>
      </c>
      <c r="E145" s="287" t="s">
        <v>490</v>
      </c>
      <c r="F145" s="185"/>
      <c r="G145" s="185"/>
      <c r="H145" s="185"/>
    </row>
    <row r="146">
      <c r="A146" s="287" t="s">
        <v>1906</v>
      </c>
      <c r="C146" s="287" t="s">
        <v>1910</v>
      </c>
      <c r="D146" s="289" t="s">
        <v>551</v>
      </c>
      <c r="E146" s="287" t="s">
        <v>490</v>
      </c>
      <c r="F146" s="185"/>
      <c r="G146" s="185"/>
      <c r="H146" s="185"/>
    </row>
    <row r="147">
      <c r="A147" s="287" t="s">
        <v>1906</v>
      </c>
      <c r="C147" s="287" t="s">
        <v>1910</v>
      </c>
      <c r="D147" s="288" t="s">
        <v>768</v>
      </c>
      <c r="E147" s="287" t="s">
        <v>490</v>
      </c>
      <c r="F147" s="185"/>
      <c r="G147" s="185"/>
      <c r="H147" s="185"/>
    </row>
    <row r="148">
      <c r="A148" s="287" t="s">
        <v>1906</v>
      </c>
      <c r="C148" s="287" t="s">
        <v>1910</v>
      </c>
      <c r="D148" s="288" t="s">
        <v>921</v>
      </c>
      <c r="E148" s="287" t="s">
        <v>490</v>
      </c>
      <c r="F148" s="185"/>
      <c r="G148" s="185"/>
      <c r="H148" s="185"/>
    </row>
    <row r="149">
      <c r="A149" s="287" t="s">
        <v>1906</v>
      </c>
      <c r="C149" s="287" t="s">
        <v>1910</v>
      </c>
      <c r="D149" s="288" t="s">
        <v>495</v>
      </c>
      <c r="E149" s="287" t="s">
        <v>490</v>
      </c>
      <c r="F149" s="185"/>
      <c r="G149" s="185"/>
      <c r="H149" s="185"/>
    </row>
    <row r="150">
      <c r="A150" s="296" t="s">
        <v>1906</v>
      </c>
      <c r="C150" s="296" t="s">
        <v>1910</v>
      </c>
      <c r="D150" s="289" t="s">
        <v>900</v>
      </c>
      <c r="E150" s="296" t="s">
        <v>490</v>
      </c>
      <c r="F150" s="185"/>
      <c r="G150" s="185"/>
      <c r="H150" s="185"/>
    </row>
    <row r="151">
      <c r="A151" s="287" t="s">
        <v>1906</v>
      </c>
      <c r="C151" s="287" t="s">
        <v>1910</v>
      </c>
      <c r="D151" s="288" t="s">
        <v>1056</v>
      </c>
      <c r="E151" s="287" t="s">
        <v>490</v>
      </c>
      <c r="F151" s="185"/>
      <c r="G151" s="185"/>
      <c r="H151" s="185"/>
    </row>
    <row r="152">
      <c r="A152" s="287" t="s">
        <v>1906</v>
      </c>
      <c r="C152" s="287" t="s">
        <v>1910</v>
      </c>
      <c r="D152" s="289" t="s">
        <v>790</v>
      </c>
      <c r="E152" s="287" t="s">
        <v>490</v>
      </c>
      <c r="F152" s="185"/>
      <c r="G152" s="185"/>
      <c r="H152" s="185"/>
    </row>
    <row r="153">
      <c r="A153" s="287" t="s">
        <v>1906</v>
      </c>
      <c r="C153" s="287" t="s">
        <v>1910</v>
      </c>
      <c r="D153" s="289" t="s">
        <v>865</v>
      </c>
      <c r="E153" s="287" t="s">
        <v>490</v>
      </c>
      <c r="F153" s="185"/>
      <c r="G153" s="185"/>
      <c r="H153" s="185"/>
    </row>
    <row r="154">
      <c r="A154" s="287" t="s">
        <v>1906</v>
      </c>
      <c r="C154" s="287" t="s">
        <v>1910</v>
      </c>
      <c r="D154" s="288" t="s">
        <v>1758</v>
      </c>
      <c r="E154" s="287" t="s">
        <v>490</v>
      </c>
      <c r="F154" s="185"/>
      <c r="G154" s="185"/>
      <c r="H154" s="185"/>
    </row>
    <row r="155">
      <c r="A155" s="287" t="s">
        <v>1906</v>
      </c>
      <c r="C155" s="287" t="s">
        <v>1910</v>
      </c>
      <c r="D155" s="288" t="s">
        <v>692</v>
      </c>
      <c r="E155" s="287" t="s">
        <v>490</v>
      </c>
      <c r="F155" s="185"/>
      <c r="G155" s="185"/>
      <c r="H155" s="185"/>
    </row>
    <row r="156">
      <c r="A156" s="287" t="s">
        <v>1906</v>
      </c>
      <c r="C156" s="287" t="s">
        <v>1910</v>
      </c>
      <c r="D156" s="288" t="s">
        <v>1765</v>
      </c>
      <c r="E156" s="287" t="s">
        <v>490</v>
      </c>
      <c r="F156" s="185"/>
      <c r="G156" s="185"/>
      <c r="H156" s="185"/>
    </row>
    <row r="157">
      <c r="A157" s="287" t="s">
        <v>1906</v>
      </c>
      <c r="C157" s="287" t="s">
        <v>1910</v>
      </c>
      <c r="D157" s="289" t="s">
        <v>576</v>
      </c>
      <c r="E157" s="287" t="s">
        <v>490</v>
      </c>
      <c r="F157" s="185"/>
      <c r="G157" s="185"/>
      <c r="H157" s="185"/>
    </row>
    <row r="158">
      <c r="A158" s="287" t="s">
        <v>1906</v>
      </c>
      <c r="C158" s="287" t="s">
        <v>1910</v>
      </c>
      <c r="D158" s="288" t="s">
        <v>1772</v>
      </c>
      <c r="E158" s="287" t="s">
        <v>490</v>
      </c>
      <c r="F158" s="185"/>
      <c r="G158" s="185"/>
      <c r="H158" s="185"/>
    </row>
    <row r="159">
      <c r="A159" s="287" t="s">
        <v>1906</v>
      </c>
      <c r="C159" s="287" t="s">
        <v>1910</v>
      </c>
      <c r="D159" s="289" t="s">
        <v>1083</v>
      </c>
      <c r="E159" s="287" t="s">
        <v>490</v>
      </c>
      <c r="F159" s="185"/>
      <c r="G159" s="185"/>
      <c r="H159" s="185"/>
    </row>
    <row r="160">
      <c r="A160" s="287" t="s">
        <v>1906</v>
      </c>
      <c r="C160" s="287" t="s">
        <v>1910</v>
      </c>
      <c r="D160" s="289" t="s">
        <v>644</v>
      </c>
      <c r="E160" s="287" t="s">
        <v>490</v>
      </c>
      <c r="F160" s="185"/>
      <c r="G160" s="185"/>
      <c r="H160" s="185"/>
    </row>
    <row r="161">
      <c r="A161" s="287" t="s">
        <v>1906</v>
      </c>
      <c r="C161" s="287" t="s">
        <v>1910</v>
      </c>
      <c r="D161" s="289" t="s">
        <v>1470</v>
      </c>
      <c r="E161" s="287" t="s">
        <v>490</v>
      </c>
      <c r="F161" s="185"/>
      <c r="G161" s="185"/>
      <c r="H161" s="185"/>
    </row>
    <row r="162">
      <c r="A162" s="287" t="s">
        <v>1906</v>
      </c>
      <c r="C162" s="287" t="s">
        <v>1910</v>
      </c>
      <c r="D162" s="288" t="s">
        <v>1201</v>
      </c>
      <c r="E162" s="287" t="s">
        <v>490</v>
      </c>
      <c r="F162" s="185"/>
      <c r="G162" s="185"/>
      <c r="H162" s="185"/>
    </row>
    <row r="163">
      <c r="A163" s="287" t="s">
        <v>1906</v>
      </c>
      <c r="C163" s="287" t="s">
        <v>1910</v>
      </c>
      <c r="D163" s="288" t="s">
        <v>1126</v>
      </c>
      <c r="E163" s="287" t="s">
        <v>490</v>
      </c>
      <c r="F163" s="185"/>
      <c r="G163" s="185"/>
      <c r="H163" s="185"/>
    </row>
    <row r="164">
      <c r="A164" s="287" t="s">
        <v>1906</v>
      </c>
      <c r="C164" s="287" t="s">
        <v>1910</v>
      </c>
      <c r="D164" s="288" t="s">
        <v>1317</v>
      </c>
      <c r="E164" s="287" t="s">
        <v>490</v>
      </c>
      <c r="F164" s="185"/>
      <c r="G164" s="185"/>
      <c r="H164" s="185"/>
    </row>
    <row r="165">
      <c r="A165" s="287" t="s">
        <v>1906</v>
      </c>
      <c r="C165" s="287" t="s">
        <v>1910</v>
      </c>
      <c r="D165" s="289" t="s">
        <v>831</v>
      </c>
      <c r="E165" s="287" t="s">
        <v>490</v>
      </c>
      <c r="F165" s="185"/>
      <c r="G165" s="185"/>
      <c r="H165" s="185"/>
    </row>
    <row r="166">
      <c r="A166" s="287" t="s">
        <v>1906</v>
      </c>
      <c r="B166" s="185"/>
      <c r="C166" s="287" t="s">
        <v>1910</v>
      </c>
      <c r="D166" s="288" t="s">
        <v>380</v>
      </c>
      <c r="E166" s="287" t="s">
        <v>490</v>
      </c>
      <c r="F166" s="185"/>
      <c r="G166" s="185"/>
      <c r="H166" s="185"/>
    </row>
    <row r="167">
      <c r="A167" s="185"/>
      <c r="B167" s="185"/>
      <c r="C167" s="185"/>
      <c r="D167" s="184"/>
      <c r="E167" s="185"/>
      <c r="F167" s="185"/>
      <c r="G167" s="185"/>
      <c r="H167" s="185"/>
    </row>
    <row r="168">
      <c r="A168" s="287" t="s">
        <v>1906</v>
      </c>
      <c r="B168" s="285" t="s">
        <v>1911</v>
      </c>
      <c r="C168" s="287" t="s">
        <v>1912</v>
      </c>
      <c r="D168" s="288" t="s">
        <v>1000</v>
      </c>
      <c r="E168" s="287" t="s">
        <v>533</v>
      </c>
      <c r="F168" s="185"/>
      <c r="G168" s="185"/>
      <c r="H168" s="185"/>
    </row>
    <row r="169">
      <c r="A169" s="287" t="s">
        <v>1906</v>
      </c>
      <c r="C169" s="287" t="s">
        <v>1912</v>
      </c>
      <c r="D169" s="289" t="s">
        <v>551</v>
      </c>
      <c r="E169" s="287" t="s">
        <v>533</v>
      </c>
      <c r="F169" s="185"/>
      <c r="G169" s="185"/>
      <c r="H169" s="185"/>
    </row>
    <row r="170">
      <c r="A170" s="287" t="s">
        <v>1906</v>
      </c>
      <c r="C170" s="287" t="s">
        <v>1912</v>
      </c>
      <c r="D170" s="288" t="s">
        <v>768</v>
      </c>
      <c r="E170" s="287" t="s">
        <v>533</v>
      </c>
      <c r="F170" s="185"/>
      <c r="G170" s="185"/>
      <c r="H170" s="185"/>
    </row>
    <row r="171">
      <c r="A171" s="287" t="s">
        <v>1906</v>
      </c>
      <c r="C171" s="287" t="s">
        <v>1912</v>
      </c>
      <c r="D171" s="288" t="s">
        <v>900</v>
      </c>
      <c r="E171" s="287" t="s">
        <v>533</v>
      </c>
      <c r="F171" s="185"/>
      <c r="G171" s="185"/>
      <c r="H171" s="185"/>
    </row>
    <row r="172">
      <c r="A172" s="296" t="s">
        <v>1906</v>
      </c>
      <c r="C172" s="296" t="s">
        <v>1912</v>
      </c>
      <c r="D172" s="289" t="s">
        <v>1056</v>
      </c>
      <c r="E172" s="296" t="s">
        <v>533</v>
      </c>
      <c r="F172" s="185"/>
      <c r="G172" s="185"/>
      <c r="H172" s="185"/>
    </row>
    <row r="173">
      <c r="A173" s="287" t="s">
        <v>1906</v>
      </c>
      <c r="C173" s="287" t="s">
        <v>1912</v>
      </c>
      <c r="D173" s="288" t="s">
        <v>790</v>
      </c>
      <c r="E173" s="287" t="s">
        <v>533</v>
      </c>
      <c r="F173" s="185"/>
      <c r="G173" s="185"/>
      <c r="H173" s="185"/>
    </row>
    <row r="174">
      <c r="A174" s="287" t="s">
        <v>1906</v>
      </c>
      <c r="C174" s="287" t="s">
        <v>1912</v>
      </c>
      <c r="D174" s="288" t="s">
        <v>865</v>
      </c>
      <c r="E174" s="287" t="s">
        <v>533</v>
      </c>
      <c r="F174" s="185"/>
      <c r="G174" s="185"/>
      <c r="H174" s="185"/>
    </row>
    <row r="175">
      <c r="A175" s="287" t="s">
        <v>1906</v>
      </c>
      <c r="C175" s="287" t="s">
        <v>1912</v>
      </c>
      <c r="D175" s="288" t="s">
        <v>1758</v>
      </c>
      <c r="E175" s="287" t="s">
        <v>533</v>
      </c>
      <c r="F175" s="185"/>
      <c r="G175" s="185"/>
      <c r="H175" s="185"/>
    </row>
    <row r="176">
      <c r="A176" s="287" t="s">
        <v>1906</v>
      </c>
      <c r="C176" s="287" t="s">
        <v>1912</v>
      </c>
      <c r="D176" s="289" t="s">
        <v>692</v>
      </c>
      <c r="E176" s="287" t="s">
        <v>533</v>
      </c>
      <c r="F176" s="185"/>
      <c r="G176" s="185"/>
      <c r="H176" s="185"/>
    </row>
    <row r="177">
      <c r="A177" s="287" t="s">
        <v>1906</v>
      </c>
      <c r="C177" s="287" t="s">
        <v>1912</v>
      </c>
      <c r="D177" s="288" t="s">
        <v>1765</v>
      </c>
      <c r="E177" s="287" t="s">
        <v>533</v>
      </c>
      <c r="F177" s="185"/>
      <c r="G177" s="185"/>
      <c r="H177" s="185"/>
    </row>
    <row r="178">
      <c r="A178" s="287" t="s">
        <v>1906</v>
      </c>
      <c r="C178" s="287" t="s">
        <v>1912</v>
      </c>
      <c r="D178" s="288" t="s">
        <v>1470</v>
      </c>
      <c r="E178" s="287" t="s">
        <v>533</v>
      </c>
      <c r="F178" s="185"/>
      <c r="G178" s="185"/>
      <c r="H178" s="185"/>
    </row>
    <row r="179">
      <c r="A179" s="287" t="s">
        <v>1906</v>
      </c>
      <c r="C179" s="287" t="s">
        <v>1912</v>
      </c>
      <c r="D179" s="288" t="s">
        <v>576</v>
      </c>
      <c r="E179" s="287" t="s">
        <v>533</v>
      </c>
      <c r="F179" s="185"/>
      <c r="G179" s="185"/>
      <c r="H179" s="185"/>
    </row>
    <row r="180">
      <c r="A180" s="287" t="s">
        <v>1906</v>
      </c>
      <c r="C180" s="287" t="s">
        <v>1912</v>
      </c>
      <c r="D180" s="288" t="s">
        <v>1772</v>
      </c>
      <c r="E180" s="287" t="s">
        <v>533</v>
      </c>
      <c r="F180" s="185"/>
      <c r="G180" s="185"/>
      <c r="H180" s="185"/>
    </row>
    <row r="181">
      <c r="A181" s="287" t="s">
        <v>1906</v>
      </c>
      <c r="C181" s="287" t="s">
        <v>1912</v>
      </c>
      <c r="D181" s="288" t="s">
        <v>1083</v>
      </c>
      <c r="E181" s="287" t="s">
        <v>533</v>
      </c>
      <c r="F181" s="185"/>
      <c r="G181" s="185"/>
      <c r="H181" s="185"/>
    </row>
    <row r="182">
      <c r="A182" s="287" t="s">
        <v>1906</v>
      </c>
      <c r="C182" s="287" t="s">
        <v>1912</v>
      </c>
      <c r="D182" s="288" t="s">
        <v>1201</v>
      </c>
      <c r="E182" s="287" t="s">
        <v>533</v>
      </c>
      <c r="F182" s="185"/>
      <c r="G182" s="185"/>
      <c r="H182" s="185"/>
    </row>
    <row r="183">
      <c r="A183" s="287" t="s">
        <v>1906</v>
      </c>
      <c r="B183" s="184"/>
      <c r="C183" s="287" t="s">
        <v>1912</v>
      </c>
      <c r="D183" s="288" t="s">
        <v>380</v>
      </c>
      <c r="E183" s="287" t="s">
        <v>490</v>
      </c>
      <c r="F183" s="185"/>
      <c r="G183" s="185"/>
      <c r="H183" s="185"/>
    </row>
    <row r="184">
      <c r="A184" s="185"/>
      <c r="B184" s="184"/>
      <c r="C184" s="185"/>
      <c r="D184" s="185"/>
      <c r="E184" s="185"/>
      <c r="F184" s="185"/>
      <c r="G184" s="185"/>
      <c r="H184" s="185"/>
    </row>
    <row r="185">
      <c r="A185" s="287" t="s">
        <v>1906</v>
      </c>
      <c r="B185" s="315" t="s">
        <v>1913</v>
      </c>
      <c r="C185" s="287" t="s">
        <v>1914</v>
      </c>
      <c r="D185" s="288" t="s">
        <v>1000</v>
      </c>
      <c r="E185" s="287" t="s">
        <v>376</v>
      </c>
      <c r="F185" s="185"/>
      <c r="G185" s="185"/>
      <c r="H185" s="185"/>
    </row>
    <row r="186">
      <c r="A186" s="287" t="s">
        <v>1906</v>
      </c>
      <c r="C186" s="287" t="s">
        <v>1914</v>
      </c>
      <c r="D186" s="288" t="s">
        <v>968</v>
      </c>
      <c r="E186" s="287" t="s">
        <v>376</v>
      </c>
      <c r="F186" s="185"/>
      <c r="G186" s="185"/>
      <c r="H186" s="185"/>
    </row>
    <row r="187">
      <c r="A187" s="287" t="s">
        <v>1906</v>
      </c>
      <c r="C187" s="287" t="s">
        <v>1914</v>
      </c>
      <c r="D187" s="288" t="s">
        <v>551</v>
      </c>
      <c r="E187" s="287" t="s">
        <v>376</v>
      </c>
      <c r="F187" s="185"/>
      <c r="G187" s="185"/>
      <c r="H187" s="185"/>
    </row>
    <row r="188">
      <c r="A188" s="287" t="s">
        <v>1906</v>
      </c>
      <c r="C188" s="287" t="s">
        <v>1914</v>
      </c>
      <c r="D188" s="288" t="s">
        <v>768</v>
      </c>
      <c r="E188" s="287" t="s">
        <v>376</v>
      </c>
      <c r="F188" s="185"/>
      <c r="G188" s="185"/>
      <c r="H188" s="185"/>
    </row>
    <row r="189">
      <c r="A189" s="287" t="s">
        <v>1906</v>
      </c>
      <c r="C189" s="287" t="s">
        <v>1914</v>
      </c>
      <c r="D189" s="288" t="s">
        <v>921</v>
      </c>
      <c r="E189" s="287" t="s">
        <v>376</v>
      </c>
      <c r="F189" s="185"/>
      <c r="G189" s="185"/>
      <c r="H189" s="185"/>
    </row>
    <row r="190">
      <c r="A190" s="287" t="s">
        <v>1906</v>
      </c>
      <c r="C190" s="287" t="s">
        <v>1914</v>
      </c>
      <c r="D190" s="288" t="s">
        <v>495</v>
      </c>
      <c r="E190" s="287" t="s">
        <v>376</v>
      </c>
      <c r="F190" s="185"/>
      <c r="G190" s="185"/>
      <c r="H190" s="185"/>
    </row>
    <row r="191">
      <c r="A191" s="287" t="s">
        <v>1906</v>
      </c>
      <c r="C191" s="287" t="s">
        <v>1914</v>
      </c>
      <c r="D191" s="288" t="s">
        <v>900</v>
      </c>
      <c r="E191" s="287" t="s">
        <v>376</v>
      </c>
      <c r="F191" s="185"/>
      <c r="G191" s="185"/>
      <c r="H191" s="185"/>
    </row>
    <row r="192">
      <c r="A192" s="287" t="s">
        <v>1906</v>
      </c>
      <c r="C192" s="287" t="s">
        <v>1914</v>
      </c>
      <c r="D192" s="288" t="s">
        <v>1056</v>
      </c>
      <c r="E192" s="287" t="s">
        <v>376</v>
      </c>
      <c r="F192" s="185"/>
      <c r="G192" s="185"/>
      <c r="H192" s="185"/>
    </row>
    <row r="193">
      <c r="A193" s="287" t="s">
        <v>1906</v>
      </c>
      <c r="C193" s="287" t="s">
        <v>1914</v>
      </c>
      <c r="D193" s="288" t="s">
        <v>790</v>
      </c>
      <c r="E193" s="287" t="s">
        <v>376</v>
      </c>
      <c r="F193" s="185"/>
      <c r="G193" s="185"/>
      <c r="H193" s="185"/>
    </row>
    <row r="194">
      <c r="A194" s="296" t="s">
        <v>1906</v>
      </c>
      <c r="C194" s="296" t="s">
        <v>1914</v>
      </c>
      <c r="D194" s="289" t="s">
        <v>865</v>
      </c>
      <c r="E194" s="296" t="s">
        <v>376</v>
      </c>
      <c r="F194" s="185"/>
      <c r="G194" s="185"/>
      <c r="H194" s="185"/>
    </row>
    <row r="195">
      <c r="A195" s="287" t="s">
        <v>1906</v>
      </c>
      <c r="C195" s="287" t="s">
        <v>1914</v>
      </c>
      <c r="D195" s="288" t="s">
        <v>1758</v>
      </c>
      <c r="E195" s="287" t="s">
        <v>376</v>
      </c>
      <c r="F195" s="185"/>
      <c r="G195" s="185"/>
      <c r="H195" s="185"/>
    </row>
    <row r="196">
      <c r="A196" s="287" t="s">
        <v>1906</v>
      </c>
      <c r="C196" s="287" t="s">
        <v>1914</v>
      </c>
      <c r="D196" s="288" t="s">
        <v>692</v>
      </c>
      <c r="E196" s="287" t="s">
        <v>376</v>
      </c>
      <c r="F196" s="185"/>
      <c r="G196" s="185"/>
      <c r="H196" s="185"/>
    </row>
    <row r="197">
      <c r="A197" s="287" t="s">
        <v>1906</v>
      </c>
      <c r="C197" s="287" t="s">
        <v>1914</v>
      </c>
      <c r="D197" s="288" t="s">
        <v>1765</v>
      </c>
      <c r="E197" s="287" t="s">
        <v>376</v>
      </c>
      <c r="F197" s="185"/>
      <c r="G197" s="185"/>
      <c r="H197" s="185"/>
    </row>
    <row r="198">
      <c r="A198" s="287" t="s">
        <v>1906</v>
      </c>
      <c r="C198" s="287" t="s">
        <v>1914</v>
      </c>
      <c r="D198" s="288" t="s">
        <v>576</v>
      </c>
      <c r="E198" s="287" t="s">
        <v>376</v>
      </c>
      <c r="F198" s="185"/>
      <c r="G198" s="185"/>
      <c r="H198" s="185"/>
    </row>
    <row r="199">
      <c r="A199" s="287" t="s">
        <v>1906</v>
      </c>
      <c r="C199" s="287" t="s">
        <v>1914</v>
      </c>
      <c r="D199" s="288" t="s">
        <v>1470</v>
      </c>
      <c r="E199" s="287" t="s">
        <v>376</v>
      </c>
      <c r="F199" s="185"/>
      <c r="G199" s="185"/>
      <c r="H199" s="185"/>
    </row>
    <row r="200">
      <c r="A200" s="287" t="s">
        <v>1906</v>
      </c>
      <c r="C200" s="287" t="s">
        <v>1914</v>
      </c>
      <c r="D200" s="288" t="s">
        <v>1772</v>
      </c>
      <c r="E200" s="287" t="s">
        <v>376</v>
      </c>
      <c r="F200" s="185"/>
      <c r="G200" s="185"/>
      <c r="H200" s="185"/>
    </row>
    <row r="201">
      <c r="A201" s="287" t="s">
        <v>1906</v>
      </c>
      <c r="C201" s="287" t="s">
        <v>1914</v>
      </c>
      <c r="D201" s="288" t="s">
        <v>1083</v>
      </c>
      <c r="E201" s="287" t="s">
        <v>376</v>
      </c>
      <c r="F201" s="185"/>
      <c r="G201" s="185"/>
      <c r="H201" s="185"/>
    </row>
    <row r="202">
      <c r="A202" s="287" t="s">
        <v>1906</v>
      </c>
      <c r="C202" s="287" t="s">
        <v>1914</v>
      </c>
      <c r="D202" s="288" t="s">
        <v>644</v>
      </c>
      <c r="E202" s="287" t="s">
        <v>376</v>
      </c>
      <c r="F202" s="185"/>
      <c r="G202" s="185"/>
      <c r="H202" s="185"/>
    </row>
    <row r="203">
      <c r="A203" s="287" t="s">
        <v>1906</v>
      </c>
      <c r="C203" s="287" t="s">
        <v>1914</v>
      </c>
      <c r="D203" s="288" t="s">
        <v>1201</v>
      </c>
      <c r="E203" s="287" t="s">
        <v>376</v>
      </c>
      <c r="F203" s="185"/>
      <c r="G203" s="185"/>
      <c r="H203" s="185"/>
    </row>
    <row r="204">
      <c r="A204" s="287" t="s">
        <v>1906</v>
      </c>
      <c r="C204" s="287" t="s">
        <v>1914</v>
      </c>
      <c r="D204" s="288" t="s">
        <v>1126</v>
      </c>
      <c r="E204" s="287" t="s">
        <v>376</v>
      </c>
      <c r="F204" s="185"/>
      <c r="G204" s="185"/>
      <c r="H204" s="185"/>
    </row>
    <row r="205">
      <c r="A205" s="287" t="s">
        <v>1906</v>
      </c>
      <c r="C205" s="287" t="s">
        <v>1914</v>
      </c>
      <c r="D205" s="288" t="s">
        <v>380</v>
      </c>
      <c r="E205" s="287" t="s">
        <v>490</v>
      </c>
      <c r="F205" s="185"/>
      <c r="G205" s="185"/>
      <c r="H205" s="185"/>
    </row>
    <row r="206">
      <c r="A206" s="316"/>
      <c r="B206" s="317"/>
      <c r="C206" s="316"/>
      <c r="D206" s="316"/>
      <c r="E206" s="316"/>
      <c r="F206" s="316"/>
      <c r="G206" s="316"/>
      <c r="H206" s="316"/>
    </row>
    <row r="207">
      <c r="A207" s="286" t="s">
        <v>1915</v>
      </c>
    </row>
    <row r="208">
      <c r="A208" s="287" t="s">
        <v>1916</v>
      </c>
      <c r="B208" s="315" t="s">
        <v>1000</v>
      </c>
      <c r="C208" s="287" t="s">
        <v>1917</v>
      </c>
      <c r="D208" s="289" t="s">
        <v>1213</v>
      </c>
      <c r="E208" s="287" t="s">
        <v>999</v>
      </c>
      <c r="F208" s="287" t="s">
        <v>1672</v>
      </c>
      <c r="G208" s="287" t="s">
        <v>1918</v>
      </c>
      <c r="H208" s="185"/>
    </row>
    <row r="209">
      <c r="A209" s="287" t="s">
        <v>1916</v>
      </c>
      <c r="C209" s="287" t="s">
        <v>1919</v>
      </c>
      <c r="D209" s="289" t="s">
        <v>1002</v>
      </c>
      <c r="E209" s="287" t="s">
        <v>999</v>
      </c>
      <c r="F209" s="287" t="s">
        <v>1672</v>
      </c>
      <c r="G209" s="287" t="s">
        <v>1920</v>
      </c>
      <c r="H209" s="185"/>
    </row>
    <row r="210">
      <c r="A210" s="287" t="s">
        <v>1916</v>
      </c>
      <c r="C210" s="287" t="s">
        <v>1921</v>
      </c>
      <c r="D210" s="289" t="s">
        <v>1269</v>
      </c>
      <c r="E210" s="287" t="s">
        <v>999</v>
      </c>
      <c r="F210" s="287" t="s">
        <v>1672</v>
      </c>
      <c r="G210" s="287" t="s">
        <v>1922</v>
      </c>
      <c r="H210" s="185"/>
    </row>
    <row r="211">
      <c r="A211" s="287" t="s">
        <v>1916</v>
      </c>
      <c r="C211" s="287" t="s">
        <v>1923</v>
      </c>
      <c r="D211" s="288" t="s">
        <v>1924</v>
      </c>
      <c r="E211" s="287" t="s">
        <v>999</v>
      </c>
      <c r="F211" s="287" t="s">
        <v>1672</v>
      </c>
      <c r="G211" s="287" t="s">
        <v>1925</v>
      </c>
      <c r="H211" s="185"/>
    </row>
    <row r="212">
      <c r="A212" s="287" t="s">
        <v>1916</v>
      </c>
      <c r="C212" s="296" t="s">
        <v>1926</v>
      </c>
      <c r="D212" s="289" t="s">
        <v>1927</v>
      </c>
      <c r="E212" s="287" t="s">
        <v>1928</v>
      </c>
      <c r="F212" s="287" t="s">
        <v>1672</v>
      </c>
      <c r="G212" s="185"/>
      <c r="H212" s="185"/>
    </row>
    <row r="213">
      <c r="A213" s="287" t="s">
        <v>1916</v>
      </c>
      <c r="C213" s="287" t="s">
        <v>1929</v>
      </c>
      <c r="D213" s="288" t="s">
        <v>1930</v>
      </c>
      <c r="E213" s="287" t="s">
        <v>999</v>
      </c>
      <c r="F213" s="287" t="s">
        <v>1672</v>
      </c>
      <c r="G213" s="185"/>
      <c r="H213" s="185"/>
    </row>
    <row r="214">
      <c r="A214" s="287" t="s">
        <v>1916</v>
      </c>
      <c r="C214" s="296" t="s">
        <v>1931</v>
      </c>
      <c r="D214" s="289" t="s">
        <v>1932</v>
      </c>
      <c r="E214" s="287" t="s">
        <v>1928</v>
      </c>
      <c r="F214" s="287" t="s">
        <v>1672</v>
      </c>
      <c r="G214" s="185"/>
      <c r="H214" s="185"/>
    </row>
    <row r="215">
      <c r="A215" s="287" t="s">
        <v>1916</v>
      </c>
      <c r="C215" s="296" t="s">
        <v>1933</v>
      </c>
      <c r="D215" s="289" t="s">
        <v>1384</v>
      </c>
      <c r="E215" s="287" t="s">
        <v>999</v>
      </c>
      <c r="F215" s="287" t="s">
        <v>1672</v>
      </c>
      <c r="G215" s="185"/>
      <c r="H215" s="185"/>
    </row>
    <row r="216">
      <c r="A216" s="287" t="s">
        <v>1916</v>
      </c>
      <c r="C216" s="296" t="s">
        <v>1934</v>
      </c>
      <c r="D216" s="289" t="s">
        <v>1385</v>
      </c>
      <c r="E216" s="287" t="s">
        <v>999</v>
      </c>
      <c r="F216" s="287" t="s">
        <v>1672</v>
      </c>
      <c r="G216" s="287" t="s">
        <v>1935</v>
      </c>
      <c r="H216" s="185"/>
    </row>
    <row r="217">
      <c r="A217" s="287" t="s">
        <v>1916</v>
      </c>
      <c r="C217" s="287" t="s">
        <v>1936</v>
      </c>
      <c r="D217" s="288" t="s">
        <v>1386</v>
      </c>
      <c r="E217" s="287" t="s">
        <v>999</v>
      </c>
      <c r="F217" s="287" t="s">
        <v>1672</v>
      </c>
      <c r="G217" s="287" t="s">
        <v>1937</v>
      </c>
      <c r="H217" s="185"/>
    </row>
    <row r="218">
      <c r="A218" s="287" t="s">
        <v>1916</v>
      </c>
      <c r="C218" s="287" t="s">
        <v>1938</v>
      </c>
      <c r="D218" s="288" t="s">
        <v>1387</v>
      </c>
      <c r="E218" s="287" t="s">
        <v>999</v>
      </c>
      <c r="F218" s="287" t="s">
        <v>1672</v>
      </c>
      <c r="G218" s="287" t="s">
        <v>1939</v>
      </c>
      <c r="H218" s="185"/>
    </row>
    <row r="219">
      <c r="A219" s="287" t="s">
        <v>1916</v>
      </c>
      <c r="C219" s="287" t="s">
        <v>1940</v>
      </c>
      <c r="D219" s="288" t="s">
        <v>1388</v>
      </c>
      <c r="E219" s="287" t="s">
        <v>999</v>
      </c>
      <c r="F219" s="287" t="s">
        <v>1672</v>
      </c>
      <c r="G219" s="287" t="s">
        <v>1941</v>
      </c>
      <c r="H219" s="185"/>
    </row>
    <row r="220">
      <c r="A220" s="287" t="s">
        <v>1916</v>
      </c>
      <c r="C220" s="287" t="s">
        <v>1942</v>
      </c>
      <c r="D220" s="288" t="s">
        <v>1389</v>
      </c>
      <c r="E220" s="287" t="s">
        <v>999</v>
      </c>
      <c r="F220" s="287" t="s">
        <v>1672</v>
      </c>
      <c r="G220" s="287" t="s">
        <v>1943</v>
      </c>
      <c r="H220" s="185"/>
    </row>
    <row r="221">
      <c r="A221" s="299" t="s">
        <v>1944</v>
      </c>
      <c r="B221" s="300" t="s">
        <v>1945</v>
      </c>
      <c r="C221" s="299" t="s">
        <v>1946</v>
      </c>
      <c r="D221" s="301" t="s">
        <v>970</v>
      </c>
      <c r="E221" s="299" t="s">
        <v>1657</v>
      </c>
      <c r="F221" s="299" t="s">
        <v>1672</v>
      </c>
      <c r="G221" s="299" t="s">
        <v>1947</v>
      </c>
      <c r="H221" s="302"/>
    </row>
    <row r="222">
      <c r="A222" s="287" t="s">
        <v>1944</v>
      </c>
      <c r="C222" s="287" t="s">
        <v>1948</v>
      </c>
      <c r="D222" s="288" t="s">
        <v>1391</v>
      </c>
      <c r="E222" s="287" t="s">
        <v>1657</v>
      </c>
      <c r="F222" s="287" t="s">
        <v>1672</v>
      </c>
      <c r="G222" s="287" t="s">
        <v>1949</v>
      </c>
      <c r="H222" s="185"/>
    </row>
    <row r="223">
      <c r="A223" s="287" t="s">
        <v>1944</v>
      </c>
      <c r="C223" s="287" t="s">
        <v>1950</v>
      </c>
      <c r="D223" s="288" t="s">
        <v>1392</v>
      </c>
      <c r="E223" s="287" t="s">
        <v>1657</v>
      </c>
      <c r="F223" s="287" t="s">
        <v>1672</v>
      </c>
      <c r="G223" s="287" t="s">
        <v>1951</v>
      </c>
      <c r="H223" s="185"/>
    </row>
    <row r="224">
      <c r="A224" s="287" t="s">
        <v>1944</v>
      </c>
      <c r="C224" s="287" t="s">
        <v>1952</v>
      </c>
      <c r="D224" s="288" t="s">
        <v>1394</v>
      </c>
      <c r="E224" s="287" t="s">
        <v>1657</v>
      </c>
      <c r="F224" s="287" t="s">
        <v>1672</v>
      </c>
      <c r="G224" s="287" t="s">
        <v>1953</v>
      </c>
      <c r="H224" s="185"/>
    </row>
    <row r="225">
      <c r="A225" s="287" t="s">
        <v>1944</v>
      </c>
      <c r="C225" s="287" t="s">
        <v>1954</v>
      </c>
      <c r="D225" s="288" t="s">
        <v>1051</v>
      </c>
      <c r="E225" s="287" t="s">
        <v>1657</v>
      </c>
      <c r="F225" s="287" t="s">
        <v>1672</v>
      </c>
      <c r="G225" s="287" t="s">
        <v>1955</v>
      </c>
      <c r="H225" s="185"/>
    </row>
    <row r="226">
      <c r="A226" s="287" t="s">
        <v>1944</v>
      </c>
      <c r="C226" s="287" t="s">
        <v>1956</v>
      </c>
      <c r="D226" s="288" t="s">
        <v>1396</v>
      </c>
      <c r="E226" s="287" t="s">
        <v>1657</v>
      </c>
      <c r="F226" s="287" t="s">
        <v>1672</v>
      </c>
      <c r="G226" s="185"/>
      <c r="H226" s="185"/>
    </row>
    <row r="227">
      <c r="A227" s="287" t="s">
        <v>1944</v>
      </c>
      <c r="C227" s="287" t="s">
        <v>1931</v>
      </c>
      <c r="D227" s="288" t="s">
        <v>1932</v>
      </c>
      <c r="E227" s="287" t="s">
        <v>1657</v>
      </c>
      <c r="F227" s="287" t="s">
        <v>1672</v>
      </c>
      <c r="G227" s="287" t="s">
        <v>1957</v>
      </c>
      <c r="H227" s="185"/>
    </row>
    <row r="228">
      <c r="A228" s="299" t="s">
        <v>1944</v>
      </c>
      <c r="B228" s="318" t="s">
        <v>551</v>
      </c>
      <c r="C228" s="299" t="s">
        <v>1958</v>
      </c>
      <c r="D228" s="301" t="s">
        <v>1959</v>
      </c>
      <c r="E228" s="299" t="s">
        <v>1960</v>
      </c>
      <c r="F228" s="299" t="s">
        <v>1672</v>
      </c>
      <c r="G228" s="299" t="s">
        <v>1961</v>
      </c>
      <c r="H228" s="302"/>
    </row>
    <row r="229">
      <c r="A229" s="287" t="s">
        <v>1944</v>
      </c>
      <c r="C229" s="287" t="s">
        <v>1962</v>
      </c>
      <c r="D229" s="288" t="s">
        <v>1963</v>
      </c>
      <c r="E229" s="287" t="s">
        <v>1657</v>
      </c>
      <c r="F229" s="287" t="s">
        <v>1672</v>
      </c>
      <c r="G229" s="287" t="s">
        <v>1964</v>
      </c>
      <c r="H229" s="185"/>
    </row>
    <row r="230">
      <c r="A230" s="287" t="s">
        <v>1944</v>
      </c>
      <c r="C230" s="287" t="s">
        <v>1965</v>
      </c>
      <c r="D230" s="288" t="s">
        <v>1966</v>
      </c>
      <c r="E230" s="287" t="s">
        <v>1657</v>
      </c>
      <c r="F230" s="287" t="s">
        <v>1672</v>
      </c>
      <c r="G230" s="287" t="s">
        <v>1967</v>
      </c>
      <c r="H230" s="185"/>
    </row>
    <row r="231">
      <c r="A231" s="287" t="s">
        <v>1944</v>
      </c>
      <c r="C231" s="287" t="s">
        <v>1968</v>
      </c>
      <c r="D231" s="288" t="s">
        <v>1969</v>
      </c>
      <c r="E231" s="287" t="s">
        <v>1657</v>
      </c>
      <c r="F231" s="287" t="s">
        <v>1672</v>
      </c>
      <c r="G231" s="185"/>
      <c r="H231" s="185"/>
    </row>
    <row r="232">
      <c r="A232" s="287" t="s">
        <v>1944</v>
      </c>
      <c r="C232" s="287" t="s">
        <v>1970</v>
      </c>
      <c r="D232" s="288" t="s">
        <v>798</v>
      </c>
      <c r="E232" s="287" t="s">
        <v>1657</v>
      </c>
      <c r="F232" s="287" t="s">
        <v>1672</v>
      </c>
      <c r="G232" s="287" t="s">
        <v>1971</v>
      </c>
      <c r="H232" s="185"/>
    </row>
    <row r="233">
      <c r="A233" s="287" t="s">
        <v>1944</v>
      </c>
      <c r="C233" s="287" t="s">
        <v>1972</v>
      </c>
      <c r="D233" s="288" t="s">
        <v>1582</v>
      </c>
      <c r="E233" s="287" t="s">
        <v>1657</v>
      </c>
      <c r="F233" s="287" t="s">
        <v>1672</v>
      </c>
      <c r="G233" s="287" t="s">
        <v>1973</v>
      </c>
      <c r="H233" s="185"/>
    </row>
    <row r="234">
      <c r="A234" s="287" t="s">
        <v>1944</v>
      </c>
      <c r="C234" s="287" t="s">
        <v>1974</v>
      </c>
      <c r="D234" s="288" t="s">
        <v>1975</v>
      </c>
      <c r="E234" s="287" t="s">
        <v>1657</v>
      </c>
      <c r="F234" s="287" t="s">
        <v>1672</v>
      </c>
      <c r="G234" s="287" t="s">
        <v>1976</v>
      </c>
      <c r="H234" s="185"/>
    </row>
    <row r="235">
      <c r="A235" s="287" t="s">
        <v>1944</v>
      </c>
      <c r="C235" s="287" t="s">
        <v>1977</v>
      </c>
      <c r="D235" s="288" t="s">
        <v>1978</v>
      </c>
      <c r="E235" s="287" t="s">
        <v>999</v>
      </c>
      <c r="F235" s="287" t="s">
        <v>1672</v>
      </c>
      <c r="G235" s="287" t="s">
        <v>1979</v>
      </c>
      <c r="H235" s="185"/>
    </row>
    <row r="236">
      <c r="A236" s="287" t="s">
        <v>1944</v>
      </c>
      <c r="C236" s="287" t="s">
        <v>1980</v>
      </c>
      <c r="D236" s="288" t="s">
        <v>1981</v>
      </c>
      <c r="E236" s="287" t="s">
        <v>1657</v>
      </c>
      <c r="F236" s="287" t="s">
        <v>1672</v>
      </c>
      <c r="G236" s="185"/>
      <c r="H236" s="185"/>
    </row>
    <row r="237">
      <c r="A237" s="287" t="s">
        <v>1944</v>
      </c>
      <c r="C237" s="287" t="s">
        <v>1982</v>
      </c>
      <c r="D237" s="288" t="s">
        <v>1364</v>
      </c>
      <c r="E237" s="287" t="s">
        <v>1657</v>
      </c>
      <c r="F237" s="287" t="s">
        <v>1672</v>
      </c>
      <c r="G237" s="185"/>
      <c r="H237" s="185"/>
    </row>
    <row r="238">
      <c r="A238" s="299" t="s">
        <v>1944</v>
      </c>
      <c r="B238" s="300" t="s">
        <v>768</v>
      </c>
      <c r="C238" s="299" t="s">
        <v>1983</v>
      </c>
      <c r="D238" s="301" t="s">
        <v>1419</v>
      </c>
      <c r="E238" s="299" t="s">
        <v>1657</v>
      </c>
      <c r="F238" s="299" t="s">
        <v>1672</v>
      </c>
      <c r="G238" s="299" t="s">
        <v>1984</v>
      </c>
      <c r="H238" s="302"/>
    </row>
    <row r="239">
      <c r="A239" s="287" t="s">
        <v>1944</v>
      </c>
      <c r="C239" s="287" t="s">
        <v>1985</v>
      </c>
      <c r="D239" s="288" t="s">
        <v>1986</v>
      </c>
      <c r="E239" s="287" t="s">
        <v>1657</v>
      </c>
      <c r="F239" s="287" t="s">
        <v>1672</v>
      </c>
      <c r="G239" s="185"/>
      <c r="H239" s="185"/>
    </row>
    <row r="240">
      <c r="A240" s="287" t="s">
        <v>1944</v>
      </c>
      <c r="C240" s="287" t="s">
        <v>1987</v>
      </c>
      <c r="D240" s="288" t="s">
        <v>1988</v>
      </c>
      <c r="E240" s="319" t="s">
        <v>1657</v>
      </c>
      <c r="F240" s="287" t="s">
        <v>1672</v>
      </c>
      <c r="G240" s="287" t="s">
        <v>1989</v>
      </c>
      <c r="H240" s="185"/>
    </row>
    <row r="241">
      <c r="A241" s="287" t="s">
        <v>1944</v>
      </c>
      <c r="C241" s="287" t="s">
        <v>1990</v>
      </c>
      <c r="D241" s="288" t="s">
        <v>1991</v>
      </c>
      <c r="E241" s="287" t="s">
        <v>1657</v>
      </c>
      <c r="F241" s="287" t="s">
        <v>1672</v>
      </c>
      <c r="G241" s="287" t="s">
        <v>1992</v>
      </c>
      <c r="H241" s="185"/>
    </row>
    <row r="242">
      <c r="A242" s="287" t="s">
        <v>1944</v>
      </c>
      <c r="C242" s="287" t="s">
        <v>1993</v>
      </c>
      <c r="D242" s="288" t="s">
        <v>1994</v>
      </c>
      <c r="E242" s="287" t="s">
        <v>1995</v>
      </c>
      <c r="F242" s="287" t="s">
        <v>1672</v>
      </c>
      <c r="G242" s="287" t="s">
        <v>1996</v>
      </c>
      <c r="H242" s="185"/>
    </row>
    <row r="243">
      <c r="A243" s="287" t="s">
        <v>1944</v>
      </c>
      <c r="C243" s="287" t="s">
        <v>1997</v>
      </c>
      <c r="D243" s="288" t="s">
        <v>1998</v>
      </c>
      <c r="E243" s="287" t="s">
        <v>1657</v>
      </c>
      <c r="F243" s="287" t="s">
        <v>1672</v>
      </c>
      <c r="G243" s="287" t="s">
        <v>1999</v>
      </c>
      <c r="H243" s="185"/>
    </row>
    <row r="244">
      <c r="A244" s="287" t="s">
        <v>1944</v>
      </c>
      <c r="C244" s="287" t="s">
        <v>2000</v>
      </c>
      <c r="D244" s="288" t="s">
        <v>2001</v>
      </c>
      <c r="E244" s="287" t="s">
        <v>1657</v>
      </c>
      <c r="F244" s="287" t="s">
        <v>1672</v>
      </c>
      <c r="G244" s="287" t="s">
        <v>2002</v>
      </c>
      <c r="H244" s="185"/>
    </row>
    <row r="245">
      <c r="A245" s="287" t="s">
        <v>1944</v>
      </c>
      <c r="C245" s="287" t="s">
        <v>2003</v>
      </c>
      <c r="D245" s="288" t="s">
        <v>2004</v>
      </c>
      <c r="E245" s="287" t="s">
        <v>1657</v>
      </c>
      <c r="F245" s="287" t="s">
        <v>1672</v>
      </c>
      <c r="G245" s="185"/>
      <c r="H245" s="185"/>
    </row>
    <row r="246">
      <c r="A246" s="287" t="s">
        <v>1944</v>
      </c>
      <c r="C246" s="287" t="s">
        <v>2005</v>
      </c>
      <c r="D246" s="288" t="s">
        <v>2006</v>
      </c>
      <c r="E246" s="287" t="s">
        <v>1657</v>
      </c>
      <c r="F246" s="287" t="s">
        <v>1672</v>
      </c>
      <c r="G246" s="185"/>
      <c r="H246" s="185"/>
    </row>
    <row r="247">
      <c r="A247" s="287" t="s">
        <v>1944</v>
      </c>
      <c r="C247" s="287" t="s">
        <v>2007</v>
      </c>
      <c r="D247" s="288" t="s">
        <v>2008</v>
      </c>
      <c r="E247" s="287" t="s">
        <v>1657</v>
      </c>
      <c r="F247" s="287" t="s">
        <v>1672</v>
      </c>
      <c r="G247" s="185"/>
      <c r="H247" s="185"/>
    </row>
    <row r="248">
      <c r="A248" s="287" t="s">
        <v>1944</v>
      </c>
      <c r="C248" s="287" t="s">
        <v>2009</v>
      </c>
      <c r="D248" s="288" t="s">
        <v>769</v>
      </c>
      <c r="E248" s="287" t="s">
        <v>1657</v>
      </c>
      <c r="F248" s="287" t="s">
        <v>1672</v>
      </c>
      <c r="G248" s="185"/>
      <c r="H248" s="185"/>
    </row>
    <row r="249">
      <c r="A249" s="287" t="s">
        <v>1944</v>
      </c>
      <c r="C249" s="287" t="s">
        <v>2010</v>
      </c>
      <c r="D249" s="288" t="s">
        <v>2011</v>
      </c>
      <c r="E249" s="287" t="s">
        <v>1657</v>
      </c>
      <c r="F249" s="287" t="s">
        <v>1672</v>
      </c>
      <c r="G249" s="185"/>
      <c r="H249" s="185"/>
    </row>
    <row r="250">
      <c r="A250" s="299" t="s">
        <v>1944</v>
      </c>
      <c r="B250" s="300" t="s">
        <v>921</v>
      </c>
      <c r="C250" s="299" t="s">
        <v>2012</v>
      </c>
      <c r="D250" s="301" t="s">
        <v>2013</v>
      </c>
      <c r="E250" s="299" t="s">
        <v>490</v>
      </c>
      <c r="F250" s="299" t="s">
        <v>1672</v>
      </c>
      <c r="G250" s="299" t="s">
        <v>2014</v>
      </c>
      <c r="H250" s="302"/>
    </row>
    <row r="251">
      <c r="A251" s="287" t="s">
        <v>1944</v>
      </c>
      <c r="C251" s="287" t="s">
        <v>2015</v>
      </c>
      <c r="D251" s="288" t="s">
        <v>2016</v>
      </c>
      <c r="E251" s="287" t="s">
        <v>490</v>
      </c>
      <c r="F251" s="287" t="s">
        <v>1672</v>
      </c>
      <c r="G251" s="185"/>
      <c r="H251" s="185"/>
    </row>
    <row r="252">
      <c r="A252" s="287" t="s">
        <v>1944</v>
      </c>
      <c r="C252" s="287" t="s">
        <v>2017</v>
      </c>
      <c r="D252" s="288" t="s">
        <v>2018</v>
      </c>
      <c r="E252" s="287" t="s">
        <v>490</v>
      </c>
      <c r="F252" s="287" t="s">
        <v>1672</v>
      </c>
      <c r="G252" s="287" t="s">
        <v>2019</v>
      </c>
      <c r="H252" s="185"/>
    </row>
    <row r="253">
      <c r="A253" s="287" t="s">
        <v>1944</v>
      </c>
      <c r="C253" s="287" t="s">
        <v>2020</v>
      </c>
      <c r="D253" s="288" t="s">
        <v>922</v>
      </c>
      <c r="E253" s="287" t="s">
        <v>490</v>
      </c>
      <c r="F253" s="287" t="s">
        <v>1672</v>
      </c>
      <c r="G253" s="287" t="s">
        <v>2021</v>
      </c>
      <c r="H253" s="185"/>
    </row>
    <row r="254">
      <c r="A254" s="287" t="s">
        <v>1944</v>
      </c>
      <c r="C254" s="287" t="s">
        <v>2022</v>
      </c>
      <c r="D254" s="288" t="s">
        <v>2023</v>
      </c>
      <c r="E254" s="287" t="s">
        <v>490</v>
      </c>
      <c r="F254" s="287" t="s">
        <v>1672</v>
      </c>
      <c r="G254" s="287" t="s">
        <v>2024</v>
      </c>
      <c r="H254" s="185"/>
    </row>
    <row r="255">
      <c r="A255" s="287" t="s">
        <v>1944</v>
      </c>
      <c r="C255" s="287" t="s">
        <v>2025</v>
      </c>
      <c r="D255" s="288" t="s">
        <v>2026</v>
      </c>
      <c r="E255" s="287" t="s">
        <v>490</v>
      </c>
      <c r="F255" s="287" t="s">
        <v>1672</v>
      </c>
      <c r="G255" s="287" t="s">
        <v>2027</v>
      </c>
      <c r="H255" s="185"/>
    </row>
    <row r="256">
      <c r="A256" s="287" t="s">
        <v>1944</v>
      </c>
      <c r="C256" s="287" t="s">
        <v>2028</v>
      </c>
      <c r="D256" s="288" t="s">
        <v>2029</v>
      </c>
      <c r="E256" s="287" t="s">
        <v>490</v>
      </c>
      <c r="F256" s="287" t="s">
        <v>1672</v>
      </c>
      <c r="G256" s="287" t="s">
        <v>2030</v>
      </c>
      <c r="H256" s="185"/>
    </row>
    <row r="257">
      <c r="A257" s="299" t="s">
        <v>1944</v>
      </c>
      <c r="B257" s="300" t="s">
        <v>495</v>
      </c>
      <c r="C257" s="299" t="s">
        <v>2031</v>
      </c>
      <c r="D257" s="301" t="s">
        <v>2032</v>
      </c>
      <c r="E257" s="299" t="s">
        <v>490</v>
      </c>
      <c r="F257" s="299" t="s">
        <v>1672</v>
      </c>
      <c r="G257" s="299" t="s">
        <v>2033</v>
      </c>
      <c r="H257" s="302"/>
    </row>
    <row r="258">
      <c r="A258" s="296" t="s">
        <v>1944</v>
      </c>
      <c r="C258" s="296" t="s">
        <v>2034</v>
      </c>
      <c r="D258" s="289" t="s">
        <v>497</v>
      </c>
      <c r="E258" s="296" t="s">
        <v>490</v>
      </c>
      <c r="F258" s="287" t="s">
        <v>1672</v>
      </c>
      <c r="G258" s="287" t="s">
        <v>2035</v>
      </c>
      <c r="H258" s="185"/>
    </row>
    <row r="259">
      <c r="A259" s="296" t="s">
        <v>1944</v>
      </c>
      <c r="C259" s="296" t="s">
        <v>2036</v>
      </c>
      <c r="D259" s="289" t="s">
        <v>2037</v>
      </c>
      <c r="E259" s="296" t="s">
        <v>490</v>
      </c>
      <c r="F259" s="287" t="s">
        <v>1672</v>
      </c>
      <c r="G259" s="287" t="s">
        <v>2038</v>
      </c>
      <c r="H259" s="185"/>
    </row>
    <row r="260">
      <c r="A260" s="296" t="s">
        <v>1944</v>
      </c>
      <c r="C260" s="296" t="s">
        <v>2039</v>
      </c>
      <c r="D260" s="289" t="s">
        <v>2040</v>
      </c>
      <c r="E260" s="296" t="s">
        <v>490</v>
      </c>
      <c r="F260" s="287" t="s">
        <v>1672</v>
      </c>
      <c r="G260" s="287" t="s">
        <v>2041</v>
      </c>
      <c r="H260" s="185"/>
    </row>
    <row r="261">
      <c r="A261" s="296" t="s">
        <v>1944</v>
      </c>
      <c r="C261" s="296" t="s">
        <v>2042</v>
      </c>
      <c r="D261" s="289" t="s">
        <v>2043</v>
      </c>
      <c r="E261" s="296" t="s">
        <v>490</v>
      </c>
      <c r="F261" s="287" t="s">
        <v>2044</v>
      </c>
      <c r="G261" s="287" t="s">
        <v>2045</v>
      </c>
      <c r="H261" s="185"/>
    </row>
    <row r="262">
      <c r="A262" s="296" t="s">
        <v>1944</v>
      </c>
      <c r="C262" s="296" t="s">
        <v>2046</v>
      </c>
      <c r="D262" s="289" t="s">
        <v>2047</v>
      </c>
      <c r="E262" s="296" t="s">
        <v>490</v>
      </c>
      <c r="F262" s="287" t="s">
        <v>1672</v>
      </c>
      <c r="G262" s="287" t="s">
        <v>2048</v>
      </c>
      <c r="H262" s="185"/>
    </row>
    <row r="263">
      <c r="A263" s="320" t="s">
        <v>1944</v>
      </c>
      <c r="C263" s="320" t="s">
        <v>2049</v>
      </c>
      <c r="D263" s="304" t="s">
        <v>2050</v>
      </c>
      <c r="E263" s="320" t="s">
        <v>490</v>
      </c>
      <c r="F263" s="303" t="s">
        <v>1672</v>
      </c>
      <c r="G263" s="303" t="s">
        <v>2051</v>
      </c>
      <c r="H263" s="305"/>
    </row>
    <row r="264">
      <c r="A264" s="321" t="s">
        <v>1944</v>
      </c>
      <c r="B264" s="318" t="s">
        <v>900</v>
      </c>
      <c r="C264" s="321" t="s">
        <v>2052</v>
      </c>
      <c r="D264" s="306" t="s">
        <v>2053</v>
      </c>
      <c r="E264" s="321" t="s">
        <v>1783</v>
      </c>
      <c r="F264" s="299" t="s">
        <v>1672</v>
      </c>
      <c r="G264" s="302"/>
      <c r="H264" s="302"/>
    </row>
    <row r="265">
      <c r="A265" s="296" t="s">
        <v>1944</v>
      </c>
      <c r="C265" s="296" t="s">
        <v>2054</v>
      </c>
      <c r="D265" s="289" t="s">
        <v>2055</v>
      </c>
      <c r="E265" s="296" t="s">
        <v>1783</v>
      </c>
      <c r="F265" s="185"/>
      <c r="G265" s="185"/>
      <c r="H265" s="185"/>
    </row>
    <row r="266">
      <c r="A266" s="296" t="s">
        <v>1944</v>
      </c>
      <c r="C266" s="296" t="s">
        <v>2056</v>
      </c>
      <c r="D266" s="289" t="s">
        <v>1296</v>
      </c>
      <c r="E266" s="296" t="s">
        <v>1783</v>
      </c>
      <c r="F266" s="287" t="s">
        <v>1672</v>
      </c>
      <c r="G266" s="185"/>
      <c r="H266" s="185"/>
    </row>
    <row r="267">
      <c r="A267" s="296" t="s">
        <v>1944</v>
      </c>
      <c r="C267" s="296" t="s">
        <v>2057</v>
      </c>
      <c r="D267" s="289" t="s">
        <v>2058</v>
      </c>
      <c r="E267" s="296" t="s">
        <v>1783</v>
      </c>
      <c r="F267" s="287" t="s">
        <v>1672</v>
      </c>
      <c r="G267" s="185"/>
      <c r="H267" s="185"/>
    </row>
    <row r="268">
      <c r="A268" s="287" t="s">
        <v>1944</v>
      </c>
      <c r="C268" s="287" t="s">
        <v>2059</v>
      </c>
      <c r="D268" s="288" t="s">
        <v>2060</v>
      </c>
      <c r="E268" s="287" t="s">
        <v>1783</v>
      </c>
      <c r="F268" s="287" t="s">
        <v>1672</v>
      </c>
      <c r="G268" s="185"/>
      <c r="H268" s="185"/>
    </row>
    <row r="269" ht="17.25" customHeight="1">
      <c r="A269" s="287" t="s">
        <v>1944</v>
      </c>
      <c r="C269" s="287" t="s">
        <v>2061</v>
      </c>
      <c r="D269" s="288" t="s">
        <v>2062</v>
      </c>
      <c r="E269" s="287" t="s">
        <v>1783</v>
      </c>
      <c r="F269" s="287" t="s">
        <v>1672</v>
      </c>
      <c r="G269" s="185"/>
      <c r="H269" s="185"/>
    </row>
    <row r="270" ht="17.25" customHeight="1">
      <c r="A270" s="287" t="s">
        <v>1944</v>
      </c>
      <c r="C270" s="287" t="s">
        <v>2063</v>
      </c>
      <c r="D270" s="288" t="s">
        <v>901</v>
      </c>
      <c r="E270" s="287" t="s">
        <v>1783</v>
      </c>
      <c r="F270" s="287" t="s">
        <v>1672</v>
      </c>
      <c r="G270" s="185"/>
      <c r="H270" s="185"/>
    </row>
    <row r="271" ht="17.25" customHeight="1">
      <c r="A271" s="287" t="s">
        <v>1944</v>
      </c>
      <c r="C271" s="287" t="s">
        <v>2064</v>
      </c>
      <c r="D271" s="288" t="s">
        <v>1231</v>
      </c>
      <c r="E271" s="287" t="s">
        <v>1783</v>
      </c>
      <c r="F271" s="287" t="s">
        <v>1672</v>
      </c>
      <c r="G271" s="185"/>
      <c r="H271" s="185"/>
    </row>
    <row r="272" ht="17.25" customHeight="1">
      <c r="A272" s="287" t="s">
        <v>1944</v>
      </c>
      <c r="C272" s="287" t="s">
        <v>2065</v>
      </c>
      <c r="D272" s="288" t="s">
        <v>2066</v>
      </c>
      <c r="E272" s="287" t="s">
        <v>1783</v>
      </c>
      <c r="F272" s="287" t="s">
        <v>1672</v>
      </c>
      <c r="G272" s="185"/>
      <c r="H272" s="185"/>
    </row>
    <row r="273">
      <c r="A273" s="287" t="s">
        <v>1944</v>
      </c>
      <c r="C273" s="287" t="s">
        <v>2067</v>
      </c>
      <c r="D273" s="288" t="s">
        <v>2068</v>
      </c>
      <c r="E273" s="287" t="s">
        <v>1783</v>
      </c>
      <c r="F273" s="287" t="s">
        <v>1672</v>
      </c>
      <c r="G273" s="185"/>
      <c r="H273" s="185"/>
    </row>
    <row r="274" ht="20.25" customHeight="1">
      <c r="A274" s="287" t="s">
        <v>1944</v>
      </c>
      <c r="C274" s="287" t="s">
        <v>2069</v>
      </c>
      <c r="D274" s="288" t="s">
        <v>2070</v>
      </c>
      <c r="E274" s="287" t="s">
        <v>1783</v>
      </c>
      <c r="F274" s="287" t="s">
        <v>1672</v>
      </c>
      <c r="G274" s="185"/>
      <c r="H274" s="185"/>
    </row>
    <row r="275" ht="20.25" customHeight="1">
      <c r="A275" s="287" t="s">
        <v>1944</v>
      </c>
      <c r="C275" s="287" t="s">
        <v>2071</v>
      </c>
      <c r="D275" s="288" t="s">
        <v>2072</v>
      </c>
      <c r="E275" s="287" t="s">
        <v>1783</v>
      </c>
      <c r="F275" s="287" t="s">
        <v>1672</v>
      </c>
      <c r="G275" s="185"/>
      <c r="H275" s="185"/>
    </row>
    <row r="276" ht="20.25" customHeight="1">
      <c r="A276" s="287" t="s">
        <v>1944</v>
      </c>
      <c r="C276" s="287" t="s">
        <v>2073</v>
      </c>
      <c r="D276" s="288" t="s">
        <v>2074</v>
      </c>
      <c r="E276" s="287" t="s">
        <v>1783</v>
      </c>
      <c r="F276" s="287" t="s">
        <v>1672</v>
      </c>
      <c r="G276" s="185"/>
      <c r="H276" s="185"/>
    </row>
    <row r="277" ht="20.25" customHeight="1">
      <c r="A277" s="287" t="s">
        <v>1944</v>
      </c>
      <c r="C277" s="287" t="s">
        <v>2075</v>
      </c>
      <c r="D277" s="288" t="s">
        <v>1267</v>
      </c>
      <c r="E277" s="287" t="s">
        <v>1783</v>
      </c>
      <c r="F277" s="287" t="s">
        <v>1672</v>
      </c>
      <c r="G277" s="185"/>
      <c r="H277" s="185"/>
    </row>
    <row r="278" ht="20.25" customHeight="1">
      <c r="A278" s="287" t="s">
        <v>1944</v>
      </c>
      <c r="C278" s="287" t="s">
        <v>2076</v>
      </c>
      <c r="D278" s="288" t="s">
        <v>2077</v>
      </c>
      <c r="E278" s="287" t="s">
        <v>1783</v>
      </c>
      <c r="F278" s="287" t="s">
        <v>1672</v>
      </c>
      <c r="G278" s="185"/>
      <c r="H278" s="185"/>
    </row>
    <row r="279" ht="20.25" customHeight="1">
      <c r="A279" s="299" t="s">
        <v>1944</v>
      </c>
      <c r="B279" s="318" t="s">
        <v>380</v>
      </c>
      <c r="C279" s="299" t="s">
        <v>2078</v>
      </c>
      <c r="D279" s="301" t="s">
        <v>2079</v>
      </c>
      <c r="E279" s="299" t="s">
        <v>1783</v>
      </c>
      <c r="F279" s="299" t="s">
        <v>1672</v>
      </c>
      <c r="G279" s="302"/>
      <c r="H279" s="302"/>
    </row>
    <row r="280">
      <c r="A280" s="287" t="s">
        <v>1944</v>
      </c>
      <c r="C280" s="287" t="s">
        <v>2080</v>
      </c>
      <c r="D280" s="288" t="s">
        <v>2081</v>
      </c>
      <c r="E280" s="287" t="s">
        <v>1783</v>
      </c>
      <c r="F280" s="287" t="s">
        <v>1672</v>
      </c>
      <c r="G280" s="185"/>
      <c r="H280" s="185"/>
    </row>
    <row r="281" ht="18.0" customHeight="1">
      <c r="A281" s="287" t="s">
        <v>1944</v>
      </c>
      <c r="C281" s="287" t="s">
        <v>2082</v>
      </c>
      <c r="D281" s="288" t="s">
        <v>2083</v>
      </c>
      <c r="E281" s="287" t="s">
        <v>1783</v>
      </c>
      <c r="F281" s="287" t="s">
        <v>1672</v>
      </c>
      <c r="G281" s="185"/>
      <c r="H281" s="185"/>
    </row>
    <row r="282" ht="18.0" customHeight="1">
      <c r="A282" s="287" t="s">
        <v>1944</v>
      </c>
      <c r="C282" s="287" t="s">
        <v>2084</v>
      </c>
      <c r="D282" s="288" t="s">
        <v>2085</v>
      </c>
      <c r="E282" s="287" t="s">
        <v>1783</v>
      </c>
      <c r="F282" s="287" t="s">
        <v>1672</v>
      </c>
      <c r="G282" s="185"/>
      <c r="H282" s="185"/>
    </row>
    <row r="283" ht="18.0" customHeight="1">
      <c r="A283" s="287" t="s">
        <v>1944</v>
      </c>
      <c r="C283" s="287" t="s">
        <v>2086</v>
      </c>
      <c r="D283" s="288" t="s">
        <v>2087</v>
      </c>
      <c r="E283" s="287" t="s">
        <v>1783</v>
      </c>
      <c r="F283" s="287" t="s">
        <v>1672</v>
      </c>
      <c r="G283" s="185"/>
      <c r="H283" s="185"/>
    </row>
    <row r="284" ht="18.0" customHeight="1">
      <c r="A284" s="287" t="s">
        <v>1944</v>
      </c>
      <c r="C284" s="287" t="s">
        <v>2088</v>
      </c>
      <c r="D284" s="288" t="s">
        <v>2089</v>
      </c>
      <c r="E284" s="287" t="s">
        <v>1783</v>
      </c>
      <c r="F284" s="287" t="s">
        <v>1672</v>
      </c>
      <c r="G284" s="185"/>
      <c r="H284" s="185"/>
    </row>
    <row r="285" ht="18.0" customHeight="1">
      <c r="A285" s="287" t="s">
        <v>1944</v>
      </c>
      <c r="C285" s="287" t="s">
        <v>2090</v>
      </c>
      <c r="D285" s="288" t="s">
        <v>2091</v>
      </c>
      <c r="E285" s="287" t="s">
        <v>1783</v>
      </c>
      <c r="F285" s="287" t="s">
        <v>1672</v>
      </c>
      <c r="G285" s="185"/>
      <c r="H285" s="185"/>
    </row>
    <row r="286">
      <c r="A286" s="287" t="s">
        <v>1944</v>
      </c>
      <c r="C286" s="287" t="s">
        <v>2092</v>
      </c>
      <c r="D286" s="288" t="s">
        <v>669</v>
      </c>
      <c r="E286" s="287" t="s">
        <v>1783</v>
      </c>
      <c r="F286" s="287" t="s">
        <v>1672</v>
      </c>
      <c r="G286" s="185"/>
      <c r="H286" s="185"/>
    </row>
    <row r="287" ht="24.0" customHeight="1">
      <c r="A287" s="287" t="s">
        <v>1944</v>
      </c>
      <c r="C287" s="287" t="s">
        <v>2093</v>
      </c>
      <c r="D287" s="288" t="s">
        <v>2094</v>
      </c>
      <c r="E287" s="287" t="s">
        <v>1783</v>
      </c>
      <c r="F287" s="287" t="s">
        <v>1672</v>
      </c>
      <c r="G287" s="185"/>
      <c r="H287" s="185"/>
    </row>
    <row r="288" ht="24.0" customHeight="1">
      <c r="A288" s="287" t="s">
        <v>1944</v>
      </c>
      <c r="C288" s="287" t="s">
        <v>2095</v>
      </c>
      <c r="D288" s="288" t="s">
        <v>381</v>
      </c>
      <c r="E288" s="287" t="s">
        <v>1783</v>
      </c>
      <c r="F288" s="287" t="s">
        <v>1672</v>
      </c>
      <c r="G288" s="185"/>
      <c r="H288" s="185"/>
    </row>
    <row r="289" ht="24.0" customHeight="1">
      <c r="A289" s="299" t="s">
        <v>2096</v>
      </c>
      <c r="B289" s="318" t="s">
        <v>1056</v>
      </c>
      <c r="C289" s="299" t="s">
        <v>2097</v>
      </c>
      <c r="D289" s="301" t="s">
        <v>1190</v>
      </c>
      <c r="E289" s="299" t="s">
        <v>999</v>
      </c>
      <c r="F289" s="299" t="s">
        <v>1672</v>
      </c>
      <c r="G289" s="299" t="s">
        <v>2098</v>
      </c>
      <c r="H289" s="302"/>
    </row>
    <row r="290" ht="24.0" customHeight="1">
      <c r="A290" s="287" t="s">
        <v>2096</v>
      </c>
      <c r="C290" s="287" t="s">
        <v>2099</v>
      </c>
      <c r="D290" s="288" t="s">
        <v>1131</v>
      </c>
      <c r="E290" s="287" t="s">
        <v>999</v>
      </c>
      <c r="F290" s="287" t="s">
        <v>1672</v>
      </c>
      <c r="G290" s="287" t="s">
        <v>2100</v>
      </c>
      <c r="H290" s="185"/>
    </row>
    <row r="291">
      <c r="A291" s="287" t="s">
        <v>2096</v>
      </c>
      <c r="C291" s="287" t="s">
        <v>2101</v>
      </c>
      <c r="D291" s="288" t="s">
        <v>2102</v>
      </c>
      <c r="E291" s="287" t="s">
        <v>1928</v>
      </c>
      <c r="F291" s="287" t="s">
        <v>1672</v>
      </c>
      <c r="G291" s="287" t="s">
        <v>2103</v>
      </c>
      <c r="H291" s="185"/>
    </row>
    <row r="292" ht="20.25" customHeight="1">
      <c r="A292" s="287" t="s">
        <v>2096</v>
      </c>
      <c r="C292" s="287" t="s">
        <v>2104</v>
      </c>
      <c r="D292" s="288" t="s">
        <v>1234</v>
      </c>
      <c r="E292" s="287" t="s">
        <v>1928</v>
      </c>
      <c r="F292" s="287" t="s">
        <v>1672</v>
      </c>
      <c r="G292" s="287" t="s">
        <v>2105</v>
      </c>
      <c r="H292" s="185"/>
    </row>
    <row r="293" ht="20.25" customHeight="1">
      <c r="A293" s="299" t="s">
        <v>1944</v>
      </c>
      <c r="B293" s="300" t="s">
        <v>790</v>
      </c>
      <c r="C293" s="299" t="s">
        <v>2106</v>
      </c>
      <c r="D293" s="301" t="s">
        <v>2107</v>
      </c>
      <c r="E293" s="299" t="s">
        <v>2108</v>
      </c>
      <c r="F293" s="299" t="s">
        <v>1672</v>
      </c>
      <c r="G293" s="299" t="s">
        <v>2109</v>
      </c>
      <c r="H293" s="302"/>
    </row>
    <row r="294" ht="20.25" customHeight="1">
      <c r="A294" s="287" t="s">
        <v>1944</v>
      </c>
      <c r="C294" s="287" t="s">
        <v>2110</v>
      </c>
      <c r="D294" s="288" t="s">
        <v>2111</v>
      </c>
      <c r="E294" s="287" t="s">
        <v>2108</v>
      </c>
      <c r="F294" s="287" t="s">
        <v>1672</v>
      </c>
      <c r="G294" s="287" t="s">
        <v>2112</v>
      </c>
      <c r="H294" s="185"/>
    </row>
    <row r="295" ht="20.25" customHeight="1">
      <c r="A295" s="287" t="s">
        <v>1944</v>
      </c>
      <c r="C295" s="287" t="s">
        <v>2113</v>
      </c>
      <c r="D295" s="288" t="s">
        <v>2114</v>
      </c>
      <c r="E295" s="287" t="s">
        <v>2108</v>
      </c>
      <c r="F295" s="185"/>
      <c r="G295" s="287" t="s">
        <v>2115</v>
      </c>
      <c r="H295" s="185"/>
    </row>
    <row r="296">
      <c r="A296" s="287" t="s">
        <v>1944</v>
      </c>
      <c r="C296" s="287" t="s">
        <v>2116</v>
      </c>
      <c r="D296" s="288" t="s">
        <v>2117</v>
      </c>
      <c r="E296" s="287" t="s">
        <v>1656</v>
      </c>
      <c r="F296" s="287" t="s">
        <v>1672</v>
      </c>
      <c r="G296" s="287" t="s">
        <v>2118</v>
      </c>
      <c r="H296" s="185"/>
    </row>
    <row r="297" ht="18.0" customHeight="1">
      <c r="A297" s="287" t="s">
        <v>1944</v>
      </c>
      <c r="C297" s="287" t="s">
        <v>2119</v>
      </c>
      <c r="D297" s="288" t="s">
        <v>2120</v>
      </c>
      <c r="E297" s="287" t="s">
        <v>2121</v>
      </c>
      <c r="F297" s="287" t="s">
        <v>1672</v>
      </c>
      <c r="G297" s="185"/>
      <c r="H297" s="185"/>
    </row>
    <row r="298" ht="18.0" customHeight="1">
      <c r="A298" s="287" t="s">
        <v>1944</v>
      </c>
      <c r="C298" s="287" t="s">
        <v>2122</v>
      </c>
      <c r="D298" s="288" t="s">
        <v>2123</v>
      </c>
      <c r="E298" s="287" t="s">
        <v>2108</v>
      </c>
      <c r="F298" s="287" t="s">
        <v>1672</v>
      </c>
      <c r="G298" s="287" t="s">
        <v>2124</v>
      </c>
      <c r="H298" s="185"/>
    </row>
    <row r="299" ht="18.0" customHeight="1">
      <c r="A299" s="287" t="s">
        <v>1944</v>
      </c>
      <c r="C299" s="322" t="s">
        <v>2125</v>
      </c>
      <c r="D299" s="323" t="s">
        <v>2126</v>
      </c>
      <c r="E299" s="322" t="s">
        <v>2127</v>
      </c>
      <c r="F299" s="324"/>
      <c r="G299" s="324"/>
      <c r="H299" s="324"/>
    </row>
    <row r="300" ht="18.0" customHeight="1">
      <c r="A300" s="287" t="s">
        <v>1944</v>
      </c>
      <c r="C300" s="322" t="s">
        <v>2063</v>
      </c>
      <c r="D300" s="323" t="s">
        <v>901</v>
      </c>
      <c r="E300" s="322" t="s">
        <v>2127</v>
      </c>
      <c r="F300" s="324"/>
      <c r="G300" s="324"/>
      <c r="H300" s="324"/>
    </row>
    <row r="301" ht="18.0" customHeight="1">
      <c r="A301" s="287" t="s">
        <v>1944</v>
      </c>
      <c r="C301" s="322" t="s">
        <v>2128</v>
      </c>
      <c r="D301" s="323" t="s">
        <v>2129</v>
      </c>
      <c r="E301" s="322" t="s">
        <v>2127</v>
      </c>
      <c r="F301" s="324"/>
      <c r="G301" s="324"/>
      <c r="H301" s="324"/>
    </row>
    <row r="302" ht="18.0" customHeight="1">
      <c r="A302" s="287" t="s">
        <v>1944</v>
      </c>
      <c r="C302" s="322" t="s">
        <v>2130</v>
      </c>
      <c r="D302" s="323" t="s">
        <v>2131</v>
      </c>
      <c r="E302" s="322" t="s">
        <v>2127</v>
      </c>
      <c r="F302" s="324"/>
      <c r="G302" s="324"/>
      <c r="H302" s="324"/>
    </row>
    <row r="303">
      <c r="A303" s="299" t="s">
        <v>1944</v>
      </c>
      <c r="B303" s="300" t="s">
        <v>865</v>
      </c>
      <c r="C303" s="299" t="s">
        <v>2132</v>
      </c>
      <c r="D303" s="301" t="s">
        <v>866</v>
      </c>
      <c r="E303" s="299" t="s">
        <v>2133</v>
      </c>
      <c r="F303" s="299" t="s">
        <v>1672</v>
      </c>
      <c r="G303" s="299" t="s">
        <v>2134</v>
      </c>
      <c r="H303" s="302"/>
    </row>
    <row r="304" ht="22.5" customHeight="1">
      <c r="A304" s="287" t="s">
        <v>1944</v>
      </c>
      <c r="C304" s="287" t="s">
        <v>2135</v>
      </c>
      <c r="D304" s="288" t="s">
        <v>2136</v>
      </c>
      <c r="E304" s="287" t="s">
        <v>2133</v>
      </c>
      <c r="F304" s="287" t="s">
        <v>1672</v>
      </c>
      <c r="G304" s="287" t="s">
        <v>2137</v>
      </c>
      <c r="H304" s="185"/>
    </row>
    <row r="305" ht="22.5" customHeight="1">
      <c r="A305" s="287" t="s">
        <v>1944</v>
      </c>
      <c r="C305" s="287" t="s">
        <v>2138</v>
      </c>
      <c r="D305" s="288" t="s">
        <v>2139</v>
      </c>
      <c r="E305" s="287" t="s">
        <v>2133</v>
      </c>
      <c r="F305" s="287" t="s">
        <v>1672</v>
      </c>
      <c r="G305" s="287" t="s">
        <v>2140</v>
      </c>
      <c r="H305" s="185"/>
    </row>
    <row r="306" ht="22.5" customHeight="1">
      <c r="A306" s="287" t="s">
        <v>1944</v>
      </c>
      <c r="C306" s="287" t="s">
        <v>2141</v>
      </c>
      <c r="D306" s="288" t="s">
        <v>2142</v>
      </c>
      <c r="E306" s="287" t="s">
        <v>2133</v>
      </c>
      <c r="F306" s="287" t="s">
        <v>1672</v>
      </c>
      <c r="G306" s="287" t="s">
        <v>2143</v>
      </c>
      <c r="H306" s="185"/>
    </row>
    <row r="307" ht="22.5" customHeight="1">
      <c r="A307" s="287" t="s">
        <v>1944</v>
      </c>
      <c r="C307" s="287" t="s">
        <v>2144</v>
      </c>
      <c r="D307" s="288" t="s">
        <v>2145</v>
      </c>
      <c r="E307" s="287" t="s">
        <v>2133</v>
      </c>
      <c r="F307" s="287" t="s">
        <v>1672</v>
      </c>
      <c r="G307" s="287" t="s">
        <v>2146</v>
      </c>
      <c r="H307" s="185"/>
    </row>
    <row r="308" ht="22.5" customHeight="1">
      <c r="A308" s="287" t="s">
        <v>1944</v>
      </c>
      <c r="C308" s="322" t="s">
        <v>2147</v>
      </c>
      <c r="D308" s="323" t="s">
        <v>2148</v>
      </c>
      <c r="E308" s="322" t="s">
        <v>2133</v>
      </c>
      <c r="F308" s="287" t="s">
        <v>1672</v>
      </c>
      <c r="G308" s="185"/>
      <c r="H308" s="185"/>
    </row>
    <row r="309">
      <c r="A309" s="299" t="s">
        <v>1944</v>
      </c>
      <c r="B309" s="300" t="s">
        <v>1758</v>
      </c>
      <c r="C309" s="299" t="s">
        <v>2149</v>
      </c>
      <c r="D309" s="301" t="s">
        <v>2150</v>
      </c>
      <c r="E309" s="299" t="s">
        <v>2133</v>
      </c>
      <c r="F309" s="299" t="s">
        <v>1672</v>
      </c>
      <c r="G309" s="299" t="s">
        <v>2151</v>
      </c>
      <c r="H309" s="302"/>
    </row>
    <row r="310" ht="18.0" customHeight="1">
      <c r="A310" s="287" t="s">
        <v>1944</v>
      </c>
      <c r="C310" s="287" t="s">
        <v>2152</v>
      </c>
      <c r="D310" s="288" t="s">
        <v>2153</v>
      </c>
      <c r="E310" s="287" t="s">
        <v>2154</v>
      </c>
      <c r="F310" s="287" t="s">
        <v>1672</v>
      </c>
      <c r="G310" s="287" t="s">
        <v>2155</v>
      </c>
      <c r="H310" s="185"/>
    </row>
    <row r="311" ht="18.0" customHeight="1">
      <c r="A311" s="287" t="s">
        <v>1944</v>
      </c>
      <c r="C311" s="287" t="s">
        <v>2156</v>
      </c>
      <c r="D311" s="288" t="s">
        <v>2157</v>
      </c>
      <c r="E311" s="287" t="s">
        <v>2158</v>
      </c>
      <c r="F311" s="287" t="s">
        <v>1672</v>
      </c>
      <c r="G311" s="287" t="s">
        <v>2159</v>
      </c>
      <c r="H311" s="185"/>
    </row>
    <row r="312" ht="18.0" customHeight="1">
      <c r="A312" s="287" t="s">
        <v>1944</v>
      </c>
      <c r="C312" s="287" t="s">
        <v>2160</v>
      </c>
      <c r="D312" s="288" t="s">
        <v>2161</v>
      </c>
      <c r="E312" s="287" t="s">
        <v>2154</v>
      </c>
      <c r="F312" s="287" t="s">
        <v>1672</v>
      </c>
      <c r="G312" s="287" t="s">
        <v>2162</v>
      </c>
      <c r="H312" s="185"/>
    </row>
    <row r="313" ht="18.0" customHeight="1">
      <c r="A313" s="299" t="s">
        <v>1944</v>
      </c>
      <c r="B313" s="300" t="s">
        <v>692</v>
      </c>
      <c r="C313" s="299" t="s">
        <v>2163</v>
      </c>
      <c r="D313" s="301" t="s">
        <v>2164</v>
      </c>
      <c r="E313" s="299" t="s">
        <v>1656</v>
      </c>
      <c r="F313" s="299" t="s">
        <v>1672</v>
      </c>
      <c r="G313" s="299" t="s">
        <v>2165</v>
      </c>
      <c r="H313" s="302"/>
    </row>
    <row r="314" ht="18.0" customHeight="1">
      <c r="A314" s="287" t="s">
        <v>1944</v>
      </c>
      <c r="C314" s="296" t="s">
        <v>2166</v>
      </c>
      <c r="D314" s="289" t="s">
        <v>2167</v>
      </c>
      <c r="E314" s="296" t="s">
        <v>1656</v>
      </c>
      <c r="F314" s="287" t="s">
        <v>1672</v>
      </c>
      <c r="G314" s="287" t="s">
        <v>2168</v>
      </c>
      <c r="H314" s="185"/>
    </row>
    <row r="315" ht="18.0" customHeight="1">
      <c r="A315" s="287" t="s">
        <v>1944</v>
      </c>
      <c r="C315" s="296" t="s">
        <v>2169</v>
      </c>
      <c r="D315" s="289" t="s">
        <v>1636</v>
      </c>
      <c r="E315" s="287" t="s">
        <v>2154</v>
      </c>
      <c r="F315" s="287" t="s">
        <v>1672</v>
      </c>
      <c r="G315" s="287" t="s">
        <v>2170</v>
      </c>
      <c r="H315" s="185"/>
    </row>
    <row r="316" ht="18.0" customHeight="1">
      <c r="A316" s="287" t="s">
        <v>1944</v>
      </c>
      <c r="C316" s="287" t="s">
        <v>2171</v>
      </c>
      <c r="D316" s="288" t="s">
        <v>2172</v>
      </c>
      <c r="E316" s="287" t="s">
        <v>2154</v>
      </c>
      <c r="F316" s="287" t="s">
        <v>1672</v>
      </c>
      <c r="G316" s="287" t="s">
        <v>2173</v>
      </c>
      <c r="H316" s="185"/>
    </row>
    <row r="317" ht="18.0" customHeight="1">
      <c r="A317" s="287" t="s">
        <v>1944</v>
      </c>
      <c r="C317" s="325" t="s">
        <v>2174</v>
      </c>
      <c r="D317" s="326" t="s">
        <v>2175</v>
      </c>
      <c r="E317" s="325" t="s">
        <v>2154</v>
      </c>
      <c r="F317" s="324"/>
      <c r="G317" s="324"/>
      <c r="H317" s="324"/>
    </row>
    <row r="318" ht="18.0" customHeight="1">
      <c r="A318" s="299" t="s">
        <v>1944</v>
      </c>
      <c r="B318" s="300" t="s">
        <v>1765</v>
      </c>
      <c r="C318" s="299" t="s">
        <v>2176</v>
      </c>
      <c r="D318" s="301" t="s">
        <v>2177</v>
      </c>
      <c r="E318" s="299" t="s">
        <v>1779</v>
      </c>
      <c r="F318" s="299" t="s">
        <v>1672</v>
      </c>
      <c r="G318" s="299" t="s">
        <v>2178</v>
      </c>
      <c r="H318" s="302"/>
    </row>
    <row r="319">
      <c r="A319" s="287" t="s">
        <v>1944</v>
      </c>
      <c r="C319" s="287" t="s">
        <v>2179</v>
      </c>
      <c r="D319" s="288" t="s">
        <v>2180</v>
      </c>
      <c r="E319" s="287" t="s">
        <v>1779</v>
      </c>
      <c r="F319" s="287" t="s">
        <v>1672</v>
      </c>
      <c r="G319" s="185"/>
      <c r="H319" s="185"/>
    </row>
    <row r="320" ht="19.5" customHeight="1">
      <c r="A320" s="287" t="s">
        <v>1944</v>
      </c>
      <c r="C320" s="287" t="s">
        <v>2181</v>
      </c>
      <c r="D320" s="288" t="s">
        <v>2182</v>
      </c>
      <c r="E320" s="287" t="s">
        <v>1779</v>
      </c>
      <c r="F320" s="287" t="s">
        <v>1672</v>
      </c>
      <c r="G320" s="287" t="s">
        <v>2183</v>
      </c>
      <c r="H320" s="185"/>
    </row>
    <row r="321" ht="19.5" customHeight="1">
      <c r="A321" s="287" t="s">
        <v>1944</v>
      </c>
      <c r="C321" s="287" t="s">
        <v>2184</v>
      </c>
      <c r="D321" s="288" t="s">
        <v>2185</v>
      </c>
      <c r="E321" s="287" t="s">
        <v>1779</v>
      </c>
      <c r="F321" s="287" t="s">
        <v>1672</v>
      </c>
      <c r="G321" s="287" t="s">
        <v>2186</v>
      </c>
      <c r="H321" s="185"/>
    </row>
    <row r="322" ht="19.5" customHeight="1">
      <c r="A322" s="287" t="s">
        <v>1944</v>
      </c>
      <c r="C322" s="287" t="s">
        <v>2187</v>
      </c>
      <c r="D322" s="288" t="s">
        <v>2188</v>
      </c>
      <c r="E322" s="287" t="s">
        <v>1779</v>
      </c>
      <c r="F322" s="287" t="s">
        <v>1672</v>
      </c>
      <c r="G322" s="287" t="s">
        <v>2189</v>
      </c>
      <c r="H322" s="185"/>
    </row>
    <row r="323" ht="19.5" customHeight="1">
      <c r="A323" s="287" t="s">
        <v>1944</v>
      </c>
      <c r="C323" s="287" t="s">
        <v>2190</v>
      </c>
      <c r="D323" s="288" t="s">
        <v>2191</v>
      </c>
      <c r="E323" s="287" t="s">
        <v>1779</v>
      </c>
      <c r="F323" s="287" t="s">
        <v>1672</v>
      </c>
      <c r="G323" s="287" t="s">
        <v>2192</v>
      </c>
      <c r="H323" s="185"/>
    </row>
    <row r="324" ht="19.5" customHeight="1">
      <c r="A324" s="299" t="s">
        <v>1944</v>
      </c>
      <c r="B324" s="318" t="s">
        <v>576</v>
      </c>
      <c r="C324" s="299" t="s">
        <v>2193</v>
      </c>
      <c r="D324" s="301" t="s">
        <v>2194</v>
      </c>
      <c r="E324" s="299" t="s">
        <v>490</v>
      </c>
      <c r="F324" s="299" t="s">
        <v>1672</v>
      </c>
      <c r="G324" s="299" t="s">
        <v>2195</v>
      </c>
      <c r="H324" s="302"/>
    </row>
    <row r="325" ht="19.5" customHeight="1">
      <c r="A325" s="287" t="s">
        <v>1944</v>
      </c>
      <c r="C325" s="287" t="s">
        <v>2196</v>
      </c>
      <c r="D325" s="288" t="s">
        <v>2197</v>
      </c>
      <c r="E325" s="287" t="s">
        <v>490</v>
      </c>
      <c r="F325" s="287" t="s">
        <v>1672</v>
      </c>
      <c r="G325" s="287" t="s">
        <v>2198</v>
      </c>
      <c r="H325" s="185"/>
    </row>
    <row r="326" ht="19.5" customHeight="1">
      <c r="A326" s="287" t="s">
        <v>1944</v>
      </c>
      <c r="C326" s="287" t="s">
        <v>2199</v>
      </c>
      <c r="D326" s="288" t="s">
        <v>2200</v>
      </c>
      <c r="E326" s="287" t="s">
        <v>490</v>
      </c>
      <c r="F326" s="287" t="s">
        <v>1672</v>
      </c>
      <c r="G326" s="287" t="s">
        <v>2201</v>
      </c>
      <c r="H326" s="185"/>
    </row>
    <row r="327" ht="19.5" customHeight="1">
      <c r="A327" s="287" t="s">
        <v>1944</v>
      </c>
      <c r="C327" s="287" t="s">
        <v>2202</v>
      </c>
      <c r="D327" s="288" t="s">
        <v>2203</v>
      </c>
      <c r="E327" s="287" t="s">
        <v>490</v>
      </c>
      <c r="F327" s="287" t="s">
        <v>1672</v>
      </c>
      <c r="G327" s="287" t="s">
        <v>2204</v>
      </c>
      <c r="H327" s="185"/>
    </row>
    <row r="328">
      <c r="A328" s="287" t="s">
        <v>1944</v>
      </c>
      <c r="C328" s="287" t="s">
        <v>2205</v>
      </c>
      <c r="D328" s="288" t="s">
        <v>2206</v>
      </c>
      <c r="E328" s="287" t="s">
        <v>490</v>
      </c>
      <c r="F328" s="287" t="s">
        <v>1672</v>
      </c>
      <c r="G328" s="287" t="s">
        <v>2207</v>
      </c>
      <c r="H328" s="185"/>
    </row>
    <row r="329" ht="19.5" customHeight="1">
      <c r="A329" s="299" t="s">
        <v>1944</v>
      </c>
      <c r="B329" s="318" t="s">
        <v>1083</v>
      </c>
      <c r="C329" s="299" t="s">
        <v>2208</v>
      </c>
      <c r="D329" s="301" t="s">
        <v>2209</v>
      </c>
      <c r="E329" s="299" t="s">
        <v>1779</v>
      </c>
      <c r="F329" s="299" t="s">
        <v>1672</v>
      </c>
      <c r="G329" s="299" t="s">
        <v>2210</v>
      </c>
      <c r="H329" s="302"/>
    </row>
    <row r="330" ht="19.5" customHeight="1">
      <c r="A330" s="287" t="s">
        <v>1944</v>
      </c>
      <c r="C330" s="287" t="s">
        <v>2211</v>
      </c>
      <c r="D330" s="288" t="s">
        <v>2212</v>
      </c>
      <c r="E330" s="287" t="s">
        <v>490</v>
      </c>
      <c r="F330" s="287" t="s">
        <v>1672</v>
      </c>
      <c r="G330" s="185"/>
      <c r="H330" s="185"/>
    </row>
    <row r="331" ht="19.5" customHeight="1">
      <c r="A331" s="287" t="s">
        <v>1944</v>
      </c>
      <c r="C331" s="287" t="s">
        <v>2213</v>
      </c>
      <c r="D331" s="297" t="s">
        <v>2214</v>
      </c>
      <c r="E331" s="287" t="s">
        <v>490</v>
      </c>
      <c r="F331" s="287" t="s">
        <v>1672</v>
      </c>
      <c r="G331" s="287" t="s">
        <v>2215</v>
      </c>
      <c r="H331" s="185"/>
    </row>
    <row r="332" ht="19.5" customHeight="1">
      <c r="A332" s="287" t="s">
        <v>1944</v>
      </c>
      <c r="C332" s="287" t="s">
        <v>2216</v>
      </c>
      <c r="D332" s="288" t="s">
        <v>2217</v>
      </c>
      <c r="E332" s="185"/>
      <c r="F332" s="287" t="s">
        <v>1672</v>
      </c>
      <c r="G332" s="185"/>
      <c r="H332" s="185"/>
    </row>
    <row r="333" ht="19.5" customHeight="1">
      <c r="A333" s="287" t="s">
        <v>1944</v>
      </c>
      <c r="C333" s="287" t="s">
        <v>2218</v>
      </c>
      <c r="D333" s="288" t="s">
        <v>2219</v>
      </c>
      <c r="E333" s="287" t="s">
        <v>1729</v>
      </c>
      <c r="F333" s="287" t="s">
        <v>1672</v>
      </c>
      <c r="G333" s="185"/>
      <c r="H333" s="185"/>
    </row>
    <row r="334" ht="19.5" customHeight="1">
      <c r="A334" s="287" t="s">
        <v>1944</v>
      </c>
      <c r="C334" s="287" t="s">
        <v>2220</v>
      </c>
      <c r="D334" s="288" t="s">
        <v>2221</v>
      </c>
      <c r="E334" s="287" t="s">
        <v>490</v>
      </c>
      <c r="F334" s="287" t="s">
        <v>1672</v>
      </c>
      <c r="G334" s="287" t="s">
        <v>2222</v>
      </c>
      <c r="H334" s="185"/>
    </row>
    <row r="335">
      <c r="A335" s="287" t="s">
        <v>1944</v>
      </c>
      <c r="C335" s="287" t="s">
        <v>2223</v>
      </c>
      <c r="D335" s="288" t="s">
        <v>2224</v>
      </c>
      <c r="E335" s="287" t="s">
        <v>490</v>
      </c>
      <c r="F335" s="287" t="s">
        <v>1672</v>
      </c>
      <c r="G335" s="287" t="s">
        <v>2225</v>
      </c>
      <c r="H335" s="185"/>
    </row>
    <row r="336">
      <c r="A336" s="287" t="s">
        <v>1944</v>
      </c>
      <c r="C336" s="287" t="s">
        <v>2226</v>
      </c>
      <c r="D336" s="288" t="s">
        <v>2227</v>
      </c>
      <c r="E336" s="287" t="s">
        <v>1779</v>
      </c>
      <c r="F336" s="287" t="s">
        <v>1672</v>
      </c>
      <c r="G336" s="185"/>
      <c r="H336" s="185"/>
    </row>
    <row r="337">
      <c r="A337" s="287" t="s">
        <v>1944</v>
      </c>
      <c r="C337" s="287" t="s">
        <v>2228</v>
      </c>
      <c r="D337" s="288" t="s">
        <v>2229</v>
      </c>
      <c r="E337" s="287" t="s">
        <v>2230</v>
      </c>
      <c r="F337" s="287" t="s">
        <v>1672</v>
      </c>
      <c r="G337" s="287" t="s">
        <v>2231</v>
      </c>
      <c r="H337" s="185"/>
    </row>
    <row r="338">
      <c r="A338" s="299" t="s">
        <v>1944</v>
      </c>
      <c r="B338" s="300" t="s">
        <v>1772</v>
      </c>
      <c r="C338" s="299" t="s">
        <v>2232</v>
      </c>
      <c r="D338" s="301" t="s">
        <v>2233</v>
      </c>
      <c r="E338" s="299" t="s">
        <v>2234</v>
      </c>
      <c r="F338" s="299" t="s">
        <v>1672</v>
      </c>
      <c r="G338" s="299" t="s">
        <v>2235</v>
      </c>
      <c r="H338" s="302"/>
    </row>
    <row r="339">
      <c r="A339" s="287" t="s">
        <v>1944</v>
      </c>
      <c r="C339" s="287" t="s">
        <v>2236</v>
      </c>
      <c r="D339" s="288" t="s">
        <v>2237</v>
      </c>
      <c r="E339" s="287" t="s">
        <v>490</v>
      </c>
      <c r="F339" s="287" t="s">
        <v>1672</v>
      </c>
      <c r="G339" s="287" t="s">
        <v>2238</v>
      </c>
      <c r="H339" s="185"/>
    </row>
    <row r="340">
      <c r="A340" s="287" t="s">
        <v>1944</v>
      </c>
      <c r="C340" s="296" t="s">
        <v>2239</v>
      </c>
      <c r="D340" s="289" t="s">
        <v>2240</v>
      </c>
      <c r="E340" s="287" t="s">
        <v>490</v>
      </c>
      <c r="F340" s="296" t="s">
        <v>1672</v>
      </c>
      <c r="G340" s="287" t="s">
        <v>2241</v>
      </c>
      <c r="H340" s="185"/>
    </row>
    <row r="341">
      <c r="A341" s="287" t="s">
        <v>1944</v>
      </c>
      <c r="C341" s="287" t="s">
        <v>2242</v>
      </c>
      <c r="D341" s="288" t="s">
        <v>2243</v>
      </c>
      <c r="E341" s="287" t="s">
        <v>490</v>
      </c>
      <c r="F341" s="287" t="s">
        <v>1672</v>
      </c>
      <c r="G341" s="185"/>
      <c r="H341" s="185"/>
    </row>
    <row r="342">
      <c r="A342" s="287" t="s">
        <v>1944</v>
      </c>
      <c r="C342" s="287" t="s">
        <v>2244</v>
      </c>
      <c r="D342" s="288" t="s">
        <v>2245</v>
      </c>
      <c r="E342" s="287" t="s">
        <v>490</v>
      </c>
      <c r="F342" s="287" t="s">
        <v>1672</v>
      </c>
      <c r="G342" s="287" t="s">
        <v>2246</v>
      </c>
      <c r="H342" s="185"/>
    </row>
    <row r="343">
      <c r="A343" s="287" t="s">
        <v>1944</v>
      </c>
      <c r="C343" s="287" t="s">
        <v>2247</v>
      </c>
      <c r="D343" s="288" t="s">
        <v>2248</v>
      </c>
      <c r="E343" s="287" t="s">
        <v>490</v>
      </c>
      <c r="F343" s="287" t="s">
        <v>1672</v>
      </c>
      <c r="G343" s="287" t="s">
        <v>2249</v>
      </c>
      <c r="H343" s="185"/>
    </row>
    <row r="344">
      <c r="A344" s="287" t="s">
        <v>1944</v>
      </c>
      <c r="C344" s="287" t="s">
        <v>2250</v>
      </c>
      <c r="D344" s="288" t="s">
        <v>2251</v>
      </c>
      <c r="E344" s="287" t="s">
        <v>490</v>
      </c>
      <c r="F344" s="287" t="s">
        <v>1672</v>
      </c>
      <c r="G344" s="287" t="s">
        <v>2252</v>
      </c>
      <c r="H344" s="185"/>
    </row>
    <row r="345">
      <c r="A345" s="303" t="s">
        <v>1944</v>
      </c>
      <c r="C345" s="303" t="s">
        <v>2253</v>
      </c>
      <c r="D345" s="327" t="s">
        <v>2254</v>
      </c>
      <c r="E345" s="303" t="s">
        <v>490</v>
      </c>
      <c r="F345" s="303" t="s">
        <v>1672</v>
      </c>
      <c r="G345" s="303" t="s">
        <v>2255</v>
      </c>
      <c r="H345" s="305"/>
    </row>
    <row r="346">
      <c r="A346" s="299" t="s">
        <v>1944</v>
      </c>
      <c r="B346" s="300" t="s">
        <v>644</v>
      </c>
      <c r="C346" s="299" t="s">
        <v>2256</v>
      </c>
      <c r="D346" s="301" t="s">
        <v>2257</v>
      </c>
      <c r="E346" s="299" t="s">
        <v>490</v>
      </c>
      <c r="F346" s="299" t="s">
        <v>1672</v>
      </c>
      <c r="G346" s="299" t="s">
        <v>2258</v>
      </c>
      <c r="H346" s="302"/>
    </row>
    <row r="347">
      <c r="A347" s="292" t="s">
        <v>2259</v>
      </c>
      <c r="C347" s="292" t="s">
        <v>2260</v>
      </c>
      <c r="D347" s="297" t="s">
        <v>889</v>
      </c>
      <c r="E347" s="292" t="s">
        <v>1783</v>
      </c>
      <c r="F347" s="298"/>
      <c r="G347" s="298"/>
      <c r="H347" s="298"/>
    </row>
    <row r="348" ht="21.0" customHeight="1">
      <c r="A348" s="287" t="s">
        <v>1944</v>
      </c>
      <c r="C348" s="287" t="s">
        <v>2261</v>
      </c>
      <c r="D348" s="288" t="s">
        <v>2262</v>
      </c>
      <c r="E348" s="287" t="s">
        <v>490</v>
      </c>
      <c r="F348" s="287" t="s">
        <v>1672</v>
      </c>
      <c r="G348" s="287" t="s">
        <v>2263</v>
      </c>
      <c r="H348" s="185"/>
    </row>
    <row r="349" ht="21.0" customHeight="1">
      <c r="A349" s="287" t="s">
        <v>1944</v>
      </c>
      <c r="C349" s="287" t="s">
        <v>2264</v>
      </c>
      <c r="D349" s="288" t="s">
        <v>2265</v>
      </c>
      <c r="E349" s="287" t="s">
        <v>490</v>
      </c>
      <c r="F349" s="287" t="s">
        <v>1672</v>
      </c>
      <c r="G349" s="287" t="s">
        <v>2266</v>
      </c>
      <c r="H349" s="185"/>
    </row>
    <row r="350" ht="21.0" customHeight="1">
      <c r="A350" s="287" t="s">
        <v>1944</v>
      </c>
      <c r="C350" s="287" t="s">
        <v>2267</v>
      </c>
      <c r="D350" s="288" t="s">
        <v>2268</v>
      </c>
      <c r="E350" s="287" t="s">
        <v>490</v>
      </c>
      <c r="F350" s="287" t="s">
        <v>1672</v>
      </c>
      <c r="G350" s="287" t="s">
        <v>2269</v>
      </c>
      <c r="H350" s="185"/>
    </row>
    <row r="351" ht="21.0" customHeight="1">
      <c r="A351" s="287" t="s">
        <v>1944</v>
      </c>
      <c r="C351" s="287" t="s">
        <v>2270</v>
      </c>
      <c r="D351" s="288" t="s">
        <v>2271</v>
      </c>
      <c r="E351" s="287" t="s">
        <v>490</v>
      </c>
      <c r="F351" s="287" t="s">
        <v>1672</v>
      </c>
      <c r="G351" s="287" t="s">
        <v>2272</v>
      </c>
      <c r="H351" s="185"/>
    </row>
    <row r="352" ht="21.0" customHeight="1">
      <c r="A352" s="287" t="s">
        <v>1944</v>
      </c>
      <c r="C352" s="287" t="s">
        <v>2273</v>
      </c>
      <c r="D352" s="288" t="s">
        <v>2274</v>
      </c>
      <c r="E352" s="287" t="s">
        <v>490</v>
      </c>
      <c r="F352" s="287" t="s">
        <v>1672</v>
      </c>
      <c r="G352" s="287" t="s">
        <v>2275</v>
      </c>
      <c r="H352" s="185"/>
    </row>
    <row r="353" ht="21.0" customHeight="1">
      <c r="A353" s="299" t="s">
        <v>1944</v>
      </c>
      <c r="B353" s="300" t="s">
        <v>1470</v>
      </c>
      <c r="C353" s="299" t="s">
        <v>2276</v>
      </c>
      <c r="D353" s="301" t="s">
        <v>2277</v>
      </c>
      <c r="E353" s="299" t="s">
        <v>2278</v>
      </c>
      <c r="F353" s="299" t="s">
        <v>1672</v>
      </c>
      <c r="G353" s="302"/>
      <c r="H353" s="302"/>
    </row>
    <row r="354">
      <c r="A354" s="287" t="s">
        <v>1944</v>
      </c>
      <c r="C354" s="287" t="s">
        <v>2279</v>
      </c>
      <c r="D354" s="288" t="s">
        <v>2280</v>
      </c>
      <c r="E354" s="287" t="s">
        <v>2278</v>
      </c>
      <c r="F354" s="287" t="s">
        <v>1672</v>
      </c>
      <c r="G354" s="185"/>
      <c r="H354" s="185"/>
    </row>
    <row r="355">
      <c r="A355" s="287" t="s">
        <v>1944</v>
      </c>
      <c r="C355" s="287" t="s">
        <v>2281</v>
      </c>
      <c r="D355" s="288" t="s">
        <v>2282</v>
      </c>
      <c r="E355" s="287" t="s">
        <v>2278</v>
      </c>
      <c r="F355" s="287" t="s">
        <v>1672</v>
      </c>
      <c r="G355" s="185"/>
      <c r="H355" s="185"/>
    </row>
    <row r="356">
      <c r="A356" s="287" t="s">
        <v>1944</v>
      </c>
      <c r="C356" s="287" t="s">
        <v>2283</v>
      </c>
      <c r="D356" s="288" t="s">
        <v>2284</v>
      </c>
      <c r="E356" s="287" t="s">
        <v>1729</v>
      </c>
      <c r="F356" s="287" t="s">
        <v>1672</v>
      </c>
      <c r="G356" s="185"/>
      <c r="H356" s="185"/>
    </row>
    <row r="357">
      <c r="A357" s="287" t="s">
        <v>1944</v>
      </c>
      <c r="C357" s="287" t="s">
        <v>2285</v>
      </c>
      <c r="D357" s="288" t="s">
        <v>2286</v>
      </c>
      <c r="E357" s="287" t="s">
        <v>1783</v>
      </c>
      <c r="F357" s="287" t="s">
        <v>1672</v>
      </c>
      <c r="G357" s="185"/>
      <c r="H357" s="185"/>
    </row>
    <row r="358">
      <c r="A358" s="287" t="s">
        <v>1944</v>
      </c>
      <c r="C358" s="287" t="s">
        <v>2287</v>
      </c>
      <c r="D358" s="288" t="s">
        <v>2288</v>
      </c>
      <c r="E358" s="287" t="s">
        <v>2278</v>
      </c>
      <c r="F358" s="287" t="s">
        <v>1672</v>
      </c>
      <c r="G358" s="185"/>
      <c r="H358" s="185"/>
    </row>
    <row r="359">
      <c r="A359" s="287" t="s">
        <v>1944</v>
      </c>
      <c r="C359" s="287" t="s">
        <v>2289</v>
      </c>
      <c r="D359" s="288" t="s">
        <v>2290</v>
      </c>
      <c r="E359" s="287" t="s">
        <v>1783</v>
      </c>
      <c r="F359" s="287" t="s">
        <v>1672</v>
      </c>
      <c r="G359" s="185"/>
      <c r="H359" s="185"/>
    </row>
    <row r="360">
      <c r="A360" s="287" t="s">
        <v>1944</v>
      </c>
      <c r="C360" s="287" t="s">
        <v>2291</v>
      </c>
      <c r="D360" s="288" t="s">
        <v>2292</v>
      </c>
      <c r="E360" s="287" t="s">
        <v>1783</v>
      </c>
      <c r="F360" s="287" t="s">
        <v>1672</v>
      </c>
      <c r="G360" s="185"/>
      <c r="H360" s="185"/>
    </row>
    <row r="361">
      <c r="A361" s="287" t="s">
        <v>1944</v>
      </c>
      <c r="C361" s="287" t="s">
        <v>2293</v>
      </c>
      <c r="D361" s="288" t="s">
        <v>2294</v>
      </c>
      <c r="E361" s="287" t="s">
        <v>1783</v>
      </c>
      <c r="F361" s="287" t="s">
        <v>1672</v>
      </c>
      <c r="G361" s="185"/>
      <c r="H361" s="185"/>
    </row>
    <row r="362">
      <c r="A362" s="287" t="s">
        <v>1944</v>
      </c>
      <c r="C362" s="287" t="s">
        <v>2295</v>
      </c>
      <c r="D362" s="288" t="s">
        <v>1472</v>
      </c>
      <c r="E362" s="287" t="s">
        <v>1783</v>
      </c>
      <c r="F362" s="287" t="s">
        <v>1672</v>
      </c>
      <c r="G362" s="185"/>
      <c r="H362" s="185"/>
    </row>
    <row r="363">
      <c r="A363" s="287" t="s">
        <v>1944</v>
      </c>
      <c r="C363" s="287" t="s">
        <v>2296</v>
      </c>
      <c r="D363" s="288" t="s">
        <v>1527</v>
      </c>
      <c r="E363" s="287" t="s">
        <v>1729</v>
      </c>
      <c r="F363" s="287" t="s">
        <v>1672</v>
      </c>
      <c r="G363" s="185"/>
      <c r="H363" s="185"/>
    </row>
    <row r="364">
      <c r="A364" s="299" t="s">
        <v>1944</v>
      </c>
      <c r="B364" s="300" t="s">
        <v>1201</v>
      </c>
      <c r="C364" s="299" t="s">
        <v>2297</v>
      </c>
      <c r="D364" s="301" t="s">
        <v>2298</v>
      </c>
      <c r="E364" s="299" t="s">
        <v>2234</v>
      </c>
      <c r="F364" s="299" t="s">
        <v>1672</v>
      </c>
      <c r="G364" s="299" t="s">
        <v>2299</v>
      </c>
      <c r="H364" s="302"/>
    </row>
    <row r="365" ht="19.5" customHeight="1">
      <c r="A365" s="287" t="s">
        <v>1944</v>
      </c>
      <c r="C365" s="287" t="s">
        <v>2300</v>
      </c>
      <c r="D365" s="288" t="s">
        <v>2301</v>
      </c>
      <c r="E365" s="287" t="s">
        <v>2302</v>
      </c>
      <c r="F365" s="287" t="s">
        <v>1672</v>
      </c>
      <c r="G365" s="287" t="s">
        <v>2303</v>
      </c>
      <c r="H365" s="185"/>
    </row>
    <row r="366" ht="19.5" customHeight="1">
      <c r="A366" s="287" t="s">
        <v>1944</v>
      </c>
      <c r="C366" s="287" t="s">
        <v>2304</v>
      </c>
      <c r="D366" s="288" t="s">
        <v>2305</v>
      </c>
      <c r="E366" s="287" t="s">
        <v>490</v>
      </c>
      <c r="F366" s="287" t="s">
        <v>1672</v>
      </c>
      <c r="G366" s="287" t="s">
        <v>2306</v>
      </c>
      <c r="H366" s="185"/>
    </row>
    <row r="367">
      <c r="A367" s="287" t="s">
        <v>1944</v>
      </c>
      <c r="C367" s="287" t="s">
        <v>2307</v>
      </c>
      <c r="D367" s="288" t="s">
        <v>2308</v>
      </c>
      <c r="E367" s="287" t="s">
        <v>490</v>
      </c>
      <c r="F367" s="287" t="s">
        <v>1672</v>
      </c>
      <c r="G367" s="287" t="s">
        <v>2309</v>
      </c>
      <c r="H367" s="185"/>
    </row>
    <row r="368">
      <c r="A368" s="287" t="s">
        <v>1944</v>
      </c>
      <c r="C368" s="287" t="s">
        <v>2310</v>
      </c>
      <c r="D368" s="288" t="s">
        <v>2311</v>
      </c>
      <c r="E368" s="287" t="s">
        <v>490</v>
      </c>
      <c r="F368" s="287" t="s">
        <v>1672</v>
      </c>
      <c r="G368" s="287" t="s">
        <v>2312</v>
      </c>
      <c r="H368" s="185"/>
    </row>
    <row r="369">
      <c r="A369" s="287" t="s">
        <v>1944</v>
      </c>
      <c r="C369" s="287" t="s">
        <v>2313</v>
      </c>
      <c r="D369" s="288" t="s">
        <v>2314</v>
      </c>
      <c r="E369" s="287" t="s">
        <v>490</v>
      </c>
      <c r="F369" s="287" t="s">
        <v>1672</v>
      </c>
      <c r="G369" s="287" t="s">
        <v>2315</v>
      </c>
      <c r="H369" s="185"/>
    </row>
    <row r="370">
      <c r="A370" s="299" t="s">
        <v>1944</v>
      </c>
      <c r="B370" s="300" t="s">
        <v>1126</v>
      </c>
      <c r="C370" s="299" t="s">
        <v>2316</v>
      </c>
      <c r="D370" s="301" t="s">
        <v>1127</v>
      </c>
      <c r="E370" s="299" t="s">
        <v>490</v>
      </c>
      <c r="F370" s="299" t="s">
        <v>1672</v>
      </c>
      <c r="G370" s="299" t="s">
        <v>2317</v>
      </c>
      <c r="H370" s="302"/>
    </row>
    <row r="371">
      <c r="A371" s="185"/>
      <c r="C371" s="287" t="s">
        <v>2318</v>
      </c>
      <c r="D371" s="288" t="s">
        <v>2319</v>
      </c>
      <c r="E371" s="287" t="s">
        <v>490</v>
      </c>
      <c r="F371" s="287" t="s">
        <v>1672</v>
      </c>
      <c r="G371" s="287" t="s">
        <v>2320</v>
      </c>
      <c r="H371" s="185"/>
    </row>
    <row r="372">
      <c r="A372" s="287" t="s">
        <v>1944</v>
      </c>
      <c r="C372" s="287" t="s">
        <v>2321</v>
      </c>
      <c r="D372" s="288" t="s">
        <v>2322</v>
      </c>
      <c r="E372" s="287" t="s">
        <v>490</v>
      </c>
      <c r="F372" s="287" t="s">
        <v>1672</v>
      </c>
      <c r="G372" s="287" t="s">
        <v>2323</v>
      </c>
      <c r="H372" s="185"/>
    </row>
    <row r="373">
      <c r="A373" s="287" t="s">
        <v>1944</v>
      </c>
      <c r="C373" s="287" t="s">
        <v>2324</v>
      </c>
      <c r="D373" s="288" t="s">
        <v>2325</v>
      </c>
      <c r="E373" s="287" t="s">
        <v>490</v>
      </c>
      <c r="F373" s="287" t="s">
        <v>1672</v>
      </c>
      <c r="G373" s="287" t="s">
        <v>2326</v>
      </c>
      <c r="H373" s="185"/>
    </row>
    <row r="374">
      <c r="A374" s="287" t="s">
        <v>1944</v>
      </c>
      <c r="C374" s="287" t="s">
        <v>2327</v>
      </c>
      <c r="D374" s="288" t="s">
        <v>2328</v>
      </c>
      <c r="E374" s="287" t="s">
        <v>490</v>
      </c>
      <c r="F374" s="287" t="s">
        <v>1672</v>
      </c>
      <c r="G374" s="287" t="s">
        <v>2329</v>
      </c>
      <c r="H374" s="185"/>
    </row>
    <row r="375">
      <c r="A375" s="287" t="s">
        <v>1944</v>
      </c>
      <c r="C375" s="287" t="s">
        <v>2330</v>
      </c>
      <c r="D375" s="288" t="s">
        <v>2331</v>
      </c>
      <c r="E375" s="287" t="s">
        <v>1779</v>
      </c>
      <c r="F375" s="287" t="s">
        <v>1672</v>
      </c>
      <c r="G375" s="287" t="s">
        <v>2332</v>
      </c>
      <c r="H375" s="185"/>
    </row>
    <row r="376">
      <c r="A376" s="287" t="s">
        <v>1944</v>
      </c>
      <c r="C376" s="322" t="s">
        <v>2333</v>
      </c>
      <c r="D376" s="323" t="s">
        <v>2334</v>
      </c>
      <c r="E376" s="322" t="s">
        <v>1657</v>
      </c>
      <c r="F376" s="324"/>
      <c r="G376" s="324"/>
      <c r="H376" s="324"/>
    </row>
    <row r="377">
      <c r="A377" s="287" t="s">
        <v>1944</v>
      </c>
      <c r="C377" s="322" t="s">
        <v>2335</v>
      </c>
      <c r="D377" s="323" t="s">
        <v>2336</v>
      </c>
      <c r="E377" s="322" t="s">
        <v>1657</v>
      </c>
      <c r="F377" s="324"/>
      <c r="G377" s="324"/>
      <c r="H377" s="324"/>
    </row>
    <row r="378">
      <c r="A378" s="287" t="s">
        <v>1944</v>
      </c>
      <c r="C378" s="322" t="s">
        <v>2337</v>
      </c>
      <c r="D378" s="323" t="s">
        <v>2338</v>
      </c>
      <c r="E378" s="322" t="s">
        <v>1657</v>
      </c>
      <c r="F378" s="324"/>
      <c r="G378" s="324"/>
      <c r="H378" s="324"/>
    </row>
    <row r="379">
      <c r="A379" s="299" t="s">
        <v>1944</v>
      </c>
      <c r="B379" s="300" t="s">
        <v>1317</v>
      </c>
      <c r="C379" s="299" t="s">
        <v>2339</v>
      </c>
      <c r="D379" s="301" t="s">
        <v>2340</v>
      </c>
      <c r="E379" s="299" t="s">
        <v>490</v>
      </c>
      <c r="F379" s="299" t="s">
        <v>1672</v>
      </c>
      <c r="G379" s="299" t="s">
        <v>2341</v>
      </c>
      <c r="H379" s="302"/>
    </row>
    <row r="380">
      <c r="A380" s="287" t="s">
        <v>1944</v>
      </c>
      <c r="C380" s="287" t="s">
        <v>2342</v>
      </c>
      <c r="D380" s="288" t="s">
        <v>2343</v>
      </c>
      <c r="E380" s="287" t="s">
        <v>490</v>
      </c>
      <c r="F380" s="287" t="s">
        <v>1672</v>
      </c>
      <c r="G380" s="287" t="s">
        <v>2344</v>
      </c>
      <c r="H380" s="185"/>
    </row>
    <row r="381">
      <c r="A381" s="287" t="s">
        <v>1944</v>
      </c>
      <c r="C381" s="287" t="s">
        <v>2345</v>
      </c>
      <c r="D381" s="288" t="s">
        <v>2346</v>
      </c>
      <c r="E381" s="287" t="s">
        <v>490</v>
      </c>
      <c r="F381" s="287" t="s">
        <v>1672</v>
      </c>
      <c r="G381" s="287" t="s">
        <v>2347</v>
      </c>
      <c r="H381" s="185"/>
    </row>
    <row r="382">
      <c r="A382" s="287" t="s">
        <v>1944</v>
      </c>
      <c r="C382" s="287" t="s">
        <v>2348</v>
      </c>
      <c r="D382" s="288" t="s">
        <v>2349</v>
      </c>
      <c r="E382" s="287" t="s">
        <v>490</v>
      </c>
      <c r="F382" s="287" t="s">
        <v>1672</v>
      </c>
      <c r="G382" s="287" t="s">
        <v>2350</v>
      </c>
      <c r="H382" s="185"/>
    </row>
    <row r="383">
      <c r="A383" s="287" t="s">
        <v>1944</v>
      </c>
      <c r="C383" s="287" t="s">
        <v>2351</v>
      </c>
      <c r="D383" s="288" t="s">
        <v>2352</v>
      </c>
      <c r="E383" s="287" t="s">
        <v>490</v>
      </c>
      <c r="F383" s="287" t="s">
        <v>1672</v>
      </c>
      <c r="G383" s="287" t="s">
        <v>2353</v>
      </c>
      <c r="H383" s="185"/>
    </row>
    <row r="384">
      <c r="A384" s="299" t="s">
        <v>1944</v>
      </c>
      <c r="B384" s="300" t="s">
        <v>831</v>
      </c>
      <c r="C384" s="299" t="s">
        <v>2354</v>
      </c>
      <c r="D384" s="301" t="s">
        <v>832</v>
      </c>
      <c r="E384" s="299" t="s">
        <v>490</v>
      </c>
      <c r="F384" s="299" t="s">
        <v>1672</v>
      </c>
      <c r="G384" s="299" t="s">
        <v>2355</v>
      </c>
      <c r="H384" s="302"/>
    </row>
    <row r="385">
      <c r="A385" s="287" t="s">
        <v>1944</v>
      </c>
      <c r="C385" s="287" t="s">
        <v>2356</v>
      </c>
      <c r="D385" s="288" t="s">
        <v>2357</v>
      </c>
      <c r="E385" s="287" t="s">
        <v>490</v>
      </c>
      <c r="F385" s="287" t="s">
        <v>1672</v>
      </c>
      <c r="G385" s="287" t="s">
        <v>2358</v>
      </c>
      <c r="H385" s="185"/>
    </row>
    <row r="386">
      <c r="A386" s="287" t="s">
        <v>1944</v>
      </c>
      <c r="C386" s="287" t="s">
        <v>2359</v>
      </c>
      <c r="D386" s="288" t="s">
        <v>2360</v>
      </c>
      <c r="E386" s="287" t="s">
        <v>490</v>
      </c>
      <c r="F386" s="287" t="s">
        <v>1672</v>
      </c>
      <c r="G386" s="287" t="s">
        <v>2361</v>
      </c>
      <c r="H386" s="185"/>
    </row>
    <row r="387">
      <c r="A387" s="287" t="s">
        <v>1944</v>
      </c>
      <c r="C387" s="287" t="s">
        <v>2362</v>
      </c>
      <c r="D387" s="288" t="s">
        <v>2363</v>
      </c>
      <c r="E387" s="287" t="s">
        <v>490</v>
      </c>
      <c r="F387" s="287" t="s">
        <v>1672</v>
      </c>
      <c r="G387" s="185"/>
      <c r="H387" s="185"/>
    </row>
    <row r="388">
      <c r="A388" s="307" t="s">
        <v>1944</v>
      </c>
      <c r="B388" s="308" t="s">
        <v>534</v>
      </c>
      <c r="C388" s="307" t="s">
        <v>2364</v>
      </c>
      <c r="D388" s="309" t="s">
        <v>535</v>
      </c>
      <c r="E388" s="307" t="s">
        <v>2365</v>
      </c>
      <c r="F388" s="310"/>
      <c r="G388" s="310"/>
      <c r="H388" s="310"/>
    </row>
    <row r="389">
      <c r="A389" s="292" t="s">
        <v>1944</v>
      </c>
      <c r="C389" s="292" t="s">
        <v>2366</v>
      </c>
      <c r="D389" s="297" t="s">
        <v>2367</v>
      </c>
      <c r="E389" s="292" t="s">
        <v>2365</v>
      </c>
      <c r="F389" s="298"/>
      <c r="G389" s="298"/>
      <c r="H389" s="298"/>
    </row>
    <row r="390">
      <c r="A390" s="292" t="s">
        <v>1944</v>
      </c>
      <c r="C390" s="292" t="s">
        <v>2368</v>
      </c>
      <c r="D390" s="297" t="s">
        <v>2369</v>
      </c>
      <c r="E390" s="292" t="s">
        <v>2365</v>
      </c>
      <c r="F390" s="298"/>
      <c r="G390" s="298"/>
      <c r="H390" s="298"/>
    </row>
    <row r="391">
      <c r="A391" s="292" t="s">
        <v>1944</v>
      </c>
      <c r="C391" s="292" t="s">
        <v>2370</v>
      </c>
      <c r="D391" s="297" t="s">
        <v>2371</v>
      </c>
      <c r="E391" s="292" t="s">
        <v>2365</v>
      </c>
      <c r="F391" s="298"/>
      <c r="G391" s="298"/>
      <c r="H391" s="298"/>
    </row>
    <row r="392">
      <c r="A392" s="292" t="s">
        <v>1944</v>
      </c>
      <c r="C392" s="292" t="s">
        <v>2372</v>
      </c>
      <c r="D392" s="297" t="s">
        <v>2373</v>
      </c>
      <c r="E392" s="292" t="s">
        <v>2365</v>
      </c>
      <c r="F392" s="298"/>
      <c r="G392" s="298"/>
      <c r="H392" s="298"/>
    </row>
    <row r="393">
      <c r="A393" s="292" t="s">
        <v>1944</v>
      </c>
      <c r="C393" s="292" t="s">
        <v>2374</v>
      </c>
      <c r="D393" s="297" t="s">
        <v>2375</v>
      </c>
      <c r="E393" s="292" t="s">
        <v>2365</v>
      </c>
      <c r="F393" s="298"/>
      <c r="G393" s="298"/>
      <c r="H393" s="298"/>
    </row>
    <row r="394">
      <c r="A394" s="292" t="s">
        <v>1944</v>
      </c>
      <c r="C394" s="292" t="s">
        <v>2376</v>
      </c>
      <c r="D394" s="297" t="s">
        <v>659</v>
      </c>
      <c r="E394" s="298"/>
      <c r="F394" s="298"/>
      <c r="G394" s="298"/>
      <c r="H394" s="298"/>
    </row>
    <row r="395">
      <c r="A395" s="185"/>
      <c r="B395" s="185"/>
      <c r="C395" s="185"/>
      <c r="D395" s="185"/>
      <c r="E395" s="185"/>
      <c r="F395" s="185"/>
      <c r="G395" s="185"/>
      <c r="H395" s="185"/>
    </row>
    <row r="396">
      <c r="A396" s="286" t="s">
        <v>71</v>
      </c>
    </row>
    <row r="397">
      <c r="A397" s="287" t="s">
        <v>2377</v>
      </c>
      <c r="B397" s="285" t="s">
        <v>2378</v>
      </c>
      <c r="C397" s="287" t="s">
        <v>2379</v>
      </c>
      <c r="D397" s="288" t="s">
        <v>2380</v>
      </c>
      <c r="E397" s="287" t="s">
        <v>1657</v>
      </c>
      <c r="F397" s="287" t="s">
        <v>1658</v>
      </c>
      <c r="G397" s="185"/>
      <c r="H397" s="290" t="s">
        <v>2381</v>
      </c>
    </row>
    <row r="398">
      <c r="A398" s="287" t="s">
        <v>2377</v>
      </c>
      <c r="C398" s="287" t="s">
        <v>2382</v>
      </c>
      <c r="D398" s="288" t="s">
        <v>2383</v>
      </c>
      <c r="E398" s="287" t="s">
        <v>1657</v>
      </c>
      <c r="F398" s="287" t="s">
        <v>1658</v>
      </c>
      <c r="G398" s="185"/>
      <c r="H398" s="290" t="s">
        <v>2384</v>
      </c>
    </row>
    <row r="399">
      <c r="A399" s="287" t="s">
        <v>2377</v>
      </c>
      <c r="C399" s="287" t="s">
        <v>2385</v>
      </c>
      <c r="D399" s="288" t="s">
        <v>2386</v>
      </c>
      <c r="E399" s="287" t="s">
        <v>1657</v>
      </c>
      <c r="F399" s="287" t="s">
        <v>1658</v>
      </c>
      <c r="G399" s="185"/>
      <c r="H399" s="290" t="s">
        <v>2387</v>
      </c>
    </row>
    <row r="400">
      <c r="A400" s="287" t="s">
        <v>2377</v>
      </c>
      <c r="C400" s="287" t="s">
        <v>2388</v>
      </c>
      <c r="D400" s="288" t="s">
        <v>2389</v>
      </c>
      <c r="E400" s="287" t="s">
        <v>1657</v>
      </c>
      <c r="F400" s="287" t="s">
        <v>1658</v>
      </c>
      <c r="G400" s="185"/>
      <c r="H400" s="290" t="s">
        <v>2390</v>
      </c>
    </row>
    <row r="401">
      <c r="A401" s="287" t="s">
        <v>2377</v>
      </c>
      <c r="C401" s="287" t="s">
        <v>2391</v>
      </c>
      <c r="D401" s="288" t="s">
        <v>2392</v>
      </c>
      <c r="E401" s="287" t="s">
        <v>1657</v>
      </c>
      <c r="F401" s="287" t="s">
        <v>1658</v>
      </c>
      <c r="G401" s="185"/>
      <c r="H401" s="290" t="s">
        <v>2393</v>
      </c>
    </row>
    <row r="402">
      <c r="A402" s="287" t="s">
        <v>2377</v>
      </c>
      <c r="C402" s="287" t="s">
        <v>2394</v>
      </c>
      <c r="D402" s="288" t="s">
        <v>2395</v>
      </c>
      <c r="E402" s="287" t="s">
        <v>1657</v>
      </c>
      <c r="F402" s="287" t="s">
        <v>1658</v>
      </c>
      <c r="G402" s="185"/>
      <c r="H402" s="290" t="s">
        <v>2396</v>
      </c>
    </row>
    <row r="403">
      <c r="A403" s="287" t="s">
        <v>2377</v>
      </c>
      <c r="C403" s="287" t="s">
        <v>2397</v>
      </c>
      <c r="D403" s="288" t="s">
        <v>2398</v>
      </c>
      <c r="E403" s="287" t="s">
        <v>1657</v>
      </c>
      <c r="F403" s="287" t="s">
        <v>1658</v>
      </c>
      <c r="G403" s="287" t="s">
        <v>2399</v>
      </c>
      <c r="H403" s="185"/>
    </row>
    <row r="404">
      <c r="A404" s="287" t="s">
        <v>2377</v>
      </c>
      <c r="C404" s="287" t="s">
        <v>2400</v>
      </c>
      <c r="D404" s="288" t="s">
        <v>2401</v>
      </c>
      <c r="E404" s="287" t="s">
        <v>1657</v>
      </c>
      <c r="F404" s="287" t="s">
        <v>1658</v>
      </c>
      <c r="G404" s="287" t="s">
        <v>2402</v>
      </c>
      <c r="H404" s="185"/>
    </row>
    <row r="405">
      <c r="A405" s="287" t="s">
        <v>2377</v>
      </c>
      <c r="C405" s="287" t="s">
        <v>2403</v>
      </c>
      <c r="D405" s="288" t="s">
        <v>2404</v>
      </c>
      <c r="E405" s="287" t="s">
        <v>1657</v>
      </c>
      <c r="F405" s="287" t="s">
        <v>1658</v>
      </c>
      <c r="G405" s="287" t="s">
        <v>2399</v>
      </c>
      <c r="H405" s="185"/>
    </row>
    <row r="406">
      <c r="A406" s="287" t="s">
        <v>2377</v>
      </c>
      <c r="C406" s="287" t="s">
        <v>2405</v>
      </c>
      <c r="D406" s="288" t="s">
        <v>2406</v>
      </c>
      <c r="E406" s="287" t="s">
        <v>1657</v>
      </c>
      <c r="F406" s="287" t="s">
        <v>1658</v>
      </c>
      <c r="G406" s="287" t="s">
        <v>2407</v>
      </c>
      <c r="H406" s="185"/>
    </row>
    <row r="407">
      <c r="A407" s="185"/>
      <c r="B407" s="185"/>
      <c r="C407" s="185"/>
      <c r="D407" s="185"/>
      <c r="E407" s="185"/>
      <c r="F407" s="185"/>
      <c r="G407" s="185"/>
      <c r="H407" s="185"/>
    </row>
    <row r="408">
      <c r="A408" s="286" t="s">
        <v>2408</v>
      </c>
    </row>
    <row r="409">
      <c r="A409" s="287" t="s">
        <v>2409</v>
      </c>
      <c r="B409" s="285" t="s">
        <v>2408</v>
      </c>
      <c r="C409" s="287" t="s">
        <v>2410</v>
      </c>
      <c r="D409" s="288" t="s">
        <v>604</v>
      </c>
      <c r="E409" s="287" t="s">
        <v>1657</v>
      </c>
      <c r="F409" s="287" t="s">
        <v>1658</v>
      </c>
      <c r="G409" s="185"/>
      <c r="H409" s="185"/>
    </row>
    <row r="410">
      <c r="A410" s="287" t="s">
        <v>2409</v>
      </c>
      <c r="C410" s="287" t="s">
        <v>2411</v>
      </c>
      <c r="D410" s="288" t="s">
        <v>392</v>
      </c>
      <c r="E410" s="287" t="s">
        <v>1657</v>
      </c>
      <c r="F410" s="287" t="s">
        <v>1658</v>
      </c>
      <c r="G410" s="185"/>
      <c r="H410" s="185"/>
    </row>
    <row r="411">
      <c r="A411" s="287" t="s">
        <v>2409</v>
      </c>
      <c r="C411" s="287" t="s">
        <v>2412</v>
      </c>
      <c r="D411" s="288" t="s">
        <v>627</v>
      </c>
      <c r="E411" s="287" t="s">
        <v>1657</v>
      </c>
      <c r="F411" s="287" t="s">
        <v>1658</v>
      </c>
      <c r="G411" s="185"/>
      <c r="H411" s="185"/>
    </row>
    <row r="412">
      <c r="A412" s="185"/>
      <c r="B412" s="185"/>
      <c r="C412" s="185"/>
      <c r="D412" s="185"/>
      <c r="E412" s="185"/>
      <c r="F412" s="185"/>
      <c r="G412" s="185"/>
      <c r="H412" s="185"/>
    </row>
    <row r="413">
      <c r="A413" s="286" t="s">
        <v>2413</v>
      </c>
    </row>
    <row r="414">
      <c r="A414" s="287" t="s">
        <v>2414</v>
      </c>
      <c r="B414" s="285" t="s">
        <v>15</v>
      </c>
      <c r="C414" s="287" t="s">
        <v>2415</v>
      </c>
      <c r="D414" s="288" t="s">
        <v>2416</v>
      </c>
      <c r="E414" s="287" t="s">
        <v>1657</v>
      </c>
      <c r="F414" s="287" t="s">
        <v>1658</v>
      </c>
      <c r="G414" s="185"/>
      <c r="H414" s="185"/>
    </row>
    <row r="415">
      <c r="A415" s="287" t="s">
        <v>2414</v>
      </c>
      <c r="C415" s="287" t="s">
        <v>2417</v>
      </c>
      <c r="D415" s="328">
        <v>1.0</v>
      </c>
      <c r="E415" s="287" t="s">
        <v>1657</v>
      </c>
      <c r="F415" s="287" t="s">
        <v>1658</v>
      </c>
      <c r="G415" s="185"/>
      <c r="H415" s="185"/>
    </row>
    <row r="416">
      <c r="A416" s="287" t="s">
        <v>2414</v>
      </c>
      <c r="C416" s="287" t="s">
        <v>2418</v>
      </c>
      <c r="D416" s="328">
        <v>2.0</v>
      </c>
      <c r="E416" s="287" t="s">
        <v>1657</v>
      </c>
      <c r="F416" s="287" t="s">
        <v>1658</v>
      </c>
      <c r="G416" s="185"/>
      <c r="H416" s="185"/>
    </row>
    <row r="417">
      <c r="A417" s="287" t="s">
        <v>2414</v>
      </c>
      <c r="C417" s="287" t="s">
        <v>2419</v>
      </c>
      <c r="D417" s="328">
        <v>3.0</v>
      </c>
      <c r="E417" s="287" t="s">
        <v>1657</v>
      </c>
      <c r="F417" s="287" t="s">
        <v>1658</v>
      </c>
      <c r="G417" s="185"/>
      <c r="H417" s="185"/>
    </row>
    <row r="418">
      <c r="A418" s="287" t="s">
        <v>2414</v>
      </c>
      <c r="C418" s="287" t="s">
        <v>2420</v>
      </c>
      <c r="D418" s="328">
        <v>4.0</v>
      </c>
      <c r="E418" s="287" t="s">
        <v>1657</v>
      </c>
      <c r="F418" s="287" t="s">
        <v>1658</v>
      </c>
      <c r="G418" s="185"/>
      <c r="H418" s="185"/>
    </row>
    <row r="419">
      <c r="A419" s="287" t="s">
        <v>2414</v>
      </c>
      <c r="C419" s="287" t="s">
        <v>2421</v>
      </c>
      <c r="D419" s="328">
        <v>5.0</v>
      </c>
      <c r="E419" s="287" t="s">
        <v>1657</v>
      </c>
      <c r="F419" s="287" t="s">
        <v>1658</v>
      </c>
      <c r="G419" s="185"/>
      <c r="H419" s="185"/>
    </row>
    <row r="420">
      <c r="A420" s="287" t="s">
        <v>2414</v>
      </c>
      <c r="C420" s="287" t="s">
        <v>2422</v>
      </c>
      <c r="D420" s="328">
        <v>6.0</v>
      </c>
      <c r="E420" s="287" t="s">
        <v>1657</v>
      </c>
      <c r="F420" s="287" t="s">
        <v>1658</v>
      </c>
      <c r="G420" s="185"/>
      <c r="H420" s="185"/>
    </row>
    <row r="421">
      <c r="A421" s="287" t="s">
        <v>2414</v>
      </c>
      <c r="C421" s="287" t="s">
        <v>2423</v>
      </c>
      <c r="D421" s="328">
        <v>7.0</v>
      </c>
      <c r="E421" s="287" t="s">
        <v>1657</v>
      </c>
      <c r="F421" s="287" t="s">
        <v>1658</v>
      </c>
      <c r="G421" s="185"/>
      <c r="H421" s="185"/>
    </row>
    <row r="422">
      <c r="A422" s="287" t="s">
        <v>2414</v>
      </c>
      <c r="C422" s="296" t="s">
        <v>2424</v>
      </c>
      <c r="D422" s="329">
        <v>8.0</v>
      </c>
      <c r="E422" s="287" t="s">
        <v>1657</v>
      </c>
      <c r="F422" s="287" t="s">
        <v>1658</v>
      </c>
      <c r="G422" s="185"/>
      <c r="H422" s="185"/>
    </row>
    <row r="423">
      <c r="A423" s="287" t="s">
        <v>2414</v>
      </c>
      <c r="C423" s="287" t="s">
        <v>2425</v>
      </c>
      <c r="D423" s="328">
        <v>9.0</v>
      </c>
      <c r="E423" s="287" t="s">
        <v>1657</v>
      </c>
      <c r="F423" s="287" t="s">
        <v>1658</v>
      </c>
      <c r="G423" s="185"/>
      <c r="H423" s="185"/>
    </row>
    <row r="424">
      <c r="A424" s="287" t="s">
        <v>2414</v>
      </c>
      <c r="C424" s="296" t="s">
        <v>2426</v>
      </c>
      <c r="D424" s="329">
        <v>10.0</v>
      </c>
      <c r="E424" s="287" t="s">
        <v>1657</v>
      </c>
      <c r="F424" s="287" t="s">
        <v>1658</v>
      </c>
      <c r="G424" s="185"/>
      <c r="H424" s="185"/>
    </row>
    <row r="425">
      <c r="A425" s="287" t="s">
        <v>2414</v>
      </c>
      <c r="C425" s="296" t="s">
        <v>2427</v>
      </c>
      <c r="D425" s="329">
        <v>11.0</v>
      </c>
      <c r="E425" s="287" t="s">
        <v>1657</v>
      </c>
      <c r="F425" s="287" t="s">
        <v>1658</v>
      </c>
      <c r="G425" s="185"/>
      <c r="H425" s="185"/>
    </row>
    <row r="426">
      <c r="A426" s="287" t="s">
        <v>2414</v>
      </c>
      <c r="C426" s="287" t="s">
        <v>2428</v>
      </c>
      <c r="D426" s="328">
        <v>12.0</v>
      </c>
      <c r="E426" s="287" t="s">
        <v>1657</v>
      </c>
      <c r="F426" s="287" t="s">
        <v>1658</v>
      </c>
      <c r="G426" s="185"/>
      <c r="H426" s="185"/>
    </row>
    <row r="427">
      <c r="A427" s="287" t="s">
        <v>2414</v>
      </c>
      <c r="C427" s="296" t="s">
        <v>2429</v>
      </c>
      <c r="D427" s="289" t="s">
        <v>2430</v>
      </c>
      <c r="E427" s="287" t="s">
        <v>1657</v>
      </c>
      <c r="F427" s="287" t="s">
        <v>1658</v>
      </c>
      <c r="G427" s="185"/>
      <c r="H427" s="185"/>
    </row>
    <row r="428">
      <c r="A428" s="287" t="s">
        <v>2414</v>
      </c>
      <c r="C428" s="296" t="s">
        <v>2431</v>
      </c>
      <c r="D428" s="289" t="s">
        <v>457</v>
      </c>
      <c r="E428" s="287" t="s">
        <v>1657</v>
      </c>
      <c r="F428" s="287" t="s">
        <v>1658</v>
      </c>
      <c r="G428" s="185"/>
      <c r="H428" s="185"/>
    </row>
    <row r="429">
      <c r="A429" s="185"/>
      <c r="B429" s="185"/>
      <c r="C429" s="185"/>
      <c r="D429" s="185"/>
      <c r="E429" s="185"/>
      <c r="F429" s="185"/>
      <c r="G429" s="185"/>
      <c r="H429" s="185"/>
    </row>
    <row r="430">
      <c r="A430" s="286" t="s">
        <v>2432</v>
      </c>
    </row>
    <row r="431">
      <c r="A431" s="287" t="s">
        <v>2433</v>
      </c>
      <c r="B431" s="285" t="s">
        <v>2434</v>
      </c>
      <c r="C431" s="287" t="s">
        <v>2435</v>
      </c>
      <c r="D431" s="288" t="s">
        <v>943</v>
      </c>
      <c r="E431" s="287" t="s">
        <v>1783</v>
      </c>
      <c r="F431" s="287" t="s">
        <v>1658</v>
      </c>
      <c r="G431" s="185"/>
      <c r="H431" s="290" t="s">
        <v>2436</v>
      </c>
    </row>
    <row r="432">
      <c r="A432" s="287" t="s">
        <v>2433</v>
      </c>
      <c r="C432" s="287" t="s">
        <v>2437</v>
      </c>
      <c r="D432" s="288" t="s">
        <v>782</v>
      </c>
      <c r="E432" s="287" t="s">
        <v>1783</v>
      </c>
      <c r="F432" s="287" t="s">
        <v>1658</v>
      </c>
      <c r="G432" s="185"/>
    </row>
    <row r="433">
      <c r="A433" s="287" t="s">
        <v>2433</v>
      </c>
      <c r="C433" s="287" t="s">
        <v>2438</v>
      </c>
      <c r="D433" s="288" t="s">
        <v>629</v>
      </c>
      <c r="E433" s="287" t="s">
        <v>1783</v>
      </c>
      <c r="F433" s="287" t="s">
        <v>1658</v>
      </c>
      <c r="G433" s="185"/>
    </row>
    <row r="434">
      <c r="A434" s="287" t="s">
        <v>2433</v>
      </c>
      <c r="C434" s="287" t="s">
        <v>2439</v>
      </c>
      <c r="D434" s="288" t="s">
        <v>2440</v>
      </c>
      <c r="E434" s="287" t="s">
        <v>1783</v>
      </c>
      <c r="F434" s="287" t="s">
        <v>1658</v>
      </c>
      <c r="G434" s="185"/>
    </row>
    <row r="435">
      <c r="A435" s="287" t="s">
        <v>2433</v>
      </c>
      <c r="C435" s="287" t="s">
        <v>2441</v>
      </c>
      <c r="D435" s="288" t="s">
        <v>2442</v>
      </c>
      <c r="E435" s="287" t="s">
        <v>1783</v>
      </c>
      <c r="F435" s="287" t="s">
        <v>1658</v>
      </c>
      <c r="G435" s="185"/>
    </row>
    <row r="436">
      <c r="A436" s="287" t="s">
        <v>2433</v>
      </c>
      <c r="C436" s="287" t="s">
        <v>2443</v>
      </c>
      <c r="D436" s="288" t="s">
        <v>2444</v>
      </c>
      <c r="E436" s="287" t="s">
        <v>1783</v>
      </c>
      <c r="F436" s="287" t="s">
        <v>1658</v>
      </c>
      <c r="G436" s="185"/>
    </row>
    <row r="437">
      <c r="A437" s="185"/>
      <c r="B437" s="185"/>
      <c r="C437" s="185"/>
      <c r="D437" s="185"/>
      <c r="E437" s="185"/>
      <c r="F437" s="185"/>
      <c r="G437" s="185"/>
    </row>
    <row r="438">
      <c r="A438" s="330" t="s">
        <v>13</v>
      </c>
    </row>
    <row r="439">
      <c r="A439" s="287" t="s">
        <v>2445</v>
      </c>
      <c r="B439" s="285" t="s">
        <v>146</v>
      </c>
      <c r="C439" s="287" t="s">
        <v>2446</v>
      </c>
      <c r="D439" s="288" t="s">
        <v>1272</v>
      </c>
      <c r="E439" s="287" t="s">
        <v>1657</v>
      </c>
      <c r="F439" s="287" t="s">
        <v>1658</v>
      </c>
      <c r="G439" s="185"/>
      <c r="H439" s="290" t="s">
        <v>2447</v>
      </c>
    </row>
    <row r="440">
      <c r="A440" s="287" t="s">
        <v>2445</v>
      </c>
      <c r="C440" s="296" t="s">
        <v>2448</v>
      </c>
      <c r="D440" s="289" t="s">
        <v>2449</v>
      </c>
      <c r="E440" s="287" t="s">
        <v>1657</v>
      </c>
      <c r="F440" s="287" t="s">
        <v>1658</v>
      </c>
      <c r="G440" s="185"/>
      <c r="H440" s="290" t="s">
        <v>2450</v>
      </c>
    </row>
    <row r="441">
      <c r="A441" s="287" t="s">
        <v>2445</v>
      </c>
      <c r="C441" s="296" t="s">
        <v>2451</v>
      </c>
      <c r="D441" s="289" t="s">
        <v>2452</v>
      </c>
      <c r="E441" s="287" t="s">
        <v>1657</v>
      </c>
      <c r="F441" s="287" t="s">
        <v>1658</v>
      </c>
      <c r="G441" s="185"/>
      <c r="H441" s="290" t="s">
        <v>2453</v>
      </c>
    </row>
    <row r="442">
      <c r="A442" s="287" t="s">
        <v>2445</v>
      </c>
      <c r="C442" s="287" t="s">
        <v>2454</v>
      </c>
      <c r="D442" s="288" t="s">
        <v>2455</v>
      </c>
      <c r="E442" s="287" t="s">
        <v>1657</v>
      </c>
      <c r="F442" s="287" t="s">
        <v>1658</v>
      </c>
      <c r="G442" s="185"/>
      <c r="H442" s="290" t="s">
        <v>2456</v>
      </c>
    </row>
    <row r="443">
      <c r="A443" s="287" t="s">
        <v>2445</v>
      </c>
      <c r="C443" s="287" t="s">
        <v>2457</v>
      </c>
      <c r="D443" s="288" t="s">
        <v>2458</v>
      </c>
      <c r="E443" s="287" t="s">
        <v>1657</v>
      </c>
      <c r="F443" s="287" t="s">
        <v>1658</v>
      </c>
      <c r="G443" s="185"/>
      <c r="H443" s="290" t="s">
        <v>2459</v>
      </c>
    </row>
    <row r="444">
      <c r="A444" s="287" t="s">
        <v>2445</v>
      </c>
      <c r="C444" s="287" t="s">
        <v>2460</v>
      </c>
      <c r="D444" s="288" t="s">
        <v>2461</v>
      </c>
      <c r="E444" s="287" t="s">
        <v>1657</v>
      </c>
      <c r="F444" s="287" t="s">
        <v>1658</v>
      </c>
      <c r="G444" s="185"/>
      <c r="H444" s="290" t="s">
        <v>2462</v>
      </c>
    </row>
    <row r="445">
      <c r="A445" s="287" t="s">
        <v>2445</v>
      </c>
      <c r="C445" s="287" t="s">
        <v>2463</v>
      </c>
      <c r="D445" s="288" t="s">
        <v>2464</v>
      </c>
      <c r="E445" s="287" t="s">
        <v>1657</v>
      </c>
      <c r="F445" s="287" t="s">
        <v>1658</v>
      </c>
      <c r="G445" s="185"/>
      <c r="H445" s="290" t="s">
        <v>2465</v>
      </c>
    </row>
    <row r="446">
      <c r="A446" s="287" t="s">
        <v>2445</v>
      </c>
      <c r="C446" s="287" t="s">
        <v>2466</v>
      </c>
      <c r="D446" s="297" t="s">
        <v>2467</v>
      </c>
      <c r="E446" s="287" t="s">
        <v>1657</v>
      </c>
      <c r="F446" s="287" t="s">
        <v>1658</v>
      </c>
      <c r="G446" s="185"/>
      <c r="H446" s="290" t="s">
        <v>2468</v>
      </c>
    </row>
    <row r="447">
      <c r="A447" s="287" t="s">
        <v>2445</v>
      </c>
      <c r="C447" s="287" t="s">
        <v>2463</v>
      </c>
      <c r="D447" s="297" t="s">
        <v>2469</v>
      </c>
      <c r="E447" s="287" t="s">
        <v>1657</v>
      </c>
      <c r="F447" s="287" t="s">
        <v>1658</v>
      </c>
      <c r="G447" s="185"/>
      <c r="H447" s="290" t="s">
        <v>2470</v>
      </c>
    </row>
    <row r="448">
      <c r="A448" s="287" t="s">
        <v>2445</v>
      </c>
      <c r="C448" s="287" t="s">
        <v>2471</v>
      </c>
      <c r="D448" s="288" t="s">
        <v>2472</v>
      </c>
      <c r="E448" s="287" t="s">
        <v>1657</v>
      </c>
      <c r="F448" s="287" t="s">
        <v>1658</v>
      </c>
      <c r="G448" s="185"/>
      <c r="H448" s="290" t="s">
        <v>2473</v>
      </c>
    </row>
    <row r="449">
      <c r="A449" s="287" t="s">
        <v>2445</v>
      </c>
      <c r="C449" s="287" t="s">
        <v>2474</v>
      </c>
      <c r="D449" s="288" t="s">
        <v>2475</v>
      </c>
      <c r="E449" s="287" t="s">
        <v>1657</v>
      </c>
      <c r="F449" s="287" t="s">
        <v>1658</v>
      </c>
      <c r="G449" s="185"/>
      <c r="H449" s="290" t="s">
        <v>2476</v>
      </c>
    </row>
    <row r="450">
      <c r="A450" s="287" t="s">
        <v>2445</v>
      </c>
      <c r="C450" s="287" t="s">
        <v>2477</v>
      </c>
      <c r="D450" s="288" t="s">
        <v>1513</v>
      </c>
      <c r="E450" s="287" t="s">
        <v>1657</v>
      </c>
      <c r="F450" s="287" t="s">
        <v>1658</v>
      </c>
      <c r="G450" s="185"/>
      <c r="H450" s="290" t="s">
        <v>2478</v>
      </c>
    </row>
    <row r="451">
      <c r="A451" s="287" t="s">
        <v>2445</v>
      </c>
      <c r="C451" s="287" t="s">
        <v>2479</v>
      </c>
      <c r="D451" s="288" t="s">
        <v>2480</v>
      </c>
      <c r="E451" s="287" t="s">
        <v>1657</v>
      </c>
      <c r="F451" s="287" t="s">
        <v>1658</v>
      </c>
      <c r="G451" s="185"/>
      <c r="H451" s="290" t="s">
        <v>2481</v>
      </c>
    </row>
    <row r="452">
      <c r="A452" s="287" t="s">
        <v>2445</v>
      </c>
      <c r="C452" s="287" t="s">
        <v>2482</v>
      </c>
      <c r="D452" s="288" t="s">
        <v>2483</v>
      </c>
      <c r="E452" s="287" t="s">
        <v>1657</v>
      </c>
      <c r="F452" s="287" t="s">
        <v>1658</v>
      </c>
      <c r="G452" s="185"/>
      <c r="H452" s="290" t="s">
        <v>2484</v>
      </c>
    </row>
    <row r="453">
      <c r="A453" s="287" t="s">
        <v>2445</v>
      </c>
      <c r="C453" s="287" t="s">
        <v>2485</v>
      </c>
      <c r="D453" s="288" t="s">
        <v>2486</v>
      </c>
      <c r="E453" s="287" t="s">
        <v>1657</v>
      </c>
      <c r="F453" s="287" t="s">
        <v>1658</v>
      </c>
      <c r="G453" s="185"/>
      <c r="H453" s="290" t="s">
        <v>2468</v>
      </c>
    </row>
    <row r="454">
      <c r="A454" s="287" t="s">
        <v>2445</v>
      </c>
      <c r="C454" s="287" t="s">
        <v>2487</v>
      </c>
      <c r="D454" s="288" t="s">
        <v>2488</v>
      </c>
      <c r="E454" s="287" t="s">
        <v>1657</v>
      </c>
      <c r="F454" s="287" t="s">
        <v>1658</v>
      </c>
      <c r="G454" s="185"/>
      <c r="H454" s="291" t="s">
        <v>2489</v>
      </c>
    </row>
    <row r="455">
      <c r="A455" s="287" t="s">
        <v>2445</v>
      </c>
      <c r="C455" s="287" t="s">
        <v>2490</v>
      </c>
      <c r="D455" s="288" t="s">
        <v>2491</v>
      </c>
      <c r="E455" s="287" t="s">
        <v>1657</v>
      </c>
      <c r="F455" s="287" t="s">
        <v>1658</v>
      </c>
      <c r="G455" s="185"/>
      <c r="H455" s="290" t="s">
        <v>2492</v>
      </c>
    </row>
    <row r="456">
      <c r="A456" s="287" t="s">
        <v>2445</v>
      </c>
      <c r="C456" s="287" t="s">
        <v>2493</v>
      </c>
      <c r="D456" s="288" t="s">
        <v>2494</v>
      </c>
      <c r="E456" s="287" t="s">
        <v>1657</v>
      </c>
      <c r="F456" s="287" t="s">
        <v>1658</v>
      </c>
      <c r="G456" s="185"/>
      <c r="H456" s="290" t="s">
        <v>2495</v>
      </c>
    </row>
    <row r="457">
      <c r="A457" s="287" t="s">
        <v>2445</v>
      </c>
      <c r="C457" s="296" t="s">
        <v>2496</v>
      </c>
      <c r="D457" s="289" t="s">
        <v>2497</v>
      </c>
      <c r="E457" s="287" t="s">
        <v>1657</v>
      </c>
      <c r="F457" s="287" t="s">
        <v>1658</v>
      </c>
      <c r="G457" s="185"/>
      <c r="H457" s="290" t="s">
        <v>2498</v>
      </c>
    </row>
    <row r="458">
      <c r="A458" s="185"/>
      <c r="B458" s="185"/>
      <c r="C458" s="185"/>
      <c r="D458" s="184"/>
      <c r="E458" s="185"/>
      <c r="F458" s="185"/>
      <c r="G458" s="185"/>
      <c r="H458" s="185"/>
    </row>
    <row r="459">
      <c r="A459" s="287" t="s">
        <v>2499</v>
      </c>
      <c r="B459" s="285" t="s">
        <v>149</v>
      </c>
      <c r="C459" s="287" t="s">
        <v>2500</v>
      </c>
      <c r="D459" s="288" t="s">
        <v>2501</v>
      </c>
      <c r="E459" s="287" t="s">
        <v>1657</v>
      </c>
      <c r="F459" s="287" t="s">
        <v>1658</v>
      </c>
      <c r="G459" s="185"/>
      <c r="H459" s="290" t="s">
        <v>2502</v>
      </c>
    </row>
    <row r="460">
      <c r="A460" s="287" t="s">
        <v>2499</v>
      </c>
      <c r="C460" s="287" t="s">
        <v>2503</v>
      </c>
      <c r="D460" s="288" t="s">
        <v>2504</v>
      </c>
      <c r="E460" s="287" t="s">
        <v>1657</v>
      </c>
      <c r="F460" s="287" t="s">
        <v>1658</v>
      </c>
      <c r="G460" s="185"/>
      <c r="H460" s="290" t="s">
        <v>2505</v>
      </c>
    </row>
    <row r="461">
      <c r="A461" s="287" t="s">
        <v>2499</v>
      </c>
      <c r="C461" s="287" t="s">
        <v>2506</v>
      </c>
      <c r="D461" s="288" t="s">
        <v>2507</v>
      </c>
      <c r="E461" s="287" t="s">
        <v>1657</v>
      </c>
      <c r="F461" s="287" t="s">
        <v>1658</v>
      </c>
      <c r="G461" s="185"/>
      <c r="H461" s="290" t="s">
        <v>2508</v>
      </c>
    </row>
    <row r="462">
      <c r="A462" s="287" t="s">
        <v>2499</v>
      </c>
      <c r="C462" s="287" t="s">
        <v>2509</v>
      </c>
      <c r="D462" s="288" t="s">
        <v>2510</v>
      </c>
      <c r="E462" s="287" t="s">
        <v>1657</v>
      </c>
      <c r="F462" s="287" t="s">
        <v>1658</v>
      </c>
      <c r="G462" s="185"/>
      <c r="H462" s="290" t="s">
        <v>2511</v>
      </c>
    </row>
    <row r="463">
      <c r="A463" s="287" t="s">
        <v>2499</v>
      </c>
      <c r="C463" s="287" t="s">
        <v>2512</v>
      </c>
      <c r="D463" s="331" t="s">
        <v>2513</v>
      </c>
      <c r="E463" s="287" t="s">
        <v>1657</v>
      </c>
      <c r="F463" s="287" t="s">
        <v>1658</v>
      </c>
      <c r="G463" s="185"/>
      <c r="H463" s="290" t="s">
        <v>2514</v>
      </c>
    </row>
    <row r="464">
      <c r="A464" s="287" t="s">
        <v>2499</v>
      </c>
      <c r="C464" s="296" t="s">
        <v>2515</v>
      </c>
      <c r="D464" s="332" t="s">
        <v>756</v>
      </c>
      <c r="E464" s="296" t="s">
        <v>1657</v>
      </c>
      <c r="F464" s="296" t="s">
        <v>1658</v>
      </c>
      <c r="G464" s="185"/>
      <c r="H464" s="290" t="s">
        <v>2516</v>
      </c>
    </row>
    <row r="465">
      <c r="A465" s="287" t="s">
        <v>2499</v>
      </c>
      <c r="C465" s="287" t="s">
        <v>2517</v>
      </c>
      <c r="D465" s="331" t="s">
        <v>2518</v>
      </c>
      <c r="E465" s="287" t="s">
        <v>1657</v>
      </c>
      <c r="F465" s="287" t="s">
        <v>1658</v>
      </c>
      <c r="G465" s="185"/>
      <c r="H465" s="290" t="s">
        <v>2519</v>
      </c>
    </row>
    <row r="466">
      <c r="A466" s="287" t="s">
        <v>2499</v>
      </c>
      <c r="C466" s="287" t="s">
        <v>2520</v>
      </c>
      <c r="D466" s="288" t="s">
        <v>2521</v>
      </c>
      <c r="E466" s="287" t="s">
        <v>1657</v>
      </c>
      <c r="F466" s="287" t="s">
        <v>1658</v>
      </c>
      <c r="G466" s="185"/>
      <c r="H466" s="290" t="s">
        <v>2522</v>
      </c>
    </row>
    <row r="467">
      <c r="A467" s="287" t="s">
        <v>2499</v>
      </c>
      <c r="C467" s="287" t="s">
        <v>2523</v>
      </c>
      <c r="D467" s="288" t="s">
        <v>2524</v>
      </c>
      <c r="E467" s="287" t="s">
        <v>1657</v>
      </c>
      <c r="F467" s="287" t="s">
        <v>1658</v>
      </c>
      <c r="G467" s="185"/>
      <c r="H467" s="290" t="s">
        <v>2525</v>
      </c>
    </row>
    <row r="468">
      <c r="A468" s="287" t="s">
        <v>2499</v>
      </c>
      <c r="C468" s="287" t="s">
        <v>2526</v>
      </c>
      <c r="D468" s="288" t="s">
        <v>2527</v>
      </c>
      <c r="E468" s="287" t="s">
        <v>1657</v>
      </c>
      <c r="F468" s="287" t="s">
        <v>1658</v>
      </c>
      <c r="G468" s="185"/>
      <c r="H468" s="290" t="s">
        <v>2528</v>
      </c>
    </row>
    <row r="469">
      <c r="A469" s="287" t="s">
        <v>2499</v>
      </c>
      <c r="C469" s="287" t="s">
        <v>2529</v>
      </c>
      <c r="D469" s="288" t="s">
        <v>2530</v>
      </c>
      <c r="E469" s="287" t="s">
        <v>1657</v>
      </c>
      <c r="F469" s="287" t="s">
        <v>1658</v>
      </c>
      <c r="G469" s="185"/>
      <c r="H469" s="290" t="s">
        <v>2531</v>
      </c>
    </row>
    <row r="470">
      <c r="A470" s="287" t="s">
        <v>2499</v>
      </c>
      <c r="C470" s="287" t="s">
        <v>2532</v>
      </c>
      <c r="D470" s="288" t="s">
        <v>2533</v>
      </c>
      <c r="E470" s="287" t="s">
        <v>1657</v>
      </c>
      <c r="F470" s="287" t="s">
        <v>1658</v>
      </c>
      <c r="G470" s="185"/>
      <c r="H470" s="290" t="s">
        <v>2534</v>
      </c>
    </row>
    <row r="471">
      <c r="A471" s="287" t="s">
        <v>2499</v>
      </c>
      <c r="C471" s="287" t="s">
        <v>2535</v>
      </c>
      <c r="D471" s="288" t="s">
        <v>2536</v>
      </c>
      <c r="E471" s="287" t="s">
        <v>1657</v>
      </c>
      <c r="F471" s="287" t="s">
        <v>1658</v>
      </c>
      <c r="G471" s="185"/>
      <c r="H471" s="290" t="s">
        <v>2492</v>
      </c>
    </row>
    <row r="472">
      <c r="A472" s="185"/>
      <c r="B472" s="185"/>
      <c r="C472" s="185"/>
      <c r="D472" s="185"/>
      <c r="E472" s="185"/>
      <c r="F472" s="185"/>
      <c r="G472" s="185"/>
      <c r="H472" s="185"/>
    </row>
    <row r="473">
      <c r="A473" s="287" t="s">
        <v>2537</v>
      </c>
      <c r="B473" s="285" t="s">
        <v>2538</v>
      </c>
      <c r="C473" s="287" t="s">
        <v>2539</v>
      </c>
      <c r="D473" s="288" t="s">
        <v>2540</v>
      </c>
      <c r="E473" s="287" t="s">
        <v>1657</v>
      </c>
      <c r="F473" s="287" t="s">
        <v>1658</v>
      </c>
      <c r="G473" s="185"/>
      <c r="H473" s="290" t="s">
        <v>2541</v>
      </c>
    </row>
    <row r="474">
      <c r="A474" s="287" t="s">
        <v>2537</v>
      </c>
      <c r="C474" s="287" t="s">
        <v>2542</v>
      </c>
      <c r="D474" s="288" t="s">
        <v>2543</v>
      </c>
      <c r="E474" s="287" t="s">
        <v>1657</v>
      </c>
      <c r="F474" s="287" t="s">
        <v>1658</v>
      </c>
      <c r="G474" s="185"/>
      <c r="H474" s="290" t="s">
        <v>2544</v>
      </c>
    </row>
    <row r="475">
      <c r="A475" s="287" t="s">
        <v>2537</v>
      </c>
      <c r="C475" s="287" t="s">
        <v>2545</v>
      </c>
      <c r="D475" s="288" t="s">
        <v>2546</v>
      </c>
      <c r="E475" s="287" t="s">
        <v>1657</v>
      </c>
      <c r="F475" s="287" t="s">
        <v>1658</v>
      </c>
      <c r="G475" s="185"/>
      <c r="H475" s="290" t="s">
        <v>2547</v>
      </c>
    </row>
    <row r="476">
      <c r="A476" s="287" t="s">
        <v>2537</v>
      </c>
      <c r="C476" s="287" t="s">
        <v>2548</v>
      </c>
      <c r="D476" s="288" t="s">
        <v>755</v>
      </c>
      <c r="E476" s="287" t="s">
        <v>1657</v>
      </c>
      <c r="F476" s="287" t="s">
        <v>1658</v>
      </c>
      <c r="G476" s="185"/>
      <c r="H476" s="290" t="s">
        <v>2549</v>
      </c>
    </row>
    <row r="477">
      <c r="A477" s="287" t="s">
        <v>2537</v>
      </c>
      <c r="C477" s="287" t="s">
        <v>2550</v>
      </c>
      <c r="D477" s="288" t="s">
        <v>2551</v>
      </c>
      <c r="E477" s="287" t="s">
        <v>1657</v>
      </c>
      <c r="F477" s="287" t="s">
        <v>1658</v>
      </c>
      <c r="G477" s="185"/>
      <c r="H477" s="290" t="s">
        <v>2552</v>
      </c>
    </row>
    <row r="478">
      <c r="A478" s="287" t="s">
        <v>2537</v>
      </c>
      <c r="C478" s="287" t="s">
        <v>2553</v>
      </c>
      <c r="D478" s="288" t="s">
        <v>2554</v>
      </c>
      <c r="E478" s="287" t="s">
        <v>1657</v>
      </c>
      <c r="F478" s="287" t="s">
        <v>1658</v>
      </c>
      <c r="G478" s="185"/>
      <c r="H478" s="290" t="s">
        <v>2555</v>
      </c>
    </row>
    <row r="479">
      <c r="A479" s="287" t="s">
        <v>2537</v>
      </c>
      <c r="C479" s="287" t="s">
        <v>2556</v>
      </c>
      <c r="D479" s="288" t="s">
        <v>2557</v>
      </c>
      <c r="E479" s="287" t="s">
        <v>1657</v>
      </c>
      <c r="F479" s="287" t="s">
        <v>1658</v>
      </c>
      <c r="G479" s="185"/>
      <c r="H479" s="290" t="s">
        <v>2558</v>
      </c>
    </row>
    <row r="480">
      <c r="A480" s="287" t="s">
        <v>2537</v>
      </c>
      <c r="C480" s="287" t="s">
        <v>2559</v>
      </c>
      <c r="D480" s="288" t="s">
        <v>2560</v>
      </c>
      <c r="E480" s="287" t="s">
        <v>1657</v>
      </c>
      <c r="F480" s="287" t="s">
        <v>1658</v>
      </c>
      <c r="G480" s="185"/>
      <c r="H480" s="290" t="s">
        <v>2561</v>
      </c>
    </row>
    <row r="481">
      <c r="A481" s="287" t="s">
        <v>2537</v>
      </c>
      <c r="C481" s="287" t="s">
        <v>2562</v>
      </c>
      <c r="D481" s="288" t="s">
        <v>2563</v>
      </c>
      <c r="E481" s="287" t="s">
        <v>1657</v>
      </c>
      <c r="F481" s="287" t="s">
        <v>1658</v>
      </c>
      <c r="G481" s="185"/>
      <c r="H481" s="290" t="s">
        <v>2564</v>
      </c>
    </row>
    <row r="482">
      <c r="A482" s="287" t="s">
        <v>2537</v>
      </c>
      <c r="C482" s="287" t="s">
        <v>2565</v>
      </c>
      <c r="D482" s="288" t="s">
        <v>2566</v>
      </c>
      <c r="E482" s="287" t="s">
        <v>1657</v>
      </c>
      <c r="F482" s="287" t="s">
        <v>1658</v>
      </c>
      <c r="G482" s="185"/>
      <c r="H482" s="290" t="s">
        <v>2567</v>
      </c>
    </row>
    <row r="483">
      <c r="A483" s="287" t="s">
        <v>2537</v>
      </c>
      <c r="C483" s="287" t="s">
        <v>2568</v>
      </c>
      <c r="D483" s="288" t="s">
        <v>2569</v>
      </c>
      <c r="E483" s="287" t="s">
        <v>1657</v>
      </c>
      <c r="F483" s="287" t="s">
        <v>1658</v>
      </c>
      <c r="G483" s="185"/>
      <c r="H483" s="290" t="s">
        <v>2570</v>
      </c>
    </row>
    <row r="484">
      <c r="A484" s="287" t="s">
        <v>2537</v>
      </c>
      <c r="C484" s="287" t="s">
        <v>2571</v>
      </c>
      <c r="D484" s="288" t="s">
        <v>2572</v>
      </c>
      <c r="E484" s="287" t="s">
        <v>1657</v>
      </c>
      <c r="F484" s="287" t="s">
        <v>1658</v>
      </c>
      <c r="G484" s="185"/>
      <c r="H484" s="290" t="s">
        <v>2573</v>
      </c>
    </row>
    <row r="485">
      <c r="A485" s="287" t="s">
        <v>2537</v>
      </c>
      <c r="C485" s="287" t="s">
        <v>2574</v>
      </c>
      <c r="D485" s="288" t="s">
        <v>2575</v>
      </c>
      <c r="E485" s="287" t="s">
        <v>1657</v>
      </c>
      <c r="F485" s="287" t="s">
        <v>1658</v>
      </c>
      <c r="G485" s="185"/>
      <c r="H485" s="290" t="s">
        <v>2576</v>
      </c>
    </row>
    <row r="486">
      <c r="A486" s="287" t="s">
        <v>2537</v>
      </c>
      <c r="C486" s="287" t="s">
        <v>2577</v>
      </c>
      <c r="D486" s="288" t="s">
        <v>2578</v>
      </c>
      <c r="E486" s="287" t="s">
        <v>1657</v>
      </c>
      <c r="F486" s="287" t="s">
        <v>1658</v>
      </c>
      <c r="G486" s="185"/>
      <c r="H486" s="290" t="s">
        <v>2579</v>
      </c>
    </row>
    <row r="487">
      <c r="A487" s="287" t="s">
        <v>2537</v>
      </c>
      <c r="C487" s="296" t="s">
        <v>2580</v>
      </c>
      <c r="D487" s="289" t="s">
        <v>2581</v>
      </c>
      <c r="E487" s="296" t="s">
        <v>1657</v>
      </c>
      <c r="F487" s="287" t="s">
        <v>1658</v>
      </c>
      <c r="G487" s="185"/>
      <c r="H487" s="290" t="s">
        <v>2582</v>
      </c>
    </row>
    <row r="488">
      <c r="A488" s="287" t="s">
        <v>2537</v>
      </c>
      <c r="C488" s="296" t="s">
        <v>2583</v>
      </c>
      <c r="D488" s="289" t="s">
        <v>2584</v>
      </c>
      <c r="E488" s="296" t="s">
        <v>1657</v>
      </c>
      <c r="F488" s="287" t="s">
        <v>1658</v>
      </c>
      <c r="G488" s="185"/>
      <c r="H488" s="290" t="s">
        <v>2585</v>
      </c>
    </row>
    <row r="489">
      <c r="A489" s="287" t="s">
        <v>2537</v>
      </c>
      <c r="C489" s="296" t="s">
        <v>2586</v>
      </c>
      <c r="D489" s="289" t="s">
        <v>2587</v>
      </c>
      <c r="E489" s="296" t="s">
        <v>1657</v>
      </c>
      <c r="F489" s="287" t="s">
        <v>1658</v>
      </c>
      <c r="G489" s="185"/>
      <c r="H489" s="290" t="s">
        <v>2582</v>
      </c>
    </row>
    <row r="490">
      <c r="A490" s="185"/>
      <c r="B490" s="185"/>
      <c r="C490" s="185"/>
      <c r="D490" s="185"/>
      <c r="E490" s="185"/>
      <c r="F490" s="185"/>
      <c r="G490" s="185"/>
      <c r="H490" s="185"/>
    </row>
    <row r="491">
      <c r="A491" s="287" t="s">
        <v>2588</v>
      </c>
      <c r="B491" s="285" t="s">
        <v>191</v>
      </c>
      <c r="C491" s="287" t="s">
        <v>2589</v>
      </c>
      <c r="D491" s="288" t="s">
        <v>2590</v>
      </c>
      <c r="E491" s="287" t="s">
        <v>1657</v>
      </c>
      <c r="F491" s="287" t="s">
        <v>1658</v>
      </c>
      <c r="G491" s="185"/>
      <c r="H491" s="290" t="s">
        <v>2591</v>
      </c>
    </row>
    <row r="492">
      <c r="A492" s="287" t="s">
        <v>2588</v>
      </c>
      <c r="C492" s="287" t="s">
        <v>2592</v>
      </c>
      <c r="D492" s="288" t="s">
        <v>2593</v>
      </c>
      <c r="E492" s="287" t="s">
        <v>1657</v>
      </c>
      <c r="F492" s="287" t="s">
        <v>1658</v>
      </c>
      <c r="G492" s="185"/>
    </row>
    <row r="493">
      <c r="A493" s="287" t="s">
        <v>2588</v>
      </c>
      <c r="C493" s="296" t="s">
        <v>2594</v>
      </c>
      <c r="D493" s="289" t="s">
        <v>2595</v>
      </c>
      <c r="E493" s="296" t="s">
        <v>1657</v>
      </c>
      <c r="F493" s="287" t="s">
        <v>1658</v>
      </c>
      <c r="G493" s="185"/>
    </row>
    <row r="494">
      <c r="A494" s="287" t="s">
        <v>2588</v>
      </c>
      <c r="C494" s="287" t="s">
        <v>2596</v>
      </c>
      <c r="D494" s="288" t="s">
        <v>780</v>
      </c>
      <c r="E494" s="287" t="s">
        <v>1657</v>
      </c>
      <c r="F494" s="287" t="s">
        <v>1658</v>
      </c>
      <c r="G494" s="185"/>
    </row>
    <row r="495">
      <c r="A495" s="185"/>
      <c r="B495" s="185"/>
      <c r="C495" s="185"/>
      <c r="D495" s="185"/>
      <c r="E495" s="185"/>
      <c r="F495" s="185"/>
      <c r="G495" s="185"/>
      <c r="H495" s="185"/>
    </row>
    <row r="496">
      <c r="A496" s="286" t="s">
        <v>145</v>
      </c>
    </row>
    <row r="497">
      <c r="A497" s="287" t="s">
        <v>2597</v>
      </c>
      <c r="B497" s="285" t="s">
        <v>145</v>
      </c>
      <c r="C497" s="287" t="s">
        <v>2598</v>
      </c>
      <c r="D497" s="288" t="s">
        <v>619</v>
      </c>
      <c r="E497" s="287" t="s">
        <v>1657</v>
      </c>
      <c r="F497" s="287" t="s">
        <v>1658</v>
      </c>
      <c r="G497" s="185"/>
      <c r="H497" s="290" t="s">
        <v>2599</v>
      </c>
    </row>
    <row r="498">
      <c r="A498" s="287" t="s">
        <v>2597</v>
      </c>
      <c r="C498" s="287" t="s">
        <v>2600</v>
      </c>
      <c r="D498" s="288" t="s">
        <v>470</v>
      </c>
      <c r="E498" s="287" t="s">
        <v>1657</v>
      </c>
      <c r="F498" s="287" t="s">
        <v>1658</v>
      </c>
      <c r="G498" s="185"/>
    </row>
    <row r="499">
      <c r="A499" s="287" t="s">
        <v>2597</v>
      </c>
      <c r="C499" s="287" t="s">
        <v>2601</v>
      </c>
      <c r="D499" s="288" t="s">
        <v>2602</v>
      </c>
      <c r="E499" s="287" t="s">
        <v>1657</v>
      </c>
      <c r="F499" s="287" t="s">
        <v>1658</v>
      </c>
      <c r="G499" s="185"/>
    </row>
    <row r="500">
      <c r="A500" s="287" t="s">
        <v>2597</v>
      </c>
      <c r="C500" s="287" t="s">
        <v>2603</v>
      </c>
      <c r="D500" s="288" t="s">
        <v>911</v>
      </c>
      <c r="E500" s="287" t="s">
        <v>1657</v>
      </c>
      <c r="F500" s="287" t="s">
        <v>1658</v>
      </c>
      <c r="G500" s="185"/>
    </row>
    <row r="501">
      <c r="A501" s="287" t="s">
        <v>2597</v>
      </c>
      <c r="C501" s="287" t="s">
        <v>2604</v>
      </c>
      <c r="D501" s="288" t="s">
        <v>2605</v>
      </c>
      <c r="E501" s="287" t="s">
        <v>1657</v>
      </c>
      <c r="F501" s="287" t="s">
        <v>1658</v>
      </c>
      <c r="G501" s="185"/>
    </row>
    <row r="502">
      <c r="A502" s="287" t="s">
        <v>2597</v>
      </c>
      <c r="C502" s="287" t="s">
        <v>2606</v>
      </c>
      <c r="D502" s="288" t="s">
        <v>2607</v>
      </c>
      <c r="E502" s="287" t="s">
        <v>999</v>
      </c>
      <c r="F502" s="287" t="s">
        <v>1658</v>
      </c>
      <c r="G502" s="185"/>
    </row>
    <row r="503">
      <c r="A503" s="287" t="s">
        <v>2597</v>
      </c>
      <c r="C503" s="287" t="s">
        <v>2608</v>
      </c>
      <c r="D503" s="288" t="s">
        <v>2609</v>
      </c>
      <c r="E503" s="287" t="s">
        <v>1657</v>
      </c>
      <c r="F503" s="287" t="s">
        <v>1658</v>
      </c>
      <c r="G503" s="185"/>
    </row>
    <row r="504">
      <c r="A504" s="185"/>
      <c r="B504" s="185"/>
      <c r="C504" s="185"/>
      <c r="D504" s="185"/>
      <c r="E504" s="185"/>
      <c r="F504" s="185"/>
      <c r="G504" s="185"/>
      <c r="H504" s="185"/>
    </row>
    <row r="505">
      <c r="A505" s="286" t="s">
        <v>169</v>
      </c>
    </row>
    <row r="506">
      <c r="A506" s="296" t="s">
        <v>2610</v>
      </c>
      <c r="B506" s="285" t="s">
        <v>2611</v>
      </c>
      <c r="C506" s="296" t="s">
        <v>2612</v>
      </c>
      <c r="D506" s="289" t="s">
        <v>2613</v>
      </c>
      <c r="E506" s="296" t="s">
        <v>1657</v>
      </c>
      <c r="F506" s="296" t="s">
        <v>1658</v>
      </c>
      <c r="G506" s="184"/>
      <c r="H506" s="185"/>
    </row>
    <row r="507">
      <c r="A507" s="287" t="s">
        <v>2610</v>
      </c>
      <c r="C507" s="287" t="s">
        <v>2614</v>
      </c>
      <c r="D507" s="288" t="s">
        <v>2615</v>
      </c>
      <c r="E507" s="287" t="s">
        <v>1657</v>
      </c>
      <c r="F507" s="287" t="s">
        <v>1658</v>
      </c>
      <c r="G507" s="185"/>
      <c r="H507" s="185"/>
    </row>
    <row r="508">
      <c r="A508" s="287" t="s">
        <v>2610</v>
      </c>
      <c r="C508" s="287" t="s">
        <v>2616</v>
      </c>
      <c r="D508" s="288" t="s">
        <v>2617</v>
      </c>
      <c r="E508" s="287" t="s">
        <v>1657</v>
      </c>
      <c r="F508" s="287" t="s">
        <v>1658</v>
      </c>
      <c r="G508" s="185"/>
      <c r="H508" s="185"/>
    </row>
    <row r="509">
      <c r="A509" s="287" t="s">
        <v>2610</v>
      </c>
      <c r="C509" s="287" t="s">
        <v>2618</v>
      </c>
      <c r="D509" s="288" t="s">
        <v>2619</v>
      </c>
      <c r="E509" s="287" t="s">
        <v>1657</v>
      </c>
      <c r="F509" s="287" t="s">
        <v>1658</v>
      </c>
      <c r="G509" s="185"/>
      <c r="H509" s="185"/>
    </row>
    <row r="510">
      <c r="A510" s="287" t="s">
        <v>2610</v>
      </c>
      <c r="B510" s="285" t="s">
        <v>2620</v>
      </c>
      <c r="C510" s="287" t="s">
        <v>2621</v>
      </c>
      <c r="D510" s="288" t="s">
        <v>2622</v>
      </c>
      <c r="E510" s="287" t="s">
        <v>1657</v>
      </c>
      <c r="F510" s="287" t="s">
        <v>1658</v>
      </c>
      <c r="G510" s="185"/>
      <c r="H510" s="185"/>
    </row>
    <row r="511">
      <c r="A511" s="287" t="s">
        <v>2610</v>
      </c>
      <c r="C511" s="287" t="s">
        <v>2623</v>
      </c>
      <c r="D511" s="288" t="s">
        <v>2624</v>
      </c>
      <c r="E511" s="287" t="s">
        <v>1657</v>
      </c>
      <c r="F511" s="287" t="s">
        <v>1658</v>
      </c>
      <c r="G511" s="185"/>
      <c r="H511" s="185"/>
    </row>
    <row r="512">
      <c r="A512" s="287" t="s">
        <v>2610</v>
      </c>
      <c r="C512" s="287" t="s">
        <v>2625</v>
      </c>
      <c r="D512" s="289" t="s">
        <v>2626</v>
      </c>
      <c r="E512" s="287" t="s">
        <v>1657</v>
      </c>
      <c r="F512" s="287" t="s">
        <v>1658</v>
      </c>
      <c r="G512" s="185"/>
      <c r="H512" s="185"/>
    </row>
    <row r="513">
      <c r="A513" s="287" t="s">
        <v>2610</v>
      </c>
      <c r="C513" s="287" t="s">
        <v>2627</v>
      </c>
      <c r="D513" s="288" t="s">
        <v>2628</v>
      </c>
      <c r="E513" s="287" t="s">
        <v>1657</v>
      </c>
      <c r="F513" s="287" t="s">
        <v>1658</v>
      </c>
      <c r="G513" s="185"/>
      <c r="H513" s="185"/>
    </row>
    <row r="514">
      <c r="A514" s="287" t="s">
        <v>2610</v>
      </c>
      <c r="C514" s="287" t="s">
        <v>2629</v>
      </c>
      <c r="D514" s="288" t="s">
        <v>565</v>
      </c>
      <c r="E514" s="287" t="s">
        <v>1657</v>
      </c>
      <c r="F514" s="287" t="s">
        <v>1658</v>
      </c>
      <c r="G514" s="185"/>
      <c r="H514" s="185"/>
    </row>
    <row r="515">
      <c r="A515" s="287" t="s">
        <v>2610</v>
      </c>
      <c r="C515" s="296" t="s">
        <v>2630</v>
      </c>
      <c r="D515" s="289" t="s">
        <v>2631</v>
      </c>
      <c r="E515" s="287" t="s">
        <v>1657</v>
      </c>
      <c r="F515" s="287" t="s">
        <v>1658</v>
      </c>
      <c r="G515" s="185"/>
      <c r="H515" s="185"/>
    </row>
    <row r="516">
      <c r="A516" s="287" t="s">
        <v>2610</v>
      </c>
      <c r="C516" s="287" t="s">
        <v>2632</v>
      </c>
      <c r="D516" s="288" t="s">
        <v>2633</v>
      </c>
      <c r="E516" s="287" t="s">
        <v>1657</v>
      </c>
      <c r="F516" s="287" t="s">
        <v>1658</v>
      </c>
      <c r="G516" s="185"/>
      <c r="H516" s="185"/>
    </row>
    <row r="517">
      <c r="A517" s="287" t="s">
        <v>2610</v>
      </c>
      <c r="C517" s="287" t="s">
        <v>2634</v>
      </c>
      <c r="D517" s="288" t="s">
        <v>2635</v>
      </c>
      <c r="E517" s="287" t="s">
        <v>1657</v>
      </c>
      <c r="F517" s="287" t="s">
        <v>1658</v>
      </c>
      <c r="G517" s="185"/>
      <c r="H517" s="185"/>
    </row>
    <row r="518">
      <c r="A518" s="287" t="s">
        <v>2610</v>
      </c>
      <c r="C518" s="287" t="s">
        <v>2636</v>
      </c>
      <c r="D518" s="288" t="s">
        <v>2637</v>
      </c>
      <c r="E518" s="287" t="s">
        <v>1657</v>
      </c>
      <c r="F518" s="287" t="s">
        <v>1658</v>
      </c>
      <c r="G518" s="185"/>
      <c r="H518" s="185"/>
    </row>
    <row r="519">
      <c r="A519" s="287" t="s">
        <v>2610</v>
      </c>
      <c r="C519" s="287" t="s">
        <v>2638</v>
      </c>
      <c r="D519" s="288" t="s">
        <v>2639</v>
      </c>
      <c r="E519" s="287" t="s">
        <v>1657</v>
      </c>
      <c r="F519" s="287" t="s">
        <v>1658</v>
      </c>
      <c r="G519" s="185"/>
      <c r="H519" s="185"/>
    </row>
    <row r="520">
      <c r="A520" s="287" t="s">
        <v>2610</v>
      </c>
      <c r="C520" s="287" t="s">
        <v>2640</v>
      </c>
      <c r="D520" s="288" t="s">
        <v>2641</v>
      </c>
      <c r="E520" s="287" t="s">
        <v>1657</v>
      </c>
      <c r="F520" s="287" t="s">
        <v>1658</v>
      </c>
      <c r="G520" s="185"/>
      <c r="H520" s="185"/>
    </row>
    <row r="521">
      <c r="A521" s="287" t="s">
        <v>2610</v>
      </c>
      <c r="C521" s="287" t="s">
        <v>2642</v>
      </c>
      <c r="D521" s="288" t="s">
        <v>2643</v>
      </c>
      <c r="E521" s="287" t="s">
        <v>1657</v>
      </c>
      <c r="F521" s="287" t="s">
        <v>1658</v>
      </c>
      <c r="G521" s="185"/>
      <c r="H521" s="185"/>
    </row>
    <row r="522">
      <c r="A522" s="287" t="s">
        <v>2610</v>
      </c>
      <c r="B522" s="285" t="s">
        <v>2644</v>
      </c>
      <c r="C522" s="287" t="s">
        <v>2645</v>
      </c>
      <c r="D522" s="288" t="s">
        <v>2646</v>
      </c>
      <c r="E522" s="287" t="s">
        <v>1657</v>
      </c>
      <c r="F522" s="287" t="s">
        <v>1658</v>
      </c>
      <c r="G522" s="185"/>
      <c r="H522" s="185"/>
    </row>
    <row r="523">
      <c r="A523" s="287" t="s">
        <v>2610</v>
      </c>
      <c r="C523" s="287" t="s">
        <v>2647</v>
      </c>
      <c r="D523" s="288" t="s">
        <v>2648</v>
      </c>
      <c r="E523" s="287" t="s">
        <v>1657</v>
      </c>
      <c r="F523" s="287" t="s">
        <v>1658</v>
      </c>
      <c r="G523" s="185"/>
      <c r="H523" s="185"/>
    </row>
    <row r="524">
      <c r="A524" s="287" t="s">
        <v>2610</v>
      </c>
      <c r="C524" s="287" t="s">
        <v>2649</v>
      </c>
      <c r="D524" s="288" t="s">
        <v>688</v>
      </c>
      <c r="E524" s="287" t="s">
        <v>1657</v>
      </c>
      <c r="F524" s="287" t="s">
        <v>1658</v>
      </c>
      <c r="G524" s="185"/>
      <c r="H524" s="185"/>
    </row>
    <row r="525">
      <c r="A525" s="287" t="s">
        <v>2610</v>
      </c>
      <c r="C525" s="287" t="s">
        <v>2650</v>
      </c>
      <c r="D525" s="288" t="s">
        <v>2651</v>
      </c>
      <c r="E525" s="287" t="s">
        <v>1657</v>
      </c>
      <c r="F525" s="287" t="s">
        <v>1658</v>
      </c>
      <c r="G525" s="185"/>
      <c r="H525" s="185"/>
    </row>
    <row r="526">
      <c r="A526" s="287" t="s">
        <v>2610</v>
      </c>
      <c r="C526" s="287" t="s">
        <v>2652</v>
      </c>
      <c r="D526" s="288" t="s">
        <v>2653</v>
      </c>
      <c r="E526" s="287" t="s">
        <v>1657</v>
      </c>
      <c r="F526" s="287" t="s">
        <v>1658</v>
      </c>
      <c r="G526" s="185"/>
      <c r="H526" s="185"/>
    </row>
    <row r="527">
      <c r="A527" s="287" t="s">
        <v>2610</v>
      </c>
      <c r="B527" s="285" t="s">
        <v>2654</v>
      </c>
      <c r="C527" s="287" t="s">
        <v>2655</v>
      </c>
      <c r="D527" s="289" t="s">
        <v>2656</v>
      </c>
      <c r="E527" s="287" t="s">
        <v>1657</v>
      </c>
      <c r="F527" s="287" t="s">
        <v>1658</v>
      </c>
      <c r="G527" s="185"/>
      <c r="H527" s="185"/>
    </row>
    <row r="528">
      <c r="A528" s="287" t="s">
        <v>2610</v>
      </c>
      <c r="C528" s="287" t="s">
        <v>2657</v>
      </c>
      <c r="D528" s="288" t="s">
        <v>2658</v>
      </c>
      <c r="E528" s="287" t="s">
        <v>1657</v>
      </c>
      <c r="F528" s="287" t="s">
        <v>1658</v>
      </c>
      <c r="G528" s="185"/>
      <c r="H528" s="185"/>
    </row>
    <row r="529">
      <c r="A529" s="287" t="s">
        <v>2610</v>
      </c>
      <c r="C529" s="287" t="s">
        <v>2659</v>
      </c>
      <c r="D529" s="289" t="s">
        <v>2660</v>
      </c>
      <c r="E529" s="287" t="s">
        <v>1657</v>
      </c>
      <c r="F529" s="287" t="s">
        <v>1658</v>
      </c>
      <c r="G529" s="185"/>
      <c r="H529" s="185"/>
    </row>
    <row r="530">
      <c r="A530" s="287" t="s">
        <v>2610</v>
      </c>
      <c r="B530" s="285" t="s">
        <v>2661</v>
      </c>
      <c r="C530" s="287" t="s">
        <v>2662</v>
      </c>
      <c r="D530" s="288" t="s">
        <v>1285</v>
      </c>
      <c r="E530" s="287" t="s">
        <v>1657</v>
      </c>
      <c r="F530" s="287" t="s">
        <v>1658</v>
      </c>
      <c r="G530" s="185"/>
      <c r="H530" s="185"/>
    </row>
    <row r="531">
      <c r="A531" s="287" t="s">
        <v>2610</v>
      </c>
      <c r="C531" s="287" t="s">
        <v>2663</v>
      </c>
      <c r="D531" s="288" t="s">
        <v>2664</v>
      </c>
      <c r="E531" s="287" t="s">
        <v>1657</v>
      </c>
      <c r="F531" s="287" t="s">
        <v>1658</v>
      </c>
      <c r="G531" s="185"/>
      <c r="H531" s="185"/>
    </row>
    <row r="532">
      <c r="A532" s="287" t="s">
        <v>2610</v>
      </c>
      <c r="C532" s="287" t="s">
        <v>2665</v>
      </c>
      <c r="D532" s="288" t="s">
        <v>2666</v>
      </c>
      <c r="E532" s="287" t="s">
        <v>1657</v>
      </c>
      <c r="F532" s="287" t="s">
        <v>1658</v>
      </c>
      <c r="G532" s="185"/>
      <c r="H532" s="185"/>
    </row>
    <row r="533">
      <c r="A533" s="287" t="s">
        <v>2610</v>
      </c>
      <c r="C533" s="287" t="s">
        <v>2667</v>
      </c>
      <c r="D533" s="288" t="s">
        <v>2668</v>
      </c>
      <c r="E533" s="287" t="s">
        <v>1657</v>
      </c>
      <c r="F533" s="287" t="s">
        <v>1658</v>
      </c>
      <c r="G533" s="185"/>
      <c r="H533" s="185"/>
    </row>
    <row r="534">
      <c r="A534" s="287" t="s">
        <v>2610</v>
      </c>
      <c r="C534" s="287" t="s">
        <v>2669</v>
      </c>
      <c r="D534" s="288" t="s">
        <v>2670</v>
      </c>
      <c r="E534" s="287" t="s">
        <v>1657</v>
      </c>
      <c r="F534" s="287" t="s">
        <v>1658</v>
      </c>
      <c r="G534" s="185"/>
      <c r="H534" s="185"/>
    </row>
    <row r="535">
      <c r="A535" s="287" t="s">
        <v>2610</v>
      </c>
      <c r="C535" s="287" t="s">
        <v>2671</v>
      </c>
      <c r="D535" s="289" t="s">
        <v>2672</v>
      </c>
      <c r="E535" s="287" t="s">
        <v>1657</v>
      </c>
      <c r="F535" s="185"/>
      <c r="G535" s="185"/>
      <c r="H535" s="185"/>
    </row>
    <row r="536">
      <c r="A536" s="287" t="s">
        <v>2610</v>
      </c>
      <c r="C536" s="287" t="s">
        <v>2673</v>
      </c>
      <c r="D536" s="289" t="s">
        <v>2674</v>
      </c>
      <c r="E536" s="287" t="s">
        <v>1657</v>
      </c>
      <c r="F536" s="287" t="s">
        <v>1658</v>
      </c>
      <c r="G536" s="185"/>
      <c r="H536" s="185"/>
    </row>
    <row r="537">
      <c r="A537" s="185"/>
      <c r="B537" s="185"/>
      <c r="C537" s="185"/>
      <c r="D537" s="184"/>
      <c r="E537" s="185"/>
      <c r="F537" s="185"/>
      <c r="G537" s="185"/>
      <c r="H537" s="185"/>
    </row>
    <row r="538">
      <c r="A538" s="286" t="s">
        <v>2675</v>
      </c>
    </row>
    <row r="539">
      <c r="A539" s="287" t="s">
        <v>2676</v>
      </c>
      <c r="B539" s="285" t="s">
        <v>163</v>
      </c>
      <c r="C539" s="287" t="s">
        <v>2677</v>
      </c>
      <c r="D539" s="288" t="s">
        <v>2678</v>
      </c>
      <c r="E539" s="287" t="s">
        <v>1657</v>
      </c>
      <c r="F539" s="287" t="s">
        <v>1658</v>
      </c>
      <c r="G539" s="185"/>
      <c r="H539" s="185"/>
    </row>
    <row r="540">
      <c r="A540" s="287" t="s">
        <v>2676</v>
      </c>
      <c r="C540" s="287" t="s">
        <v>2679</v>
      </c>
      <c r="D540" s="289" t="s">
        <v>2680</v>
      </c>
      <c r="E540" s="287" t="s">
        <v>1657</v>
      </c>
      <c r="F540" s="287" t="s">
        <v>1658</v>
      </c>
      <c r="G540" s="185"/>
      <c r="H540" s="185"/>
    </row>
    <row r="541">
      <c r="A541" s="287" t="s">
        <v>2676</v>
      </c>
      <c r="C541" s="287" t="s">
        <v>2681</v>
      </c>
      <c r="D541" s="289" t="s">
        <v>2682</v>
      </c>
      <c r="E541" s="287" t="s">
        <v>1657</v>
      </c>
      <c r="F541" s="287" t="s">
        <v>1658</v>
      </c>
      <c r="G541" s="185"/>
      <c r="H541" s="185"/>
    </row>
    <row r="542">
      <c r="A542" s="287" t="s">
        <v>2676</v>
      </c>
      <c r="C542" s="287" t="s">
        <v>2683</v>
      </c>
      <c r="D542" s="289" t="s">
        <v>2684</v>
      </c>
      <c r="E542" s="287" t="s">
        <v>1657</v>
      </c>
      <c r="F542" s="287" t="s">
        <v>1658</v>
      </c>
      <c r="G542" s="185"/>
      <c r="H542" s="185"/>
    </row>
    <row r="543">
      <c r="A543" s="287" t="s">
        <v>2676</v>
      </c>
      <c r="C543" s="287" t="s">
        <v>2685</v>
      </c>
      <c r="D543" s="289" t="s">
        <v>2686</v>
      </c>
      <c r="E543" s="287" t="s">
        <v>1657</v>
      </c>
      <c r="F543" s="287" t="s">
        <v>1658</v>
      </c>
      <c r="G543" s="185"/>
      <c r="H543" s="185"/>
    </row>
    <row r="544">
      <c r="A544" s="287" t="s">
        <v>2676</v>
      </c>
      <c r="C544" s="287" t="s">
        <v>2687</v>
      </c>
      <c r="D544" s="289" t="s">
        <v>1039</v>
      </c>
      <c r="E544" s="287" t="s">
        <v>1657</v>
      </c>
      <c r="F544" s="287" t="s">
        <v>1658</v>
      </c>
      <c r="G544" s="185"/>
      <c r="H544" s="185"/>
    </row>
    <row r="545">
      <c r="A545" s="287" t="s">
        <v>2676</v>
      </c>
      <c r="C545" s="287" t="s">
        <v>2688</v>
      </c>
      <c r="D545" s="289" t="s">
        <v>2689</v>
      </c>
      <c r="E545" s="287" t="s">
        <v>1657</v>
      </c>
      <c r="F545" s="287" t="s">
        <v>1658</v>
      </c>
      <c r="G545" s="185"/>
      <c r="H545" s="185"/>
    </row>
    <row r="546">
      <c r="A546" s="287" t="s">
        <v>2676</v>
      </c>
      <c r="C546" s="287" t="s">
        <v>2690</v>
      </c>
      <c r="D546" s="289" t="s">
        <v>2691</v>
      </c>
      <c r="E546" s="287" t="s">
        <v>1657</v>
      </c>
      <c r="F546" s="287" t="s">
        <v>1658</v>
      </c>
      <c r="G546" s="185"/>
      <c r="H546" s="185"/>
    </row>
    <row r="547">
      <c r="A547" s="287" t="s">
        <v>2676</v>
      </c>
      <c r="C547" s="287" t="s">
        <v>2692</v>
      </c>
      <c r="D547" s="288" t="s">
        <v>2693</v>
      </c>
      <c r="E547" s="287" t="s">
        <v>1657</v>
      </c>
      <c r="F547" s="287" t="s">
        <v>1658</v>
      </c>
      <c r="G547" s="185"/>
      <c r="H547" s="185"/>
    </row>
    <row r="548">
      <c r="A548" s="287" t="s">
        <v>2676</v>
      </c>
      <c r="C548" s="287" t="s">
        <v>2694</v>
      </c>
      <c r="D548" s="288" t="s">
        <v>711</v>
      </c>
      <c r="E548" s="287" t="s">
        <v>1657</v>
      </c>
      <c r="F548" s="287" t="s">
        <v>1658</v>
      </c>
      <c r="G548" s="185"/>
      <c r="H548" s="185"/>
    </row>
    <row r="549">
      <c r="A549" s="296" t="s">
        <v>2676</v>
      </c>
      <c r="C549" s="287" t="s">
        <v>2695</v>
      </c>
      <c r="D549" s="289" t="s">
        <v>2696</v>
      </c>
      <c r="E549" s="296" t="s">
        <v>1657</v>
      </c>
      <c r="F549" s="287" t="s">
        <v>1658</v>
      </c>
      <c r="G549" s="185"/>
      <c r="H549" s="185"/>
    </row>
    <row r="550">
      <c r="A550" s="287" t="s">
        <v>2676</v>
      </c>
      <c r="C550" s="287" t="s">
        <v>2697</v>
      </c>
      <c r="D550" s="288" t="s">
        <v>2698</v>
      </c>
      <c r="E550" s="287" t="s">
        <v>1657</v>
      </c>
      <c r="F550" s="287" t="s">
        <v>1658</v>
      </c>
      <c r="G550" s="185"/>
      <c r="H550" s="185"/>
    </row>
    <row r="551">
      <c r="A551" s="287" t="s">
        <v>2676</v>
      </c>
      <c r="C551" s="287" t="s">
        <v>2699</v>
      </c>
      <c r="D551" s="288" t="s">
        <v>2700</v>
      </c>
      <c r="E551" s="287" t="s">
        <v>1657</v>
      </c>
      <c r="F551" s="287" t="s">
        <v>1658</v>
      </c>
      <c r="G551" s="185"/>
      <c r="H551" s="185"/>
    </row>
    <row r="552">
      <c r="A552" s="287" t="s">
        <v>2676</v>
      </c>
      <c r="C552" s="287" t="s">
        <v>2701</v>
      </c>
      <c r="D552" s="288" t="s">
        <v>2702</v>
      </c>
      <c r="E552" s="287" t="s">
        <v>1657</v>
      </c>
      <c r="F552" s="287" t="s">
        <v>1658</v>
      </c>
      <c r="G552" s="185"/>
      <c r="H552" s="185"/>
    </row>
    <row r="553">
      <c r="A553" s="287" t="s">
        <v>2676</v>
      </c>
      <c r="C553" s="287" t="s">
        <v>2703</v>
      </c>
      <c r="D553" s="288" t="s">
        <v>2704</v>
      </c>
      <c r="E553" s="287" t="s">
        <v>533</v>
      </c>
      <c r="F553" s="287" t="s">
        <v>1658</v>
      </c>
      <c r="G553" s="185"/>
      <c r="H553" s="185"/>
    </row>
    <row r="554">
      <c r="A554" s="287" t="s">
        <v>2676</v>
      </c>
      <c r="C554" s="287" t="s">
        <v>2705</v>
      </c>
      <c r="D554" s="288" t="s">
        <v>2706</v>
      </c>
      <c r="E554" s="287" t="s">
        <v>533</v>
      </c>
      <c r="F554" s="287" t="s">
        <v>1658</v>
      </c>
      <c r="G554" s="185"/>
      <c r="H554" s="185"/>
    </row>
    <row r="555">
      <c r="A555" s="185"/>
      <c r="B555" s="185"/>
      <c r="C555" s="185"/>
      <c r="D555" s="185"/>
      <c r="E555" s="185"/>
      <c r="F555" s="185"/>
      <c r="G555" s="185"/>
      <c r="H555" s="185"/>
    </row>
    <row r="556">
      <c r="A556" s="286" t="s">
        <v>165</v>
      </c>
    </row>
    <row r="557">
      <c r="A557" s="287" t="s">
        <v>2707</v>
      </c>
      <c r="B557" s="285" t="s">
        <v>2708</v>
      </c>
      <c r="C557" s="287" t="s">
        <v>2709</v>
      </c>
      <c r="D557" s="289" t="s">
        <v>2710</v>
      </c>
      <c r="E557" s="287" t="s">
        <v>1657</v>
      </c>
      <c r="F557" s="287" t="s">
        <v>1658</v>
      </c>
      <c r="G557" s="185"/>
      <c r="H557" s="290" t="s">
        <v>2711</v>
      </c>
    </row>
    <row r="558">
      <c r="A558" s="287" t="s">
        <v>2707</v>
      </c>
      <c r="D558" s="289" t="s">
        <v>2712</v>
      </c>
      <c r="E558" s="287" t="s">
        <v>1657</v>
      </c>
      <c r="F558" s="287" t="s">
        <v>1658</v>
      </c>
      <c r="G558" s="185"/>
    </row>
    <row r="559">
      <c r="A559" s="287" t="s">
        <v>2707</v>
      </c>
      <c r="D559" s="289" t="s">
        <v>2713</v>
      </c>
      <c r="E559" s="287" t="s">
        <v>1657</v>
      </c>
      <c r="F559" s="287" t="s">
        <v>1658</v>
      </c>
      <c r="G559" s="185"/>
    </row>
    <row r="560">
      <c r="A560" s="287" t="s">
        <v>2707</v>
      </c>
      <c r="D560" s="288" t="s">
        <v>2714</v>
      </c>
      <c r="E560" s="287" t="s">
        <v>1657</v>
      </c>
      <c r="F560" s="287" t="s">
        <v>1658</v>
      </c>
      <c r="G560" s="185"/>
    </row>
    <row r="561">
      <c r="A561" s="287" t="s">
        <v>2707</v>
      </c>
      <c r="D561" s="288" t="s">
        <v>2715</v>
      </c>
      <c r="E561" s="287" t="s">
        <v>1657</v>
      </c>
      <c r="F561" s="287" t="s">
        <v>1658</v>
      </c>
      <c r="G561" s="185"/>
    </row>
    <row r="562">
      <c r="A562" s="287" t="s">
        <v>2707</v>
      </c>
      <c r="D562" s="288" t="s">
        <v>2716</v>
      </c>
      <c r="E562" s="287" t="s">
        <v>1657</v>
      </c>
      <c r="F562" s="287" t="s">
        <v>1658</v>
      </c>
      <c r="G562" s="185"/>
    </row>
    <row r="563">
      <c r="A563" s="287" t="s">
        <v>2707</v>
      </c>
      <c r="D563" s="288" t="s">
        <v>2717</v>
      </c>
      <c r="E563" s="287" t="s">
        <v>1657</v>
      </c>
      <c r="F563" s="287" t="s">
        <v>1658</v>
      </c>
      <c r="G563" s="185"/>
    </row>
    <row r="564">
      <c r="A564" s="287" t="s">
        <v>2707</v>
      </c>
      <c r="D564" s="288" t="s">
        <v>2718</v>
      </c>
      <c r="E564" s="287" t="s">
        <v>1657</v>
      </c>
      <c r="F564" s="287" t="s">
        <v>1658</v>
      </c>
      <c r="G564" s="185"/>
    </row>
    <row r="565">
      <c r="A565" s="287" t="s">
        <v>2707</v>
      </c>
      <c r="B565" s="285" t="s">
        <v>2719</v>
      </c>
      <c r="C565" s="287" t="s">
        <v>2720</v>
      </c>
      <c r="D565" s="288" t="s">
        <v>2721</v>
      </c>
      <c r="E565" s="287" t="s">
        <v>1657</v>
      </c>
      <c r="F565" s="287" t="s">
        <v>1658</v>
      </c>
      <c r="G565" s="185"/>
      <c r="H565" s="290" t="s">
        <v>2722</v>
      </c>
    </row>
    <row r="566">
      <c r="A566" s="287" t="s">
        <v>2707</v>
      </c>
      <c r="D566" s="288" t="s">
        <v>2723</v>
      </c>
      <c r="E566" s="287" t="s">
        <v>1657</v>
      </c>
      <c r="F566" s="287" t="s">
        <v>1658</v>
      </c>
      <c r="G566" s="185"/>
    </row>
    <row r="567">
      <c r="A567" s="287" t="s">
        <v>2707</v>
      </c>
      <c r="D567" s="289" t="s">
        <v>2724</v>
      </c>
      <c r="E567" s="287" t="s">
        <v>1657</v>
      </c>
      <c r="F567" s="287" t="s">
        <v>1658</v>
      </c>
      <c r="G567" s="185"/>
    </row>
    <row r="568">
      <c r="A568" s="287" t="s">
        <v>2707</v>
      </c>
      <c r="D568" s="289" t="s">
        <v>2725</v>
      </c>
      <c r="E568" s="287" t="s">
        <v>1657</v>
      </c>
      <c r="F568" s="287" t="s">
        <v>1658</v>
      </c>
      <c r="G568" s="185"/>
    </row>
    <row r="569">
      <c r="A569" s="287" t="s">
        <v>2707</v>
      </c>
      <c r="D569" s="288" t="s">
        <v>2726</v>
      </c>
      <c r="E569" s="287" t="s">
        <v>1657</v>
      </c>
      <c r="F569" s="287" t="s">
        <v>1658</v>
      </c>
      <c r="G569" s="185"/>
    </row>
    <row r="570">
      <c r="A570" s="287" t="s">
        <v>2707</v>
      </c>
      <c r="D570" s="288" t="s">
        <v>2727</v>
      </c>
      <c r="E570" s="287" t="s">
        <v>1657</v>
      </c>
      <c r="F570" s="287" t="s">
        <v>1658</v>
      </c>
      <c r="G570" s="185"/>
    </row>
    <row r="571">
      <c r="A571" s="287" t="s">
        <v>2707</v>
      </c>
      <c r="D571" s="288" t="s">
        <v>2728</v>
      </c>
      <c r="E571" s="287" t="s">
        <v>1657</v>
      </c>
      <c r="F571" s="287" t="s">
        <v>1658</v>
      </c>
      <c r="G571" s="185"/>
    </row>
    <row r="572">
      <c r="A572" s="287" t="s">
        <v>2707</v>
      </c>
      <c r="D572" s="288" t="s">
        <v>2729</v>
      </c>
      <c r="E572" s="287" t="s">
        <v>1657</v>
      </c>
      <c r="F572" s="287" t="s">
        <v>1658</v>
      </c>
      <c r="G572" s="185"/>
    </row>
    <row r="573">
      <c r="A573" s="287" t="s">
        <v>2707</v>
      </c>
      <c r="D573" s="288" t="s">
        <v>2730</v>
      </c>
      <c r="E573" s="287" t="s">
        <v>1657</v>
      </c>
      <c r="F573" s="287" t="s">
        <v>1658</v>
      </c>
      <c r="G573" s="185"/>
    </row>
    <row r="574">
      <c r="A574" s="287" t="s">
        <v>2707</v>
      </c>
      <c r="D574" s="288" t="s">
        <v>2731</v>
      </c>
      <c r="E574" s="287" t="s">
        <v>1657</v>
      </c>
      <c r="F574" s="287" t="s">
        <v>1658</v>
      </c>
      <c r="G574" s="185"/>
    </row>
    <row r="575">
      <c r="A575" s="287" t="s">
        <v>2707</v>
      </c>
      <c r="D575" s="288" t="s">
        <v>2732</v>
      </c>
      <c r="E575" s="287" t="s">
        <v>1657</v>
      </c>
      <c r="F575" s="287" t="s">
        <v>1658</v>
      </c>
      <c r="G575" s="185"/>
    </row>
    <row r="576">
      <c r="A576" s="287" t="s">
        <v>2707</v>
      </c>
      <c r="D576" s="288" t="s">
        <v>2733</v>
      </c>
      <c r="E576" s="287" t="s">
        <v>1657</v>
      </c>
      <c r="F576" s="287" t="s">
        <v>1658</v>
      </c>
      <c r="G576" s="185"/>
    </row>
    <row r="577">
      <c r="A577" s="287" t="s">
        <v>2707</v>
      </c>
      <c r="D577" s="288" t="s">
        <v>2716</v>
      </c>
      <c r="E577" s="287" t="s">
        <v>1657</v>
      </c>
      <c r="F577" s="287" t="s">
        <v>1658</v>
      </c>
      <c r="G577" s="185"/>
    </row>
    <row r="578">
      <c r="A578" s="287" t="s">
        <v>2707</v>
      </c>
      <c r="D578" s="288" t="s">
        <v>2734</v>
      </c>
      <c r="E578" s="287" t="s">
        <v>1657</v>
      </c>
      <c r="F578" s="287" t="s">
        <v>1658</v>
      </c>
      <c r="G578" s="185"/>
    </row>
    <row r="579">
      <c r="A579" s="287" t="s">
        <v>2707</v>
      </c>
      <c r="D579" s="288" t="s">
        <v>2735</v>
      </c>
      <c r="E579" s="287" t="s">
        <v>1657</v>
      </c>
      <c r="F579" s="287" t="s">
        <v>1658</v>
      </c>
      <c r="G579" s="185"/>
    </row>
    <row r="580">
      <c r="A580" s="287" t="s">
        <v>2707</v>
      </c>
      <c r="D580" s="288" t="s">
        <v>2736</v>
      </c>
      <c r="E580" s="287" t="s">
        <v>1657</v>
      </c>
      <c r="F580" s="287" t="s">
        <v>1658</v>
      </c>
      <c r="G580" s="185"/>
    </row>
    <row r="581">
      <c r="A581" s="287" t="s">
        <v>2707</v>
      </c>
      <c r="D581" s="288" t="s">
        <v>2737</v>
      </c>
      <c r="E581" s="287" t="s">
        <v>1657</v>
      </c>
      <c r="F581" s="287" t="s">
        <v>1658</v>
      </c>
      <c r="G581" s="185"/>
    </row>
    <row r="582">
      <c r="A582" s="287" t="s">
        <v>2707</v>
      </c>
      <c r="D582" s="288" t="s">
        <v>2738</v>
      </c>
      <c r="E582" s="287" t="s">
        <v>1657</v>
      </c>
      <c r="F582" s="287" t="s">
        <v>1658</v>
      </c>
      <c r="G582" s="185"/>
    </row>
    <row r="583">
      <c r="A583" s="287" t="s">
        <v>2707</v>
      </c>
      <c r="D583" s="288" t="s">
        <v>2739</v>
      </c>
      <c r="E583" s="287" t="s">
        <v>1657</v>
      </c>
      <c r="F583" s="287" t="s">
        <v>1658</v>
      </c>
      <c r="G583" s="185"/>
    </row>
    <row r="584">
      <c r="A584" s="287" t="s">
        <v>2707</v>
      </c>
      <c r="D584" s="288" t="s">
        <v>2740</v>
      </c>
      <c r="E584" s="287" t="s">
        <v>1657</v>
      </c>
      <c r="F584" s="287" t="s">
        <v>1658</v>
      </c>
      <c r="G584" s="185"/>
    </row>
    <row r="585">
      <c r="A585" s="287" t="s">
        <v>2707</v>
      </c>
      <c r="B585" s="285" t="s">
        <v>2741</v>
      </c>
      <c r="C585" s="287" t="s">
        <v>2742</v>
      </c>
      <c r="D585" s="288" t="s">
        <v>2743</v>
      </c>
      <c r="E585" s="287" t="s">
        <v>1657</v>
      </c>
      <c r="F585" s="287" t="s">
        <v>1658</v>
      </c>
      <c r="G585" s="185"/>
      <c r="H585" s="290" t="s">
        <v>2744</v>
      </c>
    </row>
    <row r="586">
      <c r="A586" s="287" t="s">
        <v>2707</v>
      </c>
      <c r="D586" s="288" t="s">
        <v>2745</v>
      </c>
      <c r="E586" s="287" t="s">
        <v>1657</v>
      </c>
      <c r="F586" s="287" t="s">
        <v>1658</v>
      </c>
      <c r="G586" s="185"/>
    </row>
    <row r="587">
      <c r="A587" s="287" t="s">
        <v>2707</v>
      </c>
      <c r="D587" s="288" t="s">
        <v>2746</v>
      </c>
      <c r="E587" s="287" t="s">
        <v>1657</v>
      </c>
      <c r="F587" s="287" t="s">
        <v>1658</v>
      </c>
      <c r="G587" s="185"/>
    </row>
    <row r="588">
      <c r="A588" s="287" t="s">
        <v>2707</v>
      </c>
      <c r="D588" s="288" t="s">
        <v>2747</v>
      </c>
      <c r="E588" s="287" t="s">
        <v>1657</v>
      </c>
      <c r="F588" s="287" t="s">
        <v>1658</v>
      </c>
      <c r="G588" s="185"/>
    </row>
    <row r="589">
      <c r="A589" s="287" t="s">
        <v>2707</v>
      </c>
      <c r="D589" s="288" t="s">
        <v>682</v>
      </c>
      <c r="E589" s="287" t="s">
        <v>1657</v>
      </c>
      <c r="F589" s="287" t="s">
        <v>1658</v>
      </c>
      <c r="G589" s="185"/>
    </row>
    <row r="590">
      <c r="A590" s="287" t="s">
        <v>2707</v>
      </c>
      <c r="D590" s="288" t="s">
        <v>2748</v>
      </c>
      <c r="E590" s="287" t="s">
        <v>1657</v>
      </c>
      <c r="F590" s="287" t="s">
        <v>1658</v>
      </c>
      <c r="G590" s="185"/>
    </row>
    <row r="591">
      <c r="A591" s="287" t="s">
        <v>2707</v>
      </c>
      <c r="D591" s="288" t="s">
        <v>2749</v>
      </c>
      <c r="E591" s="287" t="s">
        <v>1657</v>
      </c>
      <c r="F591" s="287" t="s">
        <v>1658</v>
      </c>
      <c r="G591" s="185"/>
    </row>
    <row r="592">
      <c r="A592" s="287" t="s">
        <v>2707</v>
      </c>
      <c r="D592" s="288" t="s">
        <v>2750</v>
      </c>
      <c r="E592" s="287" t="s">
        <v>1657</v>
      </c>
      <c r="F592" s="287" t="s">
        <v>1658</v>
      </c>
      <c r="G592" s="185"/>
    </row>
    <row r="593">
      <c r="A593" s="287" t="s">
        <v>2707</v>
      </c>
      <c r="D593" s="288" t="s">
        <v>2751</v>
      </c>
      <c r="E593" s="287" t="s">
        <v>1657</v>
      </c>
      <c r="F593" s="287" t="s">
        <v>1658</v>
      </c>
      <c r="G593" s="185"/>
    </row>
    <row r="594">
      <c r="A594" s="287" t="s">
        <v>2707</v>
      </c>
      <c r="D594" s="288" t="s">
        <v>2752</v>
      </c>
      <c r="E594" s="287" t="s">
        <v>1657</v>
      </c>
      <c r="F594" s="287" t="s">
        <v>1658</v>
      </c>
      <c r="G594" s="185"/>
    </row>
    <row r="595">
      <c r="A595" s="287" t="s">
        <v>2707</v>
      </c>
      <c r="D595" s="288" t="s">
        <v>2753</v>
      </c>
      <c r="E595" s="287" t="s">
        <v>1657</v>
      </c>
      <c r="F595" s="287" t="s">
        <v>1658</v>
      </c>
      <c r="G595" s="185"/>
    </row>
    <row r="596">
      <c r="A596" s="287" t="s">
        <v>2707</v>
      </c>
      <c r="B596" s="285" t="s">
        <v>2754</v>
      </c>
      <c r="C596" s="287" t="s">
        <v>2755</v>
      </c>
      <c r="D596" s="288" t="s">
        <v>2756</v>
      </c>
      <c r="E596" s="287" t="s">
        <v>1657</v>
      </c>
      <c r="F596" s="287" t="s">
        <v>1658</v>
      </c>
      <c r="G596" s="185"/>
      <c r="H596" s="290" t="s">
        <v>2757</v>
      </c>
    </row>
    <row r="597">
      <c r="A597" s="287" t="s">
        <v>2707</v>
      </c>
      <c r="D597" s="288" t="s">
        <v>2758</v>
      </c>
      <c r="E597" s="287" t="s">
        <v>1657</v>
      </c>
      <c r="F597" s="287" t="s">
        <v>1658</v>
      </c>
      <c r="G597" s="185"/>
    </row>
    <row r="598">
      <c r="A598" s="287" t="s">
        <v>2707</v>
      </c>
      <c r="D598" s="288" t="s">
        <v>2751</v>
      </c>
      <c r="E598" s="287" t="s">
        <v>1657</v>
      </c>
      <c r="F598" s="287" t="s">
        <v>1658</v>
      </c>
      <c r="G598" s="185"/>
    </row>
    <row r="599">
      <c r="A599" s="287" t="s">
        <v>2707</v>
      </c>
      <c r="D599" s="288" t="s">
        <v>2759</v>
      </c>
      <c r="E599" s="287" t="s">
        <v>1657</v>
      </c>
      <c r="F599" s="287" t="s">
        <v>1658</v>
      </c>
      <c r="G599" s="185"/>
    </row>
    <row r="600">
      <c r="A600" s="287" t="s">
        <v>2707</v>
      </c>
      <c r="D600" s="288" t="s">
        <v>2716</v>
      </c>
      <c r="E600" s="287" t="s">
        <v>1657</v>
      </c>
      <c r="F600" s="287" t="s">
        <v>1658</v>
      </c>
      <c r="G600" s="185"/>
    </row>
    <row r="601">
      <c r="A601" s="287" t="s">
        <v>2707</v>
      </c>
      <c r="D601" s="288" t="s">
        <v>2760</v>
      </c>
      <c r="E601" s="287" t="s">
        <v>1657</v>
      </c>
      <c r="F601" s="287" t="s">
        <v>1658</v>
      </c>
      <c r="G601" s="185"/>
    </row>
    <row r="602">
      <c r="A602" s="287" t="s">
        <v>2707</v>
      </c>
      <c r="D602" s="288" t="s">
        <v>2761</v>
      </c>
      <c r="E602" s="287" t="s">
        <v>1657</v>
      </c>
      <c r="F602" s="287" t="s">
        <v>1658</v>
      </c>
      <c r="G602" s="185"/>
    </row>
    <row r="603">
      <c r="A603" s="287" t="s">
        <v>2707</v>
      </c>
      <c r="D603" s="288" t="s">
        <v>2762</v>
      </c>
      <c r="E603" s="287" t="s">
        <v>1657</v>
      </c>
      <c r="F603" s="287" t="s">
        <v>1658</v>
      </c>
      <c r="G603" s="185"/>
    </row>
    <row r="604">
      <c r="A604" s="185"/>
      <c r="B604" s="185"/>
      <c r="C604" s="185"/>
      <c r="D604" s="185"/>
      <c r="E604" s="185"/>
      <c r="F604" s="185"/>
      <c r="G604" s="185"/>
      <c r="H604" s="185"/>
    </row>
    <row r="605">
      <c r="A605" s="286" t="s">
        <v>2763</v>
      </c>
    </row>
    <row r="606">
      <c r="A606" s="287" t="s">
        <v>946</v>
      </c>
      <c r="B606" s="285" t="s">
        <v>880</v>
      </c>
      <c r="C606" s="287" t="s">
        <v>2764</v>
      </c>
      <c r="D606" s="288" t="s">
        <v>1062</v>
      </c>
      <c r="E606" s="287" t="s">
        <v>999</v>
      </c>
      <c r="F606" s="287" t="s">
        <v>1658</v>
      </c>
      <c r="G606" s="185"/>
      <c r="H606" s="290" t="s">
        <v>2765</v>
      </c>
    </row>
    <row r="607">
      <c r="A607" s="287" t="s">
        <v>946</v>
      </c>
      <c r="C607" s="287" t="s">
        <v>2766</v>
      </c>
      <c r="D607" s="288" t="s">
        <v>1335</v>
      </c>
      <c r="E607" s="287" t="s">
        <v>999</v>
      </c>
      <c r="F607" s="287" t="s">
        <v>1658</v>
      </c>
      <c r="G607" s="185"/>
      <c r="H607" s="290" t="s">
        <v>2767</v>
      </c>
    </row>
    <row r="608">
      <c r="A608" s="287" t="s">
        <v>946</v>
      </c>
      <c r="C608" s="287" t="s">
        <v>2768</v>
      </c>
      <c r="D608" s="288" t="s">
        <v>2769</v>
      </c>
      <c r="E608" s="287" t="s">
        <v>999</v>
      </c>
      <c r="F608" s="287" t="s">
        <v>1658</v>
      </c>
      <c r="G608" s="185"/>
      <c r="H608" s="290" t="s">
        <v>2770</v>
      </c>
    </row>
    <row r="609">
      <c r="A609" s="287" t="s">
        <v>946</v>
      </c>
      <c r="C609" s="287" t="s">
        <v>2771</v>
      </c>
      <c r="D609" s="288" t="s">
        <v>1098</v>
      </c>
      <c r="E609" s="287" t="s">
        <v>999</v>
      </c>
      <c r="F609" s="287" t="s">
        <v>1658</v>
      </c>
      <c r="G609" s="185"/>
      <c r="H609" s="290" t="s">
        <v>2765</v>
      </c>
    </row>
    <row r="610">
      <c r="A610" s="287" t="s">
        <v>946</v>
      </c>
      <c r="C610" s="287" t="s">
        <v>2772</v>
      </c>
      <c r="D610" s="288" t="s">
        <v>2773</v>
      </c>
      <c r="E610" s="287" t="s">
        <v>999</v>
      </c>
      <c r="F610" s="287" t="s">
        <v>1658</v>
      </c>
      <c r="G610" s="185"/>
      <c r="H610" s="290" t="s">
        <v>2774</v>
      </c>
    </row>
    <row r="611">
      <c r="A611" s="185"/>
      <c r="B611" s="185"/>
      <c r="C611" s="185"/>
      <c r="D611" s="185"/>
      <c r="E611" s="185"/>
      <c r="F611" s="185"/>
      <c r="G611" s="185"/>
      <c r="H611" s="185"/>
    </row>
    <row r="612">
      <c r="A612" s="287" t="s">
        <v>951</v>
      </c>
      <c r="B612" s="285" t="s">
        <v>881</v>
      </c>
      <c r="C612" s="287" t="s">
        <v>2775</v>
      </c>
      <c r="D612" s="288" t="s">
        <v>2776</v>
      </c>
      <c r="E612" s="287" t="s">
        <v>999</v>
      </c>
      <c r="F612" s="287" t="s">
        <v>1658</v>
      </c>
      <c r="G612" s="185"/>
      <c r="H612" s="290" t="s">
        <v>2468</v>
      </c>
    </row>
    <row r="613">
      <c r="A613" s="287" t="s">
        <v>951</v>
      </c>
      <c r="C613" s="287" t="s">
        <v>2777</v>
      </c>
      <c r="D613" s="288" t="s">
        <v>2778</v>
      </c>
      <c r="E613" s="287" t="s">
        <v>999</v>
      </c>
      <c r="F613" s="287" t="s">
        <v>1658</v>
      </c>
      <c r="G613" s="185"/>
      <c r="H613" s="290" t="s">
        <v>2779</v>
      </c>
    </row>
    <row r="614">
      <c r="A614" s="287" t="s">
        <v>951</v>
      </c>
      <c r="C614" s="287" t="s">
        <v>2780</v>
      </c>
      <c r="D614" s="288" t="s">
        <v>2781</v>
      </c>
      <c r="E614" s="287" t="s">
        <v>999</v>
      </c>
      <c r="F614" s="287" t="s">
        <v>1658</v>
      </c>
      <c r="G614" s="185"/>
      <c r="H614" s="290" t="s">
        <v>2782</v>
      </c>
    </row>
    <row r="615">
      <c r="A615" s="287" t="s">
        <v>951</v>
      </c>
      <c r="C615" s="287" t="s">
        <v>2783</v>
      </c>
      <c r="D615" s="288" t="s">
        <v>2784</v>
      </c>
      <c r="E615" s="287" t="s">
        <v>999</v>
      </c>
      <c r="F615" s="287" t="s">
        <v>1658</v>
      </c>
      <c r="G615" s="185"/>
      <c r="H615" s="290" t="s">
        <v>2785</v>
      </c>
    </row>
    <row r="616">
      <c r="A616" s="287" t="s">
        <v>951</v>
      </c>
      <c r="C616" s="287" t="s">
        <v>2786</v>
      </c>
      <c r="D616" s="288" t="s">
        <v>1063</v>
      </c>
      <c r="E616" s="287" t="s">
        <v>999</v>
      </c>
      <c r="F616" s="287" t="s">
        <v>1658</v>
      </c>
      <c r="G616" s="185"/>
      <c r="H616" s="290" t="s">
        <v>2787</v>
      </c>
    </row>
    <row r="617">
      <c r="A617" s="287" t="s">
        <v>951</v>
      </c>
      <c r="C617" s="287" t="s">
        <v>2788</v>
      </c>
      <c r="D617" s="288" t="s">
        <v>2789</v>
      </c>
      <c r="E617" s="287" t="s">
        <v>999</v>
      </c>
      <c r="F617" s="287" t="s">
        <v>1658</v>
      </c>
      <c r="G617" s="185"/>
      <c r="H617" s="290" t="s">
        <v>2470</v>
      </c>
    </row>
    <row r="618">
      <c r="A618" s="287" t="s">
        <v>951</v>
      </c>
      <c r="C618" s="287" t="s">
        <v>2790</v>
      </c>
      <c r="D618" s="288" t="s">
        <v>2791</v>
      </c>
      <c r="E618" s="287" t="s">
        <v>999</v>
      </c>
      <c r="F618" s="287" t="s">
        <v>1658</v>
      </c>
      <c r="G618" s="185"/>
      <c r="H618" s="290" t="s">
        <v>2792</v>
      </c>
    </row>
    <row r="619">
      <c r="A619" s="287" t="s">
        <v>951</v>
      </c>
      <c r="C619" s="287" t="s">
        <v>2793</v>
      </c>
      <c r="D619" s="288" t="s">
        <v>2794</v>
      </c>
      <c r="E619" s="287" t="s">
        <v>999</v>
      </c>
      <c r="F619" s="287" t="s">
        <v>1658</v>
      </c>
      <c r="G619" s="185"/>
      <c r="H619" s="290" t="s">
        <v>2795</v>
      </c>
    </row>
    <row r="620">
      <c r="A620" s="185"/>
      <c r="B620" s="185"/>
      <c r="C620" s="185"/>
      <c r="D620" s="185"/>
      <c r="E620" s="185"/>
      <c r="F620" s="185"/>
      <c r="G620" s="185"/>
      <c r="H620" s="185"/>
    </row>
    <row r="621">
      <c r="A621" s="287" t="s">
        <v>2796</v>
      </c>
      <c r="B621" s="285" t="s">
        <v>887</v>
      </c>
      <c r="C621" s="287" t="s">
        <v>2797</v>
      </c>
      <c r="D621" s="288" t="s">
        <v>2798</v>
      </c>
      <c r="E621" s="287" t="s">
        <v>999</v>
      </c>
      <c r="F621" s="287" t="s">
        <v>1658</v>
      </c>
      <c r="G621" s="185"/>
      <c r="H621" s="290" t="s">
        <v>2799</v>
      </c>
    </row>
    <row r="622">
      <c r="A622" s="287" t="s">
        <v>2796</v>
      </c>
      <c r="C622" s="287" t="s">
        <v>2800</v>
      </c>
      <c r="D622" s="288" t="s">
        <v>2801</v>
      </c>
      <c r="E622" s="287" t="s">
        <v>999</v>
      </c>
      <c r="F622" s="287" t="s">
        <v>1658</v>
      </c>
      <c r="G622" s="185"/>
    </row>
    <row r="623">
      <c r="A623" s="287" t="s">
        <v>2796</v>
      </c>
      <c r="C623" s="287" t="s">
        <v>2802</v>
      </c>
      <c r="D623" s="288" t="s">
        <v>2803</v>
      </c>
      <c r="E623" s="287" t="s">
        <v>999</v>
      </c>
      <c r="F623" s="287" t="s">
        <v>1658</v>
      </c>
      <c r="G623" s="185"/>
    </row>
    <row r="624">
      <c r="A624" s="287" t="s">
        <v>2796</v>
      </c>
      <c r="C624" s="287" t="s">
        <v>2804</v>
      </c>
      <c r="D624" s="288" t="s">
        <v>1243</v>
      </c>
      <c r="E624" s="287" t="s">
        <v>999</v>
      </c>
      <c r="F624" s="287" t="s">
        <v>1658</v>
      </c>
      <c r="G624" s="185"/>
    </row>
    <row r="625">
      <c r="A625" s="287" t="s">
        <v>2796</v>
      </c>
      <c r="C625" s="287" t="s">
        <v>2805</v>
      </c>
      <c r="D625" s="288" t="s">
        <v>2806</v>
      </c>
      <c r="E625" s="287" t="s">
        <v>999</v>
      </c>
      <c r="F625" s="287" t="s">
        <v>1658</v>
      </c>
      <c r="G625" s="185"/>
    </row>
    <row r="626">
      <c r="A626" s="287" t="s">
        <v>2796</v>
      </c>
      <c r="C626" s="287" t="s">
        <v>2807</v>
      </c>
      <c r="D626" s="288" t="s">
        <v>2808</v>
      </c>
      <c r="E626" s="287" t="s">
        <v>999</v>
      </c>
      <c r="F626" s="287" t="s">
        <v>1658</v>
      </c>
      <c r="G626" s="185"/>
    </row>
    <row r="627">
      <c r="A627" s="287" t="s">
        <v>2796</v>
      </c>
      <c r="C627" s="287" t="s">
        <v>2809</v>
      </c>
      <c r="D627" s="288" t="s">
        <v>2810</v>
      </c>
      <c r="E627" s="287" t="s">
        <v>999</v>
      </c>
      <c r="F627" s="287" t="s">
        <v>1658</v>
      </c>
      <c r="G627" s="185"/>
    </row>
    <row r="628">
      <c r="A628" s="287" t="s">
        <v>2796</v>
      </c>
      <c r="C628" s="287" t="s">
        <v>2811</v>
      </c>
      <c r="D628" s="288" t="s">
        <v>2812</v>
      </c>
      <c r="E628" s="287" t="s">
        <v>999</v>
      </c>
      <c r="F628" s="287" t="s">
        <v>1658</v>
      </c>
      <c r="G628" s="185"/>
    </row>
    <row r="629">
      <c r="A629" s="287" t="s">
        <v>2796</v>
      </c>
      <c r="C629" s="287" t="s">
        <v>2813</v>
      </c>
      <c r="D629" s="288" t="s">
        <v>2814</v>
      </c>
      <c r="E629" s="287" t="s">
        <v>999</v>
      </c>
      <c r="F629" s="287" t="s">
        <v>1658</v>
      </c>
      <c r="G629" s="185"/>
    </row>
    <row r="630">
      <c r="A630" s="287" t="s">
        <v>2796</v>
      </c>
      <c r="C630" s="287" t="s">
        <v>2815</v>
      </c>
      <c r="D630" s="288" t="s">
        <v>2816</v>
      </c>
      <c r="E630" s="287" t="s">
        <v>999</v>
      </c>
      <c r="F630" s="287" t="s">
        <v>1658</v>
      </c>
      <c r="G630" s="185"/>
    </row>
    <row r="631">
      <c r="A631" s="287" t="s">
        <v>2796</v>
      </c>
      <c r="C631" s="287" t="s">
        <v>2817</v>
      </c>
      <c r="D631" s="288" t="s">
        <v>1406</v>
      </c>
      <c r="E631" s="287" t="s">
        <v>999</v>
      </c>
      <c r="F631" s="287" t="s">
        <v>1658</v>
      </c>
      <c r="G631" s="185"/>
    </row>
    <row r="632">
      <c r="A632" s="185"/>
      <c r="B632" s="185"/>
      <c r="C632" s="185"/>
      <c r="D632" s="185"/>
      <c r="E632" s="185"/>
      <c r="F632" s="185"/>
      <c r="G632" s="185"/>
      <c r="H632" s="185"/>
    </row>
    <row r="633">
      <c r="A633" s="287" t="s">
        <v>957</v>
      </c>
      <c r="B633" s="285" t="s">
        <v>2818</v>
      </c>
      <c r="C633" s="287" t="s">
        <v>2819</v>
      </c>
      <c r="D633" s="288" t="s">
        <v>1102</v>
      </c>
      <c r="E633" s="287" t="s">
        <v>999</v>
      </c>
      <c r="F633" s="287" t="s">
        <v>1658</v>
      </c>
      <c r="G633" s="185"/>
      <c r="H633" s="288" t="s">
        <v>414</v>
      </c>
    </row>
    <row r="634">
      <c r="A634" s="287" t="s">
        <v>957</v>
      </c>
      <c r="C634" s="287" t="s">
        <v>2820</v>
      </c>
      <c r="D634" s="288" t="s">
        <v>1018</v>
      </c>
      <c r="E634" s="287" t="s">
        <v>999</v>
      </c>
      <c r="F634" s="287" t="s">
        <v>1658</v>
      </c>
      <c r="G634" s="185"/>
    </row>
    <row r="635">
      <c r="A635" s="287" t="s">
        <v>957</v>
      </c>
      <c r="C635" s="287" t="s">
        <v>2821</v>
      </c>
      <c r="D635" s="288" t="s">
        <v>1065</v>
      </c>
      <c r="E635" s="287" t="s">
        <v>999</v>
      </c>
      <c r="F635" s="287" t="s">
        <v>1658</v>
      </c>
      <c r="G635" s="185"/>
    </row>
    <row r="636">
      <c r="A636" s="185"/>
      <c r="B636" s="185"/>
      <c r="C636" s="185"/>
      <c r="D636" s="185"/>
      <c r="E636" s="185"/>
      <c r="F636" s="185"/>
      <c r="G636" s="185"/>
      <c r="H636" s="185"/>
    </row>
    <row r="637">
      <c r="A637" s="286" t="s">
        <v>2822</v>
      </c>
    </row>
    <row r="638">
      <c r="A638" s="287" t="s">
        <v>400</v>
      </c>
      <c r="B638" s="285" t="s">
        <v>131</v>
      </c>
      <c r="C638" s="287" t="s">
        <v>2823</v>
      </c>
      <c r="D638" s="288" t="s">
        <v>802</v>
      </c>
      <c r="E638" s="287" t="s">
        <v>533</v>
      </c>
      <c r="F638" s="287" t="s">
        <v>1658</v>
      </c>
      <c r="G638" s="185"/>
      <c r="H638" s="288" t="s">
        <v>414</v>
      </c>
    </row>
    <row r="639">
      <c r="A639" s="287" t="s">
        <v>400</v>
      </c>
      <c r="C639" s="287" t="s">
        <v>2824</v>
      </c>
      <c r="D639" s="288" t="s">
        <v>538</v>
      </c>
      <c r="E639" s="287" t="s">
        <v>533</v>
      </c>
      <c r="F639" s="287" t="s">
        <v>1658</v>
      </c>
      <c r="G639" s="185"/>
    </row>
    <row r="640">
      <c r="A640" s="287" t="s">
        <v>400</v>
      </c>
      <c r="C640" s="287" t="s">
        <v>2825</v>
      </c>
      <c r="D640" s="288" t="s">
        <v>904</v>
      </c>
      <c r="E640" s="287" t="s">
        <v>533</v>
      </c>
      <c r="F640" s="287" t="s">
        <v>1658</v>
      </c>
      <c r="G640" s="185"/>
    </row>
    <row r="641">
      <c r="A641" s="287" t="s">
        <v>400</v>
      </c>
      <c r="C641" s="287" t="s">
        <v>2826</v>
      </c>
      <c r="D641" s="288" t="s">
        <v>1548</v>
      </c>
      <c r="E641" s="287" t="s">
        <v>533</v>
      </c>
      <c r="F641" s="287" t="s">
        <v>1658</v>
      </c>
      <c r="G641" s="185"/>
    </row>
    <row r="642">
      <c r="A642" s="287" t="s">
        <v>400</v>
      </c>
      <c r="C642" s="287" t="s">
        <v>2827</v>
      </c>
      <c r="D642" s="288" t="s">
        <v>1238</v>
      </c>
      <c r="E642" s="287" t="s">
        <v>533</v>
      </c>
      <c r="F642" s="287" t="s">
        <v>1658</v>
      </c>
      <c r="G642" s="185"/>
    </row>
    <row r="643">
      <c r="A643" s="185"/>
      <c r="B643" s="185"/>
      <c r="C643" s="185"/>
      <c r="D643" s="185"/>
      <c r="E643" s="185"/>
      <c r="F643" s="185"/>
      <c r="G643" s="185"/>
      <c r="H643" s="185"/>
    </row>
    <row r="644">
      <c r="A644" s="287" t="s">
        <v>403</v>
      </c>
      <c r="B644" s="285" t="s">
        <v>2828</v>
      </c>
      <c r="C644" s="287" t="s">
        <v>2829</v>
      </c>
      <c r="D644" s="288" t="s">
        <v>2830</v>
      </c>
      <c r="E644" s="287" t="s">
        <v>533</v>
      </c>
      <c r="F644" s="287" t="s">
        <v>1658</v>
      </c>
      <c r="G644" s="185"/>
      <c r="H644" s="288" t="s">
        <v>414</v>
      </c>
    </row>
    <row r="645">
      <c r="A645" s="287" t="s">
        <v>403</v>
      </c>
      <c r="C645" s="287" t="s">
        <v>2831</v>
      </c>
      <c r="D645" s="288" t="s">
        <v>1570</v>
      </c>
      <c r="E645" s="287" t="s">
        <v>533</v>
      </c>
      <c r="F645" s="287" t="s">
        <v>1658</v>
      </c>
      <c r="G645" s="185"/>
    </row>
    <row r="646">
      <c r="A646" s="287" t="s">
        <v>403</v>
      </c>
      <c r="C646" s="287" t="s">
        <v>2832</v>
      </c>
      <c r="D646" s="288" t="s">
        <v>540</v>
      </c>
      <c r="E646" s="287" t="s">
        <v>533</v>
      </c>
      <c r="F646" s="287" t="s">
        <v>1658</v>
      </c>
      <c r="G646" s="185"/>
    </row>
    <row r="647">
      <c r="A647" s="287" t="s">
        <v>403</v>
      </c>
      <c r="C647" s="287" t="s">
        <v>2833</v>
      </c>
      <c r="D647" s="288" t="s">
        <v>1241</v>
      </c>
      <c r="E647" s="287" t="s">
        <v>533</v>
      </c>
      <c r="F647" s="287" t="s">
        <v>1658</v>
      </c>
      <c r="G647" s="185"/>
    </row>
    <row r="648">
      <c r="A648" s="287" t="s">
        <v>403</v>
      </c>
      <c r="C648" s="287" t="s">
        <v>2834</v>
      </c>
      <c r="D648" s="288" t="s">
        <v>2835</v>
      </c>
      <c r="E648" s="287" t="s">
        <v>533</v>
      </c>
      <c r="F648" s="287" t="s">
        <v>1658</v>
      </c>
      <c r="G648" s="185"/>
    </row>
    <row r="649">
      <c r="A649" s="185"/>
      <c r="B649" s="185"/>
      <c r="C649" s="185"/>
      <c r="D649" s="185"/>
      <c r="E649" s="185"/>
      <c r="F649" s="185"/>
      <c r="G649" s="185"/>
      <c r="H649" s="185"/>
    </row>
    <row r="650">
      <c r="A650" s="333" t="s">
        <v>415</v>
      </c>
      <c r="B650" s="334" t="s">
        <v>2836</v>
      </c>
      <c r="C650" s="322" t="s">
        <v>2837</v>
      </c>
      <c r="D650" s="323" t="s">
        <v>547</v>
      </c>
      <c r="E650" s="322" t="s">
        <v>533</v>
      </c>
      <c r="F650" s="324"/>
      <c r="G650" s="185"/>
      <c r="H650" s="288" t="s">
        <v>414</v>
      </c>
    </row>
    <row r="651">
      <c r="A651" s="333" t="s">
        <v>415</v>
      </c>
      <c r="C651" s="322" t="s">
        <v>2838</v>
      </c>
      <c r="D651" s="323" t="s">
        <v>1592</v>
      </c>
      <c r="E651" s="322" t="s">
        <v>533</v>
      </c>
      <c r="F651" s="324"/>
      <c r="G651" s="185"/>
    </row>
    <row r="652">
      <c r="A652" s="333" t="s">
        <v>415</v>
      </c>
      <c r="C652" s="322" t="s">
        <v>2839</v>
      </c>
      <c r="D652" s="323" t="s">
        <v>1573</v>
      </c>
      <c r="E652" s="322" t="s">
        <v>533</v>
      </c>
      <c r="F652" s="324"/>
      <c r="G652" s="185"/>
    </row>
    <row r="653">
      <c r="A653" s="333" t="s">
        <v>415</v>
      </c>
      <c r="C653" s="322" t="s">
        <v>2840</v>
      </c>
      <c r="D653" s="323" t="s">
        <v>2841</v>
      </c>
      <c r="E653" s="322" t="s">
        <v>533</v>
      </c>
      <c r="F653" s="324"/>
      <c r="G653" s="185"/>
    </row>
    <row r="654">
      <c r="A654" s="185"/>
      <c r="B654" s="185"/>
      <c r="C654" s="185"/>
      <c r="D654" s="185"/>
      <c r="E654" s="185"/>
      <c r="F654" s="185"/>
      <c r="G654" s="185"/>
      <c r="H654" s="185"/>
    </row>
    <row r="655">
      <c r="A655" s="287" t="s">
        <v>402</v>
      </c>
      <c r="B655" s="285" t="s">
        <v>2842</v>
      </c>
      <c r="C655" s="287" t="s">
        <v>2843</v>
      </c>
      <c r="D655" s="288" t="s">
        <v>539</v>
      </c>
      <c r="E655" s="287" t="s">
        <v>533</v>
      </c>
      <c r="F655" s="287" t="s">
        <v>1658</v>
      </c>
      <c r="G655" s="185"/>
      <c r="H655" s="288" t="s">
        <v>414</v>
      </c>
    </row>
    <row r="656">
      <c r="A656" s="287" t="s">
        <v>402</v>
      </c>
      <c r="C656" s="287" t="s">
        <v>2833</v>
      </c>
      <c r="D656" s="288" t="s">
        <v>1241</v>
      </c>
      <c r="E656" s="287" t="s">
        <v>533</v>
      </c>
      <c r="F656" s="287" t="s">
        <v>1658</v>
      </c>
      <c r="G656" s="185"/>
    </row>
    <row r="657">
      <c r="A657" s="287" t="s">
        <v>402</v>
      </c>
      <c r="C657" s="287" t="s">
        <v>2844</v>
      </c>
      <c r="D657" s="288" t="s">
        <v>905</v>
      </c>
      <c r="E657" s="287" t="s">
        <v>533</v>
      </c>
      <c r="F657" s="287" t="s">
        <v>1658</v>
      </c>
      <c r="G657" s="185"/>
    </row>
    <row r="658">
      <c r="A658" s="287" t="s">
        <v>402</v>
      </c>
      <c r="C658" s="287" t="s">
        <v>2845</v>
      </c>
      <c r="D658" s="288" t="s">
        <v>2846</v>
      </c>
      <c r="E658" s="287" t="s">
        <v>533</v>
      </c>
      <c r="F658" s="287" t="s">
        <v>1658</v>
      </c>
      <c r="G658" s="185"/>
    </row>
    <row r="659">
      <c r="A659" s="287" t="s">
        <v>402</v>
      </c>
      <c r="C659" s="287" t="s">
        <v>2847</v>
      </c>
      <c r="D659" s="288" t="s">
        <v>2848</v>
      </c>
      <c r="E659" s="287" t="s">
        <v>533</v>
      </c>
      <c r="F659" s="287" t="s">
        <v>1658</v>
      </c>
      <c r="G659" s="185"/>
    </row>
    <row r="660">
      <c r="A660" s="185"/>
      <c r="B660" s="185"/>
      <c r="C660" s="184"/>
      <c r="D660" s="184"/>
      <c r="E660" s="184"/>
      <c r="F660" s="185"/>
      <c r="G660" s="185"/>
      <c r="H660" s="185"/>
    </row>
    <row r="661">
      <c r="A661" s="292" t="s">
        <v>2849</v>
      </c>
      <c r="B661" s="335" t="s">
        <v>175</v>
      </c>
      <c r="C661" s="292" t="s">
        <v>1820</v>
      </c>
      <c r="D661" s="297" t="s">
        <v>1821</v>
      </c>
      <c r="E661" s="292" t="s">
        <v>2850</v>
      </c>
      <c r="F661" s="298"/>
      <c r="G661" s="298"/>
      <c r="H661" s="298"/>
    </row>
    <row r="662">
      <c r="A662" s="292" t="s">
        <v>2849</v>
      </c>
      <c r="C662" s="292" t="s">
        <v>1823</v>
      </c>
      <c r="D662" s="297" t="s">
        <v>1824</v>
      </c>
      <c r="E662" s="292" t="s">
        <v>2850</v>
      </c>
      <c r="F662" s="298"/>
      <c r="G662" s="298"/>
      <c r="H662" s="298"/>
    </row>
    <row r="663">
      <c r="A663" s="292" t="s">
        <v>2849</v>
      </c>
      <c r="C663" s="292" t="s">
        <v>1826</v>
      </c>
      <c r="D663" s="297" t="s">
        <v>1827</v>
      </c>
      <c r="E663" s="292" t="s">
        <v>2850</v>
      </c>
      <c r="F663" s="298"/>
      <c r="G663" s="298"/>
      <c r="H663" s="298"/>
    </row>
    <row r="664">
      <c r="A664" s="292" t="s">
        <v>2849</v>
      </c>
      <c r="C664" s="292" t="s">
        <v>1829</v>
      </c>
      <c r="D664" s="297" t="s">
        <v>1830</v>
      </c>
      <c r="E664" s="292" t="s">
        <v>2850</v>
      </c>
      <c r="F664" s="298"/>
      <c r="G664" s="298"/>
      <c r="H664" s="298"/>
    </row>
    <row r="665">
      <c r="A665" s="292" t="s">
        <v>2849</v>
      </c>
      <c r="C665" s="292" t="s">
        <v>1832</v>
      </c>
      <c r="D665" s="297" t="s">
        <v>935</v>
      </c>
      <c r="E665" s="292" t="s">
        <v>2850</v>
      </c>
      <c r="F665" s="298"/>
      <c r="G665" s="298"/>
      <c r="H665" s="298"/>
    </row>
    <row r="666">
      <c r="A666" s="292" t="s">
        <v>2849</v>
      </c>
      <c r="C666" s="312" t="s">
        <v>1836</v>
      </c>
      <c r="D666" s="297" t="s">
        <v>1837</v>
      </c>
      <c r="E666" s="292" t="s">
        <v>2850</v>
      </c>
      <c r="F666" s="298"/>
      <c r="G666" s="298"/>
      <c r="H666" s="298"/>
    </row>
    <row r="667">
      <c r="A667" s="292" t="s">
        <v>2849</v>
      </c>
      <c r="C667" s="292" t="s">
        <v>1840</v>
      </c>
      <c r="D667" s="297" t="s">
        <v>1841</v>
      </c>
      <c r="E667" s="292" t="s">
        <v>2850</v>
      </c>
      <c r="F667" s="298"/>
      <c r="G667" s="298"/>
      <c r="H667" s="298"/>
    </row>
    <row r="668">
      <c r="A668" s="292" t="s">
        <v>2849</v>
      </c>
      <c r="C668" s="292" t="s">
        <v>1843</v>
      </c>
      <c r="D668" s="297" t="s">
        <v>1844</v>
      </c>
      <c r="E668" s="292" t="s">
        <v>2850</v>
      </c>
      <c r="F668" s="298"/>
      <c r="G668" s="298"/>
      <c r="H668" s="298"/>
    </row>
    <row r="669">
      <c r="A669" s="292" t="s">
        <v>2849</v>
      </c>
      <c r="C669" s="292" t="s">
        <v>1846</v>
      </c>
      <c r="D669" s="297" t="s">
        <v>1847</v>
      </c>
      <c r="E669" s="292" t="s">
        <v>2850</v>
      </c>
      <c r="F669" s="298"/>
      <c r="G669" s="298"/>
      <c r="H669" s="298"/>
    </row>
    <row r="670">
      <c r="A670" s="292" t="s">
        <v>2849</v>
      </c>
      <c r="C670" s="292" t="s">
        <v>1848</v>
      </c>
      <c r="D670" s="297" t="s">
        <v>1849</v>
      </c>
      <c r="E670" s="292" t="s">
        <v>2850</v>
      </c>
      <c r="F670" s="298"/>
      <c r="G670" s="298"/>
      <c r="H670" s="298"/>
    </row>
    <row r="671">
      <c r="A671" s="292" t="s">
        <v>2849</v>
      </c>
      <c r="C671" s="292" t="s">
        <v>1850</v>
      </c>
      <c r="D671" s="297" t="s">
        <v>1851</v>
      </c>
      <c r="E671" s="292" t="s">
        <v>2850</v>
      </c>
      <c r="F671" s="298"/>
      <c r="G671" s="298"/>
      <c r="H671" s="298"/>
    </row>
    <row r="672">
      <c r="A672" s="292" t="s">
        <v>2849</v>
      </c>
      <c r="C672" s="292" t="s">
        <v>1853</v>
      </c>
      <c r="D672" s="297" t="s">
        <v>1356</v>
      </c>
      <c r="E672" s="292" t="s">
        <v>2850</v>
      </c>
      <c r="F672" s="298"/>
      <c r="G672" s="298"/>
      <c r="H672" s="298"/>
    </row>
    <row r="673">
      <c r="A673" s="292" t="s">
        <v>2849</v>
      </c>
      <c r="C673" s="292" t="s">
        <v>1854</v>
      </c>
      <c r="D673" s="297" t="s">
        <v>1855</v>
      </c>
      <c r="E673" s="292" t="s">
        <v>2850</v>
      </c>
      <c r="F673" s="298"/>
      <c r="G673" s="298"/>
      <c r="H673" s="298"/>
    </row>
    <row r="674">
      <c r="A674" s="292" t="s">
        <v>2849</v>
      </c>
      <c r="C674" s="292" t="s">
        <v>1856</v>
      </c>
      <c r="D674" s="297" t="s">
        <v>1857</v>
      </c>
      <c r="E674" s="292" t="s">
        <v>2850</v>
      </c>
      <c r="F674" s="298"/>
      <c r="G674" s="298"/>
      <c r="H674" s="298"/>
    </row>
    <row r="675">
      <c r="A675" s="292" t="s">
        <v>2849</v>
      </c>
      <c r="C675" s="292" t="s">
        <v>1859</v>
      </c>
      <c r="D675" s="297" t="s">
        <v>1860</v>
      </c>
      <c r="E675" s="292" t="s">
        <v>2850</v>
      </c>
      <c r="F675" s="298"/>
      <c r="G675" s="298"/>
      <c r="H675" s="298"/>
    </row>
    <row r="676">
      <c r="A676" s="292" t="s">
        <v>2849</v>
      </c>
      <c r="C676" s="292" t="s">
        <v>1862</v>
      </c>
      <c r="D676" s="297" t="s">
        <v>1863</v>
      </c>
      <c r="E676" s="292" t="s">
        <v>2850</v>
      </c>
      <c r="F676" s="298"/>
      <c r="G676" s="298"/>
      <c r="H676" s="298"/>
    </row>
    <row r="677">
      <c r="A677" s="292" t="s">
        <v>2849</v>
      </c>
      <c r="C677" s="292" t="s">
        <v>1864</v>
      </c>
      <c r="D677" s="297" t="s">
        <v>1281</v>
      </c>
      <c r="E677" s="292" t="s">
        <v>2850</v>
      </c>
      <c r="F677" s="298"/>
      <c r="G677" s="298"/>
      <c r="H677" s="298"/>
    </row>
    <row r="678">
      <c r="A678" s="292" t="s">
        <v>2849</v>
      </c>
      <c r="C678" s="292" t="s">
        <v>1865</v>
      </c>
      <c r="D678" s="297" t="s">
        <v>1866</v>
      </c>
      <c r="E678" s="292" t="s">
        <v>2850</v>
      </c>
      <c r="F678" s="298"/>
      <c r="G678" s="298"/>
      <c r="H678" s="298"/>
    </row>
    <row r="679">
      <c r="A679" s="292" t="s">
        <v>2849</v>
      </c>
      <c r="C679" s="292" t="s">
        <v>1867</v>
      </c>
      <c r="D679" s="297" t="s">
        <v>1868</v>
      </c>
      <c r="E679" s="292" t="s">
        <v>2850</v>
      </c>
      <c r="F679" s="298"/>
      <c r="G679" s="298"/>
      <c r="H679" s="298"/>
    </row>
    <row r="680">
      <c r="A680" s="292" t="s">
        <v>2849</v>
      </c>
      <c r="C680" s="292" t="s">
        <v>1869</v>
      </c>
      <c r="D680" s="297" t="s">
        <v>1870</v>
      </c>
      <c r="E680" s="292" t="s">
        <v>2850</v>
      </c>
      <c r="F680" s="298"/>
      <c r="G680" s="298"/>
      <c r="H680" s="298"/>
    </row>
    <row r="681">
      <c r="A681" s="292" t="s">
        <v>2849</v>
      </c>
      <c r="C681" s="292" t="s">
        <v>1872</v>
      </c>
      <c r="D681" s="297" t="s">
        <v>1873</v>
      </c>
      <c r="E681" s="292" t="s">
        <v>2850</v>
      </c>
      <c r="F681" s="298"/>
      <c r="G681" s="298"/>
      <c r="H681" s="298"/>
    </row>
    <row r="682">
      <c r="A682" s="292" t="s">
        <v>2849</v>
      </c>
      <c r="C682" s="292" t="s">
        <v>1874</v>
      </c>
      <c r="D682" s="297" t="s">
        <v>1875</v>
      </c>
      <c r="E682" s="292" t="s">
        <v>2850</v>
      </c>
      <c r="F682" s="298"/>
      <c r="G682" s="298"/>
      <c r="H682" s="298"/>
    </row>
    <row r="683">
      <c r="A683" s="292" t="s">
        <v>2849</v>
      </c>
      <c r="C683" s="292" t="s">
        <v>1876</v>
      </c>
      <c r="D683" s="297" t="s">
        <v>1877</v>
      </c>
      <c r="E683" s="292" t="s">
        <v>2850</v>
      </c>
      <c r="F683" s="298"/>
      <c r="G683" s="298"/>
      <c r="H683" s="298"/>
    </row>
    <row r="684">
      <c r="A684" s="292" t="s">
        <v>2849</v>
      </c>
      <c r="C684" s="292" t="s">
        <v>1879</v>
      </c>
      <c r="D684" s="297" t="s">
        <v>1880</v>
      </c>
      <c r="E684" s="292" t="s">
        <v>2850</v>
      </c>
      <c r="F684" s="292"/>
      <c r="G684" s="292"/>
      <c r="H684" s="298"/>
    </row>
    <row r="685">
      <c r="A685" s="292" t="s">
        <v>2849</v>
      </c>
      <c r="C685" s="292" t="s">
        <v>1882</v>
      </c>
      <c r="D685" s="297" t="s">
        <v>1880</v>
      </c>
      <c r="E685" s="292" t="s">
        <v>2850</v>
      </c>
      <c r="F685" s="292"/>
      <c r="G685" s="292"/>
      <c r="H685" s="298"/>
    </row>
    <row r="686">
      <c r="A686" s="292" t="s">
        <v>2849</v>
      </c>
      <c r="C686" s="292" t="s">
        <v>1884</v>
      </c>
      <c r="D686" s="297" t="s">
        <v>1885</v>
      </c>
      <c r="E686" s="292" t="s">
        <v>2850</v>
      </c>
      <c r="F686" s="292"/>
      <c r="G686" s="292"/>
      <c r="H686" s="298"/>
    </row>
    <row r="687">
      <c r="A687" s="292" t="s">
        <v>2849</v>
      </c>
      <c r="C687" s="292" t="s">
        <v>1887</v>
      </c>
      <c r="D687" s="297" t="s">
        <v>1888</v>
      </c>
      <c r="E687" s="292" t="s">
        <v>2850</v>
      </c>
      <c r="F687" s="292"/>
      <c r="G687" s="292"/>
      <c r="H687" s="298"/>
    </row>
    <row r="688">
      <c r="A688" s="292" t="s">
        <v>2849</v>
      </c>
      <c r="C688" s="292" t="s">
        <v>1889</v>
      </c>
      <c r="D688" s="297" t="s">
        <v>1890</v>
      </c>
      <c r="E688" s="292" t="s">
        <v>2850</v>
      </c>
      <c r="F688" s="292"/>
      <c r="G688" s="292"/>
      <c r="H688" s="298"/>
    </row>
    <row r="689">
      <c r="A689" s="292" t="s">
        <v>2849</v>
      </c>
      <c r="C689" s="292" t="s">
        <v>1892</v>
      </c>
      <c r="D689" s="297" t="s">
        <v>1893</v>
      </c>
      <c r="E689" s="292" t="s">
        <v>2850</v>
      </c>
      <c r="F689" s="292"/>
      <c r="G689" s="292"/>
      <c r="H689" s="298"/>
    </row>
    <row r="690">
      <c r="A690" s="292" t="s">
        <v>2849</v>
      </c>
      <c r="C690" s="292" t="s">
        <v>1894</v>
      </c>
      <c r="D690" s="297" t="s">
        <v>1895</v>
      </c>
      <c r="E690" s="292" t="s">
        <v>2850</v>
      </c>
      <c r="F690" s="292"/>
      <c r="G690" s="292"/>
      <c r="H690" s="298"/>
    </row>
    <row r="691">
      <c r="A691" s="292" t="s">
        <v>2849</v>
      </c>
      <c r="C691" s="292" t="s">
        <v>1897</v>
      </c>
      <c r="D691" s="297" t="s">
        <v>1898</v>
      </c>
      <c r="E691" s="292" t="s">
        <v>2850</v>
      </c>
      <c r="F691" s="292"/>
      <c r="G691" s="292"/>
      <c r="H691" s="298"/>
    </row>
    <row r="692">
      <c r="A692" s="292" t="s">
        <v>2849</v>
      </c>
      <c r="C692" s="292" t="s">
        <v>1900</v>
      </c>
      <c r="D692" s="297" t="s">
        <v>1901</v>
      </c>
      <c r="E692" s="292" t="s">
        <v>2850</v>
      </c>
      <c r="F692" s="298"/>
      <c r="G692" s="298"/>
      <c r="H692" s="298"/>
    </row>
    <row r="693">
      <c r="A693" s="292" t="s">
        <v>2849</v>
      </c>
      <c r="C693" s="292" t="s">
        <v>1903</v>
      </c>
      <c r="D693" s="297" t="s">
        <v>1904</v>
      </c>
      <c r="E693" s="292" t="s">
        <v>2850</v>
      </c>
      <c r="F693" s="298"/>
      <c r="G693" s="298"/>
      <c r="H693" s="298"/>
    </row>
    <row r="694">
      <c r="A694" s="185"/>
      <c r="B694" s="185"/>
      <c r="C694" s="336"/>
      <c r="D694" s="336"/>
      <c r="E694" s="336"/>
      <c r="F694" s="336"/>
      <c r="G694" s="185"/>
      <c r="H694" s="185"/>
    </row>
    <row r="695">
      <c r="A695" s="287" t="s">
        <v>2851</v>
      </c>
      <c r="B695" s="285" t="s">
        <v>178</v>
      </c>
      <c r="C695" s="287" t="s">
        <v>2852</v>
      </c>
      <c r="D695" s="288" t="s">
        <v>1030</v>
      </c>
      <c r="E695" s="287" t="s">
        <v>533</v>
      </c>
      <c r="F695" s="287" t="s">
        <v>1658</v>
      </c>
      <c r="G695" s="185"/>
      <c r="H695" s="288" t="s">
        <v>414</v>
      </c>
    </row>
    <row r="696">
      <c r="A696" s="287" t="s">
        <v>2851</v>
      </c>
      <c r="C696" s="287" t="s">
        <v>2853</v>
      </c>
      <c r="D696" s="288" t="s">
        <v>1414</v>
      </c>
      <c r="E696" s="287" t="s">
        <v>533</v>
      </c>
      <c r="F696" s="287" t="s">
        <v>1658</v>
      </c>
      <c r="G696" s="185"/>
    </row>
    <row r="697">
      <c r="A697" s="287" t="s">
        <v>2851</v>
      </c>
      <c r="C697" s="287" t="s">
        <v>2854</v>
      </c>
      <c r="D697" s="288" t="s">
        <v>1466</v>
      </c>
      <c r="E697" s="287" t="s">
        <v>533</v>
      </c>
      <c r="F697" s="287" t="s">
        <v>1658</v>
      </c>
      <c r="G697" s="185"/>
    </row>
    <row r="698">
      <c r="A698" s="287" t="s">
        <v>2851</v>
      </c>
      <c r="C698" s="287" t="s">
        <v>2855</v>
      </c>
      <c r="D698" s="288" t="s">
        <v>937</v>
      </c>
      <c r="E698" s="287" t="s">
        <v>533</v>
      </c>
      <c r="F698" s="287" t="s">
        <v>1658</v>
      </c>
      <c r="G698" s="185"/>
    </row>
    <row r="699">
      <c r="A699" s="185"/>
      <c r="B699" s="185"/>
      <c r="C699" s="185"/>
      <c r="D699" s="185"/>
      <c r="E699" s="185"/>
      <c r="F699" s="185"/>
      <c r="G699" s="185"/>
      <c r="H699" s="185"/>
    </row>
    <row r="700">
      <c r="A700" s="286" t="s">
        <v>2856</v>
      </c>
    </row>
    <row r="701">
      <c r="A701" s="287" t="s">
        <v>223</v>
      </c>
      <c r="B701" s="285" t="s">
        <v>60</v>
      </c>
      <c r="C701" s="287" t="s">
        <v>2857</v>
      </c>
      <c r="D701" s="288" t="s">
        <v>2858</v>
      </c>
      <c r="E701" s="287" t="s">
        <v>376</v>
      </c>
      <c r="F701" s="287" t="s">
        <v>1658</v>
      </c>
      <c r="G701" s="185"/>
      <c r="H701" s="185"/>
    </row>
    <row r="702">
      <c r="A702" s="287" t="s">
        <v>223</v>
      </c>
      <c r="C702" s="287" t="s">
        <v>2859</v>
      </c>
      <c r="D702" s="288" t="s">
        <v>2860</v>
      </c>
      <c r="E702" s="287" t="s">
        <v>376</v>
      </c>
      <c r="F702" s="287" t="s">
        <v>1658</v>
      </c>
      <c r="G702" s="185"/>
      <c r="H702" s="185"/>
    </row>
    <row r="703">
      <c r="A703" s="287" t="s">
        <v>223</v>
      </c>
      <c r="C703" s="287" t="s">
        <v>2861</v>
      </c>
      <c r="D703" s="288" t="s">
        <v>2862</v>
      </c>
      <c r="E703" s="287" t="s">
        <v>376</v>
      </c>
      <c r="F703" s="287" t="s">
        <v>1658</v>
      </c>
      <c r="G703" s="185"/>
      <c r="H703" s="185"/>
    </row>
    <row r="704">
      <c r="A704" s="287" t="s">
        <v>223</v>
      </c>
      <c r="C704" s="287" t="s">
        <v>2863</v>
      </c>
      <c r="D704" s="288" t="s">
        <v>2864</v>
      </c>
      <c r="E704" s="287" t="s">
        <v>376</v>
      </c>
      <c r="F704" s="287" t="s">
        <v>1658</v>
      </c>
      <c r="G704" s="185"/>
      <c r="H704" s="185"/>
    </row>
    <row r="705">
      <c r="A705" s="287" t="s">
        <v>223</v>
      </c>
      <c r="C705" s="287" t="s">
        <v>2865</v>
      </c>
      <c r="D705" s="288" t="s">
        <v>2866</v>
      </c>
      <c r="E705" s="287" t="s">
        <v>376</v>
      </c>
      <c r="F705" s="287" t="s">
        <v>1658</v>
      </c>
      <c r="G705" s="185"/>
      <c r="H705" s="185"/>
    </row>
    <row r="706">
      <c r="A706" s="287" t="s">
        <v>223</v>
      </c>
      <c r="C706" s="287" t="s">
        <v>2867</v>
      </c>
      <c r="D706" s="288" t="s">
        <v>673</v>
      </c>
      <c r="E706" s="287" t="s">
        <v>376</v>
      </c>
      <c r="F706" s="287" t="s">
        <v>1658</v>
      </c>
      <c r="G706" s="185"/>
      <c r="H706" s="185"/>
    </row>
    <row r="707">
      <c r="A707" s="287" t="s">
        <v>223</v>
      </c>
      <c r="C707" s="287" t="s">
        <v>2868</v>
      </c>
      <c r="D707" s="288" t="s">
        <v>2869</v>
      </c>
      <c r="E707" s="287" t="s">
        <v>376</v>
      </c>
      <c r="F707" s="287" t="s">
        <v>1658</v>
      </c>
      <c r="G707" s="185"/>
      <c r="H707" s="185"/>
    </row>
    <row r="708">
      <c r="A708" s="287" t="s">
        <v>223</v>
      </c>
      <c r="C708" s="287" t="s">
        <v>2870</v>
      </c>
      <c r="D708" s="288" t="s">
        <v>2871</v>
      </c>
      <c r="E708" s="287" t="s">
        <v>376</v>
      </c>
      <c r="F708" s="287" t="s">
        <v>1658</v>
      </c>
      <c r="G708" s="185"/>
      <c r="H708" s="185"/>
    </row>
    <row r="709">
      <c r="A709" s="287" t="s">
        <v>223</v>
      </c>
      <c r="C709" s="287" t="s">
        <v>2872</v>
      </c>
      <c r="D709" s="288" t="s">
        <v>2873</v>
      </c>
      <c r="E709" s="287" t="s">
        <v>376</v>
      </c>
      <c r="F709" s="287" t="s">
        <v>1658</v>
      </c>
      <c r="G709" s="185"/>
      <c r="H709" s="185"/>
    </row>
    <row r="710">
      <c r="A710" s="287" t="s">
        <v>223</v>
      </c>
      <c r="C710" s="287" t="s">
        <v>2874</v>
      </c>
      <c r="D710" s="288" t="s">
        <v>1875</v>
      </c>
      <c r="E710" s="287" t="s">
        <v>376</v>
      </c>
      <c r="F710" s="287" t="s">
        <v>1658</v>
      </c>
      <c r="G710" s="185"/>
      <c r="H710" s="185"/>
    </row>
    <row r="711">
      <c r="A711" s="287" t="s">
        <v>223</v>
      </c>
      <c r="C711" s="287" t="s">
        <v>2875</v>
      </c>
      <c r="D711" s="288" t="s">
        <v>2876</v>
      </c>
      <c r="E711" s="287" t="s">
        <v>376</v>
      </c>
      <c r="F711" s="287" t="s">
        <v>1658</v>
      </c>
      <c r="G711" s="185"/>
      <c r="H711" s="185"/>
    </row>
    <row r="712">
      <c r="A712" s="287" t="s">
        <v>223</v>
      </c>
      <c r="C712" s="287" t="s">
        <v>2877</v>
      </c>
      <c r="D712" s="288" t="s">
        <v>2878</v>
      </c>
      <c r="E712" s="287" t="s">
        <v>376</v>
      </c>
      <c r="F712" s="287" t="s">
        <v>1658</v>
      </c>
      <c r="G712" s="185"/>
      <c r="H712" s="185"/>
    </row>
    <row r="713">
      <c r="A713" s="287" t="s">
        <v>223</v>
      </c>
      <c r="C713" s="287" t="s">
        <v>2879</v>
      </c>
      <c r="D713" s="288" t="s">
        <v>2880</v>
      </c>
      <c r="E713" s="287" t="s">
        <v>376</v>
      </c>
      <c r="F713" s="287" t="s">
        <v>1658</v>
      </c>
      <c r="G713" s="185"/>
      <c r="H713" s="185"/>
    </row>
    <row r="714">
      <c r="A714" s="287" t="s">
        <v>223</v>
      </c>
      <c r="C714" s="287" t="s">
        <v>2881</v>
      </c>
      <c r="D714" s="288" t="s">
        <v>2882</v>
      </c>
      <c r="E714" s="287" t="s">
        <v>376</v>
      </c>
      <c r="F714" s="185"/>
      <c r="G714" s="185"/>
      <c r="H714" s="185"/>
    </row>
    <row r="715">
      <c r="A715" s="287" t="s">
        <v>223</v>
      </c>
      <c r="C715" s="287" t="s">
        <v>2883</v>
      </c>
      <c r="D715" s="288" t="s">
        <v>2884</v>
      </c>
      <c r="E715" s="287" t="s">
        <v>376</v>
      </c>
      <c r="F715" s="185"/>
      <c r="G715" s="185"/>
      <c r="H715" s="185"/>
    </row>
    <row r="716">
      <c r="A716" s="287" t="s">
        <v>223</v>
      </c>
      <c r="C716" s="287" t="s">
        <v>2885</v>
      </c>
      <c r="D716" s="288" t="s">
        <v>385</v>
      </c>
      <c r="E716" s="287" t="s">
        <v>376</v>
      </c>
      <c r="F716" s="185"/>
      <c r="G716" s="185"/>
      <c r="H716" s="185"/>
    </row>
    <row r="717">
      <c r="A717" s="287" t="s">
        <v>223</v>
      </c>
      <c r="C717" s="287" t="s">
        <v>2092</v>
      </c>
      <c r="D717" s="288" t="s">
        <v>2886</v>
      </c>
      <c r="E717" s="287" t="s">
        <v>376</v>
      </c>
      <c r="F717" s="185"/>
      <c r="G717" s="185"/>
      <c r="H717" s="185"/>
    </row>
    <row r="718">
      <c r="A718" s="287" t="s">
        <v>223</v>
      </c>
      <c r="C718" s="287" t="s">
        <v>2887</v>
      </c>
      <c r="D718" s="288" t="s">
        <v>554</v>
      </c>
      <c r="E718" s="287" t="s">
        <v>376</v>
      </c>
      <c r="F718" s="287" t="s">
        <v>1658</v>
      </c>
      <c r="G718" s="185"/>
      <c r="H718" s="185"/>
    </row>
    <row r="719">
      <c r="A719" s="185"/>
      <c r="B719" s="185"/>
      <c r="C719" s="185"/>
      <c r="D719" s="185"/>
      <c r="E719" s="185"/>
      <c r="F719" s="185"/>
      <c r="G719" s="185"/>
      <c r="H719" s="185"/>
    </row>
    <row r="720">
      <c r="A720" s="286" t="s">
        <v>24</v>
      </c>
    </row>
    <row r="721">
      <c r="A721" s="287" t="s">
        <v>2888</v>
      </c>
      <c r="B721" s="285" t="s">
        <v>290</v>
      </c>
      <c r="C721" s="287" t="s">
        <v>2889</v>
      </c>
      <c r="D721" s="288" t="s">
        <v>436</v>
      </c>
      <c r="E721" s="287" t="s">
        <v>2278</v>
      </c>
      <c r="F721" s="287" t="s">
        <v>1658</v>
      </c>
      <c r="G721" s="185"/>
      <c r="H721" s="290" t="s">
        <v>2890</v>
      </c>
    </row>
    <row r="722">
      <c r="A722" s="287" t="s">
        <v>2888</v>
      </c>
      <c r="C722" s="287" t="s">
        <v>2891</v>
      </c>
      <c r="D722" s="288" t="s">
        <v>586</v>
      </c>
      <c r="E722" s="287" t="s">
        <v>2278</v>
      </c>
      <c r="F722" s="287" t="s">
        <v>1658</v>
      </c>
      <c r="G722" s="185"/>
    </row>
    <row r="723">
      <c r="A723" s="287" t="s">
        <v>2888</v>
      </c>
      <c r="C723" s="287" t="s">
        <v>2892</v>
      </c>
      <c r="D723" s="288" t="s">
        <v>546</v>
      </c>
      <c r="E723" s="287" t="s">
        <v>2278</v>
      </c>
      <c r="F723" s="287" t="s">
        <v>1658</v>
      </c>
      <c r="G723" s="185"/>
    </row>
    <row r="724">
      <c r="A724" s="287" t="s">
        <v>2888</v>
      </c>
      <c r="C724" s="287" t="s">
        <v>2893</v>
      </c>
      <c r="D724" s="288" t="s">
        <v>2894</v>
      </c>
      <c r="E724" s="287" t="s">
        <v>2278</v>
      </c>
      <c r="F724" s="287" t="s">
        <v>1658</v>
      </c>
      <c r="G724" s="185"/>
    </row>
    <row r="725">
      <c r="A725" s="287" t="s">
        <v>2888</v>
      </c>
      <c r="C725" s="287" t="s">
        <v>2895</v>
      </c>
      <c r="D725" s="288" t="s">
        <v>2896</v>
      </c>
      <c r="E725" s="287" t="s">
        <v>2278</v>
      </c>
      <c r="F725" s="287" t="s">
        <v>1658</v>
      </c>
      <c r="G725" s="185"/>
    </row>
    <row r="726">
      <c r="A726" s="185"/>
      <c r="B726" s="184"/>
      <c r="C726" s="185"/>
      <c r="D726" s="185"/>
      <c r="E726" s="185"/>
      <c r="F726" s="185"/>
      <c r="G726" s="185"/>
      <c r="H726" s="185"/>
    </row>
    <row r="727">
      <c r="A727" s="287" t="s">
        <v>2897</v>
      </c>
      <c r="B727" s="315" t="s">
        <v>45</v>
      </c>
      <c r="C727" s="287" t="s">
        <v>2898</v>
      </c>
      <c r="D727" s="288" t="s">
        <v>2899</v>
      </c>
      <c r="E727" s="287" t="s">
        <v>2900</v>
      </c>
      <c r="F727" s="287" t="s">
        <v>1658</v>
      </c>
      <c r="G727" s="185"/>
      <c r="H727" s="288" t="s">
        <v>414</v>
      </c>
    </row>
    <row r="728">
      <c r="A728" s="287" t="s">
        <v>2897</v>
      </c>
      <c r="C728" s="287" t="s">
        <v>2901</v>
      </c>
      <c r="D728" s="288" t="s">
        <v>930</v>
      </c>
      <c r="E728" s="287" t="s">
        <v>2900</v>
      </c>
      <c r="F728" s="287" t="s">
        <v>1658</v>
      </c>
      <c r="G728" s="185"/>
    </row>
    <row r="729">
      <c r="A729" s="287" t="s">
        <v>2897</v>
      </c>
      <c r="C729" s="287" t="s">
        <v>2902</v>
      </c>
      <c r="D729" s="288" t="s">
        <v>1318</v>
      </c>
      <c r="E729" s="287" t="s">
        <v>2900</v>
      </c>
      <c r="F729" s="287" t="s">
        <v>1658</v>
      </c>
      <c r="G729" s="185"/>
    </row>
    <row r="730">
      <c r="A730" s="287" t="s">
        <v>2897</v>
      </c>
      <c r="C730" s="287" t="s">
        <v>2903</v>
      </c>
      <c r="D730" s="288" t="s">
        <v>823</v>
      </c>
      <c r="E730" s="287" t="s">
        <v>2900</v>
      </c>
      <c r="F730" s="287" t="s">
        <v>1658</v>
      </c>
      <c r="G730" s="185"/>
    </row>
    <row r="731">
      <c r="A731" s="287" t="s">
        <v>2897</v>
      </c>
      <c r="C731" s="287" t="s">
        <v>2904</v>
      </c>
      <c r="D731" s="288" t="s">
        <v>2905</v>
      </c>
      <c r="E731" s="287" t="s">
        <v>2900</v>
      </c>
      <c r="F731" s="287" t="s">
        <v>1658</v>
      </c>
      <c r="G731" s="185"/>
    </row>
    <row r="732">
      <c r="A732" s="287" t="s">
        <v>2897</v>
      </c>
      <c r="C732" s="287" t="s">
        <v>2906</v>
      </c>
      <c r="D732" s="288" t="s">
        <v>2907</v>
      </c>
      <c r="E732" s="287" t="s">
        <v>2900</v>
      </c>
      <c r="F732" s="287" t="s">
        <v>1658</v>
      </c>
      <c r="G732" s="185"/>
    </row>
    <row r="733">
      <c r="A733" s="287" t="s">
        <v>2897</v>
      </c>
      <c r="C733" s="287" t="s">
        <v>2908</v>
      </c>
      <c r="D733" s="288" t="s">
        <v>588</v>
      </c>
      <c r="E733" s="287" t="s">
        <v>2900</v>
      </c>
      <c r="F733" s="287" t="s">
        <v>1658</v>
      </c>
      <c r="G733" s="185"/>
    </row>
    <row r="734">
      <c r="A734" s="185"/>
      <c r="B734" s="184"/>
      <c r="C734" s="185"/>
      <c r="D734" s="185"/>
      <c r="E734" s="185"/>
      <c r="F734" s="185"/>
      <c r="G734" s="185"/>
      <c r="H734" s="185"/>
    </row>
    <row r="735">
      <c r="A735" s="330" t="s">
        <v>2909</v>
      </c>
    </row>
    <row r="736">
      <c r="A736" s="287" t="s">
        <v>2910</v>
      </c>
      <c r="B736" s="285" t="s">
        <v>1000</v>
      </c>
      <c r="C736" s="287" t="s">
        <v>2911</v>
      </c>
      <c r="D736" s="288" t="s">
        <v>2912</v>
      </c>
      <c r="E736" s="185"/>
      <c r="F736" s="185"/>
      <c r="G736" s="185"/>
      <c r="H736" s="185"/>
    </row>
    <row r="737">
      <c r="A737" s="287" t="s">
        <v>2910</v>
      </c>
      <c r="C737" s="287" t="s">
        <v>2913</v>
      </c>
      <c r="D737" s="288" t="s">
        <v>2914</v>
      </c>
      <c r="E737" s="185"/>
      <c r="F737" s="185"/>
      <c r="G737" s="185"/>
      <c r="H737" s="185"/>
    </row>
    <row r="738">
      <c r="A738" s="287" t="s">
        <v>2910</v>
      </c>
      <c r="C738" s="287" t="s">
        <v>2915</v>
      </c>
      <c r="D738" s="288" t="s">
        <v>2916</v>
      </c>
      <c r="E738" s="185"/>
      <c r="F738" s="185"/>
      <c r="G738" s="185"/>
      <c r="H738" s="185"/>
    </row>
    <row r="739">
      <c r="A739" s="287" t="s">
        <v>2910</v>
      </c>
      <c r="C739" s="287" t="s">
        <v>2917</v>
      </c>
      <c r="D739" s="288" t="s">
        <v>2918</v>
      </c>
      <c r="E739" s="185"/>
      <c r="F739" s="185"/>
      <c r="G739" s="185"/>
      <c r="H739" s="185"/>
    </row>
    <row r="740">
      <c r="A740" s="287" t="s">
        <v>2910</v>
      </c>
      <c r="C740" s="287" t="s">
        <v>2919</v>
      </c>
      <c r="D740" s="288" t="s">
        <v>2920</v>
      </c>
      <c r="E740" s="185"/>
      <c r="F740" s="185"/>
      <c r="G740" s="185"/>
      <c r="H740" s="185"/>
    </row>
    <row r="741">
      <c r="A741" s="287" t="s">
        <v>2910</v>
      </c>
      <c r="C741" s="287" t="s">
        <v>2921</v>
      </c>
      <c r="D741" s="288" t="s">
        <v>2922</v>
      </c>
      <c r="E741" s="185"/>
      <c r="F741" s="185"/>
      <c r="G741" s="185"/>
      <c r="H741" s="185"/>
    </row>
    <row r="742">
      <c r="A742" s="287" t="s">
        <v>2910</v>
      </c>
      <c r="C742" s="287" t="s">
        <v>2923</v>
      </c>
      <c r="D742" s="288" t="s">
        <v>1593</v>
      </c>
      <c r="E742" s="185"/>
      <c r="F742" s="185"/>
      <c r="G742" s="185"/>
      <c r="H742" s="185"/>
    </row>
    <row r="743">
      <c r="A743" s="287" t="s">
        <v>2910</v>
      </c>
      <c r="C743" s="287" t="s">
        <v>2924</v>
      </c>
      <c r="D743" s="288" t="s">
        <v>1594</v>
      </c>
      <c r="E743" s="185"/>
      <c r="F743" s="185"/>
      <c r="G743" s="185"/>
      <c r="H743" s="185"/>
    </row>
    <row r="744">
      <c r="A744" s="287" t="s">
        <v>2910</v>
      </c>
      <c r="C744" s="287" t="s">
        <v>2925</v>
      </c>
      <c r="D744" s="288" t="s">
        <v>1595</v>
      </c>
      <c r="E744" s="185"/>
      <c r="F744" s="185"/>
      <c r="G744" s="185"/>
      <c r="H744" s="185"/>
    </row>
    <row r="745">
      <c r="A745" s="287" t="s">
        <v>2910</v>
      </c>
      <c r="C745" s="287" t="s">
        <v>2926</v>
      </c>
      <c r="D745" s="288" t="s">
        <v>1596</v>
      </c>
      <c r="E745" s="185"/>
      <c r="F745" s="185"/>
      <c r="G745" s="185"/>
      <c r="H745" s="185"/>
    </row>
    <row r="746">
      <c r="A746" s="287" t="s">
        <v>2910</v>
      </c>
      <c r="C746" s="287" t="s">
        <v>2927</v>
      </c>
      <c r="D746" s="288" t="s">
        <v>1597</v>
      </c>
      <c r="E746" s="185"/>
      <c r="F746" s="185"/>
      <c r="G746" s="185"/>
      <c r="H746" s="185"/>
    </row>
    <row r="747">
      <c r="A747" s="287" t="s">
        <v>2910</v>
      </c>
      <c r="C747" s="287" t="s">
        <v>2928</v>
      </c>
      <c r="D747" s="288" t="s">
        <v>1598</v>
      </c>
      <c r="E747" s="185"/>
      <c r="F747" s="185"/>
      <c r="G747" s="185"/>
      <c r="H747" s="185"/>
    </row>
    <row r="748">
      <c r="A748" s="287" t="s">
        <v>2910</v>
      </c>
      <c r="C748" s="287" t="s">
        <v>2929</v>
      </c>
      <c r="D748" s="288" t="s">
        <v>1599</v>
      </c>
      <c r="E748" s="185"/>
      <c r="F748" s="185"/>
      <c r="G748" s="185"/>
      <c r="H748" s="185"/>
    </row>
    <row r="749">
      <c r="A749" s="287" t="s">
        <v>2910</v>
      </c>
      <c r="C749" s="287" t="s">
        <v>2930</v>
      </c>
      <c r="D749" s="288" t="s">
        <v>1600</v>
      </c>
      <c r="E749" s="185"/>
      <c r="F749" s="185"/>
      <c r="G749" s="185"/>
      <c r="H749" s="185"/>
    </row>
    <row r="750">
      <c r="A750" s="287" t="s">
        <v>2910</v>
      </c>
      <c r="C750" s="287" t="s">
        <v>2931</v>
      </c>
      <c r="D750" s="288" t="s">
        <v>1601</v>
      </c>
      <c r="E750" s="185"/>
      <c r="F750" s="185"/>
      <c r="G750" s="185"/>
      <c r="H750" s="185"/>
    </row>
    <row r="751">
      <c r="A751" s="287" t="s">
        <v>2910</v>
      </c>
      <c r="C751" s="287" t="s">
        <v>2932</v>
      </c>
      <c r="D751" s="288" t="s">
        <v>1602</v>
      </c>
      <c r="E751" s="185"/>
      <c r="F751" s="185"/>
      <c r="G751" s="185"/>
      <c r="H751" s="185"/>
    </row>
    <row r="752">
      <c r="A752" s="287" t="s">
        <v>2910</v>
      </c>
      <c r="C752" s="287" t="s">
        <v>1962</v>
      </c>
      <c r="D752" s="288" t="s">
        <v>1603</v>
      </c>
      <c r="E752" s="185"/>
      <c r="F752" s="185"/>
      <c r="G752" s="185"/>
      <c r="H752" s="185"/>
    </row>
    <row r="753">
      <c r="A753" s="287" t="s">
        <v>2910</v>
      </c>
      <c r="C753" s="287" t="s">
        <v>2933</v>
      </c>
      <c r="D753" s="288" t="s">
        <v>1604</v>
      </c>
      <c r="E753" s="185"/>
      <c r="F753" s="185"/>
      <c r="G753" s="185"/>
      <c r="H753" s="185"/>
    </row>
    <row r="754">
      <c r="A754" s="287" t="s">
        <v>2910</v>
      </c>
      <c r="C754" s="287" t="s">
        <v>2934</v>
      </c>
      <c r="D754" s="288" t="s">
        <v>1605</v>
      </c>
      <c r="E754" s="185"/>
      <c r="F754" s="185"/>
      <c r="G754" s="185"/>
      <c r="H754" s="185"/>
    </row>
    <row r="755">
      <c r="A755" s="299" t="s">
        <v>2935</v>
      </c>
      <c r="B755" s="300" t="s">
        <v>968</v>
      </c>
      <c r="C755" s="302"/>
      <c r="D755" s="301" t="s">
        <v>1606</v>
      </c>
      <c r="E755" s="302"/>
      <c r="F755" s="302"/>
      <c r="G755" s="302"/>
      <c r="H755" s="302"/>
    </row>
    <row r="756">
      <c r="A756" s="287" t="s">
        <v>2935</v>
      </c>
      <c r="C756" s="185"/>
      <c r="D756" s="288" t="s">
        <v>1607</v>
      </c>
      <c r="E756" s="185"/>
      <c r="F756" s="185"/>
      <c r="G756" s="185"/>
      <c r="H756" s="185"/>
    </row>
    <row r="757">
      <c r="A757" s="287" t="s">
        <v>2935</v>
      </c>
      <c r="C757" s="185"/>
      <c r="D757" s="288" t="s">
        <v>1608</v>
      </c>
      <c r="E757" s="185"/>
      <c r="F757" s="185"/>
      <c r="G757" s="185"/>
      <c r="H757" s="185"/>
    </row>
    <row r="758">
      <c r="A758" s="287" t="s">
        <v>2935</v>
      </c>
      <c r="C758" s="185"/>
      <c r="D758" s="288" t="s">
        <v>1609</v>
      </c>
      <c r="E758" s="185"/>
      <c r="F758" s="185"/>
      <c r="G758" s="185"/>
      <c r="H758" s="185"/>
    </row>
    <row r="759">
      <c r="A759" s="287" t="s">
        <v>2935</v>
      </c>
      <c r="C759" s="185"/>
      <c r="D759" s="288" t="s">
        <v>1610</v>
      </c>
      <c r="E759" s="185"/>
      <c r="F759" s="185"/>
      <c r="G759" s="185"/>
      <c r="H759" s="185"/>
    </row>
    <row r="760">
      <c r="A760" s="287" t="s">
        <v>2935</v>
      </c>
      <c r="C760" s="185"/>
      <c r="D760" s="289" t="s">
        <v>2916</v>
      </c>
      <c r="E760" s="185"/>
      <c r="F760" s="185"/>
      <c r="G760" s="185"/>
      <c r="H760" s="185"/>
    </row>
    <row r="761">
      <c r="A761" s="287" t="s">
        <v>2935</v>
      </c>
      <c r="C761" s="185"/>
      <c r="D761" s="289" t="s">
        <v>2936</v>
      </c>
      <c r="E761" s="185"/>
      <c r="F761" s="185"/>
      <c r="G761" s="185"/>
      <c r="H761" s="185"/>
    </row>
    <row r="762">
      <c r="A762" s="287" t="s">
        <v>2935</v>
      </c>
      <c r="C762" s="185"/>
      <c r="D762" s="288" t="s">
        <v>2937</v>
      </c>
      <c r="E762" s="185"/>
      <c r="F762" s="185"/>
      <c r="G762" s="185"/>
      <c r="H762" s="185"/>
    </row>
    <row r="763">
      <c r="A763" s="287" t="s">
        <v>2935</v>
      </c>
      <c r="C763" s="185"/>
      <c r="D763" s="289" t="s">
        <v>1600</v>
      </c>
      <c r="E763" s="185"/>
      <c r="F763" s="185"/>
      <c r="G763" s="185"/>
      <c r="H763" s="185"/>
    </row>
    <row r="764">
      <c r="A764" s="287" t="s">
        <v>2935</v>
      </c>
      <c r="C764" s="185"/>
      <c r="D764" s="289" t="s">
        <v>2938</v>
      </c>
      <c r="E764" s="185"/>
      <c r="F764" s="185"/>
      <c r="G764" s="185"/>
      <c r="H764" s="185"/>
    </row>
    <row r="765">
      <c r="A765" s="287" t="s">
        <v>2935</v>
      </c>
      <c r="C765" s="185"/>
      <c r="D765" s="288" t="s">
        <v>2939</v>
      </c>
      <c r="E765" s="185"/>
      <c r="F765" s="185"/>
      <c r="G765" s="185"/>
      <c r="H765" s="185"/>
    </row>
    <row r="766">
      <c r="A766" s="287" t="s">
        <v>2935</v>
      </c>
      <c r="C766" s="185"/>
      <c r="D766" s="289" t="s">
        <v>1595</v>
      </c>
      <c r="E766" s="185"/>
      <c r="F766" s="185"/>
      <c r="G766" s="185"/>
      <c r="H766" s="185"/>
    </row>
    <row r="767">
      <c r="A767" s="287" t="s">
        <v>2935</v>
      </c>
      <c r="C767" s="185"/>
      <c r="D767" s="289" t="s">
        <v>2940</v>
      </c>
      <c r="E767" s="185"/>
      <c r="F767" s="185"/>
      <c r="G767" s="185"/>
      <c r="H767" s="185"/>
    </row>
    <row r="768">
      <c r="A768" s="287" t="s">
        <v>2935</v>
      </c>
      <c r="C768" s="185"/>
      <c r="D768" s="289" t="s">
        <v>2941</v>
      </c>
      <c r="E768" s="185"/>
      <c r="F768" s="185"/>
      <c r="G768" s="185"/>
      <c r="H768" s="185"/>
    </row>
    <row r="769">
      <c r="A769" s="287" t="s">
        <v>2935</v>
      </c>
      <c r="C769" s="185"/>
      <c r="D769" s="288" t="s">
        <v>2942</v>
      </c>
      <c r="E769" s="185"/>
      <c r="F769" s="185"/>
      <c r="G769" s="185"/>
      <c r="H769" s="185"/>
    </row>
    <row r="770">
      <c r="A770" s="287" t="s">
        <v>2935</v>
      </c>
      <c r="C770" s="185"/>
      <c r="D770" s="289" t="s">
        <v>2943</v>
      </c>
      <c r="E770" s="185"/>
      <c r="F770" s="185"/>
      <c r="G770" s="185"/>
      <c r="H770" s="185"/>
    </row>
    <row r="771">
      <c r="A771" s="287" t="s">
        <v>2935</v>
      </c>
      <c r="C771" s="185"/>
      <c r="D771" s="288" t="s">
        <v>2944</v>
      </c>
      <c r="E771" s="185"/>
      <c r="F771" s="185"/>
      <c r="G771" s="185"/>
      <c r="H771" s="185"/>
    </row>
    <row r="772">
      <c r="A772" s="287" t="s">
        <v>2935</v>
      </c>
      <c r="C772" s="185"/>
      <c r="D772" s="289" t="s">
        <v>2945</v>
      </c>
      <c r="E772" s="185"/>
      <c r="F772" s="185"/>
      <c r="G772" s="185"/>
      <c r="H772" s="185"/>
    </row>
    <row r="773">
      <c r="A773" s="287" t="s">
        <v>2935</v>
      </c>
      <c r="C773" s="185"/>
      <c r="D773" s="289" t="s">
        <v>2946</v>
      </c>
      <c r="E773" s="185"/>
      <c r="F773" s="185"/>
      <c r="G773" s="185"/>
      <c r="H773" s="185"/>
    </row>
    <row r="774">
      <c r="A774" s="287" t="s">
        <v>2935</v>
      </c>
      <c r="C774" s="185"/>
      <c r="D774" s="289" t="s">
        <v>2947</v>
      </c>
      <c r="E774" s="185"/>
      <c r="F774" s="185"/>
      <c r="G774" s="185"/>
      <c r="H774" s="185"/>
    </row>
    <row r="775">
      <c r="A775" s="299" t="s">
        <v>2948</v>
      </c>
      <c r="B775" s="300" t="s">
        <v>551</v>
      </c>
      <c r="C775" s="302"/>
      <c r="D775" s="306" t="s">
        <v>2949</v>
      </c>
      <c r="E775" s="302"/>
      <c r="F775" s="302"/>
      <c r="G775" s="302"/>
      <c r="H775" s="302"/>
    </row>
    <row r="776">
      <c r="A776" s="287" t="s">
        <v>2948</v>
      </c>
      <c r="C776" s="185"/>
      <c r="D776" s="289" t="s">
        <v>2950</v>
      </c>
      <c r="E776" s="185"/>
      <c r="F776" s="185"/>
      <c r="G776" s="185"/>
      <c r="H776" s="185"/>
    </row>
    <row r="777">
      <c r="A777" s="287" t="s">
        <v>2948</v>
      </c>
      <c r="C777" s="185"/>
      <c r="D777" s="289" t="s">
        <v>2951</v>
      </c>
      <c r="E777" s="185"/>
      <c r="F777" s="185"/>
      <c r="G777" s="185"/>
      <c r="H777" s="185"/>
    </row>
    <row r="778">
      <c r="A778" s="287" t="s">
        <v>2948</v>
      </c>
      <c r="C778" s="185"/>
      <c r="D778" s="289" t="s">
        <v>2952</v>
      </c>
      <c r="E778" s="185"/>
      <c r="F778" s="185"/>
      <c r="G778" s="185"/>
      <c r="H778" s="185"/>
    </row>
    <row r="779">
      <c r="A779" s="287" t="s">
        <v>2948</v>
      </c>
      <c r="C779" s="185"/>
      <c r="D779" s="289" t="s">
        <v>2953</v>
      </c>
      <c r="E779" s="185"/>
      <c r="F779" s="185"/>
      <c r="G779" s="185"/>
      <c r="H779" s="185"/>
    </row>
    <row r="780">
      <c r="A780" s="287" t="s">
        <v>2948</v>
      </c>
      <c r="C780" s="185"/>
      <c r="D780" s="289" t="s">
        <v>2954</v>
      </c>
      <c r="E780" s="185"/>
      <c r="F780" s="185"/>
      <c r="G780" s="185"/>
      <c r="H780" s="185"/>
    </row>
    <row r="781">
      <c r="A781" s="287" t="s">
        <v>2948</v>
      </c>
      <c r="C781" s="185"/>
      <c r="D781" s="289" t="s">
        <v>2955</v>
      </c>
      <c r="E781" s="185"/>
      <c r="F781" s="185"/>
      <c r="G781" s="185"/>
      <c r="H781" s="185"/>
    </row>
    <row r="782">
      <c r="A782" s="287" t="s">
        <v>2948</v>
      </c>
      <c r="C782" s="185"/>
      <c r="D782" s="289" t="s">
        <v>2956</v>
      </c>
      <c r="E782" s="185"/>
      <c r="F782" s="185"/>
      <c r="G782" s="185"/>
      <c r="H782" s="185"/>
    </row>
    <row r="783">
      <c r="A783" s="287" t="s">
        <v>2948</v>
      </c>
      <c r="C783" s="185"/>
      <c r="D783" s="289" t="s">
        <v>2957</v>
      </c>
      <c r="E783" s="185"/>
      <c r="F783" s="185"/>
      <c r="G783" s="185"/>
      <c r="H783" s="185"/>
    </row>
    <row r="784">
      <c r="A784" s="287" t="s">
        <v>2948</v>
      </c>
      <c r="C784" s="185"/>
      <c r="D784" s="289" t="s">
        <v>2946</v>
      </c>
      <c r="E784" s="185"/>
      <c r="F784" s="185"/>
      <c r="G784" s="185"/>
      <c r="H784" s="185"/>
    </row>
    <row r="785">
      <c r="A785" s="287" t="s">
        <v>2948</v>
      </c>
      <c r="C785" s="185"/>
      <c r="D785" s="288" t="s">
        <v>2947</v>
      </c>
      <c r="E785" s="185"/>
      <c r="F785" s="185"/>
      <c r="G785" s="185"/>
      <c r="H785" s="185"/>
    </row>
    <row r="786">
      <c r="A786" s="287" t="s">
        <v>2948</v>
      </c>
      <c r="C786" s="185"/>
      <c r="D786" s="288" t="s">
        <v>2958</v>
      </c>
      <c r="E786" s="185"/>
      <c r="F786" s="185"/>
      <c r="G786" s="185"/>
      <c r="H786" s="185"/>
    </row>
    <row r="787">
      <c r="A787" s="287" t="s">
        <v>2948</v>
      </c>
      <c r="C787" s="185"/>
      <c r="D787" s="288" t="s">
        <v>2959</v>
      </c>
      <c r="E787" s="185"/>
      <c r="F787" s="185"/>
      <c r="G787" s="185"/>
      <c r="H787" s="185"/>
    </row>
    <row r="788">
      <c r="A788" s="287" t="s">
        <v>2948</v>
      </c>
      <c r="C788" s="185"/>
      <c r="D788" s="288" t="s">
        <v>2960</v>
      </c>
      <c r="E788" s="185"/>
      <c r="F788" s="185"/>
      <c r="G788" s="185"/>
      <c r="H788" s="185"/>
    </row>
    <row r="789">
      <c r="A789" s="287" t="s">
        <v>2948</v>
      </c>
      <c r="C789" s="185"/>
      <c r="D789" s="288" t="s">
        <v>2961</v>
      </c>
      <c r="E789" s="185"/>
      <c r="F789" s="185"/>
      <c r="G789" s="185"/>
      <c r="H789" s="185"/>
    </row>
    <row r="790">
      <c r="A790" s="287" t="s">
        <v>2948</v>
      </c>
      <c r="C790" s="185"/>
      <c r="D790" s="288" t="s">
        <v>2962</v>
      </c>
      <c r="E790" s="185"/>
      <c r="F790" s="185"/>
      <c r="G790" s="185"/>
      <c r="H790" s="185"/>
    </row>
    <row r="791">
      <c r="A791" s="287" t="s">
        <v>2948</v>
      </c>
      <c r="C791" s="185"/>
      <c r="D791" s="288" t="s">
        <v>2963</v>
      </c>
      <c r="E791" s="185"/>
      <c r="F791" s="185"/>
      <c r="G791" s="185"/>
      <c r="H791" s="185"/>
    </row>
    <row r="792">
      <c r="A792" s="287" t="s">
        <v>2948</v>
      </c>
      <c r="C792" s="185"/>
      <c r="D792" s="288" t="s">
        <v>2964</v>
      </c>
      <c r="E792" s="185"/>
      <c r="F792" s="185"/>
      <c r="G792" s="185"/>
      <c r="H792" s="185"/>
    </row>
    <row r="793">
      <c r="A793" s="287" t="s">
        <v>2948</v>
      </c>
      <c r="C793" s="185"/>
      <c r="D793" s="288" t="s">
        <v>2965</v>
      </c>
      <c r="E793" s="185"/>
      <c r="F793" s="185"/>
      <c r="G793" s="185"/>
      <c r="H793" s="185"/>
    </row>
    <row r="794">
      <c r="A794" s="299" t="s">
        <v>2966</v>
      </c>
      <c r="B794" s="300" t="s">
        <v>768</v>
      </c>
      <c r="C794" s="302"/>
      <c r="D794" s="301" t="s">
        <v>2922</v>
      </c>
      <c r="E794" s="302"/>
      <c r="F794" s="302"/>
      <c r="G794" s="302"/>
      <c r="H794" s="302"/>
    </row>
    <row r="795">
      <c r="A795" s="287" t="s">
        <v>2966</v>
      </c>
      <c r="C795" s="185"/>
      <c r="D795" s="288" t="s">
        <v>2967</v>
      </c>
      <c r="E795" s="185"/>
      <c r="F795" s="185"/>
      <c r="G795" s="185"/>
      <c r="H795" s="185"/>
    </row>
    <row r="796">
      <c r="A796" s="287" t="s">
        <v>2966</v>
      </c>
      <c r="C796" s="185"/>
      <c r="D796" s="288" t="s">
        <v>2968</v>
      </c>
      <c r="E796" s="185"/>
      <c r="F796" s="185"/>
      <c r="G796" s="185"/>
      <c r="H796" s="185"/>
    </row>
    <row r="797">
      <c r="A797" s="287" t="s">
        <v>2966</v>
      </c>
      <c r="C797" s="185"/>
      <c r="D797" s="288" t="s">
        <v>2959</v>
      </c>
      <c r="E797" s="185"/>
      <c r="F797" s="185"/>
      <c r="G797" s="185"/>
      <c r="H797" s="185"/>
    </row>
    <row r="798">
      <c r="A798" s="287" t="s">
        <v>2966</v>
      </c>
      <c r="C798" s="185"/>
      <c r="D798" s="288" t="s">
        <v>2969</v>
      </c>
      <c r="E798" s="185"/>
      <c r="F798" s="185"/>
      <c r="G798" s="185"/>
      <c r="H798" s="185"/>
    </row>
    <row r="799">
      <c r="A799" s="287" t="s">
        <v>2966</v>
      </c>
      <c r="C799" s="185"/>
      <c r="D799" s="288" t="s">
        <v>2970</v>
      </c>
      <c r="E799" s="185"/>
      <c r="F799" s="185"/>
      <c r="G799" s="185"/>
      <c r="H799" s="185"/>
    </row>
    <row r="800">
      <c r="A800" s="287" t="s">
        <v>2966</v>
      </c>
      <c r="C800" s="185"/>
      <c r="D800" s="288" t="s">
        <v>2971</v>
      </c>
      <c r="E800" s="185"/>
      <c r="F800" s="185"/>
      <c r="G800" s="185"/>
      <c r="H800" s="185"/>
    </row>
    <row r="801">
      <c r="A801" s="287" t="s">
        <v>2966</v>
      </c>
      <c r="C801" s="185"/>
      <c r="D801" s="288" t="s">
        <v>2972</v>
      </c>
      <c r="E801" s="185"/>
      <c r="F801" s="185"/>
      <c r="G801" s="185"/>
      <c r="H801" s="185"/>
    </row>
    <row r="802">
      <c r="A802" s="287" t="s">
        <v>2966</v>
      </c>
      <c r="C802" s="185"/>
      <c r="D802" s="288" t="s">
        <v>2973</v>
      </c>
      <c r="E802" s="185"/>
      <c r="F802" s="185"/>
      <c r="G802" s="185"/>
      <c r="H802" s="185"/>
    </row>
    <row r="803">
      <c r="A803" s="287" t="s">
        <v>2966</v>
      </c>
      <c r="C803" s="185"/>
      <c r="D803" s="288" t="s">
        <v>2974</v>
      </c>
      <c r="E803" s="185"/>
      <c r="F803" s="185"/>
      <c r="G803" s="185"/>
      <c r="H803" s="185"/>
    </row>
    <row r="804">
      <c r="A804" s="287" t="s">
        <v>2966</v>
      </c>
      <c r="C804" s="185"/>
      <c r="D804" s="288" t="s">
        <v>2975</v>
      </c>
      <c r="E804" s="185"/>
      <c r="F804" s="185"/>
      <c r="G804" s="185"/>
      <c r="H804" s="185"/>
    </row>
    <row r="805">
      <c r="A805" s="287" t="s">
        <v>2966</v>
      </c>
      <c r="C805" s="185"/>
      <c r="D805" s="288" t="s">
        <v>2976</v>
      </c>
      <c r="E805" s="185"/>
      <c r="F805" s="185"/>
      <c r="G805" s="185"/>
      <c r="H805" s="185"/>
    </row>
    <row r="806">
      <c r="A806" s="287" t="s">
        <v>2966</v>
      </c>
      <c r="C806" s="185"/>
      <c r="D806" s="288" t="s">
        <v>2977</v>
      </c>
      <c r="E806" s="185"/>
      <c r="F806" s="185"/>
      <c r="G806" s="185"/>
      <c r="H806" s="185"/>
    </row>
    <row r="807">
      <c r="A807" s="287" t="s">
        <v>2966</v>
      </c>
      <c r="C807" s="185"/>
      <c r="D807" s="288" t="s">
        <v>2978</v>
      </c>
      <c r="E807" s="185"/>
      <c r="F807" s="185"/>
      <c r="G807" s="185"/>
      <c r="H807" s="185"/>
    </row>
    <row r="808">
      <c r="A808" s="287" t="s">
        <v>2966</v>
      </c>
      <c r="C808" s="185"/>
      <c r="D808" s="288" t="s">
        <v>2979</v>
      </c>
      <c r="E808" s="185"/>
      <c r="F808" s="185"/>
      <c r="G808" s="185"/>
      <c r="H808" s="185"/>
    </row>
    <row r="809">
      <c r="A809" s="287" t="s">
        <v>2966</v>
      </c>
      <c r="C809" s="185"/>
      <c r="D809" s="288" t="s">
        <v>2980</v>
      </c>
      <c r="E809" s="185"/>
      <c r="F809" s="185"/>
      <c r="G809" s="185"/>
      <c r="H809" s="185"/>
    </row>
    <row r="810">
      <c r="A810" s="287" t="s">
        <v>2966</v>
      </c>
      <c r="C810" s="185"/>
      <c r="D810" s="288" t="s">
        <v>2981</v>
      </c>
      <c r="E810" s="185"/>
      <c r="F810" s="185"/>
      <c r="G810" s="185"/>
      <c r="H810" s="185"/>
    </row>
    <row r="811">
      <c r="A811" s="287" t="s">
        <v>2966</v>
      </c>
      <c r="C811" s="185"/>
      <c r="D811" s="288" t="s">
        <v>2982</v>
      </c>
      <c r="E811" s="185"/>
      <c r="F811" s="185"/>
      <c r="G811" s="185"/>
      <c r="H811" s="185"/>
    </row>
    <row r="812">
      <c r="A812" s="287" t="s">
        <v>2966</v>
      </c>
      <c r="C812" s="185"/>
      <c r="D812" s="288" t="s">
        <v>1851</v>
      </c>
      <c r="E812" s="185"/>
      <c r="F812" s="185"/>
      <c r="G812" s="185"/>
      <c r="H812" s="185"/>
    </row>
    <row r="813">
      <c r="A813" s="287" t="s">
        <v>2966</v>
      </c>
      <c r="C813" s="185"/>
      <c r="D813" s="288" t="s">
        <v>2983</v>
      </c>
      <c r="E813" s="185"/>
      <c r="F813" s="185"/>
      <c r="G813" s="185"/>
      <c r="H813" s="185"/>
    </row>
    <row r="814">
      <c r="A814" s="287" t="s">
        <v>2966</v>
      </c>
      <c r="C814" s="185"/>
      <c r="D814" s="288" t="s">
        <v>935</v>
      </c>
      <c r="E814" s="185"/>
      <c r="F814" s="185"/>
      <c r="G814" s="185"/>
      <c r="H814" s="185"/>
    </row>
    <row r="815">
      <c r="A815" s="287" t="s">
        <v>2966</v>
      </c>
      <c r="C815" s="185"/>
      <c r="D815" s="288" t="s">
        <v>2984</v>
      </c>
      <c r="E815" s="185"/>
      <c r="F815" s="185"/>
      <c r="G815" s="185"/>
      <c r="H815" s="185"/>
    </row>
    <row r="816">
      <c r="A816" s="287" t="s">
        <v>2966</v>
      </c>
      <c r="C816" s="185"/>
      <c r="D816" s="289" t="s">
        <v>2985</v>
      </c>
      <c r="E816" s="185"/>
      <c r="F816" s="185"/>
      <c r="G816" s="185"/>
      <c r="H816" s="185"/>
    </row>
    <row r="817">
      <c r="A817" s="287" t="s">
        <v>2966</v>
      </c>
      <c r="C817" s="185"/>
      <c r="D817" s="289" t="s">
        <v>2986</v>
      </c>
      <c r="E817" s="185"/>
      <c r="F817" s="185"/>
      <c r="G817" s="185"/>
      <c r="H817" s="185"/>
    </row>
    <row r="818">
      <c r="A818" s="287" t="s">
        <v>2966</v>
      </c>
      <c r="C818" s="185"/>
      <c r="D818" s="289" t="s">
        <v>2987</v>
      </c>
      <c r="E818" s="185"/>
      <c r="F818" s="185"/>
      <c r="G818" s="185"/>
      <c r="H818" s="185"/>
    </row>
    <row r="819">
      <c r="A819" s="287" t="s">
        <v>2966</v>
      </c>
      <c r="C819" s="185"/>
      <c r="D819" s="289" t="s">
        <v>2988</v>
      </c>
      <c r="E819" s="185"/>
      <c r="F819" s="185"/>
      <c r="G819" s="185"/>
      <c r="H819" s="185"/>
    </row>
    <row r="820">
      <c r="A820" s="287" t="s">
        <v>2966</v>
      </c>
      <c r="C820" s="185"/>
      <c r="D820" s="289" t="s">
        <v>2989</v>
      </c>
      <c r="E820" s="185"/>
      <c r="F820" s="185"/>
      <c r="G820" s="185"/>
      <c r="H820" s="185"/>
    </row>
    <row r="821">
      <c r="A821" s="287" t="s">
        <v>2966</v>
      </c>
      <c r="C821" s="185"/>
      <c r="D821" s="289" t="s">
        <v>2990</v>
      </c>
      <c r="E821" s="185"/>
      <c r="F821" s="185"/>
      <c r="G821" s="185"/>
      <c r="H821" s="185"/>
    </row>
    <row r="822">
      <c r="A822" s="287" t="s">
        <v>2966</v>
      </c>
      <c r="C822" s="185"/>
      <c r="D822" s="289" t="s">
        <v>2991</v>
      </c>
      <c r="E822" s="185"/>
      <c r="F822" s="185"/>
      <c r="G822" s="185"/>
      <c r="H822" s="185"/>
    </row>
    <row r="823">
      <c r="A823" s="287" t="s">
        <v>2966</v>
      </c>
      <c r="C823" s="185"/>
      <c r="D823" s="289" t="s">
        <v>2992</v>
      </c>
      <c r="E823" s="185"/>
      <c r="F823" s="185"/>
      <c r="G823" s="185"/>
      <c r="H823" s="185"/>
    </row>
    <row r="824">
      <c r="A824" s="287" t="s">
        <v>2966</v>
      </c>
      <c r="C824" s="185"/>
      <c r="D824" s="289" t="s">
        <v>2993</v>
      </c>
      <c r="E824" s="185"/>
      <c r="F824" s="185"/>
      <c r="G824" s="185"/>
      <c r="H824" s="185"/>
    </row>
    <row r="825">
      <c r="A825" s="287" t="s">
        <v>2966</v>
      </c>
      <c r="C825" s="185"/>
      <c r="D825" s="184"/>
      <c r="E825" s="185"/>
      <c r="F825" s="185"/>
      <c r="G825" s="185"/>
      <c r="H825" s="185"/>
    </row>
    <row r="826">
      <c r="A826" s="287" t="s">
        <v>2966</v>
      </c>
      <c r="C826" s="185"/>
      <c r="D826" s="184"/>
      <c r="E826" s="185"/>
      <c r="F826" s="185"/>
      <c r="G826" s="185"/>
      <c r="H826" s="185"/>
    </row>
    <row r="827">
      <c r="A827" s="287" t="s">
        <v>2966</v>
      </c>
      <c r="C827" s="185"/>
      <c r="D827" s="184"/>
      <c r="E827" s="185"/>
      <c r="F827" s="185"/>
      <c r="G827" s="185"/>
      <c r="H827" s="185"/>
    </row>
    <row r="828">
      <c r="A828" s="287" t="s">
        <v>2966</v>
      </c>
      <c r="C828" s="185"/>
      <c r="D828" s="184"/>
      <c r="E828" s="185"/>
      <c r="F828" s="185"/>
      <c r="G828" s="185"/>
      <c r="H828" s="185"/>
    </row>
    <row r="829">
      <c r="A829" s="287" t="s">
        <v>2966</v>
      </c>
      <c r="C829" s="185"/>
      <c r="D829" s="184"/>
      <c r="E829" s="185"/>
      <c r="F829" s="185"/>
      <c r="G829" s="185"/>
      <c r="H829" s="185"/>
    </row>
    <row r="830">
      <c r="A830" s="287" t="s">
        <v>2966</v>
      </c>
      <c r="C830" s="185"/>
      <c r="D830" s="184"/>
      <c r="E830" s="185"/>
      <c r="F830" s="185"/>
      <c r="G830" s="185"/>
      <c r="H830" s="185"/>
    </row>
    <row r="831">
      <c r="A831" s="287" t="s">
        <v>2966</v>
      </c>
      <c r="C831" s="185"/>
      <c r="D831" s="184"/>
      <c r="E831" s="185"/>
      <c r="F831" s="185"/>
      <c r="G831" s="185"/>
      <c r="H831" s="185"/>
    </row>
    <row r="832">
      <c r="A832" s="299" t="s">
        <v>2994</v>
      </c>
      <c r="B832" s="300" t="s">
        <v>921</v>
      </c>
      <c r="C832" s="302"/>
      <c r="D832" s="306" t="s">
        <v>2995</v>
      </c>
      <c r="E832" s="302"/>
      <c r="F832" s="302"/>
      <c r="G832" s="302"/>
      <c r="H832" s="302"/>
    </row>
    <row r="833">
      <c r="A833" s="287" t="s">
        <v>2994</v>
      </c>
      <c r="C833" s="185"/>
      <c r="D833" s="289" t="s">
        <v>2996</v>
      </c>
      <c r="E833" s="185"/>
      <c r="F833" s="185"/>
      <c r="G833" s="185"/>
      <c r="H833" s="185"/>
    </row>
    <row r="834">
      <c r="A834" s="287" t="s">
        <v>2994</v>
      </c>
      <c r="C834" s="185"/>
      <c r="D834" s="289" t="s">
        <v>2997</v>
      </c>
      <c r="E834" s="185"/>
      <c r="F834" s="185"/>
      <c r="G834" s="185"/>
      <c r="H834" s="185"/>
    </row>
    <row r="835">
      <c r="A835" s="287" t="s">
        <v>2994</v>
      </c>
      <c r="C835" s="185"/>
      <c r="D835" s="289" t="s">
        <v>1609</v>
      </c>
      <c r="E835" s="185"/>
      <c r="F835" s="185"/>
      <c r="G835" s="185"/>
      <c r="H835" s="185"/>
    </row>
    <row r="836">
      <c r="A836" s="287" t="s">
        <v>2994</v>
      </c>
      <c r="C836" s="185"/>
      <c r="D836" s="289" t="s">
        <v>2998</v>
      </c>
      <c r="E836" s="185"/>
      <c r="F836" s="185"/>
      <c r="G836" s="185"/>
      <c r="H836" s="185"/>
    </row>
    <row r="837">
      <c r="A837" s="287" t="s">
        <v>2994</v>
      </c>
      <c r="C837" s="185"/>
      <c r="D837" s="289" t="s">
        <v>2999</v>
      </c>
      <c r="E837" s="185"/>
      <c r="F837" s="185"/>
      <c r="G837" s="185"/>
      <c r="H837" s="185"/>
    </row>
    <row r="838">
      <c r="A838" s="287" t="s">
        <v>2994</v>
      </c>
      <c r="C838" s="185"/>
      <c r="D838" s="289" t="s">
        <v>2936</v>
      </c>
      <c r="E838" s="185"/>
      <c r="F838" s="185"/>
      <c r="G838" s="185"/>
      <c r="H838" s="185"/>
    </row>
    <row r="839">
      <c r="A839" s="287" t="s">
        <v>2994</v>
      </c>
      <c r="C839" s="185"/>
      <c r="D839" s="289" t="s">
        <v>2937</v>
      </c>
      <c r="E839" s="185"/>
      <c r="F839" s="185"/>
      <c r="G839" s="185"/>
      <c r="H839" s="185"/>
    </row>
    <row r="840">
      <c r="A840" s="287" t="s">
        <v>2994</v>
      </c>
      <c r="C840" s="185"/>
      <c r="D840" s="289" t="s">
        <v>3000</v>
      </c>
      <c r="E840" s="185"/>
      <c r="F840" s="185"/>
      <c r="G840" s="185"/>
      <c r="H840" s="185"/>
    </row>
    <row r="841">
      <c r="A841" s="287" t="s">
        <v>2994</v>
      </c>
      <c r="C841" s="185"/>
      <c r="D841" s="289" t="s">
        <v>3001</v>
      </c>
      <c r="E841" s="185"/>
      <c r="F841" s="185"/>
      <c r="G841" s="185"/>
      <c r="H841" s="185"/>
    </row>
    <row r="842">
      <c r="A842" s="287" t="s">
        <v>2994</v>
      </c>
      <c r="C842" s="185"/>
      <c r="D842" s="289" t="s">
        <v>3002</v>
      </c>
      <c r="E842" s="185"/>
      <c r="F842" s="185"/>
      <c r="G842" s="185"/>
      <c r="H842" s="185"/>
    </row>
    <row r="843">
      <c r="A843" s="287" t="s">
        <v>2994</v>
      </c>
      <c r="C843" s="185"/>
      <c r="D843" s="289" t="s">
        <v>3003</v>
      </c>
      <c r="E843" s="185"/>
      <c r="F843" s="185"/>
      <c r="G843" s="185"/>
      <c r="H843" s="185"/>
    </row>
    <row r="844">
      <c r="A844" s="287" t="s">
        <v>2994</v>
      </c>
      <c r="C844" s="185"/>
      <c r="D844" s="289" t="s">
        <v>3004</v>
      </c>
      <c r="E844" s="185"/>
      <c r="F844" s="185"/>
      <c r="G844" s="185"/>
      <c r="H844" s="185"/>
    </row>
    <row r="845">
      <c r="A845" s="287" t="s">
        <v>2994</v>
      </c>
      <c r="C845" s="185"/>
      <c r="D845" s="289" t="s">
        <v>3005</v>
      </c>
      <c r="E845" s="185"/>
      <c r="F845" s="185"/>
      <c r="G845" s="185"/>
      <c r="H845" s="185"/>
    </row>
    <row r="846">
      <c r="A846" s="287" t="s">
        <v>2994</v>
      </c>
      <c r="C846" s="185"/>
      <c r="D846" s="289" t="s">
        <v>2946</v>
      </c>
      <c r="E846" s="185"/>
      <c r="F846" s="185"/>
      <c r="G846" s="185"/>
      <c r="H846" s="185"/>
    </row>
    <row r="847">
      <c r="A847" s="287" t="s">
        <v>2994</v>
      </c>
      <c r="C847" s="185"/>
      <c r="D847" s="289" t="s">
        <v>2947</v>
      </c>
      <c r="E847" s="185"/>
      <c r="F847" s="185"/>
      <c r="G847" s="185"/>
      <c r="H847" s="185"/>
    </row>
    <row r="848">
      <c r="A848" s="287" t="s">
        <v>2994</v>
      </c>
      <c r="C848" s="185"/>
      <c r="D848" s="289" t="s">
        <v>3006</v>
      </c>
      <c r="E848" s="185"/>
      <c r="F848" s="185"/>
      <c r="G848" s="185"/>
      <c r="H848" s="185"/>
    </row>
    <row r="849">
      <c r="A849" s="287" t="s">
        <v>2994</v>
      </c>
      <c r="C849" s="185"/>
      <c r="D849" s="289" t="s">
        <v>3007</v>
      </c>
      <c r="E849" s="185"/>
      <c r="F849" s="185"/>
      <c r="G849" s="185"/>
      <c r="H849" s="185"/>
    </row>
    <row r="850">
      <c r="A850" s="287" t="s">
        <v>2994</v>
      </c>
      <c r="C850" s="185"/>
      <c r="D850" s="289" t="s">
        <v>3008</v>
      </c>
      <c r="E850" s="185"/>
      <c r="F850" s="185"/>
      <c r="G850" s="185"/>
      <c r="H850" s="185"/>
    </row>
    <row r="851">
      <c r="A851" s="287" t="s">
        <v>2994</v>
      </c>
      <c r="C851" s="185"/>
      <c r="D851" s="289" t="s">
        <v>3009</v>
      </c>
      <c r="E851" s="185"/>
      <c r="F851" s="185"/>
      <c r="G851" s="185"/>
      <c r="H851" s="185"/>
    </row>
    <row r="852">
      <c r="A852" s="287" t="s">
        <v>2994</v>
      </c>
      <c r="C852" s="185"/>
      <c r="D852" s="289" t="s">
        <v>3010</v>
      </c>
      <c r="E852" s="185"/>
      <c r="F852" s="185"/>
      <c r="G852" s="185"/>
      <c r="H852" s="185"/>
    </row>
    <row r="853">
      <c r="A853" s="287" t="s">
        <v>2994</v>
      </c>
      <c r="C853" s="185"/>
      <c r="D853" s="289" t="s">
        <v>3011</v>
      </c>
      <c r="E853" s="185"/>
      <c r="F853" s="185"/>
      <c r="G853" s="185"/>
      <c r="H853" s="185"/>
    </row>
    <row r="854">
      <c r="A854" s="299" t="s">
        <v>3012</v>
      </c>
      <c r="B854" s="318" t="s">
        <v>495</v>
      </c>
      <c r="C854" s="302"/>
      <c r="D854" s="306" t="s">
        <v>3013</v>
      </c>
      <c r="E854" s="302"/>
      <c r="F854" s="302"/>
      <c r="G854" s="302"/>
      <c r="H854" s="302"/>
    </row>
    <row r="855">
      <c r="A855" s="287" t="s">
        <v>3012</v>
      </c>
      <c r="C855" s="185"/>
      <c r="D855" s="289" t="s">
        <v>3014</v>
      </c>
      <c r="E855" s="185"/>
      <c r="F855" s="185"/>
      <c r="G855" s="185"/>
      <c r="H855" s="185"/>
    </row>
    <row r="856">
      <c r="A856" s="287" t="s">
        <v>3012</v>
      </c>
      <c r="C856" s="185"/>
      <c r="D856" s="289" t="s">
        <v>3015</v>
      </c>
      <c r="E856" s="185"/>
      <c r="F856" s="185"/>
      <c r="G856" s="185"/>
      <c r="H856" s="185"/>
    </row>
    <row r="857">
      <c r="A857" s="287" t="s">
        <v>3012</v>
      </c>
      <c r="C857" s="185"/>
      <c r="D857" s="289" t="s">
        <v>3016</v>
      </c>
      <c r="E857" s="185"/>
      <c r="F857" s="185"/>
      <c r="G857" s="185"/>
      <c r="H857" s="185"/>
    </row>
    <row r="858">
      <c r="A858" s="287" t="s">
        <v>3012</v>
      </c>
      <c r="C858" s="185"/>
      <c r="D858" s="289" t="s">
        <v>3017</v>
      </c>
      <c r="E858" s="185"/>
      <c r="F858" s="185"/>
      <c r="G858" s="185"/>
      <c r="H858" s="185"/>
    </row>
    <row r="859">
      <c r="A859" s="287" t="s">
        <v>3012</v>
      </c>
      <c r="C859" s="185"/>
      <c r="D859" s="289" t="s">
        <v>3018</v>
      </c>
      <c r="E859" s="185"/>
      <c r="F859" s="185"/>
      <c r="G859" s="185"/>
      <c r="H859" s="185"/>
    </row>
    <row r="860">
      <c r="A860" s="287" t="s">
        <v>3012</v>
      </c>
      <c r="C860" s="185"/>
      <c r="D860" s="289" t="s">
        <v>3019</v>
      </c>
      <c r="E860" s="185"/>
      <c r="F860" s="185"/>
      <c r="G860" s="185"/>
      <c r="H860" s="185"/>
    </row>
    <row r="861">
      <c r="A861" s="287" t="s">
        <v>3012</v>
      </c>
      <c r="C861" s="185"/>
      <c r="D861" s="289" t="s">
        <v>3020</v>
      </c>
      <c r="E861" s="185"/>
      <c r="F861" s="185"/>
      <c r="G861" s="185"/>
      <c r="H861" s="185"/>
    </row>
    <row r="862">
      <c r="A862" s="287" t="s">
        <v>3012</v>
      </c>
      <c r="C862" s="185"/>
      <c r="D862" s="288" t="s">
        <v>3021</v>
      </c>
      <c r="E862" s="185"/>
      <c r="F862" s="185"/>
      <c r="G862" s="185"/>
      <c r="H862" s="185"/>
    </row>
    <row r="863">
      <c r="A863" s="287" t="s">
        <v>3012</v>
      </c>
      <c r="C863" s="185"/>
      <c r="D863" s="288" t="s">
        <v>3022</v>
      </c>
      <c r="E863" s="185"/>
      <c r="F863" s="185"/>
      <c r="G863" s="185"/>
      <c r="H863" s="185"/>
    </row>
    <row r="864">
      <c r="A864" s="287" t="s">
        <v>3012</v>
      </c>
      <c r="C864" s="185"/>
      <c r="D864" s="288" t="s">
        <v>3023</v>
      </c>
      <c r="E864" s="185"/>
      <c r="F864" s="185"/>
      <c r="G864" s="185"/>
      <c r="H864" s="185"/>
    </row>
    <row r="865">
      <c r="A865" s="287" t="s">
        <v>3012</v>
      </c>
      <c r="C865" s="185"/>
      <c r="D865" s="288" t="s">
        <v>3024</v>
      </c>
      <c r="E865" s="185"/>
      <c r="F865" s="185"/>
      <c r="G865" s="185"/>
      <c r="H865" s="185"/>
    </row>
    <row r="866">
      <c r="A866" s="287" t="s">
        <v>3012</v>
      </c>
      <c r="C866" s="185"/>
      <c r="D866" s="288" t="s">
        <v>3025</v>
      </c>
      <c r="E866" s="185"/>
      <c r="F866" s="185"/>
      <c r="G866" s="185"/>
      <c r="H866" s="185"/>
    </row>
    <row r="867">
      <c r="A867" s="287" t="s">
        <v>3012</v>
      </c>
      <c r="C867" s="185"/>
      <c r="D867" s="288" t="s">
        <v>3026</v>
      </c>
      <c r="E867" s="185"/>
      <c r="F867" s="185"/>
      <c r="G867" s="185"/>
      <c r="H867" s="185"/>
    </row>
    <row r="868">
      <c r="A868" s="287" t="s">
        <v>3012</v>
      </c>
      <c r="C868" s="185"/>
      <c r="D868" s="288" t="s">
        <v>3027</v>
      </c>
      <c r="E868" s="185"/>
      <c r="F868" s="185"/>
      <c r="G868" s="185"/>
      <c r="H868" s="185"/>
    </row>
    <row r="869">
      <c r="A869" s="287" t="s">
        <v>3012</v>
      </c>
      <c r="C869" s="185"/>
      <c r="D869" s="288" t="s">
        <v>3028</v>
      </c>
      <c r="E869" s="185"/>
      <c r="F869" s="185"/>
      <c r="G869" s="185"/>
      <c r="H869" s="185"/>
    </row>
    <row r="870">
      <c r="A870" s="287" t="s">
        <v>3012</v>
      </c>
      <c r="C870" s="185"/>
      <c r="D870" s="288" t="s">
        <v>3029</v>
      </c>
      <c r="E870" s="185"/>
      <c r="F870" s="185"/>
      <c r="G870" s="185"/>
      <c r="H870" s="185"/>
    </row>
    <row r="871">
      <c r="A871" s="287" t="s">
        <v>3012</v>
      </c>
      <c r="C871" s="185"/>
      <c r="D871" s="288" t="s">
        <v>3030</v>
      </c>
      <c r="E871" s="185"/>
      <c r="F871" s="185"/>
      <c r="G871" s="185"/>
      <c r="H871" s="185"/>
    </row>
    <row r="872">
      <c r="A872" s="287" t="s">
        <v>3012</v>
      </c>
      <c r="C872" s="185"/>
      <c r="D872" s="288" t="s">
        <v>3031</v>
      </c>
      <c r="E872" s="185"/>
      <c r="F872" s="185"/>
      <c r="G872" s="185"/>
      <c r="H872" s="185"/>
    </row>
    <row r="873">
      <c r="A873" s="287" t="s">
        <v>3012</v>
      </c>
      <c r="C873" s="185"/>
      <c r="D873" s="288" t="s">
        <v>3032</v>
      </c>
      <c r="E873" s="185"/>
      <c r="F873" s="185"/>
      <c r="G873" s="185"/>
      <c r="H873" s="185"/>
    </row>
    <row r="874">
      <c r="A874" s="287" t="s">
        <v>3012</v>
      </c>
      <c r="C874" s="185"/>
      <c r="D874" s="288" t="s">
        <v>3033</v>
      </c>
      <c r="E874" s="185"/>
      <c r="F874" s="185"/>
      <c r="G874" s="185"/>
      <c r="H874" s="185"/>
    </row>
    <row r="875">
      <c r="A875" s="287" t="s">
        <v>3012</v>
      </c>
      <c r="C875" s="185"/>
      <c r="D875" s="288" t="s">
        <v>3034</v>
      </c>
      <c r="E875" s="185"/>
      <c r="F875" s="185"/>
      <c r="G875" s="185"/>
      <c r="H875" s="185"/>
    </row>
    <row r="876">
      <c r="A876" s="287" t="s">
        <v>3012</v>
      </c>
      <c r="C876" s="185"/>
      <c r="D876" s="288" t="s">
        <v>3035</v>
      </c>
      <c r="E876" s="185"/>
      <c r="F876" s="185"/>
      <c r="G876" s="185"/>
      <c r="H876" s="185"/>
    </row>
    <row r="877">
      <c r="A877" s="287" t="s">
        <v>3012</v>
      </c>
      <c r="C877" s="185"/>
      <c r="D877" s="288" t="s">
        <v>3036</v>
      </c>
      <c r="E877" s="185"/>
      <c r="F877" s="185"/>
      <c r="G877" s="185"/>
      <c r="H877" s="185"/>
    </row>
    <row r="878">
      <c r="A878" s="287" t="s">
        <v>3012</v>
      </c>
      <c r="C878" s="185"/>
      <c r="D878" s="288" t="s">
        <v>3037</v>
      </c>
      <c r="E878" s="185"/>
      <c r="F878" s="185"/>
      <c r="G878" s="185"/>
      <c r="H878" s="185"/>
    </row>
    <row r="879">
      <c r="A879" s="287" t="s">
        <v>3012</v>
      </c>
      <c r="C879" s="185"/>
      <c r="D879" s="288" t="s">
        <v>3038</v>
      </c>
      <c r="E879" s="185"/>
      <c r="F879" s="185"/>
      <c r="G879" s="185"/>
      <c r="H879" s="185"/>
    </row>
    <row r="880">
      <c r="A880" s="287" t="s">
        <v>3012</v>
      </c>
      <c r="C880" s="185"/>
      <c r="D880" s="288" t="s">
        <v>3039</v>
      </c>
      <c r="E880" s="185"/>
      <c r="F880" s="185"/>
      <c r="G880" s="185"/>
      <c r="H880" s="185"/>
    </row>
    <row r="881">
      <c r="A881" s="287" t="s">
        <v>3012</v>
      </c>
      <c r="C881" s="185"/>
      <c r="D881" s="288" t="s">
        <v>3040</v>
      </c>
      <c r="E881" s="185"/>
      <c r="F881" s="185"/>
      <c r="G881" s="185"/>
      <c r="H881" s="185"/>
    </row>
    <row r="882">
      <c r="A882" s="287" t="s">
        <v>3012</v>
      </c>
      <c r="C882" s="185"/>
      <c r="D882" s="288" t="s">
        <v>3041</v>
      </c>
      <c r="E882" s="185"/>
      <c r="F882" s="185"/>
      <c r="G882" s="185"/>
      <c r="H882" s="185"/>
    </row>
    <row r="883">
      <c r="A883" s="287" t="s">
        <v>3012</v>
      </c>
      <c r="C883" s="185"/>
      <c r="D883" s="288" t="s">
        <v>3042</v>
      </c>
      <c r="E883" s="185"/>
      <c r="F883" s="185"/>
      <c r="G883" s="185"/>
      <c r="H883" s="185"/>
    </row>
    <row r="884">
      <c r="A884" s="287" t="s">
        <v>3012</v>
      </c>
      <c r="C884" s="185"/>
      <c r="D884" s="288" t="s">
        <v>3043</v>
      </c>
      <c r="E884" s="185"/>
      <c r="F884" s="185"/>
      <c r="G884" s="185"/>
      <c r="H884" s="185"/>
    </row>
    <row r="885">
      <c r="A885" s="287" t="s">
        <v>3012</v>
      </c>
      <c r="C885" s="185"/>
      <c r="D885" s="289" t="s">
        <v>3044</v>
      </c>
      <c r="E885" s="185"/>
      <c r="F885" s="185"/>
      <c r="G885" s="185"/>
      <c r="H885" s="185"/>
    </row>
    <row r="886">
      <c r="A886" s="287" t="s">
        <v>3012</v>
      </c>
      <c r="C886" s="185"/>
      <c r="D886" s="289" t="s">
        <v>3045</v>
      </c>
      <c r="E886" s="185"/>
      <c r="F886" s="185"/>
      <c r="G886" s="185"/>
      <c r="H886" s="185"/>
    </row>
    <row r="887">
      <c r="A887" s="287" t="s">
        <v>3012</v>
      </c>
      <c r="C887" s="185"/>
      <c r="D887" s="289" t="s">
        <v>3046</v>
      </c>
      <c r="E887" s="185"/>
      <c r="F887" s="185"/>
      <c r="G887" s="185"/>
      <c r="H887" s="185"/>
    </row>
    <row r="888">
      <c r="A888" s="287" t="s">
        <v>3012</v>
      </c>
      <c r="C888" s="185"/>
      <c r="D888" s="289" t="s">
        <v>3047</v>
      </c>
      <c r="E888" s="185"/>
      <c r="F888" s="185"/>
      <c r="G888" s="185"/>
      <c r="H888" s="185"/>
    </row>
    <row r="889">
      <c r="A889" s="287" t="s">
        <v>3012</v>
      </c>
      <c r="C889" s="185"/>
      <c r="D889" s="288" t="s">
        <v>3048</v>
      </c>
      <c r="E889" s="185"/>
      <c r="F889" s="185"/>
      <c r="G889" s="185"/>
      <c r="H889" s="185"/>
    </row>
    <row r="890">
      <c r="A890" s="287" t="s">
        <v>3012</v>
      </c>
      <c r="C890" s="185"/>
      <c r="D890" s="288" t="s">
        <v>3049</v>
      </c>
      <c r="E890" s="185"/>
      <c r="F890" s="185"/>
      <c r="G890" s="185"/>
      <c r="H890" s="185"/>
    </row>
    <row r="891">
      <c r="A891" s="287" t="s">
        <v>3012</v>
      </c>
      <c r="C891" s="185"/>
      <c r="D891" s="288" t="s">
        <v>3050</v>
      </c>
      <c r="E891" s="185"/>
      <c r="F891" s="185"/>
      <c r="G891" s="185"/>
      <c r="H891" s="185"/>
    </row>
    <row r="892">
      <c r="A892" s="287" t="s">
        <v>3012</v>
      </c>
      <c r="C892" s="185"/>
      <c r="D892" s="288" t="s">
        <v>3051</v>
      </c>
      <c r="E892" s="185"/>
      <c r="F892" s="185"/>
      <c r="G892" s="185"/>
      <c r="H892" s="185"/>
    </row>
    <row r="893">
      <c r="A893" s="287" t="s">
        <v>3012</v>
      </c>
      <c r="C893" s="185"/>
      <c r="D893" s="288" t="s">
        <v>3052</v>
      </c>
      <c r="E893" s="185"/>
      <c r="F893" s="185"/>
      <c r="G893" s="185"/>
      <c r="H893" s="185"/>
    </row>
    <row r="894">
      <c r="A894" s="287" t="s">
        <v>3012</v>
      </c>
      <c r="C894" s="185"/>
      <c r="D894" s="288" t="s">
        <v>3053</v>
      </c>
      <c r="E894" s="185"/>
      <c r="F894" s="185"/>
      <c r="G894" s="185"/>
      <c r="H894" s="185"/>
    </row>
    <row r="895">
      <c r="A895" s="287" t="s">
        <v>3012</v>
      </c>
      <c r="C895" s="185"/>
      <c r="D895" s="288" t="s">
        <v>3054</v>
      </c>
      <c r="E895" s="185"/>
      <c r="F895" s="185"/>
      <c r="G895" s="185"/>
      <c r="H895" s="185"/>
    </row>
    <row r="896">
      <c r="A896" s="287" t="s">
        <v>3012</v>
      </c>
      <c r="C896" s="185"/>
      <c r="D896" s="288" t="s">
        <v>3055</v>
      </c>
      <c r="E896" s="185"/>
      <c r="F896" s="185"/>
      <c r="G896" s="185"/>
      <c r="H896" s="185"/>
    </row>
    <row r="897">
      <c r="A897" s="287" t="s">
        <v>3012</v>
      </c>
      <c r="C897" s="185"/>
      <c r="D897" s="288" t="s">
        <v>3056</v>
      </c>
      <c r="E897" s="185"/>
      <c r="F897" s="185"/>
      <c r="G897" s="185"/>
      <c r="H897" s="185"/>
    </row>
    <row r="898">
      <c r="A898" s="287" t="s">
        <v>3012</v>
      </c>
      <c r="C898" s="185"/>
      <c r="D898" s="288" t="s">
        <v>3057</v>
      </c>
      <c r="E898" s="185"/>
      <c r="F898" s="185"/>
      <c r="G898" s="185"/>
      <c r="H898" s="185"/>
    </row>
    <row r="899">
      <c r="A899" s="287" t="s">
        <v>3012</v>
      </c>
      <c r="C899" s="185"/>
      <c r="D899" s="288" t="s">
        <v>3058</v>
      </c>
      <c r="E899" s="185"/>
      <c r="F899" s="185"/>
      <c r="G899" s="185"/>
      <c r="H899" s="185"/>
    </row>
    <row r="900">
      <c r="A900" s="299" t="s">
        <v>3059</v>
      </c>
      <c r="B900" s="300" t="s">
        <v>900</v>
      </c>
      <c r="C900" s="302"/>
      <c r="D900" s="301" t="s">
        <v>3060</v>
      </c>
      <c r="E900" s="302"/>
      <c r="F900" s="302"/>
      <c r="G900" s="302"/>
      <c r="H900" s="302"/>
    </row>
    <row r="901">
      <c r="A901" s="287" t="s">
        <v>3059</v>
      </c>
      <c r="C901" s="185"/>
      <c r="D901" s="288" t="s">
        <v>3061</v>
      </c>
      <c r="E901" s="185"/>
      <c r="F901" s="185"/>
      <c r="G901" s="185"/>
      <c r="H901" s="185"/>
    </row>
    <row r="902">
      <c r="A902" s="287" t="s">
        <v>3059</v>
      </c>
      <c r="C902" s="185"/>
      <c r="D902" s="288" t="s">
        <v>3062</v>
      </c>
      <c r="E902" s="185"/>
      <c r="F902" s="185"/>
      <c r="G902" s="185"/>
      <c r="H902" s="185"/>
    </row>
    <row r="903">
      <c r="A903" s="287" t="s">
        <v>3059</v>
      </c>
      <c r="C903" s="185"/>
      <c r="D903" s="288" t="s">
        <v>3063</v>
      </c>
      <c r="E903" s="185"/>
      <c r="F903" s="185"/>
      <c r="G903" s="185"/>
      <c r="H903" s="185"/>
    </row>
    <row r="904">
      <c r="A904" s="287" t="s">
        <v>3059</v>
      </c>
      <c r="C904" s="185"/>
      <c r="D904" s="288" t="s">
        <v>3064</v>
      </c>
      <c r="E904" s="185"/>
      <c r="F904" s="185"/>
      <c r="G904" s="185"/>
      <c r="H904" s="185"/>
    </row>
    <row r="905">
      <c r="A905" s="287" t="s">
        <v>3059</v>
      </c>
      <c r="C905" s="185"/>
      <c r="D905" s="288" t="s">
        <v>3065</v>
      </c>
      <c r="E905" s="185"/>
      <c r="F905" s="185"/>
      <c r="G905" s="185"/>
      <c r="H905" s="185"/>
    </row>
    <row r="906">
      <c r="A906" s="287" t="s">
        <v>3059</v>
      </c>
      <c r="C906" s="185"/>
      <c r="D906" s="288" t="s">
        <v>3066</v>
      </c>
      <c r="E906" s="185"/>
      <c r="F906" s="185"/>
      <c r="G906" s="185"/>
      <c r="H906" s="185"/>
    </row>
    <row r="907">
      <c r="A907" s="287" t="s">
        <v>3059</v>
      </c>
      <c r="C907" s="185"/>
      <c r="D907" s="288" t="s">
        <v>3067</v>
      </c>
      <c r="E907" s="185"/>
      <c r="F907" s="185"/>
      <c r="G907" s="185"/>
      <c r="H907" s="185"/>
    </row>
    <row r="908">
      <c r="A908" s="287" t="s">
        <v>3059</v>
      </c>
      <c r="C908" s="185"/>
      <c r="D908" s="288" t="s">
        <v>3068</v>
      </c>
      <c r="E908" s="185"/>
      <c r="F908" s="185"/>
      <c r="G908" s="185"/>
      <c r="H908" s="185"/>
    </row>
    <row r="909">
      <c r="A909" s="287" t="s">
        <v>3059</v>
      </c>
      <c r="C909" s="185"/>
      <c r="D909" s="288" t="s">
        <v>3069</v>
      </c>
      <c r="E909" s="185"/>
      <c r="F909" s="185"/>
      <c r="G909" s="185"/>
      <c r="H909" s="185"/>
    </row>
    <row r="910">
      <c r="A910" s="287" t="s">
        <v>3059</v>
      </c>
      <c r="C910" s="185"/>
      <c r="D910" s="288" t="s">
        <v>3070</v>
      </c>
      <c r="E910" s="185"/>
      <c r="F910" s="185"/>
      <c r="G910" s="185"/>
      <c r="H910" s="185"/>
    </row>
    <row r="911">
      <c r="A911" s="287" t="s">
        <v>3059</v>
      </c>
      <c r="C911" s="185"/>
      <c r="D911" s="288" t="s">
        <v>3071</v>
      </c>
      <c r="E911" s="185"/>
      <c r="F911" s="185"/>
      <c r="G911" s="185"/>
      <c r="H911" s="185"/>
    </row>
    <row r="912">
      <c r="A912" s="287" t="s">
        <v>3059</v>
      </c>
      <c r="C912" s="185"/>
      <c r="D912" s="288" t="s">
        <v>3072</v>
      </c>
      <c r="E912" s="185"/>
      <c r="F912" s="185"/>
      <c r="G912" s="185"/>
      <c r="H912" s="185"/>
    </row>
    <row r="913">
      <c r="A913" s="287" t="s">
        <v>3059</v>
      </c>
      <c r="C913" s="185"/>
      <c r="D913" s="288" t="s">
        <v>3073</v>
      </c>
      <c r="E913" s="185"/>
      <c r="F913" s="185"/>
      <c r="G913" s="185"/>
      <c r="H913" s="185"/>
    </row>
    <row r="914">
      <c r="A914" s="287" t="s">
        <v>3059</v>
      </c>
      <c r="C914" s="185"/>
      <c r="D914" s="288" t="s">
        <v>3074</v>
      </c>
      <c r="E914" s="185"/>
      <c r="F914" s="185"/>
      <c r="G914" s="185"/>
      <c r="H914" s="185"/>
    </row>
    <row r="915">
      <c r="A915" s="287" t="s">
        <v>3059</v>
      </c>
      <c r="C915" s="185"/>
      <c r="D915" s="288" t="s">
        <v>935</v>
      </c>
      <c r="E915" s="185"/>
      <c r="F915" s="185"/>
      <c r="G915" s="185"/>
      <c r="H915" s="185"/>
    </row>
    <row r="916">
      <c r="A916" s="287" t="s">
        <v>3059</v>
      </c>
      <c r="C916" s="185"/>
      <c r="D916" s="288" t="s">
        <v>3075</v>
      </c>
      <c r="E916" s="185"/>
      <c r="F916" s="185"/>
      <c r="G916" s="185"/>
      <c r="H916" s="185"/>
    </row>
    <row r="917">
      <c r="A917" s="287" t="s">
        <v>3059</v>
      </c>
      <c r="C917" s="185"/>
      <c r="D917" s="288" t="s">
        <v>1356</v>
      </c>
      <c r="E917" s="185"/>
      <c r="F917" s="185"/>
      <c r="G917" s="185"/>
      <c r="H917" s="185"/>
    </row>
    <row r="918">
      <c r="A918" s="287" t="s">
        <v>3059</v>
      </c>
      <c r="C918" s="185"/>
      <c r="D918" s="288" t="s">
        <v>3076</v>
      </c>
      <c r="E918" s="185"/>
      <c r="F918" s="185"/>
      <c r="G918" s="185"/>
      <c r="H918" s="185"/>
    </row>
    <row r="919">
      <c r="A919" s="287" t="s">
        <v>3059</v>
      </c>
      <c r="C919" s="185"/>
      <c r="D919" s="288" t="s">
        <v>1863</v>
      </c>
      <c r="E919" s="185"/>
      <c r="F919" s="185"/>
      <c r="G919" s="185"/>
      <c r="H919" s="185"/>
    </row>
    <row r="920">
      <c r="A920" s="287" t="s">
        <v>3059</v>
      </c>
      <c r="C920" s="185"/>
      <c r="D920" s="288" t="s">
        <v>3077</v>
      </c>
      <c r="E920" s="185"/>
      <c r="F920" s="185"/>
      <c r="G920" s="185"/>
      <c r="H920" s="185"/>
    </row>
    <row r="921">
      <c r="A921" s="287" t="s">
        <v>3059</v>
      </c>
      <c r="C921" s="185"/>
      <c r="D921" s="288" t="s">
        <v>3078</v>
      </c>
      <c r="E921" s="185"/>
      <c r="F921" s="185"/>
      <c r="G921" s="185"/>
      <c r="H921" s="185"/>
    </row>
    <row r="922">
      <c r="A922" s="287" t="s">
        <v>3059</v>
      </c>
      <c r="C922" s="185"/>
      <c r="D922" s="288" t="s">
        <v>3079</v>
      </c>
      <c r="E922" s="185"/>
      <c r="F922" s="185"/>
      <c r="G922" s="185"/>
      <c r="H922" s="185"/>
    </row>
    <row r="923">
      <c r="A923" s="287" t="s">
        <v>3059</v>
      </c>
      <c r="C923" s="185"/>
      <c r="D923" s="288" t="s">
        <v>3080</v>
      </c>
      <c r="E923" s="185"/>
      <c r="F923" s="185"/>
      <c r="G923" s="185"/>
      <c r="H923" s="185"/>
    </row>
    <row r="924">
      <c r="A924" s="287" t="s">
        <v>3059</v>
      </c>
      <c r="C924" s="185"/>
      <c r="D924" s="288" t="s">
        <v>3030</v>
      </c>
      <c r="E924" s="185"/>
      <c r="F924" s="185"/>
      <c r="G924" s="185"/>
      <c r="H924" s="185"/>
    </row>
    <row r="925">
      <c r="A925" s="287" t="s">
        <v>3059</v>
      </c>
      <c r="C925" s="185"/>
      <c r="D925" s="288" t="s">
        <v>3081</v>
      </c>
      <c r="E925" s="185"/>
      <c r="F925" s="185"/>
      <c r="G925" s="185"/>
      <c r="H925" s="185"/>
    </row>
    <row r="926">
      <c r="A926" s="287" t="s">
        <v>3059</v>
      </c>
      <c r="C926" s="185"/>
      <c r="D926" s="288" t="s">
        <v>3082</v>
      </c>
      <c r="E926" s="185"/>
      <c r="F926" s="185"/>
      <c r="G926" s="185"/>
      <c r="H926" s="185"/>
    </row>
    <row r="927">
      <c r="A927" s="287" t="s">
        <v>3059</v>
      </c>
      <c r="C927" s="185"/>
      <c r="D927" s="288" t="s">
        <v>3083</v>
      </c>
      <c r="E927" s="185"/>
      <c r="F927" s="185"/>
      <c r="G927" s="185"/>
      <c r="H927" s="185"/>
    </row>
    <row r="928">
      <c r="A928" s="287" t="s">
        <v>3059</v>
      </c>
      <c r="C928" s="185"/>
      <c r="D928" s="288" t="s">
        <v>1281</v>
      </c>
      <c r="E928" s="185"/>
      <c r="F928" s="185"/>
      <c r="G928" s="185"/>
      <c r="H928" s="185"/>
    </row>
    <row r="929">
      <c r="A929" s="287" t="s">
        <v>3059</v>
      </c>
      <c r="C929" s="185"/>
      <c r="D929" s="288" t="s">
        <v>3084</v>
      </c>
      <c r="E929" s="185"/>
      <c r="F929" s="185"/>
      <c r="G929" s="185"/>
      <c r="H929" s="185"/>
    </row>
    <row r="930">
      <c r="A930" s="287" t="s">
        <v>3059</v>
      </c>
      <c r="C930" s="185"/>
      <c r="D930" s="288" t="s">
        <v>1866</v>
      </c>
      <c r="E930" s="185"/>
      <c r="F930" s="185"/>
      <c r="G930" s="185"/>
      <c r="H930" s="185"/>
    </row>
    <row r="931">
      <c r="A931" s="287" t="s">
        <v>3059</v>
      </c>
      <c r="C931" s="185"/>
      <c r="D931" s="288" t="s">
        <v>3085</v>
      </c>
      <c r="E931" s="185"/>
      <c r="F931" s="185"/>
      <c r="G931" s="185"/>
      <c r="H931" s="185"/>
    </row>
    <row r="932">
      <c r="A932" s="299" t="s">
        <v>3086</v>
      </c>
      <c r="B932" s="318" t="s">
        <v>1056</v>
      </c>
      <c r="C932" s="302"/>
      <c r="D932" s="301" t="s">
        <v>3087</v>
      </c>
      <c r="E932" s="302"/>
      <c r="F932" s="302"/>
      <c r="G932" s="302"/>
      <c r="H932" s="302"/>
    </row>
    <row r="933">
      <c r="A933" s="287" t="s">
        <v>3086</v>
      </c>
      <c r="C933" s="185"/>
      <c r="D933" s="288" t="s">
        <v>3088</v>
      </c>
      <c r="E933" s="185"/>
      <c r="F933" s="185"/>
      <c r="G933" s="185"/>
      <c r="H933" s="185"/>
    </row>
    <row r="934">
      <c r="A934" s="287" t="s">
        <v>3086</v>
      </c>
      <c r="C934" s="185"/>
      <c r="D934" s="288" t="s">
        <v>3089</v>
      </c>
      <c r="E934" s="185"/>
      <c r="F934" s="185"/>
      <c r="G934" s="185"/>
      <c r="H934" s="185"/>
    </row>
    <row r="935">
      <c r="A935" s="287" t="s">
        <v>3086</v>
      </c>
      <c r="C935" s="185"/>
      <c r="D935" s="288" t="s">
        <v>3090</v>
      </c>
      <c r="E935" s="185"/>
      <c r="F935" s="185"/>
      <c r="G935" s="185"/>
      <c r="H935" s="185"/>
    </row>
    <row r="936">
      <c r="A936" s="287" t="s">
        <v>3086</v>
      </c>
      <c r="C936" s="185"/>
      <c r="D936" s="288" t="s">
        <v>3091</v>
      </c>
      <c r="E936" s="185"/>
      <c r="F936" s="185"/>
      <c r="G936" s="185"/>
      <c r="H936" s="185"/>
    </row>
    <row r="937">
      <c r="A937" s="287" t="s">
        <v>3086</v>
      </c>
      <c r="C937" s="185"/>
      <c r="D937" s="288" t="s">
        <v>3092</v>
      </c>
      <c r="E937" s="185"/>
      <c r="F937" s="185"/>
      <c r="G937" s="185"/>
      <c r="H937" s="185"/>
    </row>
    <row r="938">
      <c r="A938" s="287" t="s">
        <v>3086</v>
      </c>
      <c r="C938" s="185"/>
      <c r="D938" s="288" t="s">
        <v>3093</v>
      </c>
      <c r="E938" s="185"/>
      <c r="F938" s="185"/>
      <c r="G938" s="185"/>
      <c r="H938" s="185"/>
    </row>
    <row r="939">
      <c r="A939" s="287" t="s">
        <v>3086</v>
      </c>
      <c r="C939" s="185"/>
      <c r="D939" s="288" t="s">
        <v>3094</v>
      </c>
      <c r="E939" s="185"/>
      <c r="F939" s="185"/>
      <c r="G939" s="185"/>
      <c r="H939" s="185"/>
    </row>
    <row r="940">
      <c r="A940" s="287" t="s">
        <v>3086</v>
      </c>
      <c r="C940" s="185"/>
      <c r="D940" s="288" t="s">
        <v>3095</v>
      </c>
      <c r="E940" s="185"/>
      <c r="F940" s="185"/>
      <c r="G940" s="185"/>
      <c r="H940" s="185"/>
    </row>
    <row r="941">
      <c r="A941" s="287" t="s">
        <v>3086</v>
      </c>
      <c r="C941" s="185"/>
      <c r="D941" s="288" t="s">
        <v>3096</v>
      </c>
      <c r="E941" s="185"/>
      <c r="F941" s="185"/>
      <c r="G941" s="185"/>
      <c r="H941" s="185"/>
    </row>
    <row r="942">
      <c r="A942" s="287" t="s">
        <v>3086</v>
      </c>
      <c r="C942" s="185"/>
      <c r="D942" s="288" t="s">
        <v>3097</v>
      </c>
      <c r="E942" s="185"/>
      <c r="F942" s="185"/>
      <c r="G942" s="185"/>
      <c r="H942" s="185"/>
    </row>
    <row r="943">
      <c r="A943" s="287" t="s">
        <v>3086</v>
      </c>
      <c r="C943" s="185"/>
      <c r="D943" s="288" t="s">
        <v>3098</v>
      </c>
      <c r="E943" s="185"/>
      <c r="F943" s="185"/>
      <c r="G943" s="185"/>
      <c r="H943" s="185"/>
    </row>
    <row r="944">
      <c r="A944" s="287" t="s">
        <v>3086</v>
      </c>
      <c r="C944" s="185"/>
      <c r="D944" s="288" t="s">
        <v>3099</v>
      </c>
      <c r="E944" s="185"/>
      <c r="F944" s="185"/>
      <c r="G944" s="185"/>
      <c r="H944" s="185"/>
    </row>
    <row r="945">
      <c r="A945" s="287" t="s">
        <v>3086</v>
      </c>
      <c r="C945" s="185"/>
      <c r="D945" s="288" t="s">
        <v>3100</v>
      </c>
      <c r="E945" s="185"/>
      <c r="F945" s="185"/>
      <c r="G945" s="185"/>
      <c r="H945" s="185"/>
    </row>
    <row r="946">
      <c r="A946" s="287" t="s">
        <v>3086</v>
      </c>
      <c r="C946" s="185"/>
      <c r="D946" s="288" t="s">
        <v>3101</v>
      </c>
      <c r="E946" s="185"/>
      <c r="F946" s="185"/>
      <c r="G946" s="185"/>
      <c r="H946" s="185"/>
    </row>
    <row r="947">
      <c r="A947" s="287" t="s">
        <v>3086</v>
      </c>
      <c r="C947" s="185"/>
      <c r="D947" s="288" t="s">
        <v>3102</v>
      </c>
      <c r="E947" s="185"/>
      <c r="F947" s="185"/>
      <c r="G947" s="185"/>
      <c r="H947" s="185"/>
    </row>
    <row r="948">
      <c r="A948" s="287" t="s">
        <v>3086</v>
      </c>
      <c r="C948" s="185"/>
      <c r="D948" s="288" t="s">
        <v>3103</v>
      </c>
      <c r="E948" s="185"/>
      <c r="F948" s="185"/>
      <c r="G948" s="185"/>
      <c r="H948" s="185"/>
    </row>
    <row r="949">
      <c r="A949" s="287" t="s">
        <v>3086</v>
      </c>
      <c r="C949" s="185"/>
      <c r="D949" s="288" t="s">
        <v>3104</v>
      </c>
      <c r="E949" s="185"/>
      <c r="F949" s="185"/>
      <c r="G949" s="185"/>
      <c r="H949" s="185"/>
    </row>
    <row r="950">
      <c r="A950" s="299" t="s">
        <v>3105</v>
      </c>
      <c r="B950" s="318" t="s">
        <v>790</v>
      </c>
      <c r="C950" s="302"/>
      <c r="D950" s="301" t="s">
        <v>3106</v>
      </c>
      <c r="E950" s="302"/>
      <c r="F950" s="302"/>
      <c r="G950" s="302"/>
      <c r="H950" s="302"/>
    </row>
    <row r="951">
      <c r="A951" s="287" t="s">
        <v>3105</v>
      </c>
      <c r="C951" s="185"/>
      <c r="D951" s="288" t="s">
        <v>3107</v>
      </c>
      <c r="E951" s="185"/>
      <c r="F951" s="185"/>
      <c r="G951" s="185"/>
      <c r="H951" s="185"/>
    </row>
    <row r="952">
      <c r="A952" s="287" t="s">
        <v>3105</v>
      </c>
      <c r="C952" s="185"/>
      <c r="D952" s="288" t="s">
        <v>3108</v>
      </c>
      <c r="E952" s="185"/>
      <c r="F952" s="185"/>
      <c r="G952" s="185"/>
      <c r="H952" s="185"/>
    </row>
    <row r="953">
      <c r="A953" s="287" t="s">
        <v>3105</v>
      </c>
      <c r="C953" s="185"/>
      <c r="D953" s="288" t="s">
        <v>3109</v>
      </c>
      <c r="E953" s="185"/>
      <c r="F953" s="185"/>
      <c r="G953" s="185"/>
      <c r="H953" s="185"/>
    </row>
    <row r="954">
      <c r="A954" s="287" t="s">
        <v>3105</v>
      </c>
      <c r="C954" s="185"/>
      <c r="D954" s="288" t="s">
        <v>3110</v>
      </c>
      <c r="E954" s="185"/>
      <c r="F954" s="185"/>
      <c r="G954" s="185"/>
      <c r="H954" s="185"/>
    </row>
    <row r="955">
      <c r="A955" s="287" t="s">
        <v>3105</v>
      </c>
      <c r="C955" s="185"/>
      <c r="D955" s="288" t="s">
        <v>3111</v>
      </c>
      <c r="E955" s="185"/>
      <c r="F955" s="185"/>
      <c r="G955" s="185"/>
      <c r="H955" s="185"/>
    </row>
    <row r="956">
      <c r="A956" s="287" t="s">
        <v>3105</v>
      </c>
      <c r="C956" s="185"/>
      <c r="D956" s="288" t="s">
        <v>3112</v>
      </c>
      <c r="E956" s="185"/>
      <c r="F956" s="185"/>
      <c r="G956" s="185"/>
      <c r="H956" s="185"/>
    </row>
    <row r="957">
      <c r="A957" s="287" t="s">
        <v>3105</v>
      </c>
      <c r="C957" s="185"/>
      <c r="D957" s="288" t="s">
        <v>3113</v>
      </c>
      <c r="E957" s="185"/>
      <c r="F957" s="185"/>
      <c r="G957" s="185"/>
      <c r="H957" s="185"/>
    </row>
    <row r="958">
      <c r="A958" s="287" t="s">
        <v>3105</v>
      </c>
      <c r="C958" s="185"/>
      <c r="D958" s="288" t="s">
        <v>3114</v>
      </c>
      <c r="E958" s="185"/>
      <c r="F958" s="185"/>
      <c r="G958" s="185"/>
      <c r="H958" s="185"/>
    </row>
    <row r="959">
      <c r="A959" s="287" t="s">
        <v>3105</v>
      </c>
      <c r="C959" s="185"/>
      <c r="D959" s="288" t="s">
        <v>3115</v>
      </c>
      <c r="E959" s="185"/>
      <c r="F959" s="185"/>
      <c r="G959" s="185"/>
      <c r="H959" s="185"/>
    </row>
    <row r="960">
      <c r="A960" s="287" t="s">
        <v>3105</v>
      </c>
      <c r="C960" s="185"/>
      <c r="D960" s="288" t="s">
        <v>1603</v>
      </c>
      <c r="E960" s="185"/>
      <c r="F960" s="185"/>
      <c r="G960" s="185"/>
      <c r="H960" s="185"/>
    </row>
    <row r="961">
      <c r="A961" s="287" t="s">
        <v>3105</v>
      </c>
      <c r="C961" s="185"/>
      <c r="D961" s="288" t="s">
        <v>3116</v>
      </c>
      <c r="E961" s="185"/>
      <c r="F961" s="185"/>
      <c r="G961" s="185"/>
      <c r="H961" s="185"/>
    </row>
    <row r="962">
      <c r="A962" s="287" t="s">
        <v>3105</v>
      </c>
      <c r="C962" s="185"/>
      <c r="D962" s="288" t="s">
        <v>3117</v>
      </c>
      <c r="E962" s="185"/>
      <c r="F962" s="185"/>
      <c r="G962" s="185"/>
      <c r="H962" s="185"/>
    </row>
    <row r="963">
      <c r="A963" s="287" t="s">
        <v>3105</v>
      </c>
      <c r="C963" s="185"/>
      <c r="D963" s="288" t="s">
        <v>3118</v>
      </c>
      <c r="E963" s="185"/>
      <c r="F963" s="185"/>
      <c r="G963" s="185"/>
      <c r="H963" s="185"/>
    </row>
    <row r="964">
      <c r="A964" s="287" t="s">
        <v>3105</v>
      </c>
      <c r="C964" s="185"/>
      <c r="D964" s="288" t="s">
        <v>3119</v>
      </c>
      <c r="E964" s="185"/>
      <c r="F964" s="185"/>
      <c r="G964" s="185"/>
      <c r="H964" s="185"/>
    </row>
    <row r="965">
      <c r="A965" s="287" t="s">
        <v>3105</v>
      </c>
      <c r="C965" s="185"/>
      <c r="D965" s="288" t="s">
        <v>1849</v>
      </c>
      <c r="E965" s="185"/>
      <c r="F965" s="185"/>
      <c r="G965" s="185"/>
      <c r="H965" s="185"/>
    </row>
    <row r="966">
      <c r="A966" s="287" t="s">
        <v>3105</v>
      </c>
      <c r="C966" s="185"/>
      <c r="D966" s="288" t="s">
        <v>3120</v>
      </c>
      <c r="E966" s="185"/>
      <c r="F966" s="185"/>
      <c r="G966" s="185"/>
      <c r="H966" s="185"/>
    </row>
    <row r="967">
      <c r="A967" s="287" t="s">
        <v>3105</v>
      </c>
      <c r="C967" s="185"/>
      <c r="D967" s="288" t="s">
        <v>1847</v>
      </c>
      <c r="E967" s="185"/>
      <c r="F967" s="185"/>
      <c r="G967" s="185"/>
      <c r="H967" s="185"/>
    </row>
    <row r="968">
      <c r="A968" s="287" t="s">
        <v>3105</v>
      </c>
      <c r="C968" s="185"/>
      <c r="D968" s="288" t="s">
        <v>3121</v>
      </c>
      <c r="E968" s="185"/>
      <c r="F968" s="185"/>
      <c r="G968" s="185"/>
      <c r="H968" s="185"/>
    </row>
    <row r="969">
      <c r="A969" s="287" t="s">
        <v>3105</v>
      </c>
      <c r="C969" s="185"/>
      <c r="D969" s="288" t="s">
        <v>3122</v>
      </c>
      <c r="E969" s="185"/>
      <c r="F969" s="185"/>
      <c r="G969" s="185"/>
      <c r="H969" s="185"/>
    </row>
    <row r="970">
      <c r="A970" s="287" t="s">
        <v>3105</v>
      </c>
      <c r="C970" s="185"/>
      <c r="D970" s="288" t="s">
        <v>2114</v>
      </c>
      <c r="E970" s="185"/>
      <c r="F970" s="185"/>
      <c r="G970" s="185"/>
      <c r="H970" s="185"/>
    </row>
    <row r="971">
      <c r="A971" s="287" t="s">
        <v>3105</v>
      </c>
      <c r="C971" s="185"/>
      <c r="D971" s="288" t="s">
        <v>2920</v>
      </c>
      <c r="E971" s="185"/>
      <c r="F971" s="185"/>
      <c r="G971" s="185"/>
      <c r="H971" s="185"/>
    </row>
    <row r="972">
      <c r="A972" s="287" t="s">
        <v>3105</v>
      </c>
      <c r="C972" s="185"/>
      <c r="D972" s="288" t="s">
        <v>1927</v>
      </c>
      <c r="E972" s="185"/>
      <c r="F972" s="185"/>
      <c r="G972" s="185"/>
      <c r="H972" s="185"/>
    </row>
    <row r="973">
      <c r="A973" s="287" t="s">
        <v>3105</v>
      </c>
      <c r="C973" s="185"/>
      <c r="D973" s="288" t="s">
        <v>3123</v>
      </c>
      <c r="E973" s="185"/>
      <c r="F973" s="185"/>
      <c r="G973" s="185"/>
      <c r="H973" s="185"/>
    </row>
    <row r="974">
      <c r="A974" s="287" t="s">
        <v>3105</v>
      </c>
      <c r="C974" s="185"/>
      <c r="D974" s="288" t="s">
        <v>1844</v>
      </c>
      <c r="E974" s="185"/>
      <c r="F974" s="185"/>
      <c r="G974" s="185"/>
      <c r="H974" s="185"/>
    </row>
    <row r="975">
      <c r="A975" s="287" t="s">
        <v>3105</v>
      </c>
      <c r="C975" s="185"/>
      <c r="D975" s="288" t="s">
        <v>3124</v>
      </c>
      <c r="E975" s="185"/>
      <c r="F975" s="185"/>
      <c r="G975" s="185"/>
      <c r="H975" s="185"/>
    </row>
    <row r="976">
      <c r="A976" s="287" t="s">
        <v>3105</v>
      </c>
      <c r="C976" s="185"/>
      <c r="D976" s="288" t="s">
        <v>3125</v>
      </c>
      <c r="E976" s="185"/>
      <c r="F976" s="185"/>
      <c r="G976" s="185"/>
      <c r="H976" s="185"/>
    </row>
    <row r="977">
      <c r="A977" s="287" t="s">
        <v>3105</v>
      </c>
      <c r="C977" s="185"/>
      <c r="D977" s="288" t="s">
        <v>3126</v>
      </c>
      <c r="E977" s="185"/>
      <c r="F977" s="185"/>
      <c r="G977" s="185"/>
      <c r="H977" s="185"/>
    </row>
    <row r="978">
      <c r="A978" s="287" t="s">
        <v>3105</v>
      </c>
      <c r="C978" s="185"/>
      <c r="D978" s="288" t="s">
        <v>3127</v>
      </c>
      <c r="E978" s="185"/>
      <c r="F978" s="185"/>
      <c r="G978" s="185"/>
      <c r="H978" s="185"/>
    </row>
    <row r="979">
      <c r="A979" s="287" t="s">
        <v>3105</v>
      </c>
      <c r="C979" s="185"/>
      <c r="D979" s="288" t="s">
        <v>3128</v>
      </c>
      <c r="E979" s="185"/>
      <c r="F979" s="185"/>
      <c r="G979" s="185"/>
      <c r="H979" s="185"/>
    </row>
    <row r="980">
      <c r="A980" s="287" t="s">
        <v>3105</v>
      </c>
      <c r="C980" s="185"/>
      <c r="D980" s="288" t="s">
        <v>3129</v>
      </c>
      <c r="E980" s="185"/>
      <c r="F980" s="185"/>
      <c r="G980" s="185"/>
      <c r="H980" s="185"/>
    </row>
    <row r="981">
      <c r="A981" s="287" t="s">
        <v>3105</v>
      </c>
      <c r="C981" s="185"/>
      <c r="D981" s="288" t="s">
        <v>3130</v>
      </c>
      <c r="E981" s="185"/>
      <c r="F981" s="185"/>
      <c r="G981" s="185"/>
      <c r="H981" s="185"/>
    </row>
    <row r="982">
      <c r="A982" s="299" t="s">
        <v>3131</v>
      </c>
      <c r="B982" s="318" t="s">
        <v>865</v>
      </c>
      <c r="C982" s="302"/>
      <c r="D982" s="301" t="s">
        <v>3132</v>
      </c>
      <c r="E982" s="302"/>
      <c r="F982" s="302"/>
      <c r="G982" s="302"/>
      <c r="H982" s="302"/>
    </row>
    <row r="983">
      <c r="A983" s="287" t="s">
        <v>3131</v>
      </c>
      <c r="C983" s="185"/>
      <c r="D983" s="288" t="s">
        <v>1873</v>
      </c>
      <c r="E983" s="185"/>
      <c r="F983" s="185"/>
      <c r="G983" s="185"/>
      <c r="H983" s="185"/>
    </row>
    <row r="984">
      <c r="A984" s="287" t="s">
        <v>3131</v>
      </c>
      <c r="C984" s="185"/>
      <c r="D984" s="288" t="s">
        <v>3133</v>
      </c>
      <c r="E984" s="185"/>
      <c r="F984" s="185"/>
      <c r="G984" s="185"/>
      <c r="H984" s="185"/>
    </row>
    <row r="985">
      <c r="A985" s="287" t="s">
        <v>3131</v>
      </c>
      <c r="C985" s="185"/>
      <c r="D985" s="288" t="s">
        <v>3134</v>
      </c>
      <c r="E985" s="185"/>
      <c r="F985" s="185"/>
      <c r="G985" s="185"/>
      <c r="H985" s="185"/>
    </row>
    <row r="986">
      <c r="A986" s="287" t="s">
        <v>3131</v>
      </c>
      <c r="C986" s="185"/>
      <c r="D986" s="288" t="s">
        <v>3135</v>
      </c>
      <c r="E986" s="185"/>
      <c r="F986" s="185"/>
      <c r="G986" s="185"/>
      <c r="H986" s="185"/>
    </row>
    <row r="987">
      <c r="A987" s="287" t="s">
        <v>3131</v>
      </c>
      <c r="C987" s="185"/>
      <c r="D987" s="288" t="s">
        <v>3136</v>
      </c>
      <c r="E987" s="185"/>
      <c r="F987" s="185"/>
      <c r="G987" s="185"/>
      <c r="H987" s="185"/>
    </row>
    <row r="988">
      <c r="A988" s="287" t="s">
        <v>3131</v>
      </c>
      <c r="C988" s="185"/>
      <c r="D988" s="288" t="s">
        <v>3137</v>
      </c>
      <c r="E988" s="185"/>
      <c r="F988" s="185"/>
      <c r="G988" s="185"/>
      <c r="H988" s="185"/>
    </row>
    <row r="989">
      <c r="A989" s="287" t="s">
        <v>3131</v>
      </c>
      <c r="C989" s="185"/>
      <c r="D989" s="289" t="s">
        <v>3138</v>
      </c>
      <c r="E989" s="185"/>
      <c r="F989" s="185"/>
      <c r="G989" s="185"/>
      <c r="H989" s="185"/>
    </row>
    <row r="990">
      <c r="A990" s="287" t="s">
        <v>3131</v>
      </c>
      <c r="C990" s="185"/>
      <c r="D990" s="289" t="s">
        <v>3139</v>
      </c>
      <c r="E990" s="185"/>
      <c r="F990" s="185"/>
      <c r="G990" s="185"/>
      <c r="H990" s="185"/>
    </row>
    <row r="991">
      <c r="A991" s="287" t="s">
        <v>3131</v>
      </c>
      <c r="C991" s="185"/>
      <c r="D991" s="289" t="s">
        <v>3140</v>
      </c>
      <c r="E991" s="185"/>
      <c r="F991" s="185"/>
      <c r="G991" s="185"/>
      <c r="H991" s="185"/>
    </row>
    <row r="992">
      <c r="A992" s="287" t="s">
        <v>3131</v>
      </c>
      <c r="C992" s="185"/>
      <c r="D992" s="289" t="s">
        <v>3141</v>
      </c>
      <c r="E992" s="185"/>
      <c r="F992" s="185"/>
      <c r="G992" s="185"/>
      <c r="H992" s="185"/>
    </row>
    <row r="993">
      <c r="A993" s="287" t="s">
        <v>3131</v>
      </c>
      <c r="C993" s="185"/>
      <c r="D993" s="289" t="s">
        <v>3142</v>
      </c>
      <c r="E993" s="185"/>
      <c r="F993" s="185"/>
      <c r="G993" s="185"/>
      <c r="H993" s="185"/>
    </row>
    <row r="994">
      <c r="A994" s="287" t="s">
        <v>3131</v>
      </c>
      <c r="C994" s="185"/>
      <c r="D994" s="289" t="s">
        <v>3143</v>
      </c>
      <c r="E994" s="185"/>
      <c r="F994" s="185"/>
      <c r="G994" s="185"/>
      <c r="H994" s="185"/>
    </row>
    <row r="995">
      <c r="A995" s="287" t="s">
        <v>3131</v>
      </c>
      <c r="C995" s="185"/>
      <c r="D995" s="289" t="s">
        <v>3144</v>
      </c>
      <c r="E995" s="185"/>
      <c r="F995" s="185"/>
      <c r="G995" s="185"/>
      <c r="H995" s="185"/>
    </row>
    <row r="996">
      <c r="A996" s="287" t="s">
        <v>3131</v>
      </c>
      <c r="C996" s="185"/>
      <c r="D996" s="289" t="s">
        <v>3145</v>
      </c>
      <c r="E996" s="185"/>
      <c r="F996" s="185"/>
      <c r="G996" s="185"/>
      <c r="H996" s="185"/>
    </row>
    <row r="997">
      <c r="A997" s="287" t="s">
        <v>3131</v>
      </c>
      <c r="C997" s="185"/>
      <c r="D997" s="289" t="s">
        <v>3146</v>
      </c>
      <c r="E997" s="185"/>
      <c r="F997" s="185"/>
      <c r="G997" s="185"/>
      <c r="H997" s="185"/>
    </row>
    <row r="998">
      <c r="A998" s="287" t="s">
        <v>3131</v>
      </c>
      <c r="C998" s="185"/>
      <c r="D998" s="289" t="s">
        <v>3147</v>
      </c>
      <c r="E998" s="185"/>
      <c r="F998" s="185"/>
      <c r="G998" s="185"/>
      <c r="H998" s="185"/>
    </row>
    <row r="999">
      <c r="A999" s="287" t="s">
        <v>3131</v>
      </c>
      <c r="C999" s="185"/>
      <c r="D999" s="289" t="s">
        <v>3148</v>
      </c>
      <c r="E999" s="185"/>
      <c r="F999" s="185"/>
      <c r="G999" s="185"/>
      <c r="H999" s="185"/>
    </row>
    <row r="1000">
      <c r="A1000" s="287" t="s">
        <v>3131</v>
      </c>
      <c r="C1000" s="185"/>
      <c r="D1000" s="289" t="s">
        <v>3149</v>
      </c>
      <c r="E1000" s="185"/>
      <c r="F1000" s="185"/>
      <c r="G1000" s="185"/>
      <c r="H1000" s="185"/>
    </row>
    <row r="1001">
      <c r="A1001" s="287" t="s">
        <v>3131</v>
      </c>
      <c r="C1001" s="185"/>
      <c r="D1001" s="289" t="s">
        <v>3150</v>
      </c>
      <c r="E1001" s="185"/>
      <c r="F1001" s="185"/>
      <c r="G1001" s="185"/>
      <c r="H1001" s="185"/>
    </row>
    <row r="1002">
      <c r="A1002" s="287" t="s">
        <v>3131</v>
      </c>
      <c r="C1002" s="185"/>
      <c r="D1002" s="289" t="s">
        <v>3151</v>
      </c>
      <c r="E1002" s="185"/>
      <c r="F1002" s="185"/>
      <c r="G1002" s="185"/>
      <c r="H1002" s="185"/>
    </row>
    <row r="1003">
      <c r="A1003" s="287" t="s">
        <v>3131</v>
      </c>
      <c r="C1003" s="185"/>
      <c r="D1003" s="289" t="s">
        <v>3152</v>
      </c>
      <c r="E1003" s="185"/>
      <c r="F1003" s="185"/>
      <c r="G1003" s="185"/>
      <c r="H1003" s="185"/>
    </row>
    <row r="1004">
      <c r="A1004" s="299" t="s">
        <v>3153</v>
      </c>
      <c r="B1004" s="300" t="s">
        <v>1758</v>
      </c>
      <c r="C1004" s="302"/>
      <c r="D1004" s="306" t="s">
        <v>3154</v>
      </c>
      <c r="E1004" s="302"/>
      <c r="F1004" s="302"/>
      <c r="G1004" s="302"/>
      <c r="H1004" s="302"/>
    </row>
    <row r="1005">
      <c r="A1005" s="287" t="s">
        <v>3153</v>
      </c>
      <c r="C1005" s="185"/>
      <c r="D1005" s="289" t="s">
        <v>3155</v>
      </c>
      <c r="E1005" s="185"/>
      <c r="F1005" s="185"/>
      <c r="G1005" s="185"/>
      <c r="H1005" s="185"/>
    </row>
    <row r="1006">
      <c r="A1006" s="287" t="s">
        <v>3153</v>
      </c>
      <c r="C1006" s="185"/>
      <c r="D1006" s="289" t="s">
        <v>3156</v>
      </c>
      <c r="E1006" s="185"/>
      <c r="F1006" s="185"/>
      <c r="G1006" s="185"/>
      <c r="H1006" s="185"/>
    </row>
    <row r="1007">
      <c r="A1007" s="287" t="s">
        <v>3153</v>
      </c>
      <c r="C1007" s="185"/>
      <c r="D1007" s="289" t="s">
        <v>3157</v>
      </c>
      <c r="E1007" s="185"/>
      <c r="F1007" s="185"/>
      <c r="G1007" s="185"/>
      <c r="H1007" s="185"/>
    </row>
    <row r="1008">
      <c r="A1008" s="287" t="s">
        <v>3153</v>
      </c>
      <c r="C1008" s="185"/>
      <c r="D1008" s="289" t="s">
        <v>3158</v>
      </c>
      <c r="E1008" s="185"/>
      <c r="F1008" s="185"/>
      <c r="G1008" s="185"/>
      <c r="H1008" s="185"/>
    </row>
    <row r="1009">
      <c r="A1009" s="287" t="s">
        <v>3153</v>
      </c>
      <c r="C1009" s="185"/>
      <c r="D1009" s="289" t="s">
        <v>3159</v>
      </c>
      <c r="E1009" s="185"/>
      <c r="F1009" s="185"/>
      <c r="G1009" s="185"/>
      <c r="H1009" s="185"/>
    </row>
    <row r="1010">
      <c r="A1010" s="287" t="s">
        <v>3153</v>
      </c>
      <c r="C1010" s="185"/>
      <c r="D1010" s="288" t="s">
        <v>3160</v>
      </c>
      <c r="E1010" s="185"/>
      <c r="F1010" s="185"/>
      <c r="G1010" s="185"/>
      <c r="H1010" s="185"/>
    </row>
    <row r="1011">
      <c r="A1011" s="287" t="s">
        <v>3153</v>
      </c>
      <c r="C1011" s="185"/>
      <c r="D1011" s="288" t="s">
        <v>3161</v>
      </c>
      <c r="E1011" s="185"/>
      <c r="F1011" s="185"/>
      <c r="G1011" s="185"/>
      <c r="H1011" s="185"/>
    </row>
    <row r="1012">
      <c r="A1012" s="287" t="s">
        <v>3153</v>
      </c>
      <c r="C1012" s="185"/>
      <c r="D1012" s="288" t="s">
        <v>3162</v>
      </c>
      <c r="E1012" s="185"/>
      <c r="F1012" s="185"/>
      <c r="G1012" s="185"/>
      <c r="H1012" s="185"/>
    </row>
    <row r="1013">
      <c r="A1013" s="287" t="s">
        <v>3153</v>
      </c>
      <c r="C1013" s="185"/>
      <c r="D1013" s="288" t="s">
        <v>3163</v>
      </c>
      <c r="E1013" s="185"/>
      <c r="F1013" s="185"/>
      <c r="G1013" s="185"/>
      <c r="H1013" s="185"/>
    </row>
    <row r="1014">
      <c r="A1014" s="287" t="s">
        <v>3153</v>
      </c>
      <c r="C1014" s="185"/>
      <c r="D1014" s="288" t="s">
        <v>3164</v>
      </c>
      <c r="E1014" s="185"/>
      <c r="F1014" s="185"/>
      <c r="G1014" s="185"/>
      <c r="H1014" s="185"/>
    </row>
    <row r="1015">
      <c r="A1015" s="287" t="s">
        <v>3153</v>
      </c>
      <c r="C1015" s="185"/>
      <c r="D1015" s="288" t="s">
        <v>3165</v>
      </c>
      <c r="E1015" s="185"/>
      <c r="F1015" s="185"/>
      <c r="G1015" s="185"/>
      <c r="H1015" s="185"/>
    </row>
    <row r="1016">
      <c r="A1016" s="287" t="s">
        <v>3153</v>
      </c>
      <c r="C1016" s="185"/>
      <c r="D1016" s="288" t="s">
        <v>3166</v>
      </c>
      <c r="E1016" s="185"/>
      <c r="F1016" s="185"/>
      <c r="G1016" s="185"/>
      <c r="H1016" s="185"/>
    </row>
    <row r="1017">
      <c r="A1017" s="287" t="s">
        <v>3153</v>
      </c>
      <c r="C1017" s="185"/>
      <c r="D1017" s="288" t="s">
        <v>3167</v>
      </c>
      <c r="E1017" s="185"/>
      <c r="F1017" s="185"/>
      <c r="G1017" s="185"/>
      <c r="H1017" s="185"/>
    </row>
    <row r="1018">
      <c r="A1018" s="287" t="s">
        <v>3153</v>
      </c>
      <c r="C1018" s="185"/>
      <c r="D1018" s="288" t="s">
        <v>3168</v>
      </c>
      <c r="E1018" s="185"/>
      <c r="F1018" s="185"/>
      <c r="G1018" s="185"/>
      <c r="H1018" s="185"/>
    </row>
    <row r="1019">
      <c r="A1019" s="299" t="s">
        <v>3169</v>
      </c>
      <c r="B1019" s="300" t="s">
        <v>3170</v>
      </c>
      <c r="C1019" s="302"/>
      <c r="D1019" s="301" t="s">
        <v>3171</v>
      </c>
      <c r="E1019" s="302"/>
      <c r="F1019" s="302"/>
      <c r="G1019" s="302"/>
      <c r="H1019" s="302"/>
    </row>
    <row r="1020">
      <c r="A1020" s="287" t="s">
        <v>3169</v>
      </c>
      <c r="C1020" s="185"/>
      <c r="D1020" s="288" t="s">
        <v>3172</v>
      </c>
      <c r="E1020" s="185"/>
      <c r="F1020" s="185"/>
      <c r="G1020" s="185"/>
      <c r="H1020" s="185"/>
    </row>
    <row r="1021">
      <c r="A1021" s="287" t="s">
        <v>3169</v>
      </c>
      <c r="C1021" s="185"/>
      <c r="D1021" s="288" t="s">
        <v>3173</v>
      </c>
      <c r="E1021" s="185"/>
      <c r="F1021" s="185"/>
      <c r="G1021" s="185"/>
      <c r="H1021" s="185"/>
    </row>
    <row r="1022">
      <c r="A1022" s="287" t="s">
        <v>3169</v>
      </c>
      <c r="C1022" s="185"/>
      <c r="D1022" s="288" t="s">
        <v>3174</v>
      </c>
      <c r="E1022" s="185"/>
      <c r="F1022" s="185"/>
      <c r="G1022" s="185"/>
      <c r="H1022" s="185"/>
    </row>
    <row r="1023">
      <c r="A1023" s="299" t="s">
        <v>3175</v>
      </c>
      <c r="B1023" s="300" t="s">
        <v>1470</v>
      </c>
      <c r="C1023" s="302"/>
      <c r="D1023" s="301" t="s">
        <v>3176</v>
      </c>
      <c r="E1023" s="302"/>
      <c r="F1023" s="302"/>
      <c r="G1023" s="302"/>
      <c r="H1023" s="302"/>
    </row>
    <row r="1024">
      <c r="A1024" s="287" t="s">
        <v>3175</v>
      </c>
      <c r="C1024" s="185"/>
      <c r="D1024" s="288" t="s">
        <v>3177</v>
      </c>
      <c r="E1024" s="185"/>
      <c r="F1024" s="185"/>
      <c r="G1024" s="185"/>
      <c r="H1024" s="185"/>
    </row>
    <row r="1025">
      <c r="A1025" s="287" t="s">
        <v>3175</v>
      </c>
      <c r="C1025" s="185"/>
      <c r="D1025" s="288" t="s">
        <v>3178</v>
      </c>
      <c r="E1025" s="185"/>
      <c r="F1025" s="185"/>
      <c r="G1025" s="185"/>
      <c r="H1025" s="185"/>
    </row>
    <row r="1026">
      <c r="A1026" s="287" t="s">
        <v>3175</v>
      </c>
      <c r="C1026" s="185"/>
      <c r="D1026" s="288" t="s">
        <v>3179</v>
      </c>
      <c r="E1026" s="185"/>
      <c r="F1026" s="185"/>
      <c r="G1026" s="185"/>
      <c r="H1026" s="185"/>
    </row>
    <row r="1027">
      <c r="A1027" s="287" t="s">
        <v>3175</v>
      </c>
      <c r="C1027" s="185"/>
      <c r="D1027" s="288" t="s">
        <v>3180</v>
      </c>
      <c r="E1027" s="185"/>
      <c r="F1027" s="185"/>
      <c r="G1027" s="185"/>
      <c r="H1027" s="185"/>
    </row>
    <row r="1028">
      <c r="A1028" s="287" t="s">
        <v>3175</v>
      </c>
      <c r="C1028" s="185"/>
      <c r="D1028" s="288" t="s">
        <v>3181</v>
      </c>
      <c r="E1028" s="185"/>
      <c r="F1028" s="185"/>
      <c r="G1028" s="185"/>
      <c r="H1028" s="185"/>
    </row>
    <row r="1029">
      <c r="A1029" s="287" t="s">
        <v>3175</v>
      </c>
      <c r="C1029" s="185"/>
      <c r="D1029" s="288" t="s">
        <v>2292</v>
      </c>
      <c r="E1029" s="185"/>
      <c r="F1029" s="185"/>
      <c r="G1029" s="185"/>
      <c r="H1029" s="185"/>
    </row>
    <row r="1030">
      <c r="A1030" s="287" t="s">
        <v>3175</v>
      </c>
      <c r="C1030" s="185"/>
      <c r="D1030" s="288" t="s">
        <v>3182</v>
      </c>
      <c r="E1030" s="185"/>
      <c r="F1030" s="185"/>
      <c r="G1030" s="185"/>
      <c r="H1030" s="185"/>
    </row>
    <row r="1031">
      <c r="A1031" s="287" t="s">
        <v>3175</v>
      </c>
      <c r="C1031" s="185"/>
      <c r="D1031" s="288" t="s">
        <v>3183</v>
      </c>
      <c r="E1031" s="185"/>
      <c r="F1031" s="185"/>
      <c r="G1031" s="185"/>
      <c r="H1031" s="185"/>
    </row>
    <row r="1032">
      <c r="A1032" s="287" t="s">
        <v>3175</v>
      </c>
      <c r="C1032" s="185"/>
      <c r="D1032" s="288" t="s">
        <v>3184</v>
      </c>
      <c r="E1032" s="185"/>
      <c r="F1032" s="185"/>
      <c r="G1032" s="185"/>
      <c r="H1032" s="185"/>
    </row>
    <row r="1033">
      <c r="A1033" s="287" t="s">
        <v>3175</v>
      </c>
      <c r="C1033" s="185"/>
      <c r="D1033" s="288" t="s">
        <v>3185</v>
      </c>
      <c r="E1033" s="185"/>
      <c r="F1033" s="185"/>
      <c r="G1033" s="185"/>
      <c r="H1033" s="185"/>
    </row>
    <row r="1034">
      <c r="A1034" s="287" t="s">
        <v>3175</v>
      </c>
      <c r="C1034" s="185"/>
      <c r="D1034" s="288" t="s">
        <v>3186</v>
      </c>
      <c r="E1034" s="185"/>
      <c r="F1034" s="185"/>
      <c r="G1034" s="185"/>
      <c r="H1034" s="185"/>
    </row>
    <row r="1035">
      <c r="A1035" s="287" t="s">
        <v>3175</v>
      </c>
      <c r="C1035" s="185"/>
      <c r="D1035" s="289" t="s">
        <v>3187</v>
      </c>
      <c r="E1035" s="185"/>
      <c r="F1035" s="185"/>
      <c r="G1035" s="185"/>
      <c r="H1035" s="185"/>
    </row>
    <row r="1036">
      <c r="A1036" s="287" t="s">
        <v>3175</v>
      </c>
      <c r="C1036" s="185"/>
      <c r="D1036" s="288" t="s">
        <v>3188</v>
      </c>
      <c r="E1036" s="185"/>
      <c r="F1036" s="185"/>
      <c r="G1036" s="185"/>
      <c r="H1036" s="185"/>
    </row>
    <row r="1037">
      <c r="A1037" s="287" t="s">
        <v>3175</v>
      </c>
      <c r="C1037" s="185"/>
      <c r="D1037" s="288" t="s">
        <v>3189</v>
      </c>
      <c r="E1037" s="185"/>
      <c r="F1037" s="185"/>
      <c r="G1037" s="185"/>
      <c r="H1037" s="185"/>
    </row>
    <row r="1038">
      <c r="A1038" s="287" t="s">
        <v>3175</v>
      </c>
      <c r="C1038" s="185"/>
      <c r="D1038" s="288" t="s">
        <v>3190</v>
      </c>
      <c r="E1038" s="185"/>
      <c r="F1038" s="185"/>
      <c r="G1038" s="185"/>
      <c r="H1038" s="185"/>
    </row>
    <row r="1039">
      <c r="A1039" s="287" t="s">
        <v>3175</v>
      </c>
      <c r="C1039" s="185"/>
      <c r="D1039" s="288" t="s">
        <v>3191</v>
      </c>
      <c r="E1039" s="185"/>
      <c r="F1039" s="185"/>
      <c r="G1039" s="185"/>
      <c r="H1039" s="185"/>
    </row>
    <row r="1040">
      <c r="A1040" s="287" t="s">
        <v>3175</v>
      </c>
      <c r="C1040" s="185"/>
      <c r="D1040" s="288" t="s">
        <v>3192</v>
      </c>
      <c r="E1040" s="185"/>
      <c r="F1040" s="185"/>
      <c r="G1040" s="185"/>
      <c r="H1040" s="185"/>
    </row>
    <row r="1041">
      <c r="A1041" s="287" t="s">
        <v>3175</v>
      </c>
      <c r="C1041" s="185"/>
      <c r="D1041" s="288" t="s">
        <v>3193</v>
      </c>
      <c r="E1041" s="185"/>
      <c r="F1041" s="185"/>
      <c r="G1041" s="185"/>
      <c r="H1041" s="185"/>
    </row>
    <row r="1042">
      <c r="A1042" s="287" t="s">
        <v>3175</v>
      </c>
      <c r="C1042" s="185"/>
      <c r="D1042" s="288" t="s">
        <v>3194</v>
      </c>
      <c r="E1042" s="185"/>
      <c r="F1042" s="185"/>
      <c r="G1042" s="185"/>
      <c r="H1042" s="185"/>
    </row>
    <row r="1043">
      <c r="A1043" s="287" t="s">
        <v>3175</v>
      </c>
      <c r="C1043" s="185"/>
      <c r="D1043" s="288" t="s">
        <v>3195</v>
      </c>
      <c r="E1043" s="185"/>
      <c r="F1043" s="185"/>
      <c r="G1043" s="185"/>
      <c r="H1043" s="185"/>
    </row>
    <row r="1044">
      <c r="A1044" s="299" t="s">
        <v>3196</v>
      </c>
      <c r="B1044" s="318" t="s">
        <v>1765</v>
      </c>
      <c r="C1044" s="302"/>
      <c r="D1044" s="301" t="s">
        <v>3197</v>
      </c>
      <c r="E1044" s="302"/>
      <c r="F1044" s="302"/>
      <c r="G1044" s="302"/>
      <c r="H1044" s="302"/>
    </row>
    <row r="1045">
      <c r="A1045" s="287" t="s">
        <v>3196</v>
      </c>
      <c r="C1045" s="185"/>
      <c r="D1045" s="288" t="s">
        <v>3198</v>
      </c>
      <c r="E1045" s="185"/>
      <c r="F1045" s="185"/>
      <c r="G1045" s="185"/>
      <c r="H1045" s="185"/>
    </row>
    <row r="1046">
      <c r="A1046" s="287" t="s">
        <v>3196</v>
      </c>
      <c r="C1046" s="185"/>
      <c r="D1046" s="288" t="s">
        <v>3199</v>
      </c>
      <c r="E1046" s="185"/>
      <c r="F1046" s="185"/>
      <c r="G1046" s="185"/>
      <c r="H1046" s="185"/>
    </row>
    <row r="1047">
      <c r="A1047" s="287" t="s">
        <v>3196</v>
      </c>
      <c r="C1047" s="185"/>
      <c r="D1047" s="288" t="s">
        <v>3200</v>
      </c>
      <c r="E1047" s="185"/>
      <c r="F1047" s="185"/>
      <c r="G1047" s="185"/>
      <c r="H1047" s="185"/>
    </row>
    <row r="1048">
      <c r="A1048" s="287" t="s">
        <v>3196</v>
      </c>
      <c r="C1048" s="185"/>
      <c r="D1048" s="288" t="s">
        <v>3034</v>
      </c>
      <c r="E1048" s="185"/>
      <c r="F1048" s="185"/>
      <c r="G1048" s="185"/>
      <c r="H1048" s="185"/>
    </row>
    <row r="1049">
      <c r="A1049" s="287" t="s">
        <v>3196</v>
      </c>
      <c r="C1049" s="185"/>
      <c r="D1049" s="288" t="s">
        <v>3201</v>
      </c>
      <c r="E1049" s="185"/>
      <c r="F1049" s="185"/>
      <c r="G1049" s="185"/>
      <c r="H1049" s="185"/>
    </row>
    <row r="1050">
      <c r="A1050" s="287" t="s">
        <v>3196</v>
      </c>
      <c r="C1050" s="185"/>
      <c r="D1050" s="288" t="s">
        <v>3202</v>
      </c>
      <c r="E1050" s="185"/>
      <c r="F1050" s="185"/>
      <c r="G1050" s="185"/>
      <c r="H1050" s="185"/>
    </row>
    <row r="1051">
      <c r="A1051" s="287" t="s">
        <v>3196</v>
      </c>
      <c r="C1051" s="185"/>
      <c r="D1051" s="288" t="s">
        <v>3203</v>
      </c>
      <c r="E1051" s="185"/>
      <c r="F1051" s="185"/>
      <c r="G1051" s="185"/>
      <c r="H1051" s="185"/>
    </row>
    <row r="1052">
      <c r="A1052" s="287" t="s">
        <v>3196</v>
      </c>
      <c r="C1052" s="185"/>
      <c r="D1052" s="288" t="s">
        <v>3204</v>
      </c>
      <c r="E1052" s="185"/>
      <c r="F1052" s="185"/>
      <c r="G1052" s="185"/>
      <c r="H1052" s="185"/>
    </row>
    <row r="1053">
      <c r="A1053" s="287" t="s">
        <v>3196</v>
      </c>
      <c r="C1053" s="185"/>
      <c r="D1053" s="288" t="s">
        <v>3205</v>
      </c>
      <c r="E1053" s="185"/>
      <c r="F1053" s="185"/>
      <c r="G1053" s="185"/>
      <c r="H1053" s="185"/>
    </row>
    <row r="1054">
      <c r="A1054" s="287" t="s">
        <v>3196</v>
      </c>
      <c r="C1054" s="185"/>
      <c r="D1054" s="288" t="s">
        <v>3206</v>
      </c>
      <c r="E1054" s="185"/>
      <c r="F1054" s="185"/>
      <c r="G1054" s="185"/>
      <c r="H1054" s="185"/>
    </row>
    <row r="1055">
      <c r="A1055" s="287" t="s">
        <v>3196</v>
      </c>
      <c r="C1055" s="185"/>
      <c r="D1055" s="288" t="s">
        <v>3207</v>
      </c>
      <c r="E1055" s="185"/>
      <c r="F1055" s="185"/>
      <c r="G1055" s="185"/>
      <c r="H1055" s="185"/>
    </row>
    <row r="1056">
      <c r="A1056" s="287" t="s">
        <v>3196</v>
      </c>
      <c r="C1056" s="185"/>
      <c r="D1056" s="288" t="s">
        <v>3208</v>
      </c>
      <c r="E1056" s="185"/>
      <c r="F1056" s="185"/>
      <c r="G1056" s="185"/>
      <c r="H1056" s="185"/>
    </row>
    <row r="1057">
      <c r="A1057" s="287" t="s">
        <v>3196</v>
      </c>
      <c r="C1057" s="185"/>
      <c r="D1057" s="288" t="s">
        <v>3209</v>
      </c>
      <c r="E1057" s="185"/>
      <c r="F1057" s="185"/>
      <c r="G1057" s="185"/>
      <c r="H1057" s="185"/>
    </row>
    <row r="1058">
      <c r="A1058" s="299" t="s">
        <v>3210</v>
      </c>
      <c r="B1058" s="300" t="s">
        <v>576</v>
      </c>
      <c r="C1058" s="302"/>
      <c r="D1058" s="301" t="s">
        <v>3211</v>
      </c>
      <c r="E1058" s="302"/>
      <c r="F1058" s="302"/>
      <c r="G1058" s="302"/>
      <c r="H1058" s="302"/>
    </row>
    <row r="1059">
      <c r="A1059" s="287" t="s">
        <v>3210</v>
      </c>
      <c r="C1059" s="185"/>
      <c r="D1059" s="288" t="s">
        <v>3212</v>
      </c>
      <c r="E1059" s="185"/>
      <c r="F1059" s="185"/>
      <c r="G1059" s="185"/>
      <c r="H1059" s="185"/>
    </row>
    <row r="1060">
      <c r="A1060" s="287" t="s">
        <v>3210</v>
      </c>
      <c r="C1060" s="185"/>
      <c r="D1060" s="288" t="s">
        <v>3213</v>
      </c>
      <c r="E1060" s="185"/>
      <c r="F1060" s="185"/>
      <c r="G1060" s="185"/>
      <c r="H1060" s="185"/>
    </row>
    <row r="1061">
      <c r="A1061" s="287" t="s">
        <v>3210</v>
      </c>
      <c r="C1061" s="185"/>
      <c r="D1061" s="288" t="s">
        <v>3214</v>
      </c>
      <c r="E1061" s="185"/>
      <c r="F1061" s="185"/>
      <c r="G1061" s="185"/>
      <c r="H1061" s="185"/>
    </row>
    <row r="1062">
      <c r="A1062" s="287" t="s">
        <v>3210</v>
      </c>
      <c r="C1062" s="185"/>
      <c r="D1062" s="288" t="s">
        <v>3215</v>
      </c>
      <c r="E1062" s="185"/>
      <c r="F1062" s="185"/>
      <c r="G1062" s="185"/>
      <c r="H1062" s="185"/>
    </row>
    <row r="1063">
      <c r="A1063" s="287" t="s">
        <v>3210</v>
      </c>
      <c r="C1063" s="185"/>
      <c r="D1063" s="288" t="s">
        <v>3216</v>
      </c>
      <c r="E1063" s="185"/>
      <c r="F1063" s="185"/>
      <c r="G1063" s="185"/>
      <c r="H1063" s="185"/>
    </row>
    <row r="1064">
      <c r="A1064" s="299" t="s">
        <v>3217</v>
      </c>
      <c r="B1064" s="300" t="s">
        <v>1772</v>
      </c>
      <c r="C1064" s="302"/>
      <c r="D1064" s="301" t="s">
        <v>3218</v>
      </c>
      <c r="E1064" s="302"/>
      <c r="F1064" s="302"/>
      <c r="G1064" s="302"/>
      <c r="H1064" s="302"/>
    </row>
    <row r="1065">
      <c r="A1065" s="287" t="s">
        <v>3217</v>
      </c>
      <c r="C1065" s="185"/>
      <c r="D1065" s="288" t="s">
        <v>3219</v>
      </c>
      <c r="E1065" s="185"/>
      <c r="F1065" s="185"/>
      <c r="G1065" s="185"/>
      <c r="H1065" s="185"/>
    </row>
    <row r="1066">
      <c r="A1066" s="287" t="s">
        <v>3217</v>
      </c>
      <c r="C1066" s="185"/>
      <c r="D1066" s="288" t="s">
        <v>3220</v>
      </c>
      <c r="E1066" s="185"/>
      <c r="F1066" s="185"/>
      <c r="G1066" s="185"/>
      <c r="H1066" s="185"/>
    </row>
    <row r="1067">
      <c r="A1067" s="287" t="s">
        <v>3217</v>
      </c>
      <c r="C1067" s="185"/>
      <c r="D1067" s="288" t="s">
        <v>3221</v>
      </c>
      <c r="E1067" s="185"/>
      <c r="F1067" s="185"/>
      <c r="G1067" s="185"/>
      <c r="H1067" s="185"/>
    </row>
    <row r="1068">
      <c r="A1068" s="287" t="s">
        <v>3217</v>
      </c>
      <c r="C1068" s="185"/>
      <c r="D1068" s="288" t="s">
        <v>3222</v>
      </c>
      <c r="E1068" s="185"/>
      <c r="F1068" s="185"/>
      <c r="G1068" s="185"/>
      <c r="H1068" s="185"/>
    </row>
    <row r="1069">
      <c r="A1069" s="287" t="s">
        <v>3217</v>
      </c>
      <c r="C1069" s="185"/>
      <c r="D1069" s="288" t="s">
        <v>3223</v>
      </c>
      <c r="E1069" s="185"/>
      <c r="F1069" s="185"/>
      <c r="G1069" s="185"/>
      <c r="H1069" s="185"/>
    </row>
    <row r="1070">
      <c r="A1070" s="287" t="s">
        <v>3217</v>
      </c>
      <c r="C1070" s="185"/>
      <c r="D1070" s="288" t="s">
        <v>3224</v>
      </c>
      <c r="E1070" s="185"/>
      <c r="F1070" s="185"/>
      <c r="G1070" s="185"/>
      <c r="H1070" s="185"/>
    </row>
    <row r="1071">
      <c r="A1071" s="287" t="s">
        <v>3217</v>
      </c>
      <c r="C1071" s="185"/>
      <c r="D1071" s="288" t="s">
        <v>3225</v>
      </c>
      <c r="E1071" s="185"/>
      <c r="F1071" s="185"/>
      <c r="G1071" s="185"/>
      <c r="H1071" s="185"/>
    </row>
    <row r="1072">
      <c r="A1072" s="287" t="s">
        <v>3217</v>
      </c>
      <c r="C1072" s="185"/>
      <c r="D1072" s="288" t="s">
        <v>3226</v>
      </c>
      <c r="E1072" s="185"/>
      <c r="F1072" s="185"/>
      <c r="G1072" s="185"/>
      <c r="H1072" s="185"/>
    </row>
    <row r="1073">
      <c r="A1073" s="287" t="s">
        <v>3217</v>
      </c>
      <c r="C1073" s="185"/>
      <c r="D1073" s="288" t="s">
        <v>3227</v>
      </c>
      <c r="E1073" s="185"/>
      <c r="F1073" s="185"/>
      <c r="G1073" s="185"/>
      <c r="H1073" s="185"/>
    </row>
    <row r="1074">
      <c r="A1074" s="287" t="s">
        <v>3217</v>
      </c>
      <c r="C1074" s="185"/>
      <c r="D1074" s="288" t="s">
        <v>3228</v>
      </c>
      <c r="E1074" s="185"/>
      <c r="F1074" s="185"/>
      <c r="G1074" s="185"/>
      <c r="H1074" s="185"/>
    </row>
    <row r="1075">
      <c r="A1075" s="287" t="s">
        <v>3217</v>
      </c>
      <c r="C1075" s="185"/>
      <c r="D1075" s="288" t="s">
        <v>3229</v>
      </c>
      <c r="E1075" s="185"/>
      <c r="F1075" s="185"/>
      <c r="G1075" s="185"/>
      <c r="H1075" s="185"/>
    </row>
    <row r="1076">
      <c r="A1076" s="287" t="s">
        <v>3217</v>
      </c>
      <c r="C1076" s="185"/>
      <c r="D1076" s="288" t="s">
        <v>3230</v>
      </c>
      <c r="E1076" s="185"/>
      <c r="F1076" s="185"/>
      <c r="G1076" s="185"/>
      <c r="H1076" s="185"/>
    </row>
    <row r="1077">
      <c r="A1077" s="287" t="s">
        <v>3217</v>
      </c>
      <c r="C1077" s="185"/>
      <c r="D1077" s="288" t="s">
        <v>3231</v>
      </c>
      <c r="E1077" s="185"/>
      <c r="F1077" s="185"/>
      <c r="G1077" s="185"/>
      <c r="H1077" s="185"/>
    </row>
    <row r="1078">
      <c r="A1078" s="287" t="s">
        <v>3217</v>
      </c>
      <c r="C1078" s="185"/>
      <c r="D1078" s="288" t="s">
        <v>3232</v>
      </c>
      <c r="E1078" s="185"/>
      <c r="F1078" s="185"/>
      <c r="G1078" s="185"/>
      <c r="H1078" s="185"/>
    </row>
    <row r="1079">
      <c r="A1079" s="287" t="s">
        <v>3217</v>
      </c>
      <c r="C1079" s="185"/>
      <c r="D1079" s="288" t="s">
        <v>3233</v>
      </c>
      <c r="E1079" s="185"/>
      <c r="F1079" s="185"/>
      <c r="G1079" s="185"/>
      <c r="H1079" s="185"/>
    </row>
    <row r="1080">
      <c r="A1080" s="287" t="s">
        <v>3217</v>
      </c>
      <c r="C1080" s="185"/>
      <c r="D1080" s="288" t="s">
        <v>3234</v>
      </c>
      <c r="E1080" s="185"/>
      <c r="F1080" s="185"/>
      <c r="G1080" s="185"/>
      <c r="H1080" s="185"/>
    </row>
    <row r="1081">
      <c r="A1081" s="287" t="s">
        <v>3217</v>
      </c>
      <c r="C1081" s="185"/>
      <c r="D1081" s="288" t="s">
        <v>3235</v>
      </c>
      <c r="E1081" s="185"/>
      <c r="F1081" s="185"/>
      <c r="G1081" s="185"/>
      <c r="H1081" s="185"/>
    </row>
    <row r="1082">
      <c r="A1082" s="287" t="s">
        <v>3217</v>
      </c>
      <c r="C1082" s="185"/>
      <c r="D1082" s="288" t="s">
        <v>3236</v>
      </c>
      <c r="E1082" s="185"/>
      <c r="F1082" s="185"/>
      <c r="G1082" s="185"/>
      <c r="H1082" s="185"/>
    </row>
    <row r="1083">
      <c r="A1083" s="287" t="s">
        <v>3217</v>
      </c>
      <c r="C1083" s="185"/>
      <c r="D1083" s="288" t="s">
        <v>3237</v>
      </c>
      <c r="E1083" s="185"/>
      <c r="F1083" s="185"/>
      <c r="G1083" s="185"/>
      <c r="H1083" s="185"/>
    </row>
    <row r="1084">
      <c r="A1084" s="287" t="s">
        <v>3217</v>
      </c>
      <c r="C1084" s="185"/>
      <c r="D1084" s="288" t="s">
        <v>3238</v>
      </c>
      <c r="E1084" s="185"/>
      <c r="F1084" s="185"/>
      <c r="G1084" s="185"/>
      <c r="H1084" s="185"/>
    </row>
    <row r="1085">
      <c r="A1085" s="299" t="s">
        <v>3239</v>
      </c>
      <c r="B1085" s="318" t="s">
        <v>1083</v>
      </c>
      <c r="C1085" s="302"/>
      <c r="D1085" s="301" t="s">
        <v>3240</v>
      </c>
      <c r="E1085" s="302"/>
      <c r="F1085" s="302"/>
      <c r="G1085" s="302"/>
      <c r="H1085" s="302"/>
    </row>
    <row r="1086">
      <c r="A1086" s="287" t="s">
        <v>3239</v>
      </c>
      <c r="C1086" s="185"/>
      <c r="D1086" s="288" t="s">
        <v>3241</v>
      </c>
      <c r="E1086" s="185"/>
      <c r="F1086" s="185"/>
      <c r="G1086" s="185"/>
      <c r="H1086" s="185"/>
    </row>
    <row r="1087">
      <c r="A1087" s="287" t="s">
        <v>3239</v>
      </c>
      <c r="C1087" s="185"/>
      <c r="D1087" s="288" t="s">
        <v>3242</v>
      </c>
      <c r="E1087" s="185"/>
      <c r="F1087" s="185"/>
      <c r="G1087" s="185"/>
      <c r="H1087" s="185"/>
    </row>
    <row r="1088">
      <c r="A1088" s="287" t="s">
        <v>3239</v>
      </c>
      <c r="C1088" s="185"/>
      <c r="D1088" s="288" t="s">
        <v>3243</v>
      </c>
      <c r="E1088" s="185"/>
      <c r="F1088" s="185"/>
      <c r="G1088" s="185"/>
      <c r="H1088" s="185"/>
    </row>
    <row r="1089">
      <c r="A1089" s="287" t="s">
        <v>3239</v>
      </c>
      <c r="C1089" s="185"/>
      <c r="D1089" s="288" t="s">
        <v>3244</v>
      </c>
      <c r="E1089" s="185"/>
      <c r="F1089" s="185"/>
      <c r="G1089" s="185"/>
      <c r="H1089" s="185"/>
    </row>
    <row r="1090">
      <c r="A1090" s="287" t="s">
        <v>3239</v>
      </c>
      <c r="C1090" s="185"/>
      <c r="D1090" s="288" t="s">
        <v>3245</v>
      </c>
      <c r="E1090" s="185"/>
      <c r="F1090" s="185"/>
      <c r="G1090" s="185"/>
      <c r="H1090" s="185"/>
    </row>
    <row r="1091">
      <c r="A1091" s="287" t="s">
        <v>3239</v>
      </c>
      <c r="C1091" s="185"/>
      <c r="D1091" s="288" t="s">
        <v>3246</v>
      </c>
      <c r="E1091" s="185"/>
      <c r="F1091" s="185"/>
      <c r="G1091" s="185"/>
      <c r="H1091" s="185"/>
    </row>
    <row r="1092">
      <c r="A1092" s="287" t="s">
        <v>3239</v>
      </c>
      <c r="C1092" s="185"/>
      <c r="D1092" s="288" t="s">
        <v>3247</v>
      </c>
      <c r="E1092" s="185"/>
      <c r="F1092" s="185"/>
      <c r="G1092" s="185"/>
      <c r="H1092" s="185"/>
    </row>
    <row r="1093">
      <c r="A1093" s="287" t="s">
        <v>3239</v>
      </c>
      <c r="C1093" s="185"/>
      <c r="D1093" s="288" t="s">
        <v>3248</v>
      </c>
      <c r="E1093" s="185"/>
      <c r="F1093" s="185"/>
      <c r="G1093" s="185"/>
      <c r="H1093" s="185"/>
    </row>
    <row r="1094">
      <c r="A1094" s="287" t="s">
        <v>3239</v>
      </c>
      <c r="C1094" s="185"/>
      <c r="D1094" s="288" t="s">
        <v>3249</v>
      </c>
      <c r="E1094" s="185"/>
      <c r="F1094" s="185"/>
      <c r="G1094" s="185"/>
      <c r="H1094" s="185"/>
    </row>
    <row r="1095">
      <c r="A1095" s="287" t="s">
        <v>3239</v>
      </c>
      <c r="C1095" s="185"/>
      <c r="D1095" s="288" t="s">
        <v>3250</v>
      </c>
      <c r="E1095" s="185"/>
      <c r="F1095" s="185"/>
      <c r="G1095" s="185"/>
      <c r="H1095" s="185"/>
    </row>
    <row r="1096">
      <c r="A1096" s="287" t="s">
        <v>3239</v>
      </c>
      <c r="C1096" s="185"/>
      <c r="D1096" s="288" t="s">
        <v>3251</v>
      </c>
      <c r="E1096" s="185"/>
      <c r="F1096" s="185"/>
      <c r="G1096" s="185"/>
      <c r="H1096" s="185"/>
    </row>
    <row r="1097">
      <c r="A1097" s="287" t="s">
        <v>3239</v>
      </c>
      <c r="C1097" s="185"/>
      <c r="D1097" s="288" t="s">
        <v>3252</v>
      </c>
      <c r="E1097" s="185"/>
      <c r="F1097" s="185"/>
      <c r="G1097" s="185"/>
      <c r="H1097" s="185"/>
    </row>
    <row r="1098">
      <c r="A1098" s="287" t="s">
        <v>3239</v>
      </c>
      <c r="C1098" s="185"/>
      <c r="D1098" s="288" t="s">
        <v>3253</v>
      </c>
      <c r="E1098" s="185"/>
      <c r="F1098" s="185"/>
      <c r="G1098" s="185"/>
      <c r="H1098" s="185"/>
    </row>
    <row r="1099">
      <c r="A1099" s="287" t="s">
        <v>3239</v>
      </c>
      <c r="C1099" s="185"/>
      <c r="D1099" s="288" t="s">
        <v>3254</v>
      </c>
      <c r="E1099" s="185"/>
      <c r="F1099" s="185"/>
      <c r="G1099" s="185"/>
      <c r="H1099" s="185"/>
    </row>
    <row r="1100">
      <c r="A1100" s="287" t="s">
        <v>3239</v>
      </c>
      <c r="C1100" s="185"/>
      <c r="D1100" s="288" t="s">
        <v>2219</v>
      </c>
      <c r="E1100" s="185"/>
      <c r="F1100" s="185"/>
      <c r="G1100" s="185"/>
      <c r="H1100" s="185"/>
    </row>
    <row r="1101">
      <c r="A1101" s="287" t="s">
        <v>3239</v>
      </c>
      <c r="C1101" s="185"/>
      <c r="D1101" s="288" t="s">
        <v>3255</v>
      </c>
      <c r="E1101" s="185"/>
      <c r="F1101" s="185"/>
      <c r="G1101" s="185"/>
      <c r="H1101" s="185"/>
    </row>
    <row r="1102">
      <c r="A1102" s="287" t="s">
        <v>3239</v>
      </c>
      <c r="C1102" s="185"/>
      <c r="D1102" s="288" t="s">
        <v>3256</v>
      </c>
      <c r="E1102" s="185"/>
      <c r="F1102" s="185"/>
      <c r="G1102" s="185"/>
      <c r="H1102" s="185"/>
    </row>
    <row r="1103">
      <c r="A1103" s="287" t="s">
        <v>3239</v>
      </c>
      <c r="C1103" s="185"/>
      <c r="D1103" s="288" t="s">
        <v>3257</v>
      </c>
      <c r="E1103" s="185"/>
      <c r="F1103" s="185"/>
      <c r="G1103" s="185"/>
      <c r="H1103" s="185"/>
    </row>
    <row r="1104">
      <c r="A1104" s="287" t="s">
        <v>3239</v>
      </c>
      <c r="C1104" s="185"/>
      <c r="D1104" s="288" t="s">
        <v>3258</v>
      </c>
      <c r="E1104" s="185"/>
      <c r="F1104" s="185"/>
      <c r="G1104" s="185"/>
      <c r="H1104" s="185"/>
    </row>
    <row r="1105">
      <c r="A1105" s="287" t="s">
        <v>3239</v>
      </c>
      <c r="C1105" s="185"/>
      <c r="D1105" s="288" t="s">
        <v>3259</v>
      </c>
      <c r="E1105" s="185"/>
      <c r="F1105" s="185"/>
      <c r="G1105" s="185"/>
      <c r="H1105" s="185"/>
    </row>
    <row r="1106">
      <c r="A1106" s="287" t="s">
        <v>3239</v>
      </c>
      <c r="C1106" s="185"/>
      <c r="D1106" s="288" t="s">
        <v>2946</v>
      </c>
      <c r="E1106" s="185"/>
      <c r="F1106" s="185"/>
      <c r="G1106" s="185"/>
      <c r="H1106" s="185"/>
    </row>
    <row r="1107">
      <c r="A1107" s="287" t="s">
        <v>3239</v>
      </c>
      <c r="C1107" s="185"/>
      <c r="D1107" s="288" t="s">
        <v>2947</v>
      </c>
      <c r="E1107" s="185"/>
      <c r="F1107" s="185"/>
      <c r="G1107" s="185"/>
      <c r="H1107" s="185"/>
    </row>
    <row r="1108">
      <c r="A1108" s="287" t="s">
        <v>3239</v>
      </c>
      <c r="C1108" s="185"/>
      <c r="D1108" s="288" t="s">
        <v>3260</v>
      </c>
      <c r="E1108" s="185"/>
      <c r="F1108" s="185"/>
      <c r="G1108" s="185"/>
      <c r="H1108" s="185"/>
    </row>
    <row r="1109">
      <c r="A1109" s="299" t="s">
        <v>3261</v>
      </c>
      <c r="B1109" s="300" t="s">
        <v>644</v>
      </c>
      <c r="C1109" s="302"/>
      <c r="D1109" s="301" t="s">
        <v>3262</v>
      </c>
      <c r="E1109" s="302"/>
      <c r="F1109" s="302"/>
      <c r="G1109" s="302"/>
      <c r="H1109" s="302"/>
    </row>
    <row r="1110">
      <c r="A1110" s="287" t="s">
        <v>3261</v>
      </c>
      <c r="C1110" s="185"/>
      <c r="D1110" s="288" t="s">
        <v>3019</v>
      </c>
      <c r="E1110" s="185"/>
      <c r="F1110" s="185"/>
      <c r="G1110" s="185"/>
      <c r="H1110" s="185"/>
    </row>
    <row r="1111">
      <c r="A1111" s="287" t="s">
        <v>3261</v>
      </c>
      <c r="C1111" s="185"/>
      <c r="D1111" s="288" t="s">
        <v>3029</v>
      </c>
      <c r="E1111" s="185"/>
      <c r="F1111" s="185"/>
      <c r="G1111" s="185"/>
      <c r="H1111" s="185"/>
    </row>
    <row r="1112">
      <c r="A1112" s="287" t="s">
        <v>3261</v>
      </c>
      <c r="C1112" s="185"/>
      <c r="D1112" s="288" t="s">
        <v>3263</v>
      </c>
      <c r="E1112" s="185"/>
      <c r="F1112" s="185"/>
      <c r="G1112" s="185"/>
      <c r="H1112" s="185"/>
    </row>
    <row r="1113">
      <c r="A1113" s="287" t="s">
        <v>3261</v>
      </c>
      <c r="C1113" s="185"/>
      <c r="D1113" s="288" t="s">
        <v>3264</v>
      </c>
      <c r="E1113" s="185"/>
      <c r="F1113" s="185"/>
      <c r="G1113" s="185"/>
      <c r="H1113" s="185"/>
    </row>
    <row r="1114">
      <c r="A1114" s="287" t="s">
        <v>3261</v>
      </c>
      <c r="C1114" s="185"/>
      <c r="D1114" s="288" t="s">
        <v>3089</v>
      </c>
      <c r="E1114" s="185"/>
      <c r="F1114" s="185"/>
      <c r="G1114" s="185"/>
      <c r="H1114" s="185"/>
    </row>
    <row r="1115">
      <c r="A1115" s="287" t="s">
        <v>3261</v>
      </c>
      <c r="C1115" s="185"/>
      <c r="D1115" s="288" t="s">
        <v>3265</v>
      </c>
      <c r="E1115" s="185"/>
      <c r="F1115" s="185"/>
      <c r="G1115" s="185"/>
      <c r="H1115" s="185"/>
    </row>
    <row r="1116">
      <c r="A1116" s="287" t="s">
        <v>3261</v>
      </c>
      <c r="C1116" s="185"/>
      <c r="D1116" s="288" t="s">
        <v>3266</v>
      </c>
      <c r="E1116" s="185"/>
      <c r="F1116" s="185"/>
      <c r="G1116" s="185"/>
      <c r="H1116" s="185"/>
    </row>
    <row r="1117">
      <c r="A1117" s="287" t="s">
        <v>3261</v>
      </c>
      <c r="C1117" s="185"/>
      <c r="D1117" s="288" t="s">
        <v>3267</v>
      </c>
      <c r="E1117" s="185"/>
      <c r="F1117" s="185"/>
      <c r="G1117" s="185"/>
      <c r="H1117" s="185"/>
    </row>
    <row r="1118">
      <c r="A1118" s="287" t="s">
        <v>3261</v>
      </c>
      <c r="C1118" s="185"/>
      <c r="D1118" s="288" t="s">
        <v>3268</v>
      </c>
      <c r="E1118" s="185"/>
      <c r="F1118" s="185"/>
      <c r="G1118" s="185"/>
      <c r="H1118" s="185"/>
    </row>
    <row r="1119">
      <c r="A1119" s="287" t="s">
        <v>3261</v>
      </c>
      <c r="C1119" s="185"/>
      <c r="D1119" s="288" t="s">
        <v>3269</v>
      </c>
      <c r="E1119" s="185"/>
      <c r="F1119" s="185"/>
      <c r="G1119" s="185"/>
      <c r="H1119" s="185"/>
    </row>
    <row r="1120">
      <c r="A1120" s="299" t="s">
        <v>3270</v>
      </c>
      <c r="B1120" s="300" t="s">
        <v>1201</v>
      </c>
      <c r="C1120" s="302"/>
      <c r="D1120" s="301" t="s">
        <v>3271</v>
      </c>
      <c r="E1120" s="302"/>
      <c r="F1120" s="302"/>
      <c r="G1120" s="302"/>
      <c r="H1120" s="302"/>
    </row>
    <row r="1121">
      <c r="A1121" s="287" t="s">
        <v>3270</v>
      </c>
      <c r="C1121" s="185"/>
      <c r="D1121" s="288" t="s">
        <v>3272</v>
      </c>
      <c r="E1121" s="185"/>
      <c r="F1121" s="185"/>
      <c r="G1121" s="185"/>
      <c r="H1121" s="185"/>
    </row>
    <row r="1122">
      <c r="A1122" s="287" t="s">
        <v>3270</v>
      </c>
      <c r="C1122" s="185"/>
      <c r="D1122" s="288" t="s">
        <v>3273</v>
      </c>
      <c r="E1122" s="185"/>
      <c r="F1122" s="185"/>
      <c r="G1122" s="185"/>
      <c r="H1122" s="185"/>
    </row>
    <row r="1123">
      <c r="A1123" s="287" t="s">
        <v>3270</v>
      </c>
      <c r="C1123" s="185"/>
      <c r="D1123" s="288" t="s">
        <v>3274</v>
      </c>
      <c r="E1123" s="185"/>
      <c r="F1123" s="185"/>
      <c r="G1123" s="185"/>
      <c r="H1123" s="185"/>
    </row>
    <row r="1124">
      <c r="A1124" s="287" t="s">
        <v>3270</v>
      </c>
      <c r="C1124" s="185"/>
      <c r="D1124" s="288" t="s">
        <v>3275</v>
      </c>
      <c r="E1124" s="185"/>
      <c r="F1124" s="185"/>
      <c r="G1124" s="185"/>
      <c r="H1124" s="185"/>
    </row>
    <row r="1125">
      <c r="A1125" s="287" t="s">
        <v>3270</v>
      </c>
      <c r="C1125" s="185"/>
      <c r="D1125" s="288" t="s">
        <v>3276</v>
      </c>
      <c r="E1125" s="185"/>
      <c r="F1125" s="185"/>
      <c r="G1125" s="185"/>
      <c r="H1125" s="185"/>
    </row>
    <row r="1126">
      <c r="A1126" s="287" t="s">
        <v>3270</v>
      </c>
      <c r="C1126" s="185"/>
      <c r="D1126" s="288" t="s">
        <v>3277</v>
      </c>
      <c r="E1126" s="185"/>
      <c r="F1126" s="185"/>
      <c r="G1126" s="185"/>
      <c r="H1126" s="185"/>
    </row>
    <row r="1127">
      <c r="A1127" s="287" t="s">
        <v>3270</v>
      </c>
      <c r="C1127" s="185"/>
      <c r="D1127" s="288" t="s">
        <v>3278</v>
      </c>
      <c r="E1127" s="185"/>
      <c r="F1127" s="185"/>
      <c r="G1127" s="185"/>
      <c r="H1127" s="185"/>
    </row>
    <row r="1128">
      <c r="A1128" s="287" t="s">
        <v>3270</v>
      </c>
      <c r="C1128" s="185"/>
      <c r="D1128" s="288" t="s">
        <v>3279</v>
      </c>
      <c r="E1128" s="185"/>
      <c r="F1128" s="185"/>
      <c r="G1128" s="185"/>
      <c r="H1128" s="185"/>
    </row>
    <row r="1129">
      <c r="A1129" s="287" t="s">
        <v>3270</v>
      </c>
      <c r="C1129" s="185"/>
      <c r="D1129" s="288" t="s">
        <v>3280</v>
      </c>
      <c r="E1129" s="185"/>
      <c r="F1129" s="185"/>
      <c r="G1129" s="185"/>
      <c r="H1129" s="185"/>
    </row>
    <row r="1130">
      <c r="A1130" s="299" t="s">
        <v>3281</v>
      </c>
      <c r="B1130" s="318" t="s">
        <v>1126</v>
      </c>
      <c r="C1130" s="302"/>
      <c r="D1130" s="301" t="s">
        <v>3282</v>
      </c>
      <c r="E1130" s="302"/>
      <c r="F1130" s="302"/>
      <c r="G1130" s="302"/>
      <c r="H1130" s="302"/>
    </row>
    <row r="1131">
      <c r="A1131" s="287" t="s">
        <v>3281</v>
      </c>
      <c r="C1131" s="185"/>
      <c r="D1131" s="288" t="s">
        <v>3283</v>
      </c>
      <c r="E1131" s="185"/>
      <c r="F1131" s="185"/>
      <c r="G1131" s="185"/>
      <c r="H1131" s="185"/>
    </row>
    <row r="1132">
      <c r="A1132" s="287" t="s">
        <v>3281</v>
      </c>
      <c r="C1132" s="185"/>
      <c r="D1132" s="288" t="s">
        <v>3284</v>
      </c>
      <c r="E1132" s="185"/>
      <c r="F1132" s="185"/>
      <c r="G1132" s="185"/>
      <c r="H1132" s="185"/>
    </row>
    <row r="1133">
      <c r="A1133" s="287" t="s">
        <v>3281</v>
      </c>
      <c r="C1133" s="185"/>
      <c r="D1133" s="288" t="s">
        <v>3285</v>
      </c>
      <c r="E1133" s="185"/>
      <c r="F1133" s="185"/>
      <c r="G1133" s="185"/>
      <c r="H1133" s="185"/>
    </row>
    <row r="1134">
      <c r="A1134" s="287" t="s">
        <v>3281</v>
      </c>
      <c r="C1134" s="185"/>
      <c r="D1134" s="288" t="s">
        <v>3286</v>
      </c>
      <c r="E1134" s="185"/>
      <c r="F1134" s="185"/>
      <c r="G1134" s="185"/>
      <c r="H1134" s="185"/>
    </row>
    <row r="1135">
      <c r="A1135" s="287" t="s">
        <v>3281</v>
      </c>
      <c r="C1135" s="185"/>
      <c r="D1135" s="288" t="s">
        <v>3287</v>
      </c>
      <c r="E1135" s="185"/>
      <c r="F1135" s="185"/>
      <c r="G1135" s="185"/>
      <c r="H1135" s="185"/>
    </row>
    <row r="1136">
      <c r="A1136" s="287" t="s">
        <v>3281</v>
      </c>
      <c r="C1136" s="185"/>
      <c r="D1136" s="288" t="s">
        <v>3288</v>
      </c>
      <c r="E1136" s="185"/>
      <c r="F1136" s="185"/>
      <c r="G1136" s="185"/>
      <c r="H1136" s="185"/>
    </row>
    <row r="1137">
      <c r="A1137" s="287" t="s">
        <v>3281</v>
      </c>
      <c r="C1137" s="185"/>
      <c r="D1137" s="288" t="s">
        <v>3233</v>
      </c>
      <c r="E1137" s="185"/>
      <c r="F1137" s="185"/>
      <c r="G1137" s="185"/>
      <c r="H1137" s="185"/>
    </row>
    <row r="1138">
      <c r="A1138" s="287" t="s">
        <v>3281</v>
      </c>
      <c r="C1138" s="185"/>
      <c r="D1138" s="288" t="s">
        <v>3289</v>
      </c>
      <c r="E1138" s="185"/>
      <c r="F1138" s="185"/>
      <c r="G1138" s="185"/>
      <c r="H1138" s="185"/>
    </row>
    <row r="1139">
      <c r="A1139" s="287" t="s">
        <v>3281</v>
      </c>
      <c r="C1139" s="185"/>
      <c r="D1139" s="288" t="s">
        <v>3290</v>
      </c>
      <c r="E1139" s="185"/>
      <c r="F1139" s="185"/>
      <c r="G1139" s="185"/>
      <c r="H1139" s="185"/>
    </row>
    <row r="1140">
      <c r="A1140" s="287" t="s">
        <v>3281</v>
      </c>
      <c r="C1140" s="185"/>
      <c r="D1140" s="288" t="s">
        <v>3291</v>
      </c>
      <c r="E1140" s="185"/>
      <c r="F1140" s="185"/>
      <c r="G1140" s="185"/>
      <c r="H1140" s="185"/>
    </row>
    <row r="1141">
      <c r="A1141" s="287" t="s">
        <v>3281</v>
      </c>
      <c r="C1141" s="185"/>
      <c r="D1141" s="288" t="s">
        <v>3292</v>
      </c>
      <c r="E1141" s="185"/>
      <c r="F1141" s="185"/>
      <c r="G1141" s="185"/>
      <c r="H1141" s="185"/>
    </row>
    <row r="1142">
      <c r="A1142" s="287" t="s">
        <v>3281</v>
      </c>
      <c r="C1142" s="185"/>
      <c r="D1142" s="288" t="s">
        <v>3293</v>
      </c>
      <c r="E1142" s="185"/>
      <c r="F1142" s="185"/>
      <c r="G1142" s="185"/>
      <c r="H1142" s="185"/>
    </row>
    <row r="1143">
      <c r="A1143" s="287" t="s">
        <v>3281</v>
      </c>
      <c r="C1143" s="185"/>
      <c r="D1143" s="288" t="s">
        <v>3294</v>
      </c>
      <c r="E1143" s="185"/>
      <c r="F1143" s="185"/>
      <c r="G1143" s="185"/>
      <c r="H1143" s="185"/>
    </row>
    <row r="1144">
      <c r="A1144" s="287" t="s">
        <v>3281</v>
      </c>
      <c r="C1144" s="185"/>
      <c r="D1144" s="288" t="s">
        <v>3295</v>
      </c>
      <c r="E1144" s="185"/>
      <c r="F1144" s="185"/>
      <c r="G1144" s="185"/>
      <c r="H1144" s="185"/>
    </row>
    <row r="1145">
      <c r="A1145" s="299" t="s">
        <v>3296</v>
      </c>
      <c r="B1145" s="300" t="s">
        <v>1317</v>
      </c>
      <c r="C1145" s="302"/>
      <c r="D1145" s="301" t="s">
        <v>3297</v>
      </c>
      <c r="E1145" s="302"/>
      <c r="F1145" s="302"/>
      <c r="G1145" s="302"/>
      <c r="H1145" s="302"/>
    </row>
    <row r="1146">
      <c r="A1146" s="287" t="s">
        <v>3296</v>
      </c>
      <c r="C1146" s="185"/>
      <c r="D1146" s="288" t="s">
        <v>3298</v>
      </c>
      <c r="E1146" s="185"/>
      <c r="F1146" s="185"/>
      <c r="G1146" s="185"/>
      <c r="H1146" s="185"/>
    </row>
    <row r="1147">
      <c r="A1147" s="287" t="s">
        <v>3296</v>
      </c>
      <c r="C1147" s="185"/>
      <c r="D1147" s="288" t="s">
        <v>3299</v>
      </c>
      <c r="E1147" s="185"/>
      <c r="F1147" s="185"/>
      <c r="G1147" s="185"/>
      <c r="H1147" s="185"/>
    </row>
    <row r="1148">
      <c r="A1148" s="287" t="s">
        <v>3296</v>
      </c>
      <c r="C1148" s="185"/>
      <c r="D1148" s="288" t="s">
        <v>2540</v>
      </c>
      <c r="E1148" s="185"/>
      <c r="F1148" s="185"/>
      <c r="G1148" s="185"/>
      <c r="H1148" s="185"/>
    </row>
    <row r="1149">
      <c r="A1149" s="287" t="s">
        <v>3296</v>
      </c>
      <c r="C1149" s="185"/>
      <c r="D1149" s="288" t="s">
        <v>3300</v>
      </c>
      <c r="E1149" s="185"/>
      <c r="F1149" s="185"/>
      <c r="G1149" s="185"/>
      <c r="H1149" s="185"/>
    </row>
    <row r="1150">
      <c r="A1150" s="287" t="s">
        <v>3296</v>
      </c>
      <c r="C1150" s="185"/>
      <c r="D1150" s="288" t="s">
        <v>3301</v>
      </c>
      <c r="E1150" s="185"/>
      <c r="F1150" s="185"/>
      <c r="G1150" s="185"/>
      <c r="H1150" s="185"/>
    </row>
    <row r="1151">
      <c r="A1151" s="287" t="s">
        <v>3296</v>
      </c>
      <c r="C1151" s="185"/>
      <c r="D1151" s="288" t="s">
        <v>3302</v>
      </c>
      <c r="E1151" s="185"/>
      <c r="F1151" s="185"/>
      <c r="G1151" s="185"/>
      <c r="H1151" s="185"/>
    </row>
    <row r="1152">
      <c r="A1152" s="287" t="s">
        <v>3296</v>
      </c>
      <c r="C1152" s="185"/>
      <c r="D1152" s="288" t="s">
        <v>3303</v>
      </c>
      <c r="E1152" s="185"/>
      <c r="F1152" s="185"/>
      <c r="G1152" s="185"/>
      <c r="H1152" s="185"/>
    </row>
    <row r="1153">
      <c r="A1153" s="287" t="s">
        <v>3296</v>
      </c>
      <c r="C1153" s="185"/>
      <c r="D1153" s="288" t="s">
        <v>3304</v>
      </c>
      <c r="E1153" s="185"/>
      <c r="F1153" s="185"/>
      <c r="G1153" s="185"/>
      <c r="H1153" s="185"/>
    </row>
    <row r="1154">
      <c r="A1154" s="287" t="s">
        <v>3296</v>
      </c>
      <c r="C1154" s="185"/>
      <c r="D1154" s="288" t="s">
        <v>3305</v>
      </c>
      <c r="E1154" s="185"/>
      <c r="F1154" s="185"/>
      <c r="G1154" s="185"/>
      <c r="H1154" s="185"/>
    </row>
    <row r="1155">
      <c r="A1155" s="299" t="s">
        <v>3306</v>
      </c>
      <c r="B1155" s="300" t="s">
        <v>831</v>
      </c>
      <c r="C1155" s="302"/>
      <c r="D1155" s="301" t="s">
        <v>3307</v>
      </c>
      <c r="E1155" s="302"/>
      <c r="F1155" s="302"/>
      <c r="G1155" s="302"/>
      <c r="H1155" s="302"/>
    </row>
    <row r="1156">
      <c r="A1156" s="287" t="s">
        <v>3306</v>
      </c>
      <c r="C1156" s="185"/>
      <c r="D1156" s="288" t="s">
        <v>3308</v>
      </c>
      <c r="E1156" s="185"/>
      <c r="F1156" s="185"/>
      <c r="G1156" s="185"/>
      <c r="H1156" s="185"/>
    </row>
    <row r="1157">
      <c r="A1157" s="287" t="s">
        <v>3306</v>
      </c>
      <c r="C1157" s="185"/>
      <c r="D1157" s="288" t="s">
        <v>3309</v>
      </c>
      <c r="E1157" s="185"/>
      <c r="F1157" s="185"/>
      <c r="G1157" s="185"/>
      <c r="H1157" s="185"/>
    </row>
    <row r="1158">
      <c r="A1158" s="287" t="s">
        <v>3306</v>
      </c>
      <c r="C1158" s="185"/>
      <c r="D1158" s="288" t="s">
        <v>3310</v>
      </c>
      <c r="E1158" s="185"/>
      <c r="F1158" s="185"/>
      <c r="G1158" s="185"/>
      <c r="H1158" s="185"/>
    </row>
    <row r="1159">
      <c r="A1159" s="287" t="s">
        <v>3306</v>
      </c>
      <c r="C1159" s="185"/>
      <c r="D1159" s="288" t="s">
        <v>3311</v>
      </c>
      <c r="E1159" s="185"/>
      <c r="F1159" s="185"/>
      <c r="G1159" s="185"/>
      <c r="H1159" s="185"/>
    </row>
    <row r="1160">
      <c r="A1160" s="287" t="s">
        <v>3306</v>
      </c>
      <c r="C1160" s="185"/>
      <c r="D1160" s="288" t="s">
        <v>3312</v>
      </c>
      <c r="E1160" s="185"/>
      <c r="F1160" s="185"/>
      <c r="G1160" s="185"/>
      <c r="H1160" s="185"/>
    </row>
    <row r="1161">
      <c r="A1161" s="287" t="s">
        <v>3306</v>
      </c>
      <c r="C1161" s="185"/>
      <c r="D1161" s="288" t="s">
        <v>3313</v>
      </c>
      <c r="E1161" s="185"/>
      <c r="F1161" s="185"/>
      <c r="G1161" s="185"/>
      <c r="H1161" s="185"/>
    </row>
    <row r="1162">
      <c r="A1162" s="287" t="s">
        <v>3306</v>
      </c>
      <c r="C1162" s="185"/>
      <c r="D1162" s="288" t="s">
        <v>3314</v>
      </c>
      <c r="E1162" s="185"/>
      <c r="F1162" s="185"/>
      <c r="G1162" s="185"/>
      <c r="H1162" s="185"/>
    </row>
    <row r="1163">
      <c r="A1163" s="287" t="s">
        <v>3306</v>
      </c>
      <c r="C1163" s="185"/>
      <c r="D1163" s="288" t="s">
        <v>3315</v>
      </c>
      <c r="E1163" s="185"/>
      <c r="F1163" s="185"/>
      <c r="G1163" s="185"/>
      <c r="H1163" s="185"/>
    </row>
    <row r="1164">
      <c r="A1164" s="299" t="s">
        <v>3316</v>
      </c>
      <c r="B1164" s="300" t="s">
        <v>380</v>
      </c>
      <c r="C1164" s="302"/>
      <c r="D1164" s="301" t="s">
        <v>3317</v>
      </c>
      <c r="E1164" s="302"/>
      <c r="F1164" s="302"/>
      <c r="G1164" s="302"/>
      <c r="H1164" s="302"/>
    </row>
    <row r="1165">
      <c r="A1165" s="287" t="s">
        <v>3316</v>
      </c>
      <c r="C1165" s="185"/>
      <c r="D1165" s="288" t="s">
        <v>3318</v>
      </c>
      <c r="E1165" s="185"/>
      <c r="F1165" s="185"/>
      <c r="G1165" s="185"/>
      <c r="H1165" s="185"/>
    </row>
    <row r="1166">
      <c r="A1166" s="287" t="s">
        <v>3316</v>
      </c>
      <c r="C1166" s="185"/>
      <c r="D1166" s="288" t="s">
        <v>3319</v>
      </c>
      <c r="E1166" s="185"/>
      <c r="F1166" s="185"/>
      <c r="G1166" s="185"/>
      <c r="H1166" s="185"/>
    </row>
    <row r="1167">
      <c r="A1167" s="287" t="s">
        <v>3316</v>
      </c>
      <c r="C1167" s="185"/>
      <c r="D1167" s="288" t="s">
        <v>3320</v>
      </c>
      <c r="E1167" s="185"/>
      <c r="F1167" s="185"/>
      <c r="G1167" s="185"/>
      <c r="H1167" s="185"/>
    </row>
    <row r="1168">
      <c r="A1168" s="287" t="s">
        <v>3316</v>
      </c>
      <c r="C1168" s="185"/>
      <c r="D1168" s="288" t="s">
        <v>2760</v>
      </c>
      <c r="E1168" s="185"/>
      <c r="F1168" s="185"/>
      <c r="G1168" s="185"/>
      <c r="H1168" s="185"/>
    </row>
    <row r="1169">
      <c r="A1169" s="287" t="s">
        <v>3316</v>
      </c>
      <c r="C1169" s="185"/>
      <c r="D1169" s="288" t="s">
        <v>2079</v>
      </c>
      <c r="E1169" s="185"/>
      <c r="F1169" s="185"/>
      <c r="G1169" s="185"/>
      <c r="H1169" s="185"/>
    </row>
    <row r="1170">
      <c r="A1170" s="287" t="s">
        <v>3316</v>
      </c>
      <c r="C1170" s="185"/>
      <c r="D1170" s="288" t="s">
        <v>3321</v>
      </c>
      <c r="E1170" s="185"/>
      <c r="F1170" s="185"/>
      <c r="G1170" s="185"/>
      <c r="H1170" s="185"/>
    </row>
    <row r="1171">
      <c r="A1171" s="287" t="s">
        <v>3316</v>
      </c>
      <c r="C1171" s="185"/>
      <c r="D1171" s="288" t="s">
        <v>3322</v>
      </c>
      <c r="E1171" s="185"/>
      <c r="F1171" s="185"/>
      <c r="G1171" s="185"/>
      <c r="H1171" s="185"/>
    </row>
    <row r="1172">
      <c r="A1172" s="287" t="s">
        <v>3316</v>
      </c>
      <c r="C1172" s="185"/>
      <c r="D1172" s="288" t="s">
        <v>3323</v>
      </c>
      <c r="E1172" s="185"/>
      <c r="F1172" s="185"/>
      <c r="G1172" s="185"/>
      <c r="H1172" s="185"/>
    </row>
    <row r="1173">
      <c r="A1173" s="287" t="s">
        <v>3316</v>
      </c>
      <c r="C1173" s="185"/>
      <c r="D1173" s="288" t="s">
        <v>3324</v>
      </c>
      <c r="E1173" s="185"/>
      <c r="F1173" s="185"/>
      <c r="G1173" s="185"/>
      <c r="H1173" s="185"/>
    </row>
    <row r="1174">
      <c r="A1174" s="287" t="s">
        <v>3316</v>
      </c>
      <c r="C1174" s="185"/>
      <c r="D1174" s="288" t="s">
        <v>3325</v>
      </c>
      <c r="E1174" s="185"/>
      <c r="F1174" s="185"/>
      <c r="G1174" s="185"/>
      <c r="H1174" s="185"/>
    </row>
    <row r="1175">
      <c r="A1175" s="287" t="s">
        <v>3316</v>
      </c>
      <c r="C1175" s="185"/>
      <c r="D1175" s="288" t="s">
        <v>3326</v>
      </c>
      <c r="E1175" s="185"/>
      <c r="F1175" s="185"/>
      <c r="G1175" s="185"/>
      <c r="H1175" s="185"/>
    </row>
    <row r="1176">
      <c r="A1176" s="287" t="s">
        <v>3316</v>
      </c>
      <c r="C1176" s="185"/>
      <c r="D1176" s="288" t="s">
        <v>3327</v>
      </c>
      <c r="E1176" s="185"/>
      <c r="F1176" s="185"/>
      <c r="G1176" s="185"/>
      <c r="H1176" s="185"/>
    </row>
    <row r="1177">
      <c r="A1177" s="287" t="s">
        <v>3316</v>
      </c>
      <c r="C1177" s="185"/>
      <c r="D1177" s="288" t="s">
        <v>3328</v>
      </c>
      <c r="E1177" s="185"/>
      <c r="F1177" s="185"/>
      <c r="G1177" s="185"/>
      <c r="H1177" s="185"/>
    </row>
    <row r="1178">
      <c r="A1178" s="287" t="s">
        <v>3316</v>
      </c>
      <c r="C1178" s="185"/>
      <c r="D1178" s="288" t="s">
        <v>3329</v>
      </c>
      <c r="E1178" s="185"/>
      <c r="F1178" s="185"/>
      <c r="G1178" s="185"/>
      <c r="H1178" s="185"/>
    </row>
    <row r="1179">
      <c r="A1179" s="287" t="s">
        <v>3316</v>
      </c>
      <c r="C1179" s="185"/>
      <c r="D1179" s="288" t="s">
        <v>3330</v>
      </c>
      <c r="E1179" s="185"/>
      <c r="F1179" s="185"/>
      <c r="G1179" s="185"/>
      <c r="H1179" s="185"/>
    </row>
    <row r="1180">
      <c r="A1180" s="287" t="s">
        <v>3316</v>
      </c>
      <c r="C1180" s="185"/>
      <c r="D1180" s="288" t="s">
        <v>3331</v>
      </c>
      <c r="E1180" s="185"/>
      <c r="F1180" s="185"/>
      <c r="G1180" s="185"/>
      <c r="H1180" s="185"/>
    </row>
    <row r="1181">
      <c r="A1181" s="287" t="s">
        <v>3316</v>
      </c>
      <c r="C1181" s="185"/>
      <c r="D1181" s="288" t="s">
        <v>3332</v>
      </c>
      <c r="E1181" s="185"/>
      <c r="F1181" s="185"/>
      <c r="G1181" s="185"/>
      <c r="H1181" s="185"/>
    </row>
    <row r="1182">
      <c r="A1182" s="287" t="s">
        <v>3316</v>
      </c>
      <c r="C1182" s="185"/>
      <c r="D1182" s="288" t="s">
        <v>3333</v>
      </c>
      <c r="E1182" s="185"/>
      <c r="F1182" s="185"/>
      <c r="G1182" s="185"/>
      <c r="H1182" s="185"/>
    </row>
    <row r="1183">
      <c r="A1183" s="287" t="s">
        <v>3316</v>
      </c>
      <c r="C1183" s="185"/>
      <c r="D1183" s="288" t="s">
        <v>3334</v>
      </c>
      <c r="E1183" s="185"/>
      <c r="F1183" s="185"/>
      <c r="G1183" s="185"/>
      <c r="H1183" s="185"/>
    </row>
    <row r="1184">
      <c r="A1184" s="287" t="s">
        <v>3316</v>
      </c>
      <c r="C1184" s="185"/>
      <c r="D1184" s="288" t="s">
        <v>3335</v>
      </c>
      <c r="E1184" s="185"/>
      <c r="F1184" s="185"/>
      <c r="G1184" s="185"/>
      <c r="H1184" s="185"/>
    </row>
    <row r="1185">
      <c r="A1185" s="287" t="s">
        <v>3316</v>
      </c>
      <c r="C1185" s="185"/>
      <c r="D1185" s="288" t="s">
        <v>3336</v>
      </c>
      <c r="E1185" s="185"/>
      <c r="F1185" s="185"/>
      <c r="G1185" s="185"/>
      <c r="H1185" s="185"/>
    </row>
    <row r="1186">
      <c r="A1186" s="287" t="s">
        <v>3316</v>
      </c>
      <c r="C1186" s="185"/>
      <c r="D1186" s="288" t="s">
        <v>3337</v>
      </c>
      <c r="E1186" s="185"/>
      <c r="F1186" s="185"/>
      <c r="G1186" s="185"/>
      <c r="H1186" s="185"/>
    </row>
    <row r="1187">
      <c r="A1187" s="287" t="s">
        <v>3316</v>
      </c>
      <c r="C1187" s="185"/>
      <c r="D1187" s="288" t="s">
        <v>3338</v>
      </c>
      <c r="E1187" s="185"/>
      <c r="F1187" s="185"/>
      <c r="G1187" s="185"/>
      <c r="H1187" s="185"/>
    </row>
    <row r="1188">
      <c r="A1188" s="287" t="s">
        <v>3316</v>
      </c>
      <c r="C1188" s="185"/>
      <c r="D1188" s="288" t="s">
        <v>3339</v>
      </c>
      <c r="E1188" s="185"/>
      <c r="F1188" s="185"/>
      <c r="G1188" s="185"/>
      <c r="H1188" s="185"/>
    </row>
    <row r="1189">
      <c r="A1189" s="287" t="s">
        <v>3316</v>
      </c>
      <c r="C1189" s="185"/>
      <c r="D1189" s="288" t="s">
        <v>3340</v>
      </c>
      <c r="E1189" s="185"/>
      <c r="F1189" s="185"/>
      <c r="G1189" s="185"/>
      <c r="H1189" s="185"/>
    </row>
    <row r="1190">
      <c r="A1190" s="287" t="s">
        <v>3316</v>
      </c>
      <c r="C1190" s="185"/>
      <c r="D1190" s="288" t="s">
        <v>3341</v>
      </c>
      <c r="E1190" s="185"/>
      <c r="F1190" s="185"/>
      <c r="G1190" s="185"/>
      <c r="H1190" s="185"/>
    </row>
    <row r="1191">
      <c r="A1191" s="287" t="s">
        <v>3316</v>
      </c>
      <c r="C1191" s="185"/>
      <c r="D1191" s="288" t="s">
        <v>3342</v>
      </c>
      <c r="E1191" s="185"/>
      <c r="F1191" s="185"/>
      <c r="G1191" s="185"/>
      <c r="H1191" s="185"/>
    </row>
    <row r="1192">
      <c r="A1192" s="287" t="s">
        <v>3316</v>
      </c>
      <c r="C1192" s="185"/>
      <c r="D1192" s="288" t="s">
        <v>3343</v>
      </c>
      <c r="E1192" s="185"/>
      <c r="F1192" s="185"/>
      <c r="G1192" s="185"/>
      <c r="H1192" s="185"/>
    </row>
    <row r="1193">
      <c r="A1193" s="307" t="s">
        <v>3344</v>
      </c>
      <c r="B1193" s="308" t="s">
        <v>534</v>
      </c>
      <c r="C1193" s="310"/>
      <c r="D1193" s="309" t="s">
        <v>3345</v>
      </c>
      <c r="E1193" s="310"/>
      <c r="F1193" s="310"/>
      <c r="G1193" s="310"/>
      <c r="H1193" s="310"/>
    </row>
    <row r="1194">
      <c r="A1194" s="292" t="s">
        <v>3344</v>
      </c>
      <c r="C1194" s="298"/>
      <c r="D1194" s="297" t="s">
        <v>3346</v>
      </c>
      <c r="E1194" s="298"/>
      <c r="F1194" s="298"/>
      <c r="G1194" s="298"/>
      <c r="H1194" s="298"/>
    </row>
    <row r="1195">
      <c r="A1195" s="292" t="s">
        <v>3344</v>
      </c>
      <c r="C1195" s="298"/>
      <c r="D1195" s="297" t="s">
        <v>3347</v>
      </c>
      <c r="E1195" s="298"/>
      <c r="F1195" s="298"/>
      <c r="G1195" s="298"/>
      <c r="H1195" s="298"/>
    </row>
    <row r="1196">
      <c r="A1196" s="292" t="s">
        <v>3344</v>
      </c>
      <c r="C1196" s="298"/>
      <c r="D1196" s="297" t="s">
        <v>3348</v>
      </c>
      <c r="E1196" s="298"/>
      <c r="F1196" s="298"/>
      <c r="G1196" s="298"/>
      <c r="H1196" s="298"/>
    </row>
    <row r="1197">
      <c r="A1197" s="292" t="s">
        <v>3344</v>
      </c>
      <c r="C1197" s="298"/>
      <c r="D1197" s="297" t="s">
        <v>3349</v>
      </c>
      <c r="E1197" s="298"/>
      <c r="F1197" s="298"/>
      <c r="G1197" s="298"/>
      <c r="H1197" s="298"/>
    </row>
    <row r="1198">
      <c r="A1198" s="292" t="s">
        <v>3344</v>
      </c>
      <c r="C1198" s="298"/>
      <c r="D1198" s="297" t="s">
        <v>3350</v>
      </c>
      <c r="E1198" s="298"/>
      <c r="F1198" s="298"/>
      <c r="G1198" s="298"/>
      <c r="H1198" s="298"/>
    </row>
    <row r="1199">
      <c r="A1199" s="292" t="s">
        <v>3344</v>
      </c>
      <c r="C1199" s="298"/>
      <c r="D1199" s="297" t="s">
        <v>3351</v>
      </c>
      <c r="E1199" s="298"/>
      <c r="F1199" s="298"/>
      <c r="G1199" s="298"/>
      <c r="H1199" s="298"/>
    </row>
    <row r="1200">
      <c r="A1200" s="292" t="s">
        <v>3344</v>
      </c>
      <c r="C1200" s="298"/>
      <c r="D1200" s="297" t="s">
        <v>3352</v>
      </c>
      <c r="E1200" s="298"/>
      <c r="F1200" s="298"/>
      <c r="G1200" s="298"/>
      <c r="H1200" s="298"/>
    </row>
    <row r="1201">
      <c r="A1201" s="292" t="s">
        <v>3344</v>
      </c>
      <c r="C1201" s="298"/>
      <c r="D1201" s="297" t="s">
        <v>3353</v>
      </c>
      <c r="E1201" s="298"/>
      <c r="F1201" s="298"/>
      <c r="G1201" s="298"/>
      <c r="H1201" s="298"/>
    </row>
    <row r="1202">
      <c r="A1202" s="292" t="s">
        <v>3344</v>
      </c>
      <c r="C1202" s="298"/>
      <c r="D1202" s="297" t="s">
        <v>3354</v>
      </c>
      <c r="E1202" s="298"/>
      <c r="F1202" s="298"/>
      <c r="G1202" s="298"/>
      <c r="H1202" s="298"/>
    </row>
    <row r="1203">
      <c r="A1203" s="292" t="s">
        <v>3344</v>
      </c>
      <c r="C1203" s="298"/>
      <c r="D1203" s="297" t="s">
        <v>3355</v>
      </c>
      <c r="E1203" s="298"/>
      <c r="F1203" s="298"/>
      <c r="G1203" s="298"/>
      <c r="H1203" s="298"/>
    </row>
    <row r="1204">
      <c r="A1204" s="292" t="s">
        <v>3344</v>
      </c>
      <c r="C1204" s="298"/>
      <c r="D1204" s="297" t="s">
        <v>3356</v>
      </c>
      <c r="E1204" s="298"/>
      <c r="F1204" s="298"/>
      <c r="G1204" s="298"/>
      <c r="H1204" s="298"/>
    </row>
    <row r="1205">
      <c r="A1205" s="292" t="s">
        <v>3344</v>
      </c>
      <c r="C1205" s="298"/>
      <c r="D1205" s="297" t="s">
        <v>3357</v>
      </c>
      <c r="E1205" s="298"/>
      <c r="F1205" s="298"/>
      <c r="G1205" s="298"/>
      <c r="H1205" s="298"/>
    </row>
    <row r="1206">
      <c r="A1206" s="292" t="s">
        <v>3344</v>
      </c>
      <c r="C1206" s="298"/>
      <c r="D1206" s="297" t="s">
        <v>3358</v>
      </c>
      <c r="E1206" s="298"/>
      <c r="F1206" s="298"/>
      <c r="G1206" s="298"/>
      <c r="H1206" s="298"/>
    </row>
    <row r="1207">
      <c r="A1207" s="292" t="s">
        <v>3344</v>
      </c>
      <c r="C1207" s="298"/>
      <c r="D1207" s="297" t="s">
        <v>3359</v>
      </c>
      <c r="E1207" s="298"/>
      <c r="F1207" s="298"/>
      <c r="G1207" s="298"/>
      <c r="H1207" s="298"/>
    </row>
    <row r="1208">
      <c r="A1208" s="292" t="s">
        <v>3344</v>
      </c>
      <c r="C1208" s="298"/>
      <c r="D1208" s="297" t="s">
        <v>3360</v>
      </c>
      <c r="E1208" s="298"/>
      <c r="F1208" s="298"/>
      <c r="G1208" s="298"/>
      <c r="H1208" s="298"/>
    </row>
    <row r="1209">
      <c r="A1209" s="292" t="s">
        <v>3344</v>
      </c>
      <c r="C1209" s="298"/>
      <c r="D1209" s="297" t="s">
        <v>3361</v>
      </c>
      <c r="E1209" s="298"/>
      <c r="F1209" s="298"/>
      <c r="G1209" s="298"/>
      <c r="H1209" s="298"/>
    </row>
    <row r="1210">
      <c r="A1210" s="292" t="s">
        <v>3344</v>
      </c>
      <c r="C1210" s="298"/>
      <c r="D1210" s="297" t="s">
        <v>3362</v>
      </c>
      <c r="E1210" s="298"/>
      <c r="F1210" s="298"/>
      <c r="G1210" s="298"/>
      <c r="H1210" s="298"/>
    </row>
    <row r="1211">
      <c r="A1211" s="185"/>
      <c r="B1211" s="337"/>
      <c r="C1211" s="185"/>
      <c r="D1211" s="185"/>
      <c r="E1211" s="185"/>
      <c r="F1211" s="185"/>
      <c r="G1211" s="185"/>
      <c r="H1211" s="185"/>
    </row>
    <row r="1212">
      <c r="A1212" s="185"/>
      <c r="B1212" s="337"/>
      <c r="C1212" s="185"/>
      <c r="D1212" s="185"/>
      <c r="E1212" s="185"/>
      <c r="F1212" s="185"/>
      <c r="G1212" s="185"/>
      <c r="H1212" s="185"/>
    </row>
    <row r="1213">
      <c r="A1213" s="185"/>
      <c r="B1213" s="185"/>
      <c r="C1213" s="185"/>
      <c r="D1213" s="185"/>
      <c r="E1213" s="185"/>
      <c r="F1213" s="185"/>
      <c r="G1213" s="185"/>
      <c r="H1213" s="185"/>
    </row>
    <row r="1214">
      <c r="A1214" s="185"/>
      <c r="B1214" s="185"/>
      <c r="C1214" s="185"/>
      <c r="D1214" s="185"/>
      <c r="E1214" s="185"/>
      <c r="F1214" s="185"/>
      <c r="G1214" s="185"/>
      <c r="H1214" s="185"/>
    </row>
    <row r="1215">
      <c r="A1215" s="338" t="s">
        <v>1944</v>
      </c>
      <c r="B1215" s="338" t="s">
        <v>900</v>
      </c>
      <c r="C1215" s="338" t="s">
        <v>3363</v>
      </c>
      <c r="D1215" s="338" t="s">
        <v>3364</v>
      </c>
      <c r="E1215" s="338" t="s">
        <v>3365</v>
      </c>
      <c r="F1215" s="338" t="s">
        <v>1672</v>
      </c>
      <c r="G1215" s="338" t="s">
        <v>3366</v>
      </c>
      <c r="H1215" s="339"/>
    </row>
    <row r="1216">
      <c r="A1216" s="338" t="s">
        <v>1944</v>
      </c>
      <c r="C1216" s="338" t="s">
        <v>3367</v>
      </c>
      <c r="D1216" s="338" t="s">
        <v>3368</v>
      </c>
      <c r="E1216" s="338" t="s">
        <v>3369</v>
      </c>
      <c r="F1216" s="338" t="s">
        <v>1672</v>
      </c>
      <c r="G1216" s="338" t="s">
        <v>3370</v>
      </c>
      <c r="H1216" s="339"/>
    </row>
    <row r="1217">
      <c r="A1217" s="338" t="s">
        <v>1944</v>
      </c>
      <c r="C1217" s="338" t="s">
        <v>3371</v>
      </c>
      <c r="D1217" s="338" t="s">
        <v>3372</v>
      </c>
      <c r="E1217" s="338" t="s">
        <v>533</v>
      </c>
      <c r="F1217" s="338" t="s">
        <v>1672</v>
      </c>
      <c r="G1217" s="338" t="s">
        <v>3373</v>
      </c>
      <c r="H1217" s="339"/>
    </row>
    <row r="1218">
      <c r="A1218" s="338" t="s">
        <v>1944</v>
      </c>
      <c r="C1218" s="338" t="s">
        <v>3374</v>
      </c>
      <c r="D1218" s="338" t="s">
        <v>3375</v>
      </c>
      <c r="E1218" s="338" t="s">
        <v>3365</v>
      </c>
      <c r="F1218" s="338" t="s">
        <v>1672</v>
      </c>
      <c r="G1218" s="338" t="s">
        <v>3376</v>
      </c>
      <c r="H1218" s="339"/>
    </row>
    <row r="1219">
      <c r="A1219" s="339"/>
      <c r="C1219" s="338" t="s">
        <v>3377</v>
      </c>
      <c r="D1219" s="338" t="s">
        <v>3378</v>
      </c>
      <c r="E1219" s="338" t="s">
        <v>490</v>
      </c>
      <c r="F1219" s="338" t="s">
        <v>1672</v>
      </c>
      <c r="G1219" s="338" t="s">
        <v>3379</v>
      </c>
      <c r="H1219" s="339"/>
    </row>
    <row r="1220">
      <c r="A1220" s="338" t="s">
        <v>1944</v>
      </c>
      <c r="C1220" s="338" t="s">
        <v>3380</v>
      </c>
      <c r="D1220" s="338" t="s">
        <v>3381</v>
      </c>
      <c r="E1220" s="338" t="s">
        <v>490</v>
      </c>
      <c r="F1220" s="338" t="s">
        <v>1672</v>
      </c>
      <c r="G1220" s="338" t="s">
        <v>3382</v>
      </c>
      <c r="H1220" s="339"/>
    </row>
  </sheetData>
  <mergeCells count="171">
    <mergeCell ref="A94:A95"/>
    <mergeCell ref="B94:B95"/>
    <mergeCell ref="H94:H95"/>
    <mergeCell ref="A96:A99"/>
    <mergeCell ref="B96:B99"/>
    <mergeCell ref="A100:A101"/>
    <mergeCell ref="B100:B101"/>
    <mergeCell ref="A102:A103"/>
    <mergeCell ref="B102:B103"/>
    <mergeCell ref="A105:H105"/>
    <mergeCell ref="B106:B110"/>
    <mergeCell ref="A111:A113"/>
    <mergeCell ref="A140:H140"/>
    <mergeCell ref="B141:B143"/>
    <mergeCell ref="A1:H1"/>
    <mergeCell ref="A3:H3"/>
    <mergeCell ref="B4:B10"/>
    <mergeCell ref="A12:H12"/>
    <mergeCell ref="B13:B19"/>
    <mergeCell ref="A21:H21"/>
    <mergeCell ref="B22:B29"/>
    <mergeCell ref="A31:H31"/>
    <mergeCell ref="A57:H57"/>
    <mergeCell ref="A58:A67"/>
    <mergeCell ref="B58:B67"/>
    <mergeCell ref="H58:H67"/>
    <mergeCell ref="C61:C62"/>
    <mergeCell ref="D61:D62"/>
    <mergeCell ref="C64:C67"/>
    <mergeCell ref="D64:D67"/>
    <mergeCell ref="A68:A79"/>
    <mergeCell ref="B68:B79"/>
    <mergeCell ref="H68:H79"/>
    <mergeCell ref="C69:C73"/>
    <mergeCell ref="D69:D73"/>
    <mergeCell ref="C74:C76"/>
    <mergeCell ref="D74:D76"/>
    <mergeCell ref="A80:A86"/>
    <mergeCell ref="B80:B86"/>
    <mergeCell ref="C80:C82"/>
    <mergeCell ref="D80:D82"/>
    <mergeCell ref="H80:H86"/>
    <mergeCell ref="A87:A93"/>
    <mergeCell ref="B87:B93"/>
    <mergeCell ref="H87:H93"/>
    <mergeCell ref="C90:C91"/>
    <mergeCell ref="D90:D91"/>
    <mergeCell ref="C92:C93"/>
    <mergeCell ref="D92:D93"/>
    <mergeCell ref="H96:H99"/>
    <mergeCell ref="H100:H101"/>
    <mergeCell ref="H102:H103"/>
    <mergeCell ref="B145:B165"/>
    <mergeCell ref="B168:B182"/>
    <mergeCell ref="B185:B205"/>
    <mergeCell ref="A207:H207"/>
    <mergeCell ref="B208:B220"/>
    <mergeCell ref="B221:B227"/>
    <mergeCell ref="B228:B237"/>
    <mergeCell ref="B397:B406"/>
    <mergeCell ref="B409:B411"/>
    <mergeCell ref="B414:B428"/>
    <mergeCell ref="B431:B436"/>
    <mergeCell ref="B439:B457"/>
    <mergeCell ref="B459:B471"/>
    <mergeCell ref="B473:B489"/>
    <mergeCell ref="B491:B494"/>
    <mergeCell ref="B497:B503"/>
    <mergeCell ref="B506:B509"/>
    <mergeCell ref="B510:B521"/>
    <mergeCell ref="B522:B526"/>
    <mergeCell ref="B527:B529"/>
    <mergeCell ref="B530:B536"/>
    <mergeCell ref="B565:B584"/>
    <mergeCell ref="B585:B595"/>
    <mergeCell ref="B596:B603"/>
    <mergeCell ref="B606:B610"/>
    <mergeCell ref="B612:B619"/>
    <mergeCell ref="B621:B631"/>
    <mergeCell ref="B633:B635"/>
    <mergeCell ref="B638:B642"/>
    <mergeCell ref="B644:B648"/>
    <mergeCell ref="B650:B653"/>
    <mergeCell ref="B655:B659"/>
    <mergeCell ref="B661:B693"/>
    <mergeCell ref="B695:B698"/>
    <mergeCell ref="B701:B718"/>
    <mergeCell ref="B721:B725"/>
    <mergeCell ref="B727:B733"/>
    <mergeCell ref="B736:B754"/>
    <mergeCell ref="B755:B774"/>
    <mergeCell ref="B775:B793"/>
    <mergeCell ref="B794:B831"/>
    <mergeCell ref="B832:B853"/>
    <mergeCell ref="B854:B899"/>
    <mergeCell ref="B900:B931"/>
    <mergeCell ref="B932:B949"/>
    <mergeCell ref="B950:B981"/>
    <mergeCell ref="B982:B1003"/>
    <mergeCell ref="B1004:B1018"/>
    <mergeCell ref="B1019:B1022"/>
    <mergeCell ref="B1130:B1144"/>
    <mergeCell ref="B1145:B1154"/>
    <mergeCell ref="B1155:B1163"/>
    <mergeCell ref="B1164:B1192"/>
    <mergeCell ref="B1193:B1210"/>
    <mergeCell ref="B1215:B1220"/>
    <mergeCell ref="B1023:B1043"/>
    <mergeCell ref="B1044:B1057"/>
    <mergeCell ref="B1058:B1063"/>
    <mergeCell ref="B1064:B1084"/>
    <mergeCell ref="B1085:B1108"/>
    <mergeCell ref="B1109:B1119"/>
    <mergeCell ref="B1120:B1129"/>
    <mergeCell ref="A505:H505"/>
    <mergeCell ref="A538:H538"/>
    <mergeCell ref="A556:H556"/>
    <mergeCell ref="A605:H605"/>
    <mergeCell ref="A637:H637"/>
    <mergeCell ref="H633:H635"/>
    <mergeCell ref="H638:H642"/>
    <mergeCell ref="H644:H648"/>
    <mergeCell ref="H650:H653"/>
    <mergeCell ref="H655:H659"/>
    <mergeCell ref="A700:H700"/>
    <mergeCell ref="A720:H720"/>
    <mergeCell ref="B238:B249"/>
    <mergeCell ref="B250:B256"/>
    <mergeCell ref="B257:B263"/>
    <mergeCell ref="B264:B278"/>
    <mergeCell ref="B279:B288"/>
    <mergeCell ref="B289:B292"/>
    <mergeCell ref="B293:B302"/>
    <mergeCell ref="B346:B352"/>
    <mergeCell ref="B353:B363"/>
    <mergeCell ref="B364:B369"/>
    <mergeCell ref="B370:B378"/>
    <mergeCell ref="B379:B383"/>
    <mergeCell ref="B384:B387"/>
    <mergeCell ref="B388:B394"/>
    <mergeCell ref="B303:B308"/>
    <mergeCell ref="B309:B312"/>
    <mergeCell ref="B313:B317"/>
    <mergeCell ref="B318:B323"/>
    <mergeCell ref="B324:B328"/>
    <mergeCell ref="B329:B337"/>
    <mergeCell ref="B338:B345"/>
    <mergeCell ref="A396:H396"/>
    <mergeCell ref="A408:H408"/>
    <mergeCell ref="A413:H413"/>
    <mergeCell ref="A430:H430"/>
    <mergeCell ref="H431:H437"/>
    <mergeCell ref="A438:H438"/>
    <mergeCell ref="A496:H496"/>
    <mergeCell ref="B539:B554"/>
    <mergeCell ref="B557:B564"/>
    <mergeCell ref="C557:C564"/>
    <mergeCell ref="C565:C584"/>
    <mergeCell ref="C585:C595"/>
    <mergeCell ref="C596:C603"/>
    <mergeCell ref="H491:H494"/>
    <mergeCell ref="H497:H503"/>
    <mergeCell ref="H557:H564"/>
    <mergeCell ref="H565:H584"/>
    <mergeCell ref="H585:H595"/>
    <mergeCell ref="H596:H603"/>
    <mergeCell ref="H621:H631"/>
    <mergeCell ref="H695:H698"/>
    <mergeCell ref="H721:H725"/>
    <mergeCell ref="H727:H733"/>
    <mergeCell ref="A735:H735"/>
  </mergeCells>
  <conditionalFormatting sqref="D459:D461">
    <cfRule type="notContainsBlanks" dxfId="0" priority="1">
      <formula>LEN(TRIM(D459))&gt;0</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13"/>
  </cols>
  <sheetData>
    <row r="1" ht="193.5" customHeight="1">
      <c r="A1" s="137" t="s">
        <v>1808</v>
      </c>
    </row>
  </sheetData>
  <drawing r:id="rId4"/>
  <legacyDrawing r:id="rId5"/>
</worksheet>
</file>
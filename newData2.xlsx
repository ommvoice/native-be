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ues" sheetId="1" r:id="rId5"/>
    <sheet state="hidden" name="Events" sheetId="2" r:id="rId6"/>
    <sheet state="hidden" name="Clubs" sheetId="3" r:id="rId7"/>
    <sheet state="visible" name="Routes" sheetId="4" r:id="rId8"/>
    <sheet state="hidden" name="CHelper" sheetId="5" r:id="rId9"/>
    <sheet state="hidden" name="RHelper" sheetId="6" r:id="rId10"/>
    <sheet state="hidden" name="VHelper" sheetId="7" r:id="rId11"/>
    <sheet state="hidden" name="EHelper" sheetId="8" r:id="rId12"/>
    <sheet state="hidden" name="CHelper2" sheetId="9" r:id="rId13"/>
    <sheet state="hidden" name="RHelper2" sheetId="10" r:id="rId14"/>
    <sheet state="hidden" name="VHelper2" sheetId="11" r:id="rId15"/>
    <sheet state="hidden" name="EHelper2" sheetId="12" r:id="rId16"/>
    <sheet state="visible" name="Enums" sheetId="13" r:id="rId17"/>
  </sheets>
  <definedNames>
    <definedName name="highlightssports">Enums!$D$967:$D$998</definedName>
    <definedName name="highlightsbigday">Enums!$D$1207:$D$1221</definedName>
    <definedName name="highlightscoastal">Enums!$D$858:$D$888</definedName>
    <definedName name="highlightsimaginative">Enums!$D$1075:$D$1089</definedName>
    <definedName name="playgrounds">Enums!$D$268:$D$274</definedName>
    <definedName name="highlightsseasonal">Enums!$D$1244:$D$1272</definedName>
    <definedName name="historical">Enums!$D$361:$D$368</definedName>
    <definedName name="highlightshistorical">Enums!$D$1137:$D$1157</definedName>
    <definedName name="indoorenergy">Enums!$D$370:$D$375</definedName>
    <definedName name="transport">Enums!$D$389:$D$394</definedName>
    <definedName name="highlightsgardens">Enums!$D$897:$D$918</definedName>
    <definedName name="learning">Enums!$D$338:$D$343</definedName>
    <definedName name="coffeeshop">Enums!$D$403:$D$407</definedName>
    <definedName name="sportyactivity">Enums!$D$276:$D$290</definedName>
    <definedName name="waterbasedfun">Enums!$D$309:$D$318</definedName>
    <definedName name="imaginativeplay">Enums!$D$327:$D$330</definedName>
    <definedName name="bigdayout">Enums!$D$396:$D$401</definedName>
    <definedName name="indoorentertainment">Enums!$D$377:$D$387</definedName>
    <definedName name="highlightswalks">Enums!$D$797:$D$815</definedName>
    <definedName name="highlightstransport">Enums!$D$1196:$D$1205</definedName>
    <definedName name="highlightslearning">Enums!$D$1067:$D$1080</definedName>
    <definedName name="highlightsnature">Enums!$D$838:$D$856</definedName>
    <definedName name="sensory">Enums!$D$332:$D$336</definedName>
    <definedName name="highlightsdiscovery">Enums!$D$1130:$D$1135</definedName>
    <definedName name="coastaladventure">Enums!$D$247:$D$258</definedName>
    <definedName name="animalencounters">Enums!$D$351:$D$359</definedName>
    <definedName name="highlightsindoorenergy">Enums!$D$1184:$D$1194</definedName>
    <definedName name="highlightsfamilydining">Enums!$D$1234:$D$1242</definedName>
    <definedName name="familydining">Enums!$D$409:$D$412</definedName>
    <definedName name="museums">Enums!$D$345:$D$349</definedName>
    <definedName name="highlightscoffee">Enums!$D$1223:$D$1232</definedName>
    <definedName name="highlightssensory">Enums!$D$1091</definedName>
    <definedName name="highlightsindoorentertainment">Enums!$D$1093:$D$1113</definedName>
    <definedName name="highlightswaterfun">Enums!$D$1019:$D$1050</definedName>
    <definedName name="natureexploration">Enums!$D$236:$D$245</definedName>
    <definedName name="highlightsplaygrounds">Enums!$D$920:$D$965</definedName>
    <definedName name="highlightscreative">Enums!$D$1052:$D$1073</definedName>
    <definedName name="seasonal">Enums!$D$293:$D$302</definedName>
    <definedName name="creativeplay">Enums!$D$320:$D$325</definedName>
    <definedName name="greenspaces">Enums!$D$228:$D$234</definedName>
    <definedName name="highlightsgreenspace">Enums!$D$817:$D$836</definedName>
    <definedName name="highlightswheels">Enums!$D$1000:$D$1017</definedName>
    <definedName name="scenicwalks">Enums!$D$214:$D$226</definedName>
    <definedName name="curatedoutdoor">Enums!$D$260:$D$266</definedName>
    <definedName name="highlightsanimals">Enums!$D$1159:$D$1182</definedName>
    <definedName name="wheelsroutes">Enums!$D$304:$D$307</definedName>
  </definedNames>
  <calcPr/>
</workbook>
</file>

<file path=xl/sharedStrings.xml><?xml version="1.0" encoding="utf-8"?>
<sst xmlns="http://schemas.openxmlformats.org/spreadsheetml/2006/main" count="20451" uniqueCount="4466">
  <si>
    <t>Essential Info</t>
  </si>
  <si>
    <t>Venue Descriptors</t>
  </si>
  <si>
    <t>Venue Address</t>
  </si>
  <si>
    <t>Venue Opening Days / Times</t>
  </si>
  <si>
    <t>Venue Ticketing Types &amp; Costs</t>
  </si>
  <si>
    <t>Facilities</t>
  </si>
  <si>
    <t>Age Suitability</t>
  </si>
  <si>
    <t>Useful Info</t>
  </si>
  <si>
    <t>Additional Details</t>
  </si>
  <si>
    <t>Club Venue Address</t>
  </si>
  <si>
    <t>Image</t>
  </si>
  <si>
    <t>Event Descriptors</t>
  </si>
  <si>
    <t>Dates</t>
  </si>
  <si>
    <t>Admin Panel</t>
  </si>
  <si>
    <t>Club Running times</t>
  </si>
  <si>
    <t>Event Venue</t>
  </si>
  <si>
    <t>Same Opening Daily</t>
  </si>
  <si>
    <t>Daily Opening / Closing Times</t>
  </si>
  <si>
    <t>Exceptions</t>
  </si>
  <si>
    <t>Cost?</t>
  </si>
  <si>
    <t>Ticket Needed?</t>
  </si>
  <si>
    <t>Ticketing</t>
  </si>
  <si>
    <t>How to Book</t>
  </si>
  <si>
    <t>Scheduling</t>
  </si>
  <si>
    <t>Ticket Types</t>
  </si>
  <si>
    <t>Baby Tickets</t>
  </si>
  <si>
    <t>Single-Day (one session) Event Schedule</t>
  </si>
  <si>
    <t>Child Tickets</t>
  </si>
  <si>
    <t>Single-Day (multi-session) Event Schedule</t>
  </si>
  <si>
    <t>Young Child Tickets</t>
  </si>
  <si>
    <t>Older Child Tickets</t>
  </si>
  <si>
    <t xml:space="preserve">Multi-Day Event With Fixed Daily Times Schedule </t>
  </si>
  <si>
    <t>Adult Tickets</t>
  </si>
  <si>
    <t>Concession Tickets</t>
  </si>
  <si>
    <t>Group Tickets</t>
  </si>
  <si>
    <t>Multi-Day Event With Mixed Daily Times</t>
  </si>
  <si>
    <t>Route Descriptors</t>
  </si>
  <si>
    <t>Opportunity Type</t>
  </si>
  <si>
    <t>Venue Setting</t>
  </si>
  <si>
    <t>Route Start Point</t>
  </si>
  <si>
    <t>Event Ticketing Types, Dates &amp; Costs</t>
  </si>
  <si>
    <t>Venue Setting (More specifically)</t>
  </si>
  <si>
    <t>Venue Name</t>
  </si>
  <si>
    <t>How would you group it?</t>
  </si>
  <si>
    <t>Description</t>
  </si>
  <si>
    <t>Address</t>
  </si>
  <si>
    <t>Address line 2</t>
  </si>
  <si>
    <t>City/Town</t>
  </si>
  <si>
    <t>Postcode</t>
  </si>
  <si>
    <t>Latitude</t>
  </si>
  <si>
    <t>Longitude</t>
  </si>
  <si>
    <t>Country</t>
  </si>
  <si>
    <t>Which days of the week are they open?</t>
  </si>
  <si>
    <t>Same start &amp; end times across all days?</t>
  </si>
  <si>
    <t>Daily Opening Time</t>
  </si>
  <si>
    <t>Daily Closing Time</t>
  </si>
  <si>
    <t>Skill Requirements</t>
  </si>
  <si>
    <t>Monday Opening Time</t>
  </si>
  <si>
    <t>Monday Closing Time</t>
  </si>
  <si>
    <t>Tuesday Opening Time</t>
  </si>
  <si>
    <t>Tuesday Closing Time</t>
  </si>
  <si>
    <t>Wednesday Opening Time</t>
  </si>
  <si>
    <t>Wednesday Closing Time</t>
  </si>
  <si>
    <t>Contributor Details</t>
  </si>
  <si>
    <t>Thursday Opening Time</t>
  </si>
  <si>
    <t>Thursday Closing Time</t>
  </si>
  <si>
    <t>Friday Opening Time</t>
  </si>
  <si>
    <t>Friday Closing Time</t>
  </si>
  <si>
    <t>Saturday Opening Time</t>
  </si>
  <si>
    <t>Saturday Closing Time</t>
  </si>
  <si>
    <t>Sunday Opening Time</t>
  </si>
  <si>
    <t>Sunday Closing Time</t>
  </si>
  <si>
    <t>Opening exclusions (not open on)</t>
  </si>
  <si>
    <t>Contributor Review Scores</t>
  </si>
  <si>
    <t>Bank Holidays</t>
  </si>
  <si>
    <t>Type of Route</t>
  </si>
  <si>
    <t>Is there an Entry Cost?</t>
  </si>
  <si>
    <t>Ticketing Requirements</t>
  </si>
  <si>
    <t xml:space="preserve">Route Setting </t>
  </si>
  <si>
    <t>Booking Types</t>
  </si>
  <si>
    <t>Route Name</t>
  </si>
  <si>
    <t>Ticketing Types</t>
  </si>
  <si>
    <t>Baby Ticket Definition</t>
  </si>
  <si>
    <t>Baby Ticket Price</t>
  </si>
  <si>
    <t>Route Type</t>
  </si>
  <si>
    <t>Route Suitability</t>
  </si>
  <si>
    <t>Fixed Child Ticket Definition</t>
  </si>
  <si>
    <t>Route Distance (miles)</t>
  </si>
  <si>
    <t>Fixed Child Ticket Price</t>
  </si>
  <si>
    <t>Terrain Type</t>
  </si>
  <si>
    <t>Ticket Requirements + Types</t>
  </si>
  <si>
    <t>Difficulty Rating</t>
  </si>
  <si>
    <t>Young Child Ticket Definition</t>
  </si>
  <si>
    <t>Young Child Ticket Price</t>
  </si>
  <si>
    <t>Older Child Ticket Definition</t>
  </si>
  <si>
    <t>Address Line 2</t>
  </si>
  <si>
    <t>Older Child Ticket Price</t>
  </si>
  <si>
    <t>Region</t>
  </si>
  <si>
    <t>Adult Ticket Definition</t>
  </si>
  <si>
    <t>Adult Ticket Price</t>
  </si>
  <si>
    <t>Concession Ticket Definition</t>
  </si>
  <si>
    <t>Concession Ticket Price</t>
  </si>
  <si>
    <t>Group Ticket Definition</t>
  </si>
  <si>
    <t>Parking Provision</t>
  </si>
  <si>
    <t>Group Ticket Price</t>
  </si>
  <si>
    <t>General Facilities</t>
  </si>
  <si>
    <t>Kids Facilities</t>
  </si>
  <si>
    <t>Parent Facilities</t>
  </si>
  <si>
    <t>Dog Facilities</t>
  </si>
  <si>
    <t>&lt;1s</t>
  </si>
  <si>
    <t>1-2yrs</t>
  </si>
  <si>
    <t>3-4yrs</t>
  </si>
  <si>
    <t>5-7yrs</t>
  </si>
  <si>
    <t>8-12yrs</t>
  </si>
  <si>
    <t>13+yrs</t>
  </si>
  <si>
    <t>Adults</t>
  </si>
  <si>
    <t>Event Setting</t>
  </si>
  <si>
    <t>Inside or Outside</t>
  </si>
  <si>
    <t>Weather Suitability</t>
  </si>
  <si>
    <t>Estimated Time to Spend</t>
  </si>
  <si>
    <t>Opportunity Theme Variant</t>
  </si>
  <si>
    <t xml:space="preserve">Interest Tags </t>
  </si>
  <si>
    <t>Seasonal Tag</t>
  </si>
  <si>
    <t>Event Name</t>
  </si>
  <si>
    <t>Seasonal Highlights</t>
  </si>
  <si>
    <t>Attractions
(Highlights)</t>
  </si>
  <si>
    <t>Extra Kit</t>
  </si>
  <si>
    <t>Images (Routes Folder)</t>
  </si>
  <si>
    <t>Event Type</t>
  </si>
  <si>
    <t>Images (Venues Folder)</t>
  </si>
  <si>
    <t>State/Region/Province</t>
  </si>
  <si>
    <t>Additional Info</t>
  </si>
  <si>
    <t>Event Start Date</t>
  </si>
  <si>
    <t>Photo Contributor</t>
  </si>
  <si>
    <t>Multiple Sessions Daily</t>
  </si>
  <si>
    <t>Event End Date</t>
  </si>
  <si>
    <t>Fixed Start / End Times</t>
  </si>
  <si>
    <t>Event Days Total</t>
  </si>
  <si>
    <t>Daily Start / End times</t>
  </si>
  <si>
    <t>Are there Multiple Sessions in one day?</t>
  </si>
  <si>
    <t>Added to Sheet</t>
  </si>
  <si>
    <t>Event Schedule Pattern (Which days of the week will the event be running?)</t>
  </si>
  <si>
    <t>Multi-Sessions Per Day</t>
  </si>
  <si>
    <t>Are there fixed timings that are the same each day?</t>
  </si>
  <si>
    <t>Daily Start Time</t>
  </si>
  <si>
    <t>Daily Finish Time</t>
  </si>
  <si>
    <t>Monthly Fixed Date</t>
  </si>
  <si>
    <r>
      <rPr>
        <rFont val="Arial"/>
        <b/>
        <color theme="1"/>
        <sz val="9.0"/>
      </rPr>
      <t xml:space="preserve">Uploaded to App Database
</t>
    </r>
    <r>
      <rPr>
        <rFont val="Arial"/>
        <b val="0"/>
        <color theme="1"/>
        <sz val="9.0"/>
      </rPr>
      <t>(Umer to Confirm)</t>
    </r>
  </si>
  <si>
    <t>Total number of sessions within the day</t>
  </si>
  <si>
    <t>Times of those multi-sessions</t>
  </si>
  <si>
    <t>Daily Timings Start Time</t>
  </si>
  <si>
    <t>opportunity_type</t>
  </si>
  <si>
    <t>Daily Timings End Time</t>
  </si>
  <si>
    <t>Monday Start Time</t>
  </si>
  <si>
    <t>Monday End Time</t>
  </si>
  <si>
    <t>route_opportunity_theme</t>
  </si>
  <si>
    <r>
      <rPr>
        <rFont val="Arial"/>
        <b/>
        <color theme="1"/>
        <sz val="9.0"/>
      </rPr>
      <t xml:space="preserve">Uploaded to App Database
</t>
    </r>
    <r>
      <rPr>
        <rFont val="Arial"/>
        <b val="0"/>
        <color theme="1"/>
        <sz val="9.0"/>
      </rPr>
      <t>(Umer to Confirm)</t>
    </r>
  </si>
  <si>
    <t>Tuesday Start Time</t>
  </si>
  <si>
    <t>route_opportunity_theme_variant</t>
  </si>
  <si>
    <t>route_name</t>
  </si>
  <si>
    <t>Tuesday End Time</t>
  </si>
  <si>
    <t>route_activity_grouping</t>
  </si>
  <si>
    <t>route_description</t>
  </si>
  <si>
    <t>Wednesday Start Time</t>
  </si>
  <si>
    <t>route_type</t>
  </si>
  <si>
    <t>route_suitability</t>
  </si>
  <si>
    <t>Wednesday End Time</t>
  </si>
  <si>
    <t>route_distance</t>
  </si>
  <si>
    <t>Thursday Start Time</t>
  </si>
  <si>
    <t>route_terrain_type</t>
  </si>
  <si>
    <t>Thursday End Time</t>
  </si>
  <si>
    <t>route_difficulty</t>
  </si>
  <si>
    <t>venue_opportunity_theme</t>
  </si>
  <si>
    <t>route_address_line_1</t>
  </si>
  <si>
    <t>Friday Start Time</t>
  </si>
  <si>
    <t>Friday End Time</t>
  </si>
  <si>
    <t>route_address_line_2</t>
  </si>
  <si>
    <t>venue_opportunity_theme_variant</t>
  </si>
  <si>
    <t>Saturday Start Time</t>
  </si>
  <si>
    <t>venue_name</t>
  </si>
  <si>
    <t>Saturday End Time</t>
  </si>
  <si>
    <t>route_region</t>
  </si>
  <si>
    <t>venue_activity_group</t>
  </si>
  <si>
    <t>Sunday Start Time</t>
  </si>
  <si>
    <t>route_postcode</t>
  </si>
  <si>
    <t>Club Setting</t>
  </si>
  <si>
    <t>Sunday End Time</t>
  </si>
  <si>
    <t>latitude</t>
  </si>
  <si>
    <t>Ticket Sales Start Date</t>
  </si>
  <si>
    <t>longitude</t>
  </si>
  <si>
    <t>Club Setting 
(More Specifically)</t>
  </si>
  <si>
    <t>venue_description</t>
  </si>
  <si>
    <t>route_parking_provision</t>
  </si>
  <si>
    <t>venue_address_line_1</t>
  </si>
  <si>
    <t>Club Name</t>
  </si>
  <si>
    <t>route_general_facilities</t>
  </si>
  <si>
    <t>venue_address_line_2</t>
  </si>
  <si>
    <t>route_child_facilities</t>
  </si>
  <si>
    <t>venue_city</t>
  </si>
  <si>
    <t>route_adult_facilities</t>
  </si>
  <si>
    <t>venue_postcode</t>
  </si>
  <si>
    <t>route_dog_facilities</t>
  </si>
  <si>
    <t>Club Format</t>
  </si>
  <si>
    <t>route_age_suitability_under_1_s</t>
  </si>
  <si>
    <t>route_age_suitability_1_to_2_years</t>
  </si>
  <si>
    <t>Commitment</t>
  </si>
  <si>
    <t>Baby Ticket Age Range</t>
  </si>
  <si>
    <t>route_age_suitability_3_to_4_years</t>
  </si>
  <si>
    <t>Frequency</t>
  </si>
  <si>
    <t>route_age_suitability_5_to_7_years</t>
  </si>
  <si>
    <t>venue_country</t>
  </si>
  <si>
    <t>route_age_suitability_8_to_12_years</t>
  </si>
  <si>
    <t>venue_schedule_pattern</t>
  </si>
  <si>
    <t>route_age_suitability_over_13_years</t>
  </si>
  <si>
    <t>route_age_suitability_adults</t>
  </si>
  <si>
    <t>venue_fixed_daily_timings</t>
  </si>
  <si>
    <t>venue_fixed_timings_start_time</t>
  </si>
  <si>
    <t>route_physical_setting</t>
  </si>
  <si>
    <t>venue_fixed_timings_end_time</t>
  </si>
  <si>
    <t>Fixed Child Ticket Age Range</t>
  </si>
  <si>
    <t>venue_mixed_timings_monday_start_time</t>
  </si>
  <si>
    <t>venue_mixed_timings_monday_end_time</t>
  </si>
  <si>
    <t>venue_mixed_timings_tuesday_start_time</t>
  </si>
  <si>
    <t>route_detailed_weather_suitability</t>
  </si>
  <si>
    <t>route_estimated_duration</t>
  </si>
  <si>
    <t>venue_mixed_timings_tuesday_end_time</t>
  </si>
  <si>
    <t>route_interest_tags</t>
  </si>
  <si>
    <t>Young Child Ticket Age Range</t>
  </si>
  <si>
    <t>route_seasonal_tag</t>
  </si>
  <si>
    <t>venue_mixed_timings_wednesday_start_time</t>
  </si>
  <si>
    <t>route_seasonal_highlights</t>
  </si>
  <si>
    <t>route_attractions</t>
  </si>
  <si>
    <t>venue_mixed_timings_wednesday_end_time</t>
  </si>
  <si>
    <t>Older Child Ticket Age Range</t>
  </si>
  <si>
    <t>route_extra_kit</t>
  </si>
  <si>
    <t>venue_mixed_timings_thursday_start_time</t>
  </si>
  <si>
    <t>image</t>
  </si>
  <si>
    <t>venue_mixed_timings_thursday_end_time</t>
  </si>
  <si>
    <t>Adult Ticket Age Range</t>
  </si>
  <si>
    <t>venue_mixed_timings_friday_start_time</t>
  </si>
  <si>
    <t>entry_complete</t>
  </si>
  <si>
    <t>venue_mixed_timings_friday_end_time</t>
  </si>
  <si>
    <t>Concession Ticket Age Range</t>
  </si>
  <si>
    <t>venue_mixed_timings_saturday_start_time</t>
  </si>
  <si>
    <t>venue_mixed_timings_saturday_end_time</t>
  </si>
  <si>
    <t>Confirm the start date</t>
  </si>
  <si>
    <t>venue_mixed_timings_sunday_start_time</t>
  </si>
  <si>
    <t>venue_mixed_timings_sunday_end_time</t>
  </si>
  <si>
    <t>Confirm the end date</t>
  </si>
  <si>
    <t>venue_opening_exclusions</t>
  </si>
  <si>
    <t>Multiple sessions Daily?</t>
  </si>
  <si>
    <t>venue_entry_cost</t>
  </si>
  <si>
    <t>Multiple sessions Daily - Total per day</t>
  </si>
  <si>
    <t>ticketing_requirement</t>
  </si>
  <si>
    <t>Fixed Daily Multi-Session Times</t>
  </si>
  <si>
    <t>venue_booking_type</t>
  </si>
  <si>
    <t>Which days of the week does it run?</t>
  </si>
  <si>
    <t>Fixed Daily Start / End Times?</t>
  </si>
  <si>
    <t>ticketing_variants</t>
  </si>
  <si>
    <t>Fixed Daily start time:</t>
  </si>
  <si>
    <t>ticket_variant_definition_baby</t>
  </si>
  <si>
    <t>Fixed Daily end time:</t>
  </si>
  <si>
    <t>ticket_variant_baby_price</t>
  </si>
  <si>
    <t>Monday Start time</t>
  </si>
  <si>
    <t>Monday End time</t>
  </si>
  <si>
    <t>Tuesday Start time</t>
  </si>
  <si>
    <t>ticket_variant_definition__fixed_child</t>
  </si>
  <si>
    <t>Tuesday End time</t>
  </si>
  <si>
    <t>ticket_variant_fixed_child_price</t>
  </si>
  <si>
    <t>Wednesday Start time</t>
  </si>
  <si>
    <t>ticket_variant_definition_young_child</t>
  </si>
  <si>
    <t>Wednesday End time</t>
  </si>
  <si>
    <t>ticket_variant_young_child_price</t>
  </si>
  <si>
    <t>Thursday Start time</t>
  </si>
  <si>
    <t>ticket_variant_definition_older_child</t>
  </si>
  <si>
    <t>Thursday End time</t>
  </si>
  <si>
    <t>ticket_variant_older_child_price</t>
  </si>
  <si>
    <t>Friday Start time</t>
  </si>
  <si>
    <t>ticket_variant_definition_adult</t>
  </si>
  <si>
    <t>ticket_variant_adult_price</t>
  </si>
  <si>
    <t>Friday End time</t>
  </si>
  <si>
    <t>ticket_variant_definition_concession</t>
  </si>
  <si>
    <t>Saturday Start time</t>
  </si>
  <si>
    <t>ticket_variant_concession_price</t>
  </si>
  <si>
    <t>Interest Tags</t>
  </si>
  <si>
    <t>Saturday End time</t>
  </si>
  <si>
    <t>ticket_variant_definition_group</t>
  </si>
  <si>
    <t>Sunday Start time</t>
  </si>
  <si>
    <t>ticket_variant_group_price</t>
  </si>
  <si>
    <t>Sunday End time</t>
  </si>
  <si>
    <t>venue_parking_provision</t>
  </si>
  <si>
    <t>Multi-Session Monday - No. of sessions</t>
  </si>
  <si>
    <t>venue_general_facilities</t>
  </si>
  <si>
    <t>Monday session times</t>
  </si>
  <si>
    <t>venue_child_facilities</t>
  </si>
  <si>
    <t>Multi-Session Tuesday - No. of sessions</t>
  </si>
  <si>
    <t>venue_adult_facilities</t>
  </si>
  <si>
    <t>Tuesday session times</t>
  </si>
  <si>
    <t>Highlights (Attractions)</t>
  </si>
  <si>
    <t>venue_dog_facilities</t>
  </si>
  <si>
    <t>Multi-Session Wednesday - No. of sessions</t>
  </si>
  <si>
    <t>Wednesday session times</t>
  </si>
  <si>
    <t>Multi-Session Thursday - No. of sessions</t>
  </si>
  <si>
    <t>Skill Area</t>
  </si>
  <si>
    <t>venue_age_suitability_under_1_s</t>
  </si>
  <si>
    <t>Thursday session times</t>
  </si>
  <si>
    <t>Skill Area Variant</t>
  </si>
  <si>
    <t>Multi-Session Friday - No. of sessions</t>
  </si>
  <si>
    <t>venue_age_suitability_1_to_2_years</t>
  </si>
  <si>
    <t>Friday session times</t>
  </si>
  <si>
    <t>venue_age_suitability_3_to_4_years</t>
  </si>
  <si>
    <t>Ability Level</t>
  </si>
  <si>
    <t>Multi-Session Saturday - No. of sessions</t>
  </si>
  <si>
    <t>venue_age_suitability_5_to_7_years</t>
  </si>
  <si>
    <t>Image Name</t>
  </si>
  <si>
    <t>Saturday session times</t>
  </si>
  <si>
    <t>venue_age_suitability_8_to_12_years</t>
  </si>
  <si>
    <t>Multi-Session Sunday - No. of sessions</t>
  </si>
  <si>
    <t>venue_age_suitability_over_13_years</t>
  </si>
  <si>
    <t>Contributor</t>
  </si>
  <si>
    <t>venue_age_suitability_adults</t>
  </si>
  <si>
    <t>venue_physical_setting</t>
  </si>
  <si>
    <t>Sunday session times</t>
  </si>
  <si>
    <t>venue_detailed_weather_suitability</t>
  </si>
  <si>
    <t>Contributor Email</t>
  </si>
  <si>
    <t>venue_estimated_duration</t>
  </si>
  <si>
    <t>Which day of the week does it occur?</t>
  </si>
  <si>
    <t>Contributor ID</t>
  </si>
  <si>
    <t>venue_interest_tags</t>
  </si>
  <si>
    <t>Do you have a fixed week within the month</t>
  </si>
  <si>
    <t>Quick Reset</t>
  </si>
  <si>
    <t>venue_seasonal_tag</t>
  </si>
  <si>
    <t>Which week does your club occur?</t>
  </si>
  <si>
    <t>venue_seasonal_highlights</t>
  </si>
  <si>
    <t>Please confirm any upcoming dates:</t>
  </si>
  <si>
    <t>venue_attractions</t>
  </si>
  <si>
    <t>venue_extra_kit</t>
  </si>
  <si>
    <t>Energy Burner</t>
  </si>
  <si>
    <t>contributor_first_name</t>
  </si>
  <si>
    <t>Simple Reset</t>
  </si>
  <si>
    <t>Booking Type</t>
  </si>
  <si>
    <t>Special Day Out</t>
  </si>
  <si>
    <t>Effort vs Reward</t>
  </si>
  <si>
    <t>Habit worthy</t>
  </si>
  <si>
    <t>Scenic Walks &amp; Trails</t>
  </si>
  <si>
    <t>Stands Out</t>
  </si>
  <si>
    <t>Tricker Day</t>
  </si>
  <si>
    <r>
      <rPr>
        <rFont val="Arial"/>
        <b/>
        <color theme="1"/>
        <sz val="9.0"/>
      </rPr>
      <t xml:space="preserve">Uploaded to App Database
</t>
    </r>
    <r>
      <rPr>
        <rFont val="Arial"/>
        <b val="0"/>
        <color theme="1"/>
        <sz val="9.0"/>
      </rPr>
      <t>(Umer to Confirm)</t>
    </r>
  </si>
  <si>
    <t>venue</t>
  </si>
  <si>
    <t>event_opportunity_theme</t>
  </si>
  <si>
    <t>event_opportunity_theme_variant</t>
  </si>
  <si>
    <t>event_name</t>
  </si>
  <si>
    <t>Cafés &amp; Coffee Stops</t>
  </si>
  <si>
    <t>event_activity_group</t>
  </si>
  <si>
    <t>event_type</t>
  </si>
  <si>
    <t>event_description</t>
  </si>
  <si>
    <t>event_address_line_1</t>
  </si>
  <si>
    <t>event_address_line_2</t>
  </si>
  <si>
    <t>Family-Friendly Cafés</t>
  </si>
  <si>
    <t>event_city</t>
  </si>
  <si>
    <t>event_region</t>
  </si>
  <si>
    <t>event_postcode</t>
  </si>
  <si>
    <t>Amelia's Flower Farm Cafe</t>
  </si>
  <si>
    <t>Local Wander</t>
  </si>
  <si>
    <t>event_country</t>
  </si>
  <si>
    <t>Aylesbere Common - RSPB Nature Reserve</t>
  </si>
  <si>
    <t>event_physical_setting</t>
  </si>
  <si>
    <t>event_detailed_weather_suitability</t>
  </si>
  <si>
    <t>event_start_date</t>
  </si>
  <si>
    <t>event_end_date</t>
  </si>
  <si>
    <t>event_days_total</t>
  </si>
  <si>
    <t>Moment of Peace</t>
  </si>
  <si>
    <t>event_daily_multi_session</t>
  </si>
  <si>
    <t>event_timetable_weekly</t>
  </si>
  <si>
    <t>A thoughtfully designed flower farm-come-cafe with stunning pick-your-own blooms, baked refreshments, plant sales and a calm, seasonal feel. Amelia’s Flower Farm is a gentle outdoor stop where children can help choose stems, notice colour and scent, and move through the flower rows at an unhurried pace. There's also the resident piglets to greet and a small outdoor play area that can be seen from the upstairs cafe terrace. Perfect for a pretty potter that can be extended with a longer walk towards the River Teign.</t>
  </si>
  <si>
    <t>Activity Group</t>
  </si>
  <si>
    <t>event_daily_fixed_timings</t>
  </si>
  <si>
    <t>Amelias Flower Farm</t>
  </si>
  <si>
    <t>event_daily_fixed_start_time</t>
  </si>
  <si>
    <t>Combeinteignhead</t>
  </si>
  <si>
    <t>event_daily_fixed_end_time</t>
  </si>
  <si>
    <t>Moment of Peace, Simple Reset</t>
  </si>
  <si>
    <t>Newton Abbot</t>
  </si>
  <si>
    <t>event_daily_multi_session_total</t>
  </si>
  <si>
    <t>TQ12 4RG</t>
  </si>
  <si>
    <t>Saturday, Sunday, Monday, Tuesday, Wednesday, Thursday, Friday</t>
  </si>
  <si>
    <t>event_daily_multi_session_timings</t>
  </si>
  <si>
    <t>-</t>
  </si>
  <si>
    <t>event_weekly_fixed_start_time</t>
  </si>
  <si>
    <t>Aylesbeare Common is a quieter, wilder walk for children who enjoy nature spotting more than play equipment. There are two signed trails — a short 0.75-mile route and a longer 3-mile route — with heathland, birds, butterflies, dragonflies and seasonal colour. Heath spotted orchids and bog plants like sundew add to the nature interest, and the hilltop position gives lovely views from either side of the reserve. The longer trail can be uneven, with gradients, steps and gates, so choose the shorter or tarmac farm-track option across the road from the main car park if legs are small and tire quickly. There are no toilets here, so plan it as a fresh-air-and-wildlife stop rather than a facilities-based outing.</t>
  </si>
  <si>
    <t>event_weekly_fixed_end_time</t>
  </si>
  <si>
    <t>event_mixed_timings_monday_start_time</t>
  </si>
  <si>
    <t>event_mixed_timings_monday_end_time</t>
  </si>
  <si>
    <t>event_mixed_timings_tuesday_start_time</t>
  </si>
  <si>
    <t>event_mixed_timings_tuesday_end_time</t>
  </si>
  <si>
    <t>event_mixed_timings_wednesday_start_time</t>
  </si>
  <si>
    <t xml:space="preserve">Open Weekends only November - June </t>
  </si>
  <si>
    <t>Out-and-back, Loop with variations, Circular</t>
  </si>
  <si>
    <t>event_mixed_timings_wednesday_end_time</t>
  </si>
  <si>
    <t>event_mixed_timings_thursday_start_time</t>
  </si>
  <si>
    <r>
      <rPr>
        <rFont val="Arial"/>
        <b/>
        <color theme="1"/>
        <sz val="9.0"/>
      </rPr>
      <t xml:space="preserve">Uploaded to App Database
</t>
    </r>
    <r>
      <rPr>
        <rFont val="Arial"/>
        <b val="0"/>
        <color theme="1"/>
        <sz val="9.0"/>
      </rPr>
      <t>(Umer to Confirm)</t>
    </r>
  </si>
  <si>
    <t>event_mixed_timings_thursday_end_time</t>
  </si>
  <si>
    <t>event_mixed_timings_friday_start_time</t>
  </si>
  <si>
    <t>event_mixed_timings_friday_end_time</t>
  </si>
  <si>
    <t>event_mixed_timings_saturday_start_time</t>
  </si>
  <si>
    <t>event_mixed_timings_saturday_end_time</t>
  </si>
  <si>
    <t>event_mixed_timings_sunday_start_time</t>
  </si>
  <si>
    <t>Dog friendly, Off-road Buggies only, Mountain Bikes Only</t>
  </si>
  <si>
    <t>event_mixed_timings_sunday_end_time</t>
  </si>
  <si>
    <t>ticket_sales_start_date</t>
  </si>
  <si>
    <t>event_entry_cost</t>
  </si>
  <si>
    <t>event_booking_type</t>
  </si>
  <si>
    <t>Open (Free) Access</t>
  </si>
  <si>
    <t>Flat, Undulating, Woodland track</t>
  </si>
  <si>
    <t>club_opportunity_theme</t>
  </si>
  <si>
    <t>club_opportunity_theme_variant</t>
  </si>
  <si>
    <t>Easy</t>
  </si>
  <si>
    <t>club_name</t>
  </si>
  <si>
    <t>Joney's Cross Car Park</t>
  </si>
  <si>
    <t>event_parking_provision</t>
  </si>
  <si>
    <t>event_general_facilities</t>
  </si>
  <si>
    <t>club_description</t>
  </si>
  <si>
    <t>event_child_facilities</t>
  </si>
  <si>
    <t>event_adult_facilities</t>
  </si>
  <si>
    <t>event_dog_facilities</t>
  </si>
  <si>
    <t>club_format</t>
  </si>
  <si>
    <t>event_age_suitability_under_1_s</t>
  </si>
  <si>
    <t>event_age_suitability_1_to_2_years</t>
  </si>
  <si>
    <t>event_age_suitability_3_to_4_years</t>
  </si>
  <si>
    <t>club_committment</t>
  </si>
  <si>
    <t>event_age_suitability_5_to_7_years</t>
  </si>
  <si>
    <t>event_age_suitability_8_to_12_years</t>
  </si>
  <si>
    <t>event_age_suitability_over_13_years</t>
  </si>
  <si>
    <t>Free Car Park</t>
  </si>
  <si>
    <t>club_frequency</t>
  </si>
  <si>
    <t>event_age_suitability_adults</t>
  </si>
  <si>
    <t>club_address_line_1</t>
  </si>
  <si>
    <t>Sidmouth</t>
  </si>
  <si>
    <t>Toilets, Indoor Seating, Outdoor Seating</t>
  </si>
  <si>
    <t>club_address_line_2</t>
  </si>
  <si>
    <t>event_interest_tags</t>
  </si>
  <si>
    <t>EX10 0BL</t>
  </si>
  <si>
    <t>event_seasonal_tags</t>
  </si>
  <si>
    <t>club_city_town</t>
  </si>
  <si>
    <t>event_seasonal_highlights</t>
  </si>
  <si>
    <t>club_state_region_province</t>
  </si>
  <si>
    <t>event_highlights</t>
  </si>
  <si>
    <t>event_extra_kit</t>
  </si>
  <si>
    <t>event_skill_area</t>
  </si>
  <si>
    <t>club_postcode</t>
  </si>
  <si>
    <t>event_skill_area_variant</t>
  </si>
  <si>
    <t>event_ability_level</t>
  </si>
  <si>
    <t>club_country</t>
  </si>
  <si>
    <t>contributor_contact_email</t>
  </si>
  <si>
    <t>contributor_id</t>
  </si>
  <si>
    <t>quick_reset</t>
  </si>
  <si>
    <t>energy_burner</t>
  </si>
  <si>
    <t>club_start_date</t>
  </si>
  <si>
    <t>simple_reset</t>
  </si>
  <si>
    <t>special_day_out</t>
  </si>
  <si>
    <t>club_end_date</t>
  </si>
  <si>
    <t>effort_reward</t>
  </si>
  <si>
    <t>regular_habit</t>
  </si>
  <si>
    <t>club_repeat_session</t>
  </si>
  <si>
    <t>different_score</t>
  </si>
  <si>
    <t>club_daily_fixed_session_total</t>
  </si>
  <si>
    <t>support_score</t>
  </si>
  <si>
    <t>club_daily_fixed_session_schedule</t>
  </si>
  <si>
    <t>club_daily_schedule</t>
  </si>
  <si>
    <t>Dogs Allowed</t>
  </si>
  <si>
    <t>club_fixed_daily_timings</t>
  </si>
  <si>
    <t>club_daily_start_time</t>
  </si>
  <si>
    <t>club_daily_end_time</t>
  </si>
  <si>
    <t>club_mixed_timings_monday_start_time</t>
  </si>
  <si>
    <t>Ice creams, "Swings, Slides, Climbing Frames"</t>
  </si>
  <si>
    <t>club_mixed_timings_monday_end_time</t>
  </si>
  <si>
    <t>club_mixed_timings_tuesday_start_time</t>
  </si>
  <si>
    <t>club_mixed_timings_tuesday_end_time</t>
  </si>
  <si>
    <t>Sweet treats, Snacks, Hot Drinks, Comfy Seating / Sofas</t>
  </si>
  <si>
    <t>club_mixed_timings_wednesday_start_time</t>
  </si>
  <si>
    <t>club_mixed_timings_wednesday_end_time</t>
  </si>
  <si>
    <t>club_mixed_timings_thursday_start_time</t>
  </si>
  <si>
    <t>club_mixed_timings_thursday_end_time</t>
  </si>
  <si>
    <t>Clear Sightlines</t>
  </si>
  <si>
    <t>club_mixed_timings_friday_start_time</t>
  </si>
  <si>
    <t>club_mixed_timings_friday_end_time</t>
  </si>
  <si>
    <t>club_mixed_timings_saturday_start_time</t>
  </si>
  <si>
    <t>club_mixed_timings_saturday_end_time</t>
  </si>
  <si>
    <t>event</t>
  </si>
  <si>
    <t>club_mixed_timings_sunday_start_time</t>
  </si>
  <si>
    <t>Poo Bins</t>
  </si>
  <si>
    <t>club_mixed_timings_sunday_end_time</t>
  </si>
  <si>
    <t>club_multi_session_monday_session_total</t>
  </si>
  <si>
    <t>club_multi_session_monday_schedule</t>
  </si>
  <si>
    <t>club_multi_session_tuesday_session_total</t>
  </si>
  <si>
    <t>club_multi_session_tuesday_schedule</t>
  </si>
  <si>
    <t>Mixed</t>
  </si>
  <si>
    <t>club_multi_session_wednesday_session_total</t>
  </si>
  <si>
    <t>Animal Encounters</t>
  </si>
  <si>
    <t>club_multi_session_wednesday_schedule</t>
  </si>
  <si>
    <t>club_multi_session_thursday_session_total</t>
  </si>
  <si>
    <t>club_multi_session_thursday_schedule</t>
  </si>
  <si>
    <t>Sunshine, Overcast / cloudy, Windy (&gt; X mph), Dry &amp; mild, Stormy / heavy rain / thunderstorms, Raining / wet, Dry &amp; cold, Dry &amp; warm, Dry &amp; hot, Snow / sleet / ice</t>
  </si>
  <si>
    <t>club_multi_session_friday_session_total</t>
  </si>
  <si>
    <t>club_multi_session_friday_schedule</t>
  </si>
  <si>
    <t>club_multi_session_saturday_session_total</t>
  </si>
  <si>
    <t>Marine Aquarium</t>
  </si>
  <si>
    <t>1-2hrs</t>
  </si>
  <si>
    <t>Tots &amp; Toddlers Rockpool Safari</t>
  </si>
  <si>
    <t>club_multi_session_saturday_schedule</t>
  </si>
  <si>
    <t>flower fields, PYO flowers, pigs, pick your own flowers, flower fields, farm animals, swings, outdoor play area, crafting area, children's bookshelf, flower arranging workshops, scenic views, café</t>
  </si>
  <si>
    <t>club_multi_session_sunday_session_total</t>
  </si>
  <si>
    <t>club_multi_session_sunday_schedule</t>
  </si>
  <si>
    <t>club_monthly_schedule</t>
  </si>
  <si>
    <t>Summer</t>
  </si>
  <si>
    <t>club_fixed_month_occurance</t>
  </si>
  <si>
    <t>club_monthly_occurance</t>
  </si>
  <si>
    <t>club_monthly_fixed_dates</t>
  </si>
  <si>
    <t>Wildflower Meadows, Butterflies, PYO Flowers</t>
  </si>
  <si>
    <t>Outside</t>
  </si>
  <si>
    <t>club_booking_provision</t>
  </si>
  <si>
    <t>Nature-based</t>
  </si>
  <si>
    <t>Farm animals nearby, Combined with a walk or attraction, Colouring</t>
  </si>
  <si>
    <t>Join Devon Wildlife Trust staff and volunteers for a mini rockpool safari aimed at tots &amp; toddlers, that gives them a fun introduction to rockpooling. No need to bring fishing nets as DWT follow the Seashore Code and provide buckets, but bring suitable footwear as the rocks get very slippery.</t>
  </si>
  <si>
    <t>Wembury Marine Centre</t>
  </si>
  <si>
    <t>Sunshine, Overcast / cloudy, Dry &amp; mild, Dry &amp; cold, Dry &amp; warm, Windy (&gt; X mph)</t>
  </si>
  <si>
    <t>Church Rd</t>
  </si>
  <si>
    <t>XC Buggy, Sling / baby carrier, Infant / toddler carrier</t>
  </si>
  <si>
    <t>Wembury</t>
  </si>
  <si>
    <t>Amelias Flower Farm Cafe.JPG</t>
  </si>
  <si>
    <t>Lois</t>
  </si>
  <si>
    <t>Devon</t>
  </si>
  <si>
    <t>PL9 0HP</t>
  </si>
  <si>
    <t>1-2hrs, 30-60mins</t>
  </si>
  <si>
    <t>heathland, birdwatching, Dartford warbler, nightjar, stonechat, hobby, butterflies, dragonflies, damselflies, silver-studded blue, southern damselfly, heather, sundew, bog plants, orchids, wildflowers, nature trails, elevated viewpoints, hilltop views, short walks, wildlife spotting</t>
  </si>
  <si>
    <t>Springtime</t>
  </si>
  <si>
    <t>Imaginative &amp; Role Play</t>
  </si>
  <si>
    <t>Birdsong, Migrating Birds</t>
  </si>
  <si>
    <t>Immersive Worlds</t>
  </si>
  <si>
    <t>Babacombe Model Village</t>
  </si>
  <si>
    <t>Panoramic views, Countryside views, Elevated viewpoints, Wildlife spotting</t>
  </si>
  <si>
    <t>Low Effort, Special Day Out, Simple Reset</t>
  </si>
  <si>
    <t xml:space="preserve">Babacombe Model Village is much more than a quick look at tiny houses — it’s a detailed miniature world set across four acres of gardens, with humour, little moving scenes, vehicles, railways and recognisable places that children can spot as they wander. It works well for curious children who like noticing details, storytelling and searching for funny little scenes, but it is also engaging for adults. </t>
  </si>
  <si>
    <t>Sunshine, Overcast / cloudy, Dry &amp; mild, Dry &amp; cold, Dry &amp; warm, Dry &amp; hot</t>
  </si>
  <si>
    <t>Aylesbere Common.JPG</t>
  </si>
  <si>
    <t>Hampton Avenue</t>
  </si>
  <si>
    <t>club_parking_provision</t>
  </si>
  <si>
    <t>club_general_facilities</t>
  </si>
  <si>
    <t>club_child_facilities</t>
  </si>
  <si>
    <t>Babbacombe</t>
  </si>
  <si>
    <t>Torquay</t>
  </si>
  <si>
    <t>club_adult_facilities</t>
  </si>
  <si>
    <t>club_age_suitability_under_1_s</t>
  </si>
  <si>
    <t>club_age_suitability_1_to_2_years</t>
  </si>
  <si>
    <t>TQ1 3LA</t>
  </si>
  <si>
    <t>club_age_suitability_3_to_4_years</t>
  </si>
  <si>
    <t>Coastal or Clifftop Walk</t>
  </si>
  <si>
    <t>club_age_suitability_5_to_7_years</t>
  </si>
  <si>
    <t>Monday, Tuesday, Wednesday, Thursday, Friday, Saturday, Sunday</t>
  </si>
  <si>
    <t>Beer to Branscombe</t>
  </si>
  <si>
    <t>club_age_suitability_8_to_12_years</t>
  </si>
  <si>
    <t>club_age_suitability_over_13_years</t>
  </si>
  <si>
    <t>club_age_suitability_adults</t>
  </si>
  <si>
    <t>club_activity_group</t>
  </si>
  <si>
    <t>The Beer to Branscombe route follows the South West Coast Path across cliff tops and through woodland, with wide sea views and Branscombe giving the walk a clear destination. The outward section from Beer climbs to Beer Head before dropping via 83 steps down to Branscombe Mouth, so legs need to be willing as this is not a flat or gentle walk. The return via the Hooken Undercliff is one of the more dramatic stretches of the Jurassic Coast: a ten-acre landslip that broke away from the cliff in 1790, leaving chalk pinnacles and a mysterious tangled wilderness that children tend to find properly interesting. Branscombe has pubs, a National Trust tea room and a working forge to pause at, and the 899 bus runs back to Beer if legs give out at the end. Note that as of early 2026, one section of the coast path near the Hooken was subject to a closure due to subsidence, so it's worth check the South West Coast Path website before visiting.</t>
  </si>
  <si>
    <t>club_physical_setting</t>
  </si>
  <si>
    <t>Marked seasonal variations in opening times</t>
  </si>
  <si>
    <t>Circular</t>
  </si>
  <si>
    <t>club_skill_area</t>
  </si>
  <si>
    <t>Carrier Only, Dog friendly</t>
  </si>
  <si>
    <t>club_skill_area_variant</t>
  </si>
  <si>
    <t>Pay On Arrival</t>
  </si>
  <si>
    <t>club_ability_level</t>
  </si>
  <si>
    <t>club_interest_tags</t>
  </si>
  <si>
    <t>(Fixed) Child, Adult, Concession</t>
  </si>
  <si>
    <t>club_seasonal_tag</t>
  </si>
  <si>
    <t>club_seasonal_highlights</t>
  </si>
  <si>
    <t>club_attractions</t>
  </si>
  <si>
    <t>club_extra_kit</t>
  </si>
  <si>
    <t>Undulating, Steep, Woodland track</t>
  </si>
  <si>
    <t>3-15</t>
  </si>
  <si>
    <t>Moderate</t>
  </si>
  <si>
    <t>Beer</t>
  </si>
  <si>
    <t>16+</t>
  </si>
  <si>
    <t>Seaton</t>
  </si>
  <si>
    <t>Local residents</t>
  </si>
  <si>
    <t>EX12 3AQ</t>
  </si>
  <si>
    <t>Advance Book</t>
  </si>
  <si>
    <t>On-street / nearby parking</t>
  </si>
  <si>
    <t>Toilets, Dogs Allowed, Bench Seating, Outdoor Seating, BYO Picnic</t>
  </si>
  <si>
    <t>(Fixed) Child</t>
  </si>
  <si>
    <t>club</t>
  </si>
  <si>
    <t>Hot Drinks, Snacks, Sweet treats, Outdoor terrace, Hot &amp; Cold food</t>
  </si>
  <si>
    <t>Dogs On Leads, Poo Bins</t>
  </si>
  <si>
    <t>0-16</t>
  </si>
  <si>
    <t>Nature &amp; Wildlife Exploration</t>
  </si>
  <si>
    <t>18+</t>
  </si>
  <si>
    <t>Sunshine, Dry &amp; mild, Dry &amp; cold, Dry &amp; warm, Dry &amp; hot</t>
  </si>
  <si>
    <t>2-3hrs, 1-2hrs</t>
  </si>
  <si>
    <t>miniature village, animated scenes, spotting trail, find Wally, hidden characters, crazy golf, gardens, streams, waterfalls, Mythical Kingdom indoor walk-through, animated mythical creatures, quirky humour, British landmarks in miniature, crazy golf</t>
  </si>
  <si>
    <t>Forest School, Den-Building &amp; Nature Craft</t>
  </si>
  <si>
    <t>Twig-lits Forest School</t>
  </si>
  <si>
    <t>Paid Car Park, Bike racks / bays</t>
  </si>
  <si>
    <t>Twig-lits takes place in a meandering Forest school setting, tucked away in the forests of Aylesbere with lots of thoughtfully considered areas that children the chance to build confidence and curiosity in a beautiful outdoor space. With a variety of different stations, there's something for a wide range of ages. The incredibly friendly instructors guide each session in an intentional and considered manner, and the attention to detail elevates this into a magical experience for kids.</t>
  </si>
  <si>
    <t>Themed environments, Immersive settings, Shared imaginative spaces</t>
  </si>
  <si>
    <t>Babacombe Model Village.JPG</t>
  </si>
  <si>
    <t>Toilets, Picnic Benches, Disabled toilets, Service Dogs Only, Baby changing</t>
  </si>
  <si>
    <t>Dave Ox</t>
  </si>
  <si>
    <t>Sunshine, Overcast / cloudy, Dry &amp; mild, Dry &amp; cold, Dry &amp; warm</t>
  </si>
  <si>
    <t>Stay-and-play (supervised)</t>
  </si>
  <si>
    <t>Family Dining</t>
  </si>
  <si>
    <t>One-off (pay as you go)</t>
  </si>
  <si>
    <t>Family Eateries</t>
  </si>
  <si>
    <t>2-3hrs, 4+ hours</t>
  </si>
  <si>
    <t>Barleymows Cafe</t>
  </si>
  <si>
    <t>Giftshop, Hot Drinks, Snacks</t>
  </si>
  <si>
    <t>coastal walking, clifftop, coastal views, Jurassic Coast, World Heritage Site, chalk cliffs, white cliffs, Beer Head, smugglers, caves, landslip, geology, rock formations, wildflowers, sea views, swimming, rock pooling, Branscombe beach, village exploring, pubs, National Trust, history</t>
  </si>
  <si>
    <t>Weekly</t>
  </si>
  <si>
    <t>Twiglits Forest School</t>
  </si>
  <si>
    <t>Venn Ottery</t>
  </si>
  <si>
    <t>A charming farm-shop / cafe on the outskirts of Chard, with seasonal produce, fresh deli counters, and a rustic setting. With indoor and outdoor seating options, it gives families a relaxed stop-off on route somewhere, with plenty to keep young children busy outside in fair weather while you enjoy a meal. During the summer school holidays an additional seasonal attraction opens in the field beyond the garden — a maize maze, trampolines, sandpit, slides, swings, tunnels and a tractor trailer ride, which turns it from a café stop into more of a half-day outing.</t>
  </si>
  <si>
    <t>Barleymows Farm Shop</t>
  </si>
  <si>
    <t>Wildflowers, Seabird Colonies</t>
  </si>
  <si>
    <t>EX11 1SG</t>
  </si>
  <si>
    <t>Chard</t>
  </si>
  <si>
    <t>rockpooling, crabs, sealife, beach combing, marine life</t>
  </si>
  <si>
    <t>Countryside views, Wildlife spotting</t>
  </si>
  <si>
    <t>TA20 3PS</t>
  </si>
  <si>
    <t>Beer to Branscombe.JPG</t>
  </si>
  <si>
    <t>Bex</t>
  </si>
  <si>
    <t>Rockpooling, Guided wildlife spotting, Beach Combing</t>
  </si>
  <si>
    <t>Water shoes, Wellies, Activity-specific clothing</t>
  </si>
  <si>
    <t>Woodland Walk</t>
  </si>
  <si>
    <t>Bellever Forest</t>
  </si>
  <si>
    <t>Outdoors &amp; Nature</t>
  </si>
  <si>
    <t>Simple Reset, Low Effort, Energy Burner</t>
  </si>
  <si>
    <t>Bellever gives families a proper Dartmoor woodland outing without having to head straight onto open moor. The East Dart River runs along the edge of the forest and fills up in summer with families picnicking and paddling on its banks — get there early on warm days as the best spots go quickly. There are several waymarked trails to choose from: a short easy-access path from the car park straight to the river, a history trail past Bronze Age hut circles, and a longer route up to Bellever Tor with wide views across the moor. Heritage Dartmoor Ponies graze the forest throughout the year — children love seeing them, but keep your distance and don't feed them. Toilets at the car park, open 9:30am–5pm. Parking is paid but cheap.</t>
  </si>
  <si>
    <t>Loop with variations</t>
  </si>
  <si>
    <t>Friday, Thursday, Tuesday</t>
  </si>
  <si>
    <t>Dog friendly, Carrier Only, Off-road Buggies only</t>
  </si>
  <si>
    <t>None / Novice</t>
  </si>
  <si>
    <t>Rockpool Safari.jpg</t>
  </si>
  <si>
    <t>Undulating, Mixed terrain, Woodland track</t>
  </si>
  <si>
    <t>Toilets, Highchairs, Indoor Seating, Outdoor Seating</t>
  </si>
  <si>
    <t>Ice creams, Tractor Rides, Sandpit, Outdoor play equipment, "Swings, Slides, Climbing Frames"</t>
  </si>
  <si>
    <t>Hot Drinks, WiFi, Hot &amp; Cold food, Snacks, Sweet treats, Giftshop, Outdoor terrace</t>
  </si>
  <si>
    <t>Yelverton</t>
  </si>
  <si>
    <t>PL20 6TT</t>
  </si>
  <si>
    <t>Paid Car Park</t>
  </si>
  <si>
    <t>Inside</t>
  </si>
  <si>
    <t>Wildlife Hotspot</t>
  </si>
  <si>
    <t>Shoresearch Volunteer Survey</t>
  </si>
  <si>
    <t>Sunshine, Raining / wet, Windy (&gt; X mph), Overcast / cloudy, Stormy / heavy rain / thunderstorms, Dry &amp; mild, Dry &amp; cold, Dry &amp; warm</t>
  </si>
  <si>
    <t>Simple Reset, Low Effort</t>
  </si>
  <si>
    <t>30-60mins, 1-2hrs</t>
  </si>
  <si>
    <t>farm shop, local produce, cream teas, countryside views, outdoor play area, maize maze, trampolines, sandpit, tractor rides, summer activities, farm café, dog friendly</t>
  </si>
  <si>
    <t>Dogs On Leads</t>
  </si>
  <si>
    <t>A fascinating way to explore your local coast, learn more about the wildlife found there and add to your understanding of this important habitat. Suitable for young adults that have a keen interest in wildlife conservation and better understanding the effects of pollution, climate change and invasive alien species; perfect for those fascinated by marine life.</t>
  </si>
  <si>
    <t>Maize Maze</t>
  </si>
  <si>
    <t>Children’s menu, Flexible seating for families, Space for children to move a little, Play area or outdoor play space, Outdoor seating or garden, Rural or scenic setting</t>
  </si>
  <si>
    <t>Barleymows Farm Shop.JPG</t>
  </si>
  <si>
    <t>Information Hut or Learning Centre</t>
  </si>
  <si>
    <t>Beach Toy Library</t>
  </si>
  <si>
    <t>30-60mins, 1-2hrs, 2-3hrs, 4+ hours</t>
  </si>
  <si>
    <t>Advance Book, Pre-Register</t>
  </si>
  <si>
    <t>rivers, streams, paddling, picnicking, Dartmoor ponies, ponies, tor, rock scrambling, panoramic views, woodland walks, ancient woodland, Bronze Age, archaeology, history, history trail, wildlife spotting, buzzards, otters, trout, waymarked trails, Dartmoor</t>
  </si>
  <si>
    <t>A small but genuinely useful beach-day detail: the Exmouth Beach Toy Library lets families borrow buckets, spades, beach balls, frisbees and kites, then return them for someone else to use. It sits next to the Sideshore beach promenade, so it is ideal if you have arrived light, forgotten toys, or want to avoid buying more plastic for one afternoon. A helpful add-on to an Exmouth beach visit when you've rushed out the door in a hurry.</t>
  </si>
  <si>
    <t>Sideshore</t>
  </si>
  <si>
    <t>Queen’s Drive</t>
  </si>
  <si>
    <t>Exmouth</t>
  </si>
  <si>
    <t>EX8 2GD</t>
  </si>
  <si>
    <t>Foals, Bluebells, Autumn Leaves, Fungi</t>
  </si>
  <si>
    <t>2-13</t>
  </si>
  <si>
    <t>Rivers &amp; streams, Natural paddling spots, Ancient trees, Stepping stones, Countryside views, Wildlife spotting</t>
  </si>
  <si>
    <t>24:00</t>
  </si>
  <si>
    <t>Water shoes, Dry bags, Sling / baby carrier</t>
  </si>
  <si>
    <t>Bellever Forest Walk.jpg</t>
  </si>
  <si>
    <t>Adult</t>
  </si>
  <si>
    <t>Open</t>
  </si>
  <si>
    <t>Blackbury Camp Bluebell Walk</t>
  </si>
  <si>
    <t xml:space="preserve">Blackbury Camp is at its best in bluebell season — usually late April to mid-May — when the woodland inside and around the Iron Age hillfort fills with bluebells in a way that genuinely stops you in your tracks. The hillfort itself is small, compact and free to enter: children can run the ramparts, explore the earthworks and find the southern barbican entrance, which is unusually well preserved. The flat interior is good for picnics and ball games. Paths can be uneven and muddy, so it's boots and slow exploring rather than scooters or polished facilities. No café or toilets at the site — Blackbury Honey Farm is a short drive away if you want a stop on the way out. The narrow lanes to get there need careful driving.
</t>
  </si>
  <si>
    <t>Toilets, Disabled toilets, Baby changing</t>
  </si>
  <si>
    <t>Trail network</t>
  </si>
  <si>
    <t>Off-road Buggies only, Carrier Only</t>
  </si>
  <si>
    <t>2-2.5</t>
  </si>
  <si>
    <t>Dogs Allowed, BYO Picnic</t>
  </si>
  <si>
    <t>Toilets, Bench Seating</t>
  </si>
  <si>
    <t>Sandpit, Outdoor play equipment</t>
  </si>
  <si>
    <t>Woodland track</t>
  </si>
  <si>
    <t>Hot Drinks, Hot &amp; Cold food, Clear Sightlines, Snacks, Drinks stand, Sweet treats, Outdoor terrace</t>
  </si>
  <si>
    <t>Blackbury Camp</t>
  </si>
  <si>
    <t>coastal conservation, natural habitats, bird spotting, marine life, climate change, invasive species</t>
  </si>
  <si>
    <t>Colyton</t>
  </si>
  <si>
    <t>Activity sheets, Activity trail, Clues / games</t>
  </si>
  <si>
    <t>EX24 6JF</t>
  </si>
  <si>
    <t>Seabird Colonies, Migrating Birds</t>
  </si>
  <si>
    <t>Coastal wildlife education, Guided surveying, Marine Life Training, Wildlife Spotting, Coastal Views</t>
  </si>
  <si>
    <t>Sunshine, Overcast / cloudy, Dry &amp; mild, Dry &amp; cold, Dry &amp; warm, Dry &amp; hot, Windy (&gt; X mph), Raining / wet</t>
  </si>
  <si>
    <t>Sturdy footwear, Binoculars, Activity-specific clothing</t>
  </si>
  <si>
    <t>Under 30mins, 30-60mins, 1-2hrs, 2-3hrs</t>
  </si>
  <si>
    <t>Hot Drinks, Log burner</t>
  </si>
  <si>
    <t>free beach toy borrowing, buckets and spades, beach balls, kites, frisbees, rockpool nets, community scheme, beachfront location</t>
  </si>
  <si>
    <t>Outdoors &amp; Nature, Global Awareness, Life Skills</t>
  </si>
  <si>
    <t>dwt survey.jpg</t>
  </si>
  <si>
    <t>Guided outdoor learning prompts, Immersive natural surroundings, Quiet or low-intervention spaces</t>
  </si>
  <si>
    <t>Beach Toy Library.JPG</t>
  </si>
  <si>
    <t>Creative Activities</t>
  </si>
  <si>
    <t>A Big Day Out</t>
  </si>
  <si>
    <t>Creative Artwork</t>
  </si>
  <si>
    <t>Major Animal Attractions, Large-Scale Outdoor Attractions</t>
  </si>
  <si>
    <t>Cyanotype Crafting Workshop</t>
  </si>
  <si>
    <t>Becky Falls Woodland Park</t>
  </si>
  <si>
    <t>Low Effort, Moment of Peace</t>
  </si>
  <si>
    <t>Simple Reset, Special Day Out</t>
  </si>
  <si>
    <t>Craft- or Skills-based</t>
  </si>
  <si>
    <t>Use the intricate shapes of seaweed and a little bit of chemistry to make beautiful pieces of artwork using materials from the beach, that you can take home with you. Guests will also learn about marine life, the different types of seaweed that can be found washed up on the strandline, as well as the history of cyanotypes.</t>
  </si>
  <si>
    <t>Becky Falls is a woodland-and-waterfall day on Dartmoor, set in ancient oak woodland, amongst streams, boulders and has three marked trails to explore. The gentler Blue Trail includes the Children’s Nature Challenge, while the Red Trail leads to the main 70ft waterfall and the Purple Trail adds rougher ground and lower waterfalls for more confident walkers. Younger children can still get a lot from the woodland, animals and stream-side exploring, and for older children there are boulder scrambles and the more rugged paths. The café and small zoo make it easier to settle in for a longer visit, but the paths can be slippery after rain, so this is one for sturdy shoes and not well suited to pushchairs - bring the backcarrier for littler legs!</t>
  </si>
  <si>
    <t>Becky Falls</t>
  </si>
  <si>
    <t>Manaton</t>
  </si>
  <si>
    <t>bluebells, bluebell woods, wildflowers, Iron Age, hillfort, archaeology, ancient history, ramparts, earthworks, woodland walks, picnicking, wildlife spotting, pheasants, rabbits, spring flowers</t>
  </si>
  <si>
    <t>TQ13 9UG</t>
  </si>
  <si>
    <t>Sunshine, Overcast / cloudy, Dry &amp; mild, Dry &amp; cold, Dry &amp; warm, Dry &amp; hot, Windy (&gt; X mph)</t>
  </si>
  <si>
    <t>Bluebells, Wildflowers</t>
  </si>
  <si>
    <t>Countryside views, Elevated viewpoints</t>
  </si>
  <si>
    <t>Blackberry Camp Bluebell Walk.jpg</t>
  </si>
  <si>
    <t>Livi</t>
  </si>
  <si>
    <t>Closed from the end of the Devon October half-term to the beginning of the February Half-Term</t>
  </si>
  <si>
    <t>Nature Trail</t>
  </si>
  <si>
    <t>Budleigh Nature Reserve to Otterton</t>
  </si>
  <si>
    <t>Den building, bug-hunting, wildlife spotting, bird calls, bushcraft, craft, nature-based toys, rope swings, mud kitchen, wildlife pond, marshmallow toasting</t>
  </si>
  <si>
    <t>Adult, (Fixed) Child</t>
  </si>
  <si>
    <t>Advance Book, Pay On Arrival, Memberships</t>
  </si>
  <si>
    <t>0-17</t>
  </si>
  <si>
    <t>(Fixed) Child, Adult, Concession, Group, Baby</t>
  </si>
  <si>
    <t>Energy Burner, Simple Reset</t>
  </si>
  <si>
    <t>0-3</t>
  </si>
  <si>
    <t>4-15</t>
  </si>
  <si>
    <t>Autumn colours</t>
  </si>
  <si>
    <t>A calm, flat riverside walk from Budleigh Salterton along the River Otter to Otterton Mill, with birdwatching, beaver evidence and the mill as a natural destination at the far end. The path is mostly level and well-surfaced near Budleigh, with bird hides and viewing points early on — children enjoy the peek holes in the hides for scanning the reedbeds. You are unlikely to spot a beaver on the water, but the gnawed trees and felled trunks along the riverbank are unmissable evidence of their presence, which children may find exciting. The full route to Otterton Mill and back is about six miles, so it suits families with older children or confident walkers; a shorter out-and-back to the first bridge makes a more manageable version for younger legs, and the path can get boggy after rain so wellies are worth considering. Otterton Mill has a café and cream teas at the end if you make the full distance.</t>
  </si>
  <si>
    <t>Out-and-back</t>
  </si>
  <si>
    <t>Dog friendly, Off-road Buggies only</t>
  </si>
  <si>
    <t>65+, Students &amp; Carers</t>
  </si>
  <si>
    <t>2A + 2C</t>
  </si>
  <si>
    <t>Birdsong, Butterflies, Wildflower Meadows, Fungi, "Berries, Nuts, Conkers"</t>
  </si>
  <si>
    <t>Flat, Mixed terrain</t>
  </si>
  <si>
    <t>Toilets, Disabled toilets, Baby changing, Picnic Benches, Outdoor Seating, Indoor Seating, Dogs Allowed, BYO Picnic</t>
  </si>
  <si>
    <t>Lime Kiln Car Park</t>
  </si>
  <si>
    <t>Ice creams, Activity trail, Children’s trail</t>
  </si>
  <si>
    <t>Budleigh Salterton</t>
  </si>
  <si>
    <t>EX9 6JD</t>
  </si>
  <si>
    <t>Hot Drinks, WiFi, Hot &amp; Cold food, Snacks, Sweet treats</t>
  </si>
  <si>
    <t>cyanotype, coastal art, marine wildlife, craft</t>
  </si>
  <si>
    <t xml:space="preserve">Coastal education, Takehome artwork,  </t>
  </si>
  <si>
    <t>Crafting &amp; Art</t>
  </si>
  <si>
    <t>2-3hrs, 1-2hrs, 4+ hours, Whole Day</t>
  </si>
  <si>
    <t>nature lovers, woodland walks, pictueresque scenery, wildlife, walking trails, waterfalls, animal talks, animals, animal keepers, SSSI, ancient woodland, biodiversity, unspoilt landscape, natural beauty</t>
  </si>
  <si>
    <t>DWT Crafting.jpg</t>
  </si>
  <si>
    <t>Mud kitchens, "Sand, soil, and loose materials", Den-building materials, Natural construction zones, Forest school activities, Guided outdoor learning prompts, Marked Trails, Immersive natural surroundings, Quiet or low-intervention spaces</t>
  </si>
  <si>
    <t>Springtime, Summer, Autumn colours, Halloween</t>
  </si>
  <si>
    <t>Birdsong, Bluebells, Daffodills, Wildflowers, Wildflower Meadows, Dragonflies &amp; Damselflies, Fungi, Autumn Leaves, "Berries, Nuts, Conkers"</t>
  </si>
  <si>
    <t>Animals or animal experiences, Discovery trails, Play or activity zones, Landmark features, Water features, Scenic or dramatic settings, "Themed trails (e.g. Halloween, Christmas, Easter)"</t>
  </si>
  <si>
    <t>Wellies, Sturdy footwear, Binoculars, Sling / baby carrier, Infant / toddler carrier, XC Buggy</t>
  </si>
  <si>
    <t>Becky Falls.jpg</t>
  </si>
  <si>
    <t>Twiglits Forest School.JPG</t>
  </si>
  <si>
    <t>Emily (Becky Falls Marketing)</t>
  </si>
  <si>
    <t>30-60mins, Under 30mins</t>
  </si>
  <si>
    <t>rivers, estuary, reedbeds, saltmarsh, birdwatching, avocets, herons, egrets, kingfishers, wading birds, wildfowl, beavers, otters, dragonflies, bird hide, watermill, milling, cream teas, pushchair friendly, flat walks, wildlife spotting, Jurassic Coast</t>
  </si>
  <si>
    <t>Snorkel Safari</t>
  </si>
  <si>
    <t>Springtime, Autumn</t>
  </si>
  <si>
    <t>Energy Burner, Special Day Out</t>
  </si>
  <si>
    <t>River wildlife spotting, Migrating Birds</t>
  </si>
  <si>
    <t xml:space="preserve">Join Devon Wildlife Trust's fully qualified BSAC Snorkel Instructors for a snorkel safari where you'll cover basic snorkelling techniques, followed by a guided snorkel around Wembury Bay's famous rocky reefs, searching for and identifying underwater marine life as you go! </t>
  </si>
  <si>
    <t>Coastal Adventures</t>
  </si>
  <si>
    <t>Rivers &amp; streams, Natural paddling spots, Coastal views, Wildlife spotting</t>
  </si>
  <si>
    <t>Binoculars</t>
  </si>
  <si>
    <t>Budleigh NR to Otterton.JPG</t>
  </si>
  <si>
    <t>Rideable Routes</t>
  </si>
  <si>
    <t>Longer ride</t>
  </si>
  <si>
    <t>Budleigh to Exmouth Cycle Trail</t>
  </si>
  <si>
    <t>A longer point-to-point or out-and-back ride with a lot of variety. Children get a clear destination at either end: beach, cafés and the Lime Kiln area in Budleigh, or the prom, Sideshore, Orcombe Point and town facilities in Exmouth. Some sections involve roads or shared paths, so it works better for confident child cyclists, trailers or adults with younger children on seats. Worth checking the route beforehand and building in a café or beach stop to give the ride a clear reward at the halfway point or end — it should feel like a journey rather than just a cycle.</t>
  </si>
  <si>
    <t>Adult, Older Child</t>
  </si>
  <si>
    <t>Point to point, Out-and-back</t>
  </si>
  <si>
    <t>Pebble or Shingle Beach</t>
  </si>
  <si>
    <t>Buggy friendly, Dog friendly, Scooter route, Cycle route, Wheelchair friendly</t>
  </si>
  <si>
    <t>8-18</t>
  </si>
  <si>
    <t>Beer Beach</t>
  </si>
  <si>
    <t>Flat, Surfaced / smooth</t>
  </si>
  <si>
    <t>Toilets, Disabled toilets, Baby changing, Guided Tour</t>
  </si>
  <si>
    <t>Paid Car Park, On-street / nearby parking</t>
  </si>
  <si>
    <t>A small shingle cove with fishing boats, beach cafés and a proper working-beach feel. Beer Beach is compact, sheltered and full of things to notice: boats pulled up on the shingle, winches, crab pots, deck chairs in season and cliff-backed views from the shore. It suits pottering, paddling and watching the beach at work, with mackerel fishing trips available in season.</t>
  </si>
  <si>
    <t>Fore Street</t>
  </si>
  <si>
    <t xml:space="preserve">snorkeling, marine safari, </t>
  </si>
  <si>
    <t>Snorkeling Experience</t>
  </si>
  <si>
    <t>Towels, Swimming kit, Water shoes</t>
  </si>
  <si>
    <t>Beginner</t>
  </si>
  <si>
    <t>1-2hrs, 2-3hrs, 4+ hours</t>
  </si>
  <si>
    <t>Snorkel Safari.jpg</t>
  </si>
  <si>
    <t>cycling, cycle trail, coastal views, estuary views, beach, Jurassic Coast, red cliffs, Budleigh Salterton, Exmouth, pebble beach, fossil hunting, birdwatching, wading birds, flat walks, pushchair friendly, scooters</t>
  </si>
  <si>
    <t>EX12 3EQ</t>
  </si>
  <si>
    <t>Traffic-free sections, Wide pathways, Clear sightlines, Scooter-friendly, Multiple access points</t>
  </si>
  <si>
    <t>Budleigh to Exmouth Cycle Route.jpg</t>
  </si>
  <si>
    <t>Amelia's Flower Farm PYO</t>
  </si>
  <si>
    <t>Moment of Peace, Simple Reset, Low Effort</t>
  </si>
  <si>
    <t>PYO</t>
  </si>
  <si>
    <t>A thoughtfully designed flower farm-come-cafe with stunning pick-your-own blooms, baked refreshments, plant sales and a calm, seasonal feel. Bouquets are selected and handpicked from seasonal flowerbeds dotted around the grounds, giving families a relaxing setting for a creative moment of calm in a picturesque setting.</t>
  </si>
  <si>
    <t>Amelias Flower Farm,</t>
  </si>
  <si>
    <t>River or Lakeside Ramble, Woodland Walk</t>
  </si>
  <si>
    <t>Bystock Pools Lakeside Walk</t>
  </si>
  <si>
    <t>Energy Burner, Simple Reset, Low Effort</t>
  </si>
  <si>
    <t>Bystock Pools is a peaceful nature reserve with ponds, heathland, meadows and woodland, managed by Devon Wildlife Trust. In spring and summer the dragonflies and damselflies around the water are the big draw — there are rare species here including the southern damselfly. The reserve also has ducks on the upper ponds, grazing ponies further in, and butterflies in the heathland margins. It has that quiet, hidden-away feel in all seasons, but it's not suited to buggies — the paths are narrow and uneven in places, so it's one for determined legs or a good backcarrier. No facilities on site at all, so bring snacks and make sure younger children are comfortable before you set off.</t>
  </si>
  <si>
    <t>Carrier Only</t>
  </si>
  <si>
    <t>Undulating, Mixed terrain, Uneven, Woodland track</t>
  </si>
  <si>
    <t>00:00</t>
  </si>
  <si>
    <t>Squabmoor Reservoir Car Park</t>
  </si>
  <si>
    <t>East Budleigh</t>
  </si>
  <si>
    <t>EX8 5EE</t>
  </si>
  <si>
    <t>Sporty Activities</t>
  </si>
  <si>
    <t>Climbing Centre</t>
  </si>
  <si>
    <t>Under 30mins, 30-60mins, 1-2hrs</t>
  </si>
  <si>
    <t>Youth Climbing Club</t>
  </si>
  <si>
    <t>Monday, Tuesday, Wednesday, Thursday, Friday, Sunday, Saturday</t>
  </si>
  <si>
    <t>heathland, ponds, lakes, dragonflies, damselflies, southern damselfly, butterflies, silver-studded blue, birdwatching, nightjar, willow warbler, ponies, ducks, wildflowers, heather, boardwalk, nature trails, wildlife spotting</t>
  </si>
  <si>
    <t>The Youth Climbing Club is designed for young adults who want to develop existing climbing skills and progress through the National Indoor Climbing Award Scheme. You can expect exiting and challenging sessions from experienced climbing instructors in a group that is sure to refine technique and confidence.</t>
  </si>
  <si>
    <t>Summer, Springtime</t>
  </si>
  <si>
    <t>Dragonflies &amp; Damselflies, Butterflies, Glow worms</t>
  </si>
  <si>
    <t>Training / Skill Development</t>
  </si>
  <si>
    <t>Monthly</t>
  </si>
  <si>
    <t>Lakes &amp; reservoirs, Countryside views, Wildlife spotting</t>
  </si>
  <si>
    <t>Bystock Pools Walk.jpg</t>
  </si>
  <si>
    <t>The Quay Climbing Centre</t>
  </si>
  <si>
    <t>Haven Road</t>
  </si>
  <si>
    <t>Exeter</t>
  </si>
  <si>
    <t>Castle Feature - Woodbury Common</t>
  </si>
  <si>
    <t>EX2 8AX</t>
  </si>
  <si>
    <t xml:space="preserve">The Castle Feature refers to Woodbury Castle, the Iron Age hillfort that sits at the main car park end of Woodbury Common. It's the most accessible part of the common for families arriving by car — the earthworks are immediately visible from the car park and take only a few minutes to reach on foot. The ramparts and ditches are impressively large up close, and children can scramble along the banks and explore the interior without any formal trail to follow. It works well as a starting point before heading out onto the wider common, or as a standalone short visit if the heathland walk feels like too much. 
</t>
  </si>
  <si>
    <t>Free Car Park, Bike racks / bays, Horse “parking”</t>
  </si>
  <si>
    <t>Off-road Buggies only, Dog friendly</t>
  </si>
  <si>
    <t>Toilets, Disabled toilets, Baby changing, Indoor Seating, Dogs Allowed, Outdoor Seating</t>
  </si>
  <si>
    <t>0.5-2</t>
  </si>
  <si>
    <t>Ice creams, Activity sheets, Colouring, "Indoor games (puzzles, boards)", "Swings, Slides, Climbing Frames", Outdoor play equipment</t>
  </si>
  <si>
    <t>Woodland track, Uneven</t>
  </si>
  <si>
    <t>Hot Drinks, Comfy Seating / Sofas, Snacks, Sweet treats, Giftshop</t>
  </si>
  <si>
    <t>Castle Feature</t>
  </si>
  <si>
    <t>Woodbury</t>
  </si>
  <si>
    <t>EX10 0JB</t>
  </si>
  <si>
    <t>PYO, wildflowers, seasonal flowers, floristry</t>
  </si>
  <si>
    <t>Spring flowers, Summer</t>
  </si>
  <si>
    <t>PYO Flowers</t>
  </si>
  <si>
    <t xml:space="preserve">PYO Flower Bouquets, Picturesque Views </t>
  </si>
  <si>
    <t>Creative Arts</t>
  </si>
  <si>
    <t>Amelias Flower Farm PYO.JPEG</t>
  </si>
  <si>
    <t>Under 30mins, 30-60mins</t>
  </si>
  <si>
    <t>Iron Age, hill fort, archaeology, earthworks, ramparts, ditches, scrambling, heathland, panoramic views, wildlife spotting, Dartford warbler, stonechat, butterflies</t>
  </si>
  <si>
    <t>Panoramic views, Countryside views, Wildlife spotting</t>
  </si>
  <si>
    <t>09:15-10:45, 11:00-12:30, 18:00-19:30</t>
  </si>
  <si>
    <t>Castle Feature Woodbury.jpg</t>
  </si>
  <si>
    <t>09:15-10:45, 11:00-12:30</t>
  </si>
  <si>
    <t>Columbjohn Walk</t>
  </si>
  <si>
    <t>Pre-Register, Advance Book, Members Only</t>
  </si>
  <si>
    <t>Older Child</t>
  </si>
  <si>
    <t>Columbjohn is one of the more satisfying Killerton routes for older children who can manage a proper walk. It takes you beyond the obvious visitor areas into parkland, woodland and quieter estate paths, with the River Culm, old trees and the tiny private chapel at Columbjohn giving the route a sense of history and discovery. There is a real countryside feel to this one — you're in working farmland as much as a visitor attraction — and it works best with snacks, layers and decent shoes rather than as a quick add-on. Paths can join hands into small ponds in wet weather, to quote the NT's own trail notes, so come prepared.</t>
  </si>
  <si>
    <t>Dogs Allowed, Toilets, BYO Picnic</t>
  </si>
  <si>
    <t>Circular, Out-and-back</t>
  </si>
  <si>
    <t>11-17</t>
  </si>
  <si>
    <t>Undulating, Woodland track</t>
  </si>
  <si>
    <t>Bridge Lane</t>
  </si>
  <si>
    <t>Silverton</t>
  </si>
  <si>
    <t>EX5 4PX</t>
  </si>
  <si>
    <t>Toilets, Showers / changing facilities, Indoor Seating</t>
  </si>
  <si>
    <t>Hot Drinks, Comfy Seating / Sofas, Hot &amp; Cold food, Snacks, Sweet treats</t>
  </si>
  <si>
    <t>1-2hrs, 2-3hrs</t>
  </si>
  <si>
    <t>rivers, streams, riverside, woodland walks, parkland, ancient trees, wildlife spotting, countryside walks, estate paths, historic buildings, bluebells, wild garlic</t>
  </si>
  <si>
    <t>Columbjohn Walk.JPG</t>
  </si>
  <si>
    <t>Energy Burner, Low Effort, Moment of Peace</t>
  </si>
  <si>
    <t>Danes Wood</t>
  </si>
  <si>
    <t>Sport</t>
  </si>
  <si>
    <t>Climbing</t>
  </si>
  <si>
    <t>Danes Wood is the quieter, wilder side of Killerton for families who want woodland rather than gardens. Ancient oaks and sweet chestnuts make it proper climbing-tree territory, and the exposed sandstone quarry banks around the edges give children something interesting to scramble on and explore. The interior of the wood is open access land so there's no set route to follow, which suits children who want to poke around at their own pace. In spring it earns its local reputation as a bluebell walk, and the wildlife is good year-round — songbirds in the canopy, butterflies in the clearings, and fungi worth looking for in autumn. After rain the paths get properly muddy, so it's better suited to wellies rather than trainers. There are no facilities beyond the small free car park, which actually makes it feel like more of a proper woodland adventure, but worth keeping in mind.</t>
  </si>
  <si>
    <t>swimming beach, fishing boats, fishing village, pebble beach, rock pooling, swimming, crabbing, fishing boats, limestone cliffs, sheltered cove</t>
  </si>
  <si>
    <t>Intermediate</t>
  </si>
  <si>
    <t>Rock climbing, strength, agility, confidence</t>
  </si>
  <si>
    <t>Off-road Buggies only, Carrier Only, Mountain Bikes Only, Dog friendly</t>
  </si>
  <si>
    <t>1-2.5</t>
  </si>
  <si>
    <t>Flat, Woodland track</t>
  </si>
  <si>
    <t>EX5 3LH</t>
  </si>
  <si>
    <t>Confidence building, Strength &amp; agility, Structured coaching, Purpose-built facilities, Climbing, All-weather options, Skill progression, Non-competitive options</t>
  </si>
  <si>
    <t>Activity-specific clothing</t>
  </si>
  <si>
    <t>Youth Climbing Club.JPG</t>
  </si>
  <si>
    <t>Seaweed beds, Boat trips nearby, Dog Friendly - seasonal leads, Toilets nearby, Coves &amp; inlets</t>
  </si>
  <si>
    <t>Water shoes, Wetsuit Boots, Wetsuits, Swimming kit, Towels</t>
  </si>
  <si>
    <t>Beer Beach.JPG</t>
  </si>
  <si>
    <t>ancient woodland, bluebells, wild garlic, fungi, butterflies, pearl-bordered fritillary, songbirds, climbable trees, natural boulders, scrambling, den building, woodland walks, wildlife spotting</t>
  </si>
  <si>
    <t>Rochelle</t>
  </si>
  <si>
    <t>Bluebells, Butterflies, Dragonflies &amp; Damselflies, Fungi</t>
  </si>
  <si>
    <t>Danes Wood.JPG</t>
  </si>
  <si>
    <t>National Park, River or Lakeside Ramble</t>
  </si>
  <si>
    <t>Dartmeet</t>
  </si>
  <si>
    <t xml:space="preserve">Dartmeet is where the East and West Dart rivers meet, and for families the appeal is immediate when you arrive: clear, shallow water right next to the car park, giant boulders to climb, stepping stones, grassy riverbanks and the kind of freedom that feels properly Dartmoor. Younger children can spend a happy hour simply paddling, scrambling and throwing stones without going anywhere in particular. The short signed walk north from the car park along the East Dart adds clapper bridges, more climbing, deeper pools and open moorland — and the chance of spotting Dartmoor ponies grazing nearby. The path gets rocky further up so it's not pushchair friendly, but the river stretch near the car park is accessible enough for most families. Toilets and a small café kiosk are at the car park, which makes it easier than many Dartmoor spots to use as a spontaneous stop rather than a planned expedition.
</t>
  </si>
  <si>
    <t>Dog friendly, Carrier Only</t>
  </si>
  <si>
    <t>Water Activities</t>
  </si>
  <si>
    <t>River Beach, Paddle Spot</t>
  </si>
  <si>
    <t>Bellever River Beach</t>
  </si>
  <si>
    <t>Simple Reset, Wilder Adventure</t>
  </si>
  <si>
    <t>Monquays Climbing Club</t>
  </si>
  <si>
    <t xml:space="preserve">Monquays is a climbing club for primary school children in years 3-6 that will develop the core skills they need to become confident climbers and boulders. Based in the main climbing arena, children progress through a range of technical and physical challenges, all taught in a fun, engaging way that develops technique and physicial agility on the wall. </t>
  </si>
  <si>
    <t>PL20 6SG</t>
  </si>
  <si>
    <t>Bellever’s riverbank gives families one of the easier ways to enjoy the East Dart without heading deep onto the moor. A surfaced path leads from the car park towards the river, with picnic spots, benches, forest trails and Bellever Tor nearby if the visit stretches beyond the water. The river edge is the draw here: paddling, stones, shade from the trees and that open Dartmoor feeling without being far from the car. Ponies often graze alongside it, making for a beautiful setting for a picnic, afternoon by the water, or family dip. Being Dartmoor, the water levels and weather can change quickly, and there are deep spots right new to shallower sections, so it's definitely worth keeping an additionally close eye and it can get busy in the summer months on hotter days owing to the easy access and toilet facilities within the car park. There isn't much shade along the river, and while it is possible to cross over onto a larger stretch of grass, it's not the simplest crossing if you're loaded up or having very little people in tow, so be sure to arrive early on hot days to find a good spot.</t>
  </si>
  <si>
    <t>Bellever River</t>
  </si>
  <si>
    <t xml:space="preserve">rivers, streams, paddling, stone throwing, scrambling, rock climbing, stepping stones, Pooh sticks, clapper bridges, boulders, Dartmoor ponies, ponies, kingfishers, dragonflies, otters, brown trout, picnicking, Dartmoor, moorland
</t>
  </si>
  <si>
    <t>Autumn, Springtime</t>
  </si>
  <si>
    <t>Red Deer Ruts, Foals, Bluebells</t>
  </si>
  <si>
    <t>Stepping stones, "Bridges (wooden, stone, suspension)", Ancient trees, Lakes &amp; reservoirs, Rivers &amp; streams, Countryside views, Elevated viewpoints, Scenic valleys, Wildlife spotting</t>
  </si>
  <si>
    <t>Dartmeet.JPG</t>
  </si>
  <si>
    <t>Jo</t>
  </si>
  <si>
    <t>09:10-10:10, 10:20-11:20, 11:30-12:30, 18:00-19:00</t>
  </si>
  <si>
    <t>Woodland Walk, River or Lakeside Ramble</t>
  </si>
  <si>
    <t>Decoy Park</t>
  </si>
  <si>
    <t>10:00-11:00, 11:15-12:15</t>
  </si>
  <si>
    <t>Energy Burner, Simple Reset, Moment of Peace</t>
  </si>
  <si>
    <t>Decoy gives families a lot in one place, and the order you tackle things matters: the play park is visible from the car park the moment you arrive, so if you want to save it as a reward rather than a starting point, it helps to have a plan in mind before you arrive. The lake loop is short enough for younger children to feel manageable, with ducks and swans to watch, woodland paths to explore and good kingfisher spotting along the water margins. In summer the splashpad and kayak hire add a whole different dimension to the visit, and the play equipment, open grass and kiosk for snacks means it can stretch into a full outdoor morning without too much additional effort.</t>
  </si>
  <si>
    <t>Dog friendly, Mountain Bikes Only, Off-road Buggies only</t>
  </si>
  <si>
    <t>0.75-2</t>
  </si>
  <si>
    <t>38 Decoy Road</t>
  </si>
  <si>
    <t>TQ12 1DP</t>
  </si>
  <si>
    <t>Dogs Allowed, Toilets, Disabled toilets, Picnic Benches</t>
  </si>
  <si>
    <t>"Swings, Slides, Climbing Frames", Outdoor play equipment</t>
  </si>
  <si>
    <t>lake, ducks, swans, birdwatching, kingfishers, dragonflies, woodland walks, splashpad, water jets, kayaking, canoeing, cycling, BMX track, outdoor play equipment, wildlife spotting, picnicking, pushchair friendly, flat walks</t>
  </si>
  <si>
    <t>Autumn Leaves</t>
  </si>
  <si>
    <t>Decoy Park Walk.jpg</t>
  </si>
  <si>
    <t>route</t>
  </si>
  <si>
    <t>Denbury Hillfort Monument</t>
  </si>
  <si>
    <t>Denbury Hillfort is a Scheduled Ancient Monument near Newton Abbot, sitting on top of Denbury Down and dating to around 300–100BC. The hillfort is unusually well preserved, with impressive double ramparts and deep ditches on the south and east sides, and two Bronze Age burial mounds inside the fort interior that predate the Iron Age structure itself. Access is via a short ten-minute walk up a lane from the village — narrow and hedged with wildflowers in spring — and the site has interpretation boards explaining what you're looking at. Children can walk the full circumference along the outer ditch path, which takes about twenty minutes and gives a real sense of the scale of the earthworks. In spring the woodland floor inside the fort fills with bluebells. Local legend says a golden crown is buried somewhere on Denbury Down, which is a fun detail mentioning to children before you set off to add an extra spark to the trip.</t>
  </si>
  <si>
    <t>Confidence building, Coordination &amp; balance, Strength &amp; agility, Structured coaching, Mixed-ability sessions, Purpose-built facilities, Climbing, All-weather options, Skill progression, Non-competitive options</t>
  </si>
  <si>
    <t>Carrier Only, Dog friendly, Mountain Bikes Only</t>
  </si>
  <si>
    <t>Monquays Climbing Club.JPG</t>
  </si>
  <si>
    <t>Undulating, Uneven, Woodland track</t>
  </si>
  <si>
    <t>TQ12 6DY</t>
  </si>
  <si>
    <t>Rockstars Climbing Club</t>
  </si>
  <si>
    <t xml:space="preserve">Rockstars is the Quay Climbing Centre's club for young climbing enthusiasts where confidence, coordination and balance is developed on the walls within the Clip 'n Climb arena. A starting point for children keen to develop the skills that will help them to move onto the bigger, roped climbing area with confidence. Run by experienced climbers who pass along their enthusiasm for the sport and teach through fun activities designed to develop technique and agility. </t>
  </si>
  <si>
    <t>Toilets, Picnic Benches, BYO Picnic, Dogs Allowed</t>
  </si>
  <si>
    <t>Tuesday, Wednesday, Thursday</t>
  </si>
  <si>
    <t>Iron Age, hill fort, archaeology, earthworks, ramparts, Bronze Age, burial mounds, ancient history, bluebells, wildflowers, scrambling, Dartmoor views, treasure legend, legend, wildlife spotting</t>
  </si>
  <si>
    <t>Bluebells, Autumn Leaves, "Berries, Nuts, Conkers", Snowdrops</t>
  </si>
  <si>
    <t>Ancient trees, Ruins or historic features, Wildlife spotting, Elevated viewpoints, Panoramic views, Scenic valleys</t>
  </si>
  <si>
    <t>Denbury Hillfort Momument.JPG</t>
  </si>
  <si>
    <t>Ellerhayes to Killerton</t>
  </si>
  <si>
    <t>Ellerhayes gives you the Killerton countryside feeling without needing to pay for the main car park or commit to the house and gardens. The walk takes you through woodland and farmland on the northern edge of the estate, with the River Culm appearing along the route and old estate features tucked into the landscape. It's an honest boots-and-snacks walk rather than a gentle potter — the paths can get muddy after rain and some sections are uneven — but children who like a bit of rough terrain and the feeling of proper countryside will get more from it than they would from the more polished visitor trails nearer the house.</t>
  </si>
  <si>
    <t>Out-and-back, Circular</t>
  </si>
  <si>
    <t>1.5-3</t>
  </si>
  <si>
    <t>Young Child</t>
  </si>
  <si>
    <t>Sunshine, Dry &amp; warm, Dry &amp; hot, Dry &amp; mild</t>
  </si>
  <si>
    <t>swimming, river beach, ponies, Dartmoor views, paddling, picnic spot</t>
  </si>
  <si>
    <t>Dragonflies &amp; Damselflies, Autumn Leaves, Seasonal water fun, River wildlife spotting, Kingfisher Spotting, Butterflies</t>
  </si>
  <si>
    <t>Deep water or plunge pools, Shallow water, Paddling spots, Natural Swimming Spots, Wildlife spotting, River Beach, National Park</t>
  </si>
  <si>
    <t>Water shoes, Towels</t>
  </si>
  <si>
    <t>riverside, rivers, woodland walks, countryside walks, estate paths, wildlife spotting, ancient trees, farmland, muddy paths</t>
  </si>
  <si>
    <t>Rock climbing, balance, strength, agility, confidence</t>
  </si>
  <si>
    <t>Bellever River Beach.JPG</t>
  </si>
  <si>
    <t>Early access introduction, Confidence building, Coordination &amp; balance, Strength &amp; agility, Structured coaching, Mixed-ability sessions, Purpose-built facilities, Climbing, All-weather options</t>
  </si>
  <si>
    <t>Rockstars Climbing Club.JPG</t>
  </si>
  <si>
    <t>Ellerhayes.JPG</t>
  </si>
  <si>
    <t>Estuary View - Woodbury Common</t>
  </si>
  <si>
    <t>Community Centre</t>
  </si>
  <si>
    <t>Little Yammas Martial Arts Exmouth</t>
  </si>
  <si>
    <t>Playgrounds &amp; Adventure Parks</t>
  </si>
  <si>
    <t>The Lil YAMA’s programme offers children a great blend of fun &amp; discipline whilst learning martial arts-based drills and games. Classes focus on building valuable life skills and developing a budding sense of discipline and concentration. High-energy, friendly and fun, instructors encourage enable children to take pride in developing their technique and discover the rewards of practice.</t>
  </si>
  <si>
    <t>One of the more rewarding corners of Woodbury Common when you want open heathland, good tracks and a clear focal point to walk towards. The views back across the Exe Estuary give the route a sense of direction, and the common itself has enough room for children to move, pause and notice things in the distance without any fuss. Younger children can manage a shorter loop from the car park; older children can link it into a longer walk across the tracks. It sits fairly high and exposed, which is part of what makes it feel so spacious — worth bearing that in mind on a blustery day.</t>
  </si>
  <si>
    <t>Local park</t>
  </si>
  <si>
    <t>Belmont Park</t>
  </si>
  <si>
    <t>Withycombe Raleigh Primary School</t>
  </si>
  <si>
    <t>187 Withycombe Village Road</t>
  </si>
  <si>
    <t>EX8 3BA</t>
  </si>
  <si>
    <t>Undulating, Woodland track, Mixed terrain</t>
  </si>
  <si>
    <t>Belmont Park is a useful city park when children need space to run without leaving central Exeter. There’s open grass, a children’s play area, basketball half-court and room for a picnic or kickabout, so it can work as a quick reset, a post-town run-around or a simple outdoor stop between errands. It’s not a polished destination park, but it gives families breathing room close to the city, shady spots and within reasonable proximity to local shops and amenities.</t>
  </si>
  <si>
    <t>Belmont Road</t>
  </si>
  <si>
    <t>Monday, Tuesday, Thursday</t>
  </si>
  <si>
    <t>EX4 6SS</t>
  </si>
  <si>
    <t>heathland, estuary views, panoramic views, elevated viewpoints, open moorland, wildlife spotting, Dartford warbler, stonechat, butterflies, dragonflies, silver-studded blue, ponies, long views, Exe Estuary</t>
  </si>
  <si>
    <t>Butterflies, Migrating Birds</t>
  </si>
  <si>
    <t>Panoramic views, Countryside views, Wildlife spotting, Coastal views</t>
  </si>
  <si>
    <t>Woodbury Estuary View.jpg</t>
  </si>
  <si>
    <t>Exe Estuary Trail - Exmouth to Exton</t>
  </si>
  <si>
    <t>A good middle-distance option when Lympstone feels too short but Darts Farm feels like too much. From Exmouth you pick up the trail easily, pass Lower Halsdon Farm and work through Lympstone — harbour, crabbing, village stop — before continuing north to Exton. It gives children a clear sequence of things to aim for rather than one long stretch, and the Puffing Billy pub with its play area opposite makes a satisfying end point. Use the train back from Exton if legs are done.</t>
  </si>
  <si>
    <t>Toilets</t>
  </si>
  <si>
    <t>36 Capel Lane</t>
  </si>
  <si>
    <t xml:space="preserve">Exmouth </t>
  </si>
  <si>
    <t>EX8 2QZ</t>
  </si>
  <si>
    <t>Dogs Allowed, Bench Seating</t>
  </si>
  <si>
    <t>Energy Burner, Low Effort</t>
  </si>
  <si>
    <t>Gymnastics &amp; Martial Arts</t>
  </si>
  <si>
    <t>Martial arts, confidence, skills development, ninja training</t>
  </si>
  <si>
    <t>Windy (&gt; X mph), Dry &amp; mild, Dry &amp; cold, Dry &amp; warm, Overcast / cloudy, Sunshine</t>
  </si>
  <si>
    <t>estuary, estuary views, trains, train spotting, Avocet Line, birdwatching, avocets, wading birds, herons, egrets, boats, harbour, crabbing, cycling, balance bikes, scooters, pushchair friendly, flat walks, village exploring, playground, cream teas, wildlife spotting</t>
  </si>
  <si>
    <t>Autumn</t>
  </si>
  <si>
    <t>Early access introduction, Confidence building, Coordination &amp; balance, Mixed-ability sessions, Friendly competition, Martial Arts</t>
  </si>
  <si>
    <t>Migrating Birds, Wildflowers, Dragonflies &amp; Damselflies, Starling Murmurations, Apple Picking, Blackberry Picking</t>
  </si>
  <si>
    <t>Little Yammas Martial Arts Exmouth.JPG</t>
  </si>
  <si>
    <t>Traffic-free sections, Clear sightlines, Coastal promenades, Scooter-friendly, Multiple access points, Stops for snacks or picnics, Play areas en route</t>
  </si>
  <si>
    <t>Exe Estuary - Exmouth to Exton.JPG</t>
  </si>
  <si>
    <t>Exe Estuary Trail - Exmouth to Lower Halsdon Farm</t>
  </si>
  <si>
    <t>Simple Reset, Energy Burner</t>
  </si>
  <si>
    <t>On-street / nearby parking, Paid Car Park</t>
  </si>
  <si>
    <t>This is a useful short stretch of the Exe Estuary Trail when you want the views and fresh air without committing to a long ride or walk. From Exmouth, the route quickly picks up the shared tarmac path towards Lower Halsdon Farm, with the estuary opening out beside you and Avocet Line trains running along the waterline — a bonus for train-loving children. It's good for buggies, scooters, balance bikes and early cyclists because the path is flat and well-surfaced, though it is shared with faster cyclists and walkers, so younger children may need reminding to keep left and watch for passing riders. Lower Halsdon Farm's National Trust tea garden makes a lovely turnaround point, open weekends from May to September.</t>
  </si>
  <si>
    <t>Bench Seating, Dogs Allowed, BYO Picnic</t>
  </si>
  <si>
    <t>1.3-2.6</t>
  </si>
  <si>
    <t>Ice creams</t>
  </si>
  <si>
    <t>Hot Drinks, Clear Sightlines, Snacks, Sweet treats</t>
  </si>
  <si>
    <t>estuary, estuary views, trains, train spotting, Avocet Line, birdwatching, avocets, wading birds, wildfowl, herons, egrets, cycling, balance bikes, scooters, walking, wildlife spotting, cream teas</t>
  </si>
  <si>
    <t>Migrating Birds, Wildflowers, Dragonflies &amp; Damselflies, Starling Murmurations</t>
  </si>
  <si>
    <t>Coastal views, Wildlife spotting</t>
  </si>
  <si>
    <t>Exe Estuary - Exmouth to Lower Halsdon.JPG</t>
  </si>
  <si>
    <t>Sunshine, Overcast / cloudy, Dry &amp; warm, Dry &amp; cold, Dry &amp; mild</t>
  </si>
  <si>
    <t>outdoor play equipment, climbing frames, swings, slides, sensory garden, basketball, open green space</t>
  </si>
  <si>
    <t>Exe Estuary Trail - Exmouth to Lympstone</t>
  </si>
  <si>
    <t>One of the easiest sections of the Exe Estuary Trail to just get on and go with. Starting in Exmouth you pick up the path quickly and follow the estuary north, with the Avocet Line running alongside so trains pass regularly — younger children tend to love this. Lympstone makes a natural stopping point with a village shop, café, pubs, harbour, crabbing off the harbour wall and Cliff Field play area all within easy reach. Good for scooters, small bikes and family cycling, but the path can get busy so children need to be comfortable sharing space with faster cyclists. If you're heading back to Exmouth along the trail at weekends between May and September, Lower Halsdon Farm is worth a stop for cream teas on the way home.</t>
  </si>
  <si>
    <t>Climbing frames, Slides, Swings, Springers / rockers, Tunnels and crawl spaces, Open grass / running space, Sensory play features</t>
  </si>
  <si>
    <t>Belmont Park.JPG</t>
  </si>
  <si>
    <t>estuary, estuary views, trains, train spotting, Avocet Line, birdwatching, avocets, wading birds, wildfowl, herons, egrets, boats, harbour, crabbing, cycling, balance bikes, scooters, pushchair friendly, flat walks, village exploring, playground, cream teas, wildlife spotting</t>
  </si>
  <si>
    <t>Gardens &amp; Curated Outdoor Spaces</t>
  </si>
  <si>
    <t>Traffic-free sections, Clear sightlines, Coastal promenades, Scooter-friendly, Multiple access points, Stops for snacks or picnics</t>
  </si>
  <si>
    <t>Exe Estuary Trail - Exmouth to Lympstone.jpg</t>
  </si>
  <si>
    <t>Botanical Garden, Arboretum</t>
  </si>
  <si>
    <t>Bicton Botanical Park &amp; Gardens</t>
  </si>
  <si>
    <t>Simple Reset, Energy Burner, Special Day Out</t>
  </si>
  <si>
    <t>Quick spin</t>
  </si>
  <si>
    <t>Exe Estuary Trail - Exton to Lympstone</t>
  </si>
  <si>
    <t xml:space="preserve">A 60-acre garden that combines formal grounds, glasshouses, a nature trail and a 25-minute narrow-gauge railway ride through the Pinetum — one of the oldest collections of conifers in the country and creates a bit of wonder for little people. The railway is the headline draw for small children and gives the visit a clear highlight to look forward to; check the running times when you first arrive to avoid any dissapointment of missing the chance to ride! Indoor and outdoor play areas, pedal tractors, the countryside museum and vintage machinery give children enough to switch between without the day feeling like a forced garden walk. The formal Italian Gardens, the cool glasshouses and the walled garden reward children with a bit of patience and curiosity alongside the more active elements. Bicton runs on a membership model and is a genuine local favourite, with a small additional cost for the indoor softplay barn — the kind of place families come back to across different seasons rather than just ticking off once. </t>
  </si>
  <si>
    <t>Starting at Exton gives this section a quieter feel and is nice direction to travel when you want Lympstone as the reward at the end: harbour wall for crabbing, village shop, café, pubs, station and Cliff Field play area all close together. Starting at Exton you can use the play area opposite the Puffing Billy as a warm-up before setting off south. Children get the simple pleasure of following the estuary between two villages, with enough railway and birdlife interest to keep it from feeling like “just a path”; birdwatching gets better as you approach Lympstone and the estuary opens out. Good for a gentle cycle, scooter run or buggy walk, especially if you build in a village stop at Lympstone.</t>
  </si>
  <si>
    <t xml:space="preserve">Bicton Park Botanical Gardens
</t>
  </si>
  <si>
    <t>EX9 7BJ</t>
  </si>
  <si>
    <t>Exton</t>
  </si>
  <si>
    <t>EX3 0PR</t>
  </si>
  <si>
    <t>estuary, estuary views, trains, train spotting, Avocet Line, Royal Marines, birdwatching, avocets, wading birds, herons, egrets, boats, harbour, crabbing, cycling, balance bikes, scooters, pushchair friendly, flat walks, village exploring, playground, wildlife spotting</t>
  </si>
  <si>
    <t>Migrating Birds, Wildflowers, Dragonflies &amp; Damselflies, Starling Murmurations, Blackberry Picking</t>
  </si>
  <si>
    <t>Closed Christmas.</t>
  </si>
  <si>
    <t>Exe Estuary Trail - Exton to Lympstone.JPG</t>
  </si>
  <si>
    <t>Pay On Arrival, Memberships</t>
  </si>
  <si>
    <t>Exe Estuary Trail - Lympstone to Exmouth</t>
  </si>
  <si>
    <t>(Fixed) Child, Baby, Adult, Concession</t>
  </si>
  <si>
    <t>0-1</t>
  </si>
  <si>
    <t>This route works well when you want the reward of ending in Exmouth: beach, cafés, Sideshore, the prom and ice cream if you're willing to go a little further, with the train home as a backup if legs give out. Leaving Lympstone, children get a good mix of village, estuary, boats, birds and railway-side path before the beach town feel takes over. It's mostly easy-going, but it is a shared trail so it works best for children who can manage cyclists passing, or little ones safely in buggies, trailers or child seats. Carter Avenue play park in Exmouth sits just before the main road near the end and makes a useful incentive or a natural turning point if you're doing an out-and-back.</t>
  </si>
  <si>
    <t>2-17</t>
  </si>
  <si>
    <t>Lympstone</t>
  </si>
  <si>
    <t>EX8 5HH</t>
  </si>
  <si>
    <t>65+, Less Abled &amp; Carers</t>
  </si>
  <si>
    <t>Free Car Park, Bike racks / bays</t>
  </si>
  <si>
    <t>Toilets, Disabled toilets, Baby changing, Picnic Benches, Indoor Seating, Outdoor Seating, Bench Seating, Dogs Allowed, BYO Picnic</t>
  </si>
  <si>
    <t>Ice creams, Ride on Vehicles, "Swings, Slides, Climbing Frames", Indoor Play Space, Outdoor play equipment</t>
  </si>
  <si>
    <t>estuary, estuary views, trains, train spotting, Avocet Line, birdwatching, avocets, wading birds, wildfowl, herons, egrets, cycling, balance bikes, scooters, pushchair friendly, flat walks, boats, beach, Exmouth, playground, wildlife spotting</t>
  </si>
  <si>
    <t>Hot Drinks, Hot &amp; Cold food, Snacks, Sweet treats, Outdoor terrace, Drinks stand, Giftshop</t>
  </si>
  <si>
    <t>Traffic-free sections, Clear sightlines, Coastal promenades, Scooter-friendly, Multiple access points, Play areas en route</t>
  </si>
  <si>
    <t>Exe Estuary Trail - Lympstone to Exmouth.jpg</t>
  </si>
  <si>
    <t>Overcast / cloudy, Dry &amp; mild, Dry &amp; cold, Dry &amp; warm, Dry &amp; hot, Raining / wet, Sunshine, Windy (&gt; X mph), Stormy / heavy rain / thunderstorms</t>
  </si>
  <si>
    <t>Exe Estuary Trail - Lympstone to Exton</t>
  </si>
  <si>
    <t xml:space="preserve">Lympstone to Exton is a good small-step section of the trail: enough of an outing to feel like you’ve gone somewhere, but not so far that it becomes a big production. It works well for children building stamina on bikes or scooters, with the estuary, railway and village-to-village feel giving them things to notice along the way and almost entirely flat. Exton station makes the route feel nicely anchored, and you can turn it into an out-and-back, a train-assisted trip, or a stepping stone towards Topsham if everyone still has energy. The park at Exton (and the Puffing Bill pub) work nicely for a refuel stop too. </t>
  </si>
  <si>
    <t>greenhouses, softplay, park, train, ducks, countryside museum, train ride, tall trees, botanical gardens, woodland railway, indoor soft play, outdoor play area, pedal tractors, farmland, vintage machinery, countryside museum, nature trail, bird hide, historic glasshouses, formal gardens</t>
  </si>
  <si>
    <t>Daffodills, Autumn Leaves</t>
  </si>
  <si>
    <t>The Strand</t>
  </si>
  <si>
    <t>EX8 5JW</t>
  </si>
  <si>
    <t>Water Features or Fountains, Room to run freely, Statues &amp; sculptures, Greenhouses &amp; tropical plants, Designed or sculpted landscapes, Seasonal foliage, Seasonal or curated displays, Lakes or wildlife ponds, Meandering paths, "Hidden corners, passageways, gates &amp; gardens", Historic features, Biomes &amp; unusual environments, Conservation displays or learning</t>
  </si>
  <si>
    <t>Bicton Park.jpg</t>
  </si>
  <si>
    <t>Jade</t>
  </si>
  <si>
    <t>Green Open Spaces</t>
  </si>
  <si>
    <t>Village Park</t>
  </si>
  <si>
    <t>Blackmore Gardens</t>
  </si>
  <si>
    <t>estuary, estuary views, trains, train spotting, Avocet Line, Royal Marines, birdwatching, avocets, wading birds, herons, egrets, cycling, balance bikes, scooters, pushchair friendly, flat walks, village exploring, playground, wildlife spotting</t>
  </si>
  <si>
    <t>This small, central ornamental garden in Sidmouth, close to the library and town, has lawns, planted borders and a more sheltered feel than the seafront and can be useful as a pause point within a Sidmouth day: somewhere to sit, eat, regroup, or give children a calmer bit of space between beach, shops, events or a library visit with plenty of shade in the summer. The gardens are also used for local events, so the feel can shift from quiet green space to a livelier town gathering place depending on the day, but offers a calm, quiet spot away from the bustle of the high street, within easy reach of the library for an easy reading/picnic spot too.</t>
  </si>
  <si>
    <t>Blackmore Drive</t>
  </si>
  <si>
    <t>Traffic-free sections, Clear sightlines, Coastal promenades, Scooter-friendly, Multiple access points</t>
  </si>
  <si>
    <t>Hydes or Cabins</t>
  </si>
  <si>
    <t>EX10 8LA</t>
  </si>
  <si>
    <t>Exe Estuary Trail - Lympstone to Exton.jpg</t>
  </si>
  <si>
    <t>Forest School</t>
  </si>
  <si>
    <t>Natural Play Area</t>
  </si>
  <si>
    <t>Den-Building &amp; Nature Craft</t>
  </si>
  <si>
    <t>Discovery Trail</t>
  </si>
  <si>
    <t>Waterfall</t>
  </si>
  <si>
    <t>Reservoir or Lake</t>
  </si>
  <si>
    <t>Exe Estuary Trail - Lympstone to Lower Halsdon Farm</t>
  </si>
  <si>
    <t>A shorter, quieter option when you want estuary views and a manageable distance without committing to Exmouth. From Lympstone the path heads south towards Lower Halsdon Farm with open estuary views and trains passing along the waterline. The National Trust farm makes a natural turning point — cream teas and homemade cakes at the tea garden when it's open, weekends May to September. A gentle option for a scooter run, early bike ride or pushchair walk when you want everyone moving but nothing too ambitious.</t>
  </si>
  <si>
    <t>Surfaced / smooth</t>
  </si>
  <si>
    <t>Picnic Benches, Outdoor Seating, Dogs Allowed</t>
  </si>
  <si>
    <t>estuary, estuary views, trains, train spotting, Avocet Line, birdwatching, avocets, wading birds, herons, egrets, cycling, balance bikes, scooters, pushchair friendly, flat walks, cream teas, National Trust, wildlife spotting</t>
  </si>
  <si>
    <t>Bench Seating, BYO Picnic, Water Refill</t>
  </si>
  <si>
    <t>Towpath</t>
  </si>
  <si>
    <t>Exeter Quay Loop</t>
  </si>
  <si>
    <t>A simple, low-commitment route when you want movement, river views and something to aim for without taking on a long walk. The distance is manageable for scooters, balance bikes and younger children, and there are plenty of built-in pauses: boats, bridges, cafés, the river, ducks and the buzz of the Quay. Works well as a short reset, a first cycling confidence loop or an easy add-on before food, Clip 'n Climb, Haven Banks or a wander along the canal. The quayside has a good spread of cafés and bakeries, so it makes a natural mixed outing — move first, eat second.</t>
  </si>
  <si>
    <t>Haven Banks Car Park</t>
  </si>
  <si>
    <t>Water Lane</t>
  </si>
  <si>
    <t>EX2 8BY</t>
  </si>
  <si>
    <t>Sunshine, Overcast / cloudy, Dry &amp; warm, Dry &amp; hot, Dry &amp; mild</t>
  </si>
  <si>
    <t>Under 30mins</t>
  </si>
  <si>
    <t>ornamental gardens, seasonal flowers, herbaceous borders, ancient trees, squirrels, wildlife spotting, open air events, folk festival, jazz festival, picnicking, town centre location</t>
  </si>
  <si>
    <t>Hot Drinks, Clear Sightlines, Drinks stand, Snacks, Sweet treats</t>
  </si>
  <si>
    <t>Open sightlines, Room to run freely</t>
  </si>
  <si>
    <t>Blackmore Gardens.JPG</t>
  </si>
  <si>
    <t>Windy (&gt; X mph), Sunshine, Overcast / cloudy, Dry &amp; mild, Dry &amp; cold, Dry &amp; warm</t>
  </si>
  <si>
    <t>rivers, riverside, boats, bridges, ducks, duck feeding, cycling, scooters, balance bikes, pushchair friendly, flat walks, cafés, quayside, canal, Exeter, city exploring</t>
  </si>
  <si>
    <t>Bouldering at Boulder Exe</t>
  </si>
  <si>
    <t>"Bridges (wooden, stone, suspension)", Scenic valleys, Wildlife spotting</t>
  </si>
  <si>
    <t>Specialist bouldering centre with low-wall climbing, training space and routes that change as confidence builds. Boulder Exe is more focused than Clip ’n Climb, with unroped climbing, padded mats and problems set for different levels. It suits older children, teens and adults who want a proper climbing session, whether they’re trying it for the first time or ready to work on technique. A space where climbers of all levels and abilities can discover and test their boundaries in a welcoming, supportive environment.</t>
  </si>
  <si>
    <t>Boulder Exe</t>
  </si>
  <si>
    <t>Exeter Quayside walk.jpg</t>
  </si>
  <si>
    <t>Tudor Street</t>
  </si>
  <si>
    <t>EX4 3BR</t>
  </si>
  <si>
    <t>Exmouth Seafront Ride</t>
  </si>
  <si>
    <t>Closed Chrismas Day, Closed Boxing Day</t>
  </si>
  <si>
    <t>Open, Bank Holiday Hours 10:00-18:00</t>
  </si>
  <si>
    <t>Memberships, Pay On Arrival, Advance Book</t>
  </si>
  <si>
    <t>One of the simplest, flattest and most satisfying short rides in East Devon: a smooth tarmac promenade running the full length of Exmouth beach from the town end past Sideshore all the way to Orcombe Point. It's wide enough that scooters, balance bikes, early cyclists and buggies can all move comfortably without getting in each other's way, and the sea is right alongside the whole way. There's no real navigation involved — children can set their own pace and turn back whenever they like — which makes it one of those rare routes where the adults can actually relax rather than manage logistics. The Sideshore complex at the far end gives you a natural halfway stop with coffee, food and usually something to watch on the water, and the Geoneedle at Orcombe Point gives older children a clear destination to aim for if they want one. Best on a calm day when the wind is behind you on the way back, paired with an ice cream!</t>
  </si>
  <si>
    <t>7-17</t>
  </si>
  <si>
    <t>Queen's Drive Space</t>
  </si>
  <si>
    <t>Exmouth Seafront</t>
  </si>
  <si>
    <t>EX8 2AY</t>
  </si>
  <si>
    <t>65+, Disabled, Students &amp; Carers</t>
  </si>
  <si>
    <t>Bench Seating, Dogs Allowed</t>
  </si>
  <si>
    <t>Toilets, Indoor Seating, Disabled toilets, Showers / changing facilities</t>
  </si>
  <si>
    <t>Snacks, Hot Drinks, Hot &amp; Cold food, WiFi, Comfy Seating / Sofas, Clear Sightlines, Sweet treats</t>
  </si>
  <si>
    <t>cycling, scooters, balance bikes, pushchair friendly, flat rides, seafront, coastal views, promenade, Jurassic Coast, Geoneedle, watersports watching, café stops, Exmouth</t>
  </si>
  <si>
    <t>Raining / wet, Windy (&gt; X mph), Sunshine, Snow / sleet / ice, Overcast / cloudy, Stormy / heavy rain / thunderstorms, Dry &amp; mild, Dry &amp; cold, Dry &amp; warm, Dry &amp; hot</t>
  </si>
  <si>
    <t>1-2hrs, 2-3hrs, 30-60mins</t>
  </si>
  <si>
    <t>mixed ability, competition wall, early access climbing, board training, bouldering, indoor climbing, colour-coded routes, no ropes, no harness, graded climbing problems, two-floor climbing wall</t>
  </si>
  <si>
    <t>Coastal views</t>
  </si>
  <si>
    <t>Exmouth Seafront Ride.JPG</t>
  </si>
  <si>
    <t>Early access introduction, Skill progression, Confidence building, Strength &amp; agility, Structured coaching, Mixed-ability sessions, Non-competitive options, Purpose-built facilities, Safe enclosed spaces, All-weather options, Climbing</t>
  </si>
  <si>
    <t>Activity-specific clothing, Chalk Bag</t>
  </si>
  <si>
    <t>Feature Walk</t>
  </si>
  <si>
    <t>Boulder Exe.JPG</t>
  </si>
  <si>
    <t>Exmouth Dinosaur Trail</t>
  </si>
  <si>
    <t>A free self-guided walking trail around Exmouth town, spotting life-sized dinosaur models, murals and etchings scattered across the streets and seafront. There are two versions — a shorter Town Trail and a longer Explorer Trail — both starting from the Tourist Information Centre on The Strand, where you can pick up a free trail map. Brass rubbing plaques sit alongside each dinosaur, and children who complete all the rubbings can collect a souvenir badge from the TIC for £1. Species include velociraptors, a brachiosaurus, iguanodon, ichthyosaur and a T-Rex hatching from an egg. The trail also links to the Ordnance Survey Secret Stories app if you want to go digital, which adds clues, Horrible Histories-style stories and puzzles along the route.</t>
  </si>
  <si>
    <t>Point to point</t>
  </si>
  <si>
    <t>Exmouth Information Centre</t>
  </si>
  <si>
    <t>45A The Strand</t>
  </si>
  <si>
    <t>EX8 1AL</t>
  </si>
  <si>
    <t>Harbour or Village Beach</t>
  </si>
  <si>
    <t>Brixham Marina</t>
  </si>
  <si>
    <t>Activity trail, Activity Sheets or Signs</t>
  </si>
  <si>
    <t>Brixham Marina is more of a potter-and-watch stop than a children’s attraction, but it can add a lovely bit of interest to a harbour day. Children can look at the boats, follow the waterfront towards the town and pair it with fish and chips, the Golden Hind or a gentle wander around Brixham. It’s best for families who enjoy coastal atmosphere rather than formal play.</t>
  </si>
  <si>
    <t>Berry Head Road</t>
  </si>
  <si>
    <t>Brixham</t>
  </si>
  <si>
    <t>TQ5 9BW</t>
  </si>
  <si>
    <t>dinosaurs, dinosaur spotting, dinosaur trail, Jurassic Coast, town trail, brass rubbings, trail map, self-guided trail, collecting, scavenger hunt, town exploring, Exmouth, free activity</t>
  </si>
  <si>
    <t>Waymarked features (e.g. sculpture trail)</t>
  </si>
  <si>
    <t>Exmouth Dinosaur Trail.JPG</t>
  </si>
  <si>
    <t>Exmouth to Budleigh Cycle Trail</t>
  </si>
  <si>
    <t>Riding from Exmouth to Budleigh works well when you want to leave the busier seafront behind and head towards a calmer coastal finish. Children get the sense of travelling somewhere properly, with Budleigh beach, the high street and ice cream giving the ride a natural end or mid-point. More purposeful than a scooter along the prom, so check the route beforehand and use it with children who can manage shared paths, junctions and a longer one-way distance. The Avocet Line train makes a useful return option if legs give out.</t>
  </si>
  <si>
    <t>Bidmead Community Centre</t>
  </si>
  <si>
    <t>41 Littleham Road</t>
  </si>
  <si>
    <t>EX8 2QJ</t>
  </si>
  <si>
    <t>cycling, cycle trail, coastal views, red cliffs, Jurassic Coast, Budleigh Salterton, Exmouth, pebble beach, fossil hunting, birdwatching, estuary views, flat walks, trains, Avocet Line</t>
  </si>
  <si>
    <t>Exmouth to Budleigh Cycle Route.jpg</t>
  </si>
  <si>
    <t>Fingle Bridge River Walk (5 Mile Loop)</t>
  </si>
  <si>
    <t>Fingle Bridge is a brilliant river-and-woods walk if you want children to feel like they're properly out in the wild, without losing the reassurance of a pub, parking and toilets near the bridge. The riverside paths, packhorse bridge, woodland, meadows and weir give children plenty to notice, and wildlife spotters should look out for kingfishers, otters, salmon and brown trout in the clear water below. The full Teign Gorge loop has steep sections, steps and muddy ground, so it's better for walkers (or backcarriers) than buggies. For an easier family version, stay lower along the river and use Fingle Bridge as the anchor point for snacks, paddling pauses and a shorter out-and-back.</t>
  </si>
  <si>
    <t>Toilets, Disabled toilets, Baby changing, BYO Picnic</t>
  </si>
  <si>
    <t>Mixed terrain, Woodland track, Uneven</t>
  </si>
  <si>
    <t>Drinks stand, Sweet treats, Snacks, Hot &amp; Cold food, Hot Drinks</t>
  </si>
  <si>
    <t>Fingle Bridge</t>
  </si>
  <si>
    <t>Teign Gorge</t>
  </si>
  <si>
    <t>EX6 6PW</t>
  </si>
  <si>
    <t>River or Lakeside Ramble</t>
  </si>
  <si>
    <t>National Park</t>
  </si>
  <si>
    <t>Waymarked Trail</t>
  </si>
  <si>
    <t>Estate Grounds</t>
  </si>
  <si>
    <t>Heathland</t>
  </si>
  <si>
    <t>Toilets, Dogs Allowed</t>
  </si>
  <si>
    <t>Challenging Hike</t>
  </si>
  <si>
    <t>City Circuit</t>
  </si>
  <si>
    <t>crabbing, harbour wall, fishing boats, Golden Hind replica ship, fish market viewing platform, seal spotting, working fishing port, boat trips, seafront walking, colourful harbour views</t>
  </si>
  <si>
    <t>Harbour, Dog Friendly - seasonal leads, Crabbing</t>
  </si>
  <si>
    <t>Fishing nets, Fishing rods &amp; bait</t>
  </si>
  <si>
    <t>Brixham Marina.jpg</t>
  </si>
  <si>
    <t>rivers, streams, paddling, Pooh sticks, stone throwing, scrambling, weir, ancient woodland, oak woodland, bluebells, wild garlic, salmon, brown trout, kingfishers, otters, butterflies, woodland walks, gorge, suspension bridge, packhorse bridge, Iron Age, hill fort, Dartmoor, panoramic views, archaeology, wildlife spotting</t>
  </si>
  <si>
    <t>Autumn colours, Springtime</t>
  </si>
  <si>
    <t>Kingfisher Spotting, Autumn Leaves, Fungi, Bluebells</t>
  </si>
  <si>
    <t>Lido</t>
  </si>
  <si>
    <t>Bude Sea Pool</t>
  </si>
  <si>
    <t>Rivers &amp; streams, Natural paddling spots, Scenic valleys, Wildlife spotting</t>
  </si>
  <si>
    <t>Sling / baby carrier, Infant / toddler carrier, Sturdy footwear</t>
  </si>
  <si>
    <t>Fingle Bridge 5 Mile Loop.jpg</t>
  </si>
  <si>
    <t>Bude Sea Pool gives families a calmer way to enjoy seawater swimming without being fully exposed to the open surf. It’s free, open year-round and topped up by the tide, so it feels adventurous without quite the same sea-management stress as the beach. Bring towels, layers and water confidence: it is still outdoors, tidal and unheated, so conditions can change the whole feel of the visit.</t>
  </si>
  <si>
    <t>Summerleaze Beach</t>
  </si>
  <si>
    <t>Bude</t>
  </si>
  <si>
    <t>Fingle Bridge Riverside</t>
  </si>
  <si>
    <t>EX23 8HJ</t>
  </si>
  <si>
    <t>The riverside at Fingle Bridge is the simpler option if the full gorge loop feels too much. You still get the old packhorse bridge, shallow river edges perfect for stone throwing and scrambling, woodland paths and picnicable meadows, but without committing everyone to a longer climb. Stepping stones, clear water and the chance to spot salmon and kingfishers keep children entertained at their own pace. Pack layers and decent shoes, and keep younger children close near the river and road crossing by the bridge.</t>
  </si>
  <si>
    <t>Dog friendly, Mountain Bikes Only, Off-road Buggies only, Carrier Only</t>
  </si>
  <si>
    <t>1-3.5</t>
  </si>
  <si>
    <t>Flat, Uneven, Woodland track</t>
  </si>
  <si>
    <t>Closed for 2weeks in April or May for cleaning</t>
  </si>
  <si>
    <t>rivers, streams, paddling, Pooh sticks, stone throwing, scrambling, stepping stones, picnicking, ancient woodland, oak woodland, bluebells, salmon, brown trout, kingfishers, otters, wildlife spotting, packhorse bridge, gorge views, Dartmoor</t>
  </si>
  <si>
    <t>Fingle Bridge Riverside.jpeg</t>
  </si>
  <si>
    <t>Gemma</t>
  </si>
  <si>
    <t>Adventure / Assault Course</t>
  </si>
  <si>
    <t>Multisports Centre</t>
  </si>
  <si>
    <t>Sport Stadium</t>
  </si>
  <si>
    <t>Sport Arena</t>
  </si>
  <si>
    <t>Swimming Pool</t>
  </si>
  <si>
    <t>Haldon Forest - Butterfly Trail</t>
  </si>
  <si>
    <t>Range</t>
  </si>
  <si>
    <t>Sports Track</t>
  </si>
  <si>
    <t>Indoor Court</t>
  </si>
  <si>
    <t>Outdoor Court</t>
  </si>
  <si>
    <t>Haldon's longest walking route, heading deeper into the forest through varied terrain: woodland paths, butterfly habitat, steep climbs, descents, steps and a rhododendron-lined section back towards the visitor hub. The trail's highlight for nature-interested children is the rare pearl-bordered fritillary butterfly, which breeds in the forest's managed clearings and is one of the hardest to find in the UK. Older children get real distance, terrain change and genuine wildlife interest; younger children may do better on selected sections rather than the full route, especially after wet weather when parts get muddy.</t>
  </si>
  <si>
    <t>Specialist Facility</t>
  </si>
  <si>
    <t>Outdoor Pitch</t>
  </si>
  <si>
    <t>Gym</t>
  </si>
  <si>
    <t>Off-road Buggies only, Dog friendly, Mountain Bikes Only</t>
  </si>
  <si>
    <t>Toilets, Showers / changing facilities, BYO Picnic</t>
  </si>
  <si>
    <t>Woodland track, Mixed terrain, Undulating</t>
  </si>
  <si>
    <t>Haldon Forest Park - Forestry England</t>
  </si>
  <si>
    <t>Bullers Hill</t>
  </si>
  <si>
    <t>EX6 7XR</t>
  </si>
  <si>
    <t>Toilets, Disabled toilets, Baby changing, Picnic Benches, Bench Seating, Highchairs, Dogs Allowed, Indoor Seating, Outdoor Seating</t>
  </si>
  <si>
    <t>Activity trail, Children’s trail, "Swings, Slides, Climbing Frames", Outdoor play equipment, Sandpit, Ice creams, Activity Sheets or Signs, Colouring</t>
  </si>
  <si>
    <t>Hot Drinks, Comfy Seating / Sofas, Hot &amp; Cold food, Clear Sightlines, Snacks, Drinks stand, Sweet treats, Outdoor terrace</t>
  </si>
  <si>
    <t>Sunshine, Dry &amp; warm, Dry &amp; hot</t>
  </si>
  <si>
    <t>1-2hrs, 2-3hrs, 30-60mins, Under 30mins</t>
  </si>
  <si>
    <t>utdoor tidal swimming pool, wild swimming, seawater pool, cliffside setting</t>
  </si>
  <si>
    <t>Deep water or plunge pools, Natural Swimming Spots</t>
  </si>
  <si>
    <t>Swimming kit, Towels, Water shoes</t>
  </si>
  <si>
    <t>Bude Lido.jpg</t>
  </si>
  <si>
    <t>Budleigh Nature Reserve</t>
  </si>
  <si>
    <t>woodland walks, butterflies, pearl-bordered fritillary, rare butterflies, wildlife spotting, rhododendrons, wildflowers, forest walking, steep walks, nature trails</t>
  </si>
  <si>
    <t>A calm, wildlife-rich stretch beside Budleigh Salterton where families can follow easy riverside paths, pause at viewpoints and look out for birds across the saltmarsh and mudflats. With more than 120 bird species recorded, plus the chance of spotting signs of the River Otter’s beavers, it works well for a gentle nature walk, a low-key buggy-friendly outing in dry weather, or a slower add-on to a beach visit.</t>
  </si>
  <si>
    <t>Lime Kiln</t>
  </si>
  <si>
    <t>1 Granary Lane</t>
  </si>
  <si>
    <t xml:space="preserve">Budleigh Salterton </t>
  </si>
  <si>
    <t>Panoramic views, Countryside views, Elevated viewpoints</t>
  </si>
  <si>
    <t>Haldon Forest Butterfly.jpeg</t>
  </si>
  <si>
    <t>Suz</t>
  </si>
  <si>
    <t>Haldon Forest - Discovery Route</t>
  </si>
  <si>
    <t>The gentlest cycling option at Haldon: a fully surfaced, mostly level shared trail that works well for newer riders, balance-bike graduates and families cycling together. It follows the same wide path as the walking Discovery Trail, passing viewpoints, shelters and picnic areas through the conifers. It's shared with walkers and other cyclists, so it suits riders who can slow down and pass carefully, and there are two road crossings to manage. A good first forest ride for children still building confidence before moving to singletrack. Helmets required.</t>
  </si>
  <si>
    <t>Mountain Bikes Only</t>
  </si>
  <si>
    <t>Practise Space</t>
  </si>
  <si>
    <t>Skills &amp; Stunts Space</t>
  </si>
  <si>
    <t>Bench Seating, BYO Picnic</t>
  </si>
  <si>
    <t>Activity Sheets or Signs</t>
  </si>
  <si>
    <t>intertidal habitat, tidal habitat, visiting birds, bird watching, birdwatching, wading birds, wildfowl, beavers, kingfishers, dragonflies, saltmarsh, estuary walks, bird hide, viewing platforms, nature trails, wildlife spotting</t>
  </si>
  <si>
    <t>Winter</t>
  </si>
  <si>
    <t>Seabird Colonies, Kingfisher Spotting, Migrating Birds</t>
  </si>
  <si>
    <t>Smooth pebbles, Coastal Wildlife, Estuary edges, Dog Friendly - seasonal leads, Streams or channels</t>
  </si>
  <si>
    <t>cycling, beginner cycling, family cycling, woodland cycling, forest trails, balance bikes, conifer forest, viewpoints, pushchair friendly, flat rides</t>
  </si>
  <si>
    <t>Budleigh Nature Reserve.JPG</t>
  </si>
  <si>
    <t>Traffic-free sections, Short loops, Easy parking nearby, Cafés or facilities along the route</t>
  </si>
  <si>
    <t>Haldon Bike Discovery.jpeg</t>
  </si>
  <si>
    <t>Budleigh Salterton Beach</t>
  </si>
  <si>
    <t>A long pebble beach with red cliffs, estuary wildlife nearby and space for a quieter, slower seaside stop. The beach runs close to the town and meets the Otter Estuary at one end, so a visit can be shaped around stone-skimming, sea views, birdwatching or a short riverside walk. The pebble shore is better for exploring than digging, with cafés, play areas and picnic space closeby.</t>
  </si>
  <si>
    <t>Haldon Forest - Discovery Trail</t>
  </si>
  <si>
    <t>Haldon's easiest family trail: a 1.5-mile loop on a wide, fully surfaced path through conifers, with open viewpoints, shelters, benches and picnic spots along the way. It's the most manageable choice for pushchairs, manual wheelchairs, beginner cyclists and young children who want forest time without a long walk. The current activity trail running along this route is Room on the Broom — interactive panels help children find Witch's lost hat, bow and wand and collect spell ingredients, with a trail pack available from the info pod for £4. The Gruffalo orienteering challenge also runs alongside it: pick up the separate £1.50 map from the info pod to find 12 hidden markers around the route. Both are worth knowing about before you visit so children can choose, or do both. Note there are two road crossings along the route, and paths can get muddy after rain, so wellies are a good idea in wetter months.</t>
  </si>
  <si>
    <t>Toilets, Dogs Allowed, BYO Picnic</t>
  </si>
  <si>
    <t>Clear Sightlines, Drinks stand</t>
  </si>
  <si>
    <t>wildlife reserve, bird spotting, estuary views, pebble beach, swimming, fossil hunting, rock pooling, beach huts, Jurassic Coast, red cliffs, seafront walking, fishing, kayaking, paddleboarding</t>
  </si>
  <si>
    <t>woodland walks, conifer forest, Room on the Broom, Gruffalo, Gruffalo trail, orienteering, map reading, waymarked trail, Julia Donaldson, wildlife spotting, birdwatching, picnicking, pushchair friendly, flat walks, play area</t>
  </si>
  <si>
    <t>Autumn Leaves, "Berries, Nuts, Conkers"</t>
  </si>
  <si>
    <t>Smooth pebbles, Estuary edges, Coastal Wildlife, Dog Friendly - seasonal leads, Beach Cafe, Toilets nearby</t>
  </si>
  <si>
    <t>Wetsuit Boots, Binoculars, Water shoes</t>
  </si>
  <si>
    <t>Budleigh Salterton Beach.JPG</t>
  </si>
  <si>
    <t>Countryside views, Elevated viewpoints, Wildlife spotting, Waymarked features (e.g. sculpture trail)</t>
  </si>
  <si>
    <t>XC Buggy, Sling / baby carrier, Infant / toddler carrier, Wellies, Sturdy footwear</t>
  </si>
  <si>
    <t>Haldon Discovery Trail Walk.JPG</t>
  </si>
  <si>
    <t>Easy Pit-Stops</t>
  </si>
  <si>
    <t>Bumble &amp; Bee Manor Gardens</t>
  </si>
  <si>
    <t>Bumble and Bee is a proper parent-friendly café stop tucked into Manor Gardens, close enough to the seafront to pair with a beach wander but calmer than the promenade. It is best for breakfast, cake, cream tea or a reset between activities, with the gardens giving children a little space to decompress before or after sitting down. Good for a slower Exmouth day rather than a play-led outing.</t>
  </si>
  <si>
    <t>Manor Gardens</t>
  </si>
  <si>
    <t>Alexandra Terrace</t>
  </si>
  <si>
    <t>Killerton Estate</t>
  </si>
  <si>
    <t>EX8 1BB</t>
  </si>
  <si>
    <t>Killerton works well for families because you can scale the visit to the day you're having. A short wander near the house and café is a workable simple option, but there are also parkland paths, the Iron Age hill fort on Dolbury Hill, woodland routes out to Danes Wood and longer loops through the estate that keep older children properly occupied. Children who like the idea of climbing an extinct volcano will enjoy heading up to The Clump, where the legend of a friendly dragon living inside the hill is worth telling on the way up. The estate also has orienteering courses, including the Volcano Challenge for children aged eight and over, available for 50p from visitor reception. With the café, toilets, second-hand bookshop and shop all at the main visitor hub, it's one of the easier full-day outdoor options in East Devon, particularly if you're already a National Trust member.</t>
  </si>
  <si>
    <t>Trail network, Circular</t>
  </si>
  <si>
    <t>Seasonal opening extends in the summer until 17:00</t>
  </si>
  <si>
    <t>Broadclyst</t>
  </si>
  <si>
    <t>EX5 3LE</t>
  </si>
  <si>
    <t>Paid Car Park, Members Car Park</t>
  </si>
  <si>
    <t>Toilets, Disabled toilets, Baby changing, Picnic Benches, Indoor Seating, Highchairs, Outdoor Seating</t>
  </si>
  <si>
    <t>Toilets, Outdoor Seating, Indoor Seating, Dogs Allowed</t>
  </si>
  <si>
    <t>Hot Drinks, Snacks, Sweet treats</t>
  </si>
  <si>
    <t>Children’s trail, Activity trail, Activity Sheets or Signs, Ice creams, Outdoor play equipment, "Swings, Slides, Climbing Frames"</t>
  </si>
  <si>
    <t>Sunshine, Overcast / cloudy, Dry &amp; mild, Dry &amp; cold, Dry &amp; warm, Windy (&gt; X mph), Raining / wet, Stormy / heavy rain / thunderstorms</t>
  </si>
  <si>
    <t>tearoom, cream teas, homemade cakes, children's menu, kids pancakes, milkshakes, breakfast, lunch, outdoor seating, garden setting, locally sourced produce, gluten-free options</t>
  </si>
  <si>
    <t>Outdoor play area nearby, Combined with a walk or attraction</t>
  </si>
  <si>
    <t>Bumble and Bee Manor Gardens.JPG</t>
  </si>
  <si>
    <t>30-60mins, 1-2hrs, 2-3hrs, Whole Day</t>
  </si>
  <si>
    <t>parkland, woodland walks, ancient woodland, bluebells, wild garlic, fungi, Iron Age, hill fort, extinct volcano, panoramic views, deer, butterflies, pearl-bordered fritillary, dormice, bats, wildlife spotting, orienteering, ancient trees, picnicking, café, National Trust</t>
  </si>
  <si>
    <t>Coffee Cabin / Truck</t>
  </si>
  <si>
    <t xml:space="preserve">Bumble &amp; Sea </t>
  </si>
  <si>
    <t>Apple Picking</t>
  </si>
  <si>
    <t>Bumble &amp; Sea is the quieter, edge-of-the-beach version of a café stop: a shipping-container kiosk at Orcombe Point serving takeaway coffee, cakes, ice cream, cold drinks and hot snacks. It is handy when you fancy a drink and something simple without leaving the beach walk behind. Best paired with Orcombe Point, the Geoneedle, a scooter along the front or a calmer end-of-beach refuel.</t>
  </si>
  <si>
    <t>Orcombe Point</t>
  </si>
  <si>
    <t>Countryside views, Wildlife spotting, Waymarked features (e.g. sculpture trail)</t>
  </si>
  <si>
    <t>EX8 2DH</t>
  </si>
  <si>
    <t>Killerton Estate.JPG</t>
  </si>
  <si>
    <t>Killerton to Broadclyst</t>
  </si>
  <si>
    <t xml:space="preserve">This route gives children the satisfaction of actually travelling somewhere rather than completing a loop. The flat, well-surfaced path runs from Killerton through farmland and quiet lanes to Clyston Mill in Broadclyst, one of the South West's last remaining watermills, and then on into the village itself if you want a further destination. The route crosses the M5 on a bridge, which children tend to find particularly exciting, and Broadclyst village has a play park, pub and village shop at the far end. Clyston Mill is free for NT members and worth building in if it's open. The path is flat and surfaced enough for bikes and scooters, and the six-mile return trip is manageable for most families with a reasonable pace and a snack stop.
</t>
  </si>
  <si>
    <t>Surfaced / smooth, Flat</t>
  </si>
  <si>
    <t>Hot Drinks, Snacks, Drinks stand, Sweet treats</t>
  </si>
  <si>
    <t>coffee, hot chocolate, cakes, pastries, ice cream, takeaway, panoramic beach views, Orcombe Point, coastal walk pit stop, compostable packaging, plant-based options</t>
  </si>
  <si>
    <t>Combined with a walk or attraction</t>
  </si>
  <si>
    <t>Bumble and Sea.JPG</t>
  </si>
  <si>
    <t>Bury Meadow</t>
  </si>
  <si>
    <t>4+ hours, 2-3hrs, Whole Day</t>
  </si>
  <si>
    <t>Bury Meadow is a handy city-centre park when children need a quick outdoor energy blow-out, or a quieter leafy space without leaving Exeter. There’s open grass, a playground, wooden activity trail and paths, so it can cover a quick run-around, a snack stop, or a calmer pause between town, RAMM, the university side or the stations. It is more of an easy local breathing-space than a destination park, but useful when everyone needs fresh air and a bit of room to move. With lots of pockets of shade in the summer too, it provides a cool, quieter place to take a pause whilst in the city. Paved paths around the park make it well-suited to a scooter or short bike loop.</t>
  </si>
  <si>
    <t>cycling, countryside cycling, flat walks, watermill, milling, National Trust, farmland, rivers, wildlife spotting, village exploring, picnicking, pushchair friendly</t>
  </si>
  <si>
    <t>New North Road</t>
  </si>
  <si>
    <t>St Davids</t>
  </si>
  <si>
    <t>EX4 4HH</t>
  </si>
  <si>
    <t>Traffic-free sections, Wide pathways, Parkland surroundings</t>
  </si>
  <si>
    <t>Killerton to Broadclyst.JPG</t>
  </si>
  <si>
    <t>Lympstone Village Loop</t>
  </si>
  <si>
    <t xml:space="preserve">A short, unhurried walk around Lympstone village that takes in the harbour, historic buildings, Peter's Tower and the estuary foreshore. The harbour is the main draw for children — the passages between the cottages lead down to the beach, where the houses back right onto the shore and the residents close metal flood gates at high tide, and the harbour where (timed right) children can go crabbing. The tall poles on the beach traditionally used for drying washing and still stand today, and Peter's Tower, the Italianate clock tower built in 1885, is a good spotting landmark. The route is mostly quiet lanes and paths, suitable for a gentle wander or scooters in places, and Cliff Field play area is close by if you want to add a play stop. The village has a pub and a small shop for supplies, and High Tide cafe which sells a brilliant range of sweet treats, breakfast options and light lunch options.
</t>
  </si>
  <si>
    <t>Picnic Benches, Bench Seating, Dogs Allowed, Toilets, BYO Picnic</t>
  </si>
  <si>
    <t>Poo Bins, Dogs On Leads</t>
  </si>
  <si>
    <t>Buggy friendly, Dog friendly, Scooter route, Cycle route</t>
  </si>
  <si>
    <t>Undulating, Surfaced / smooth</t>
  </si>
  <si>
    <t>Sunshine, Dry &amp; mild, Dry &amp; warm, Dry &amp; hot, Overcast / cloudy</t>
  </si>
  <si>
    <t>1 Church Road</t>
  </si>
  <si>
    <t>city park, local park, peaceful park, swings, outdoor play equipment, swings, slides, roundabout, trampoline, wooden activity trail, open parkland</t>
  </si>
  <si>
    <t>Balance elements, Stepping obstacles, Clear sightlines for adults</t>
  </si>
  <si>
    <t>Bury Meadow.JPG</t>
  </si>
  <si>
    <t>Nature Reserve</t>
  </si>
  <si>
    <t>Bystock Pools</t>
  </si>
  <si>
    <t>Bystock Pools is a quiet nature reserve for families who enjoy slow exploring: lily-pad pools, heathland, boardwalks, wildlife and a wilder feel than a manicured country park. It’s best for children who like spotting things, pausing and wandering, rather than needing play equipment. Pack snacks and sensible footwear, and treat it as a nature walk with limited facilities rather than a serviced day out.</t>
  </si>
  <si>
    <t>30-60mins</t>
  </si>
  <si>
    <t>harbour, boats, fishing boats, coastal village, historic buildings, Peter's Tower, village exploring, estuary views, birdwatching, wading birds, history, maritime history, shipbuilding, crabbing, beachcombing, scooters</t>
  </si>
  <si>
    <t>Rivers &amp; streams, Countryside views, Wildlife spotting</t>
  </si>
  <si>
    <t>Lympstone Village Green.jpg</t>
  </si>
  <si>
    <t>Mincing Lake Valley Park</t>
  </si>
  <si>
    <t xml:space="preserve">Mincinglake is one of Exeter's quieter green spaces, tucked into a valley with woodland, meadows, a stream and a small play area that feels genuinely separate from the city around it. Devon Wildlife Trust manages the site, and the wildlife interest is really varied; bullfinches, foxes, harvest mice, and a fairy village that children tend to find and return to repeatedly. The stream runs through the bottom of the valley and children who spot it tend to stop and stay for a while. DWT runs free seasonal family activity sessions in summer with bug hunting, birdwatching and nature art, but most days Mincinglake is an unhurried, rustic walk that feels low-key and straightforward if you're in the area.
</t>
  </si>
  <si>
    <t>48 Stoke Hill</t>
  </si>
  <si>
    <t>nature trails, lake, dragonfly spotting, damselflies, birdwatching, boardwalk, heathland, wildflower meadow, butterfly spotting, pond dipping, wildlife watching, glow worms, nightjar, yellowhammer, Devon Wildlife Trust</t>
  </si>
  <si>
    <t>EX4 7DW</t>
  </si>
  <si>
    <t>Mud and puddles, Immersive natural surroundings, Quiet or low-intervention spaces</t>
  </si>
  <si>
    <t>Bystock Pools.jpg</t>
  </si>
  <si>
    <t>Candy's Field Play Park</t>
  </si>
  <si>
    <t>Simple Reset, Energy Burner, Low Effort</t>
  </si>
  <si>
    <t>Popular village park sat within Candy's Field, the playing fields in the heart of Lympstone Village, adjacent to the local school and village hall. Basketball courts, old fallen trees and a wooden obstacle-style course offers a variety of play options best suited to Primary aged children. Busy on fair weather days after school hours, but quiet at weekends, it's a short walk from the local train station, Exe Estuary trail and local village shop and cafe.</t>
  </si>
  <si>
    <t>Candy's Field</t>
  </si>
  <si>
    <t>School Hill</t>
  </si>
  <si>
    <t>EX8 5JY</t>
  </si>
  <si>
    <t xml:space="preserve">woodland walks, meadows, streams, paddling, den building, fairy village, wildlife spotting, foxes, bullfinches, harvest mice, bug hunting, birdwatching, nature trails, outdoor play equipment, giant slide, climbing frame
</t>
  </si>
  <si>
    <t>Wildflower Meadows</t>
  </si>
  <si>
    <t>Wildlife spotting, Scenic valleys</t>
  </si>
  <si>
    <t>Mincing Lake Valley Park.JPG</t>
  </si>
  <si>
    <t xml:space="preserve">Mortehoe Coastal Path </t>
  </si>
  <si>
    <t>The Mortehoe coastal path is a good choice when you want drama rather than a gentle stroll: cliff paths, sea views, hidden coves, rock formations and proper North Devon coastline. There are steep sections, steps and exposed edges, so it suits confident walkers and older children best — this is not a toddler wander. Slow down at the viewpoints, build in time for seal-spotting around Morte Point, and keep it weather-aware — it can feel very exposed in wind. The reward is some of the most spectacular coastal scenery in Devon.</t>
  </si>
  <si>
    <t>Bench Seating, Picnic Benches, BYO Picnic</t>
  </si>
  <si>
    <t>Outdoor play equipment</t>
  </si>
  <si>
    <t>4.5-6</t>
  </si>
  <si>
    <t>Rocky, Gravel, Uneven, Steep</t>
  </si>
  <si>
    <t>Mortehoe Station Road</t>
  </si>
  <si>
    <t>Mortehoe</t>
  </si>
  <si>
    <t>Woolacombe</t>
  </si>
  <si>
    <t>EX34 7DX</t>
  </si>
  <si>
    <t>obstacle course, football, basketball,</t>
  </si>
  <si>
    <t>Balance elements, Stepping obstacles, Zip wires, Clear sightlines for adults</t>
  </si>
  <si>
    <t>Candy's Field Play Park.JPG</t>
  </si>
  <si>
    <t>30-60mins, 1-2hrs, 2-3hrs</t>
  </si>
  <si>
    <t>coastal walking, clifftop, coastal views, headland, hidden coves, rock formations, seal spotting, seals, Lundy Island, dramatic scenery, South West Coast Path, North Devon, wildlife spotting, cliffs</t>
  </si>
  <si>
    <t>Large-Scale Outdoor Attractions</t>
  </si>
  <si>
    <t>Canonteign Falls</t>
  </si>
  <si>
    <t>Canonteign Falls is a proper outdoor adventure day: woodland paths, streams, bridges, lakes, fairy trails and the big waterfall climb, with two dedicated children’s play areas to break up the walking. It’s beautiful but not effortless — the main waterfall route is not pushchair-accessible, so a carrier is worth planning for younger children. Best for families who want fresh air, views, picnic space and a bit of exploring rather than a flat, easy stroll. Baby carriers can be hired, and baby changing is available.</t>
  </si>
  <si>
    <t>Morthehoe Coastal Path.jpg</t>
  </si>
  <si>
    <t>Lower Ashton</t>
  </si>
  <si>
    <t>EX6 7RH</t>
  </si>
  <si>
    <t>Mortehoe Walk (Woolacombe)</t>
  </si>
  <si>
    <t>Mortehoe is a good base for a proper coastal walk with older children: big views, sheep-dotted paths, rocky headlands and the chance of spotting seals around Morte Point. It feels much wilder than a beach promenade, and the village gives you a useful start and finish point for toilets, food and a reset before or after. The paths are uneven in places with slopes and exposed edges, so it suits children who can manage a more demanding walk and stay sensible near cliffs. On a clear day the views stretch out to Lundy Island, which is worth pointing out to children who like having something to spot.</t>
  </si>
  <si>
    <t>10am–5pm during school holidays.</t>
  </si>
  <si>
    <t>Advance Book, Memberships</t>
  </si>
  <si>
    <t>Baby, (Fixed) Child, Adult, Concession, Group</t>
  </si>
  <si>
    <t>Dogs Allowed, Toilets, Disabled toilets, Outdoor Seating, Baby changing, Bench Seating, Indoor Seating, BYO Picnic</t>
  </si>
  <si>
    <t>Ice creams, Children’s trail, Zip Line, "Swings, Slides, Climbing Frames", Outdoor play equipment, Activity trail, Activity Sheets or Signs, Colouring, Indoor Play Space, Ride on Vehicles, "Indoor games (puzzles, boards)", Children's Menu</t>
  </si>
  <si>
    <t>Hot Drinks, Hot &amp; Cold food, Snacks, Log burner, Sweet treats, Giftshop, Outdoor terrace, Comfy Seating / Sofas</t>
  </si>
  <si>
    <t>1-2hrs, 30-60mins, 2-3hrs</t>
  </si>
  <si>
    <t>coastal walking, headland, clifftop, coastal views, seal spotting, seals, Lundy Island, rock formations, sheep, wildlife spotting, South West Coast Path, North Devon, village exploring</t>
  </si>
  <si>
    <t>Raining / wet, Sunshine, Overcast / cloudy, Dry &amp; mild, Dry &amp; cold, Dry &amp; warm, Dry &amp; hot, Windy (&gt; X mph)</t>
  </si>
  <si>
    <t>2-3hrs, 4+ hours, Whole Day</t>
  </si>
  <si>
    <t>waterfalls, dartmoor, alpacas, playgrounds, ferns, fern garden, lakes, meadows, wildlife, panoramic views, zip line, adventure playground, trampolines, wooden galleon, mini assault course, meadows, woodland, fairy doors, wildlife spotting, streams</t>
  </si>
  <si>
    <t>Easter</t>
  </si>
  <si>
    <t>Morthehoe Walk Woolacombe.jpg</t>
  </si>
  <si>
    <t>Wildflower Meadows, Butterflies, Autumn Leaves, "Berries, Nuts, Conkers"</t>
  </si>
  <si>
    <t>Water features, Scenic or dramatic settings, Discovery trails, Play or activity zones, Challenges or missions, Landmark features</t>
  </si>
  <si>
    <t>Infant / toddler carrier, Sling / baby carrier, Water shoes, Activity-specific clothing</t>
  </si>
  <si>
    <t>Canonteign Falls.JPG</t>
  </si>
  <si>
    <t>Orccombe Point Beach &amp; Clifftop Walk</t>
  </si>
  <si>
    <t>Orcombe Point gives families a bit of everything: beach, red cliffs, grassy clifftop, sea views and the Geoneedle marking the start of the Jurassic Coast. It works well when children need more purpose than just "going for a walk" — there are clear landmarks to aim for and good views in both directions along the coast once you get to the top. The beach at the base of the point is quieter than the main Exmouth stretch and worth a pause. The clifftop sections need close supervision with younger children, and wind can change the feel quickly, so layers and sensible shoes help.</t>
  </si>
  <si>
    <t>Carter Avenue Play Park</t>
  </si>
  <si>
    <t>Carter Avenue Play Park is a maritime-themed neighbourhood playground with enough variety for a proper burst of active play. Children can climb through the ship-style unit, use slides and swings, bounce on the trampoline and test themselves on the ninja trail, so it is especially good for children who like climbing and balancing. It is a perfectly situated playpark at the start or end of the Lympstone to Exmouth cycle trail so can be a great incentive for a walk, or paired with a shorter walk to Lower Haldson Farm for a drink and an ice-cream (when it's open seasonally at the weekend!).</t>
  </si>
  <si>
    <t>King George's Field</t>
  </si>
  <si>
    <t>43 Carter Avenue</t>
  </si>
  <si>
    <t>Steep, Mixed terrain, Steps</t>
  </si>
  <si>
    <t>EX8 3EF</t>
  </si>
  <si>
    <t>339 Queen's Drive</t>
  </si>
  <si>
    <t>EX8 2DF</t>
  </si>
  <si>
    <t>Jurassic Coast, Geoneedle, World Heritage Site, red cliffs, coastal views, coastal walking, headland, clifftop, beach, rock pooling, wildflowers, butterflies, birdwatching, sea views, Dartmoor views, Exmouth, South West Coast Path</t>
  </si>
  <si>
    <t>Panoramic views, Coastal views, Caves or rock formations, Beaches or coves, Elevated viewpoints</t>
  </si>
  <si>
    <t>Picnic Benches, Bench Seating, BYO Picnic</t>
  </si>
  <si>
    <t>Orccombe Point Beach Walk.JPG</t>
  </si>
  <si>
    <t>Parke Estate Riverside Walk</t>
  </si>
  <si>
    <t>Parke is a lovely National Trust estate when you want a proper walk without paying for a big house-and-garden day. The riverside paths, woodland, pasture, orchard and old railway line give you lots of ways to shape the visit: a short loop, a muddier stomp, a bike-friendly stretch on the Wray Valley Trail, or a slower wander to spot wildlife by the River Bovey. It's best in boots after wet weather. The paths from the main car park aren't smooth, so off-road buggies and backcarriers work better than standard pushchairs. There's a small café near the car park with toilets, the river route has good shade and picnic spots — bring a blanket — and there are plenty of places to paddle if children find the water.</t>
  </si>
  <si>
    <t>outdoor play equipment, climbing frames, ground trampoline, roundabout</t>
  </si>
  <si>
    <t>Dog friendly, Off-road Buggies only, Carrier Only, Mountain Bikes Only</t>
  </si>
  <si>
    <t>Mixed terrain, Uneven, Woodland track</t>
  </si>
  <si>
    <t>Towers and platforms, Slides, Inclusive swings, Climbing wall, Fireman's poles, Mixed-difficulty zones, Seesaws, Springers / rockers</t>
  </si>
  <si>
    <t>Parke</t>
  </si>
  <si>
    <t>Carter Avenue Play Area.JPG</t>
  </si>
  <si>
    <t>TQ13 9JQ</t>
  </si>
  <si>
    <t>Activity Sheets or Signs, Activity trail</t>
  </si>
  <si>
    <t>Historic Estate Garden</t>
  </si>
  <si>
    <t>Drinks stand, Snacks, Hot Drinks</t>
  </si>
  <si>
    <t>Castle Drogo (NT)</t>
  </si>
  <si>
    <t>Castle Drogo is the last castle to be built in England, finished in 1930 and perched dramatically above the Teign Gorge with views that stop you in your tracks. For families, the combination of a proper castle to explore inside and wide open grounds outside makes it more satisfying than many NT houses — children can wander the stone corridors, peer into the kitchen and servants' quarters, and follow the family trail through the rooms. Outside, the terraced gardens, croquet lawn and woodland paths down towards the gorge give everyone room to stretch out and run freely, and the circular walk to Fingle Bridge can turn the visit into a proper half-day if legs are willing. The seasonal trails and a kitchen garden croquet lawn add variety, and the NT café in the old kitchen keeps the practical side covered if you've finished your picnic earlier than expected.</t>
  </si>
  <si>
    <t>Drive</t>
  </si>
  <si>
    <t>Drewsteignton</t>
  </si>
  <si>
    <t>EX6 6PB</t>
  </si>
  <si>
    <t>Monday, Tuesday, Wednesday, Thursday, Saturday, Friday, Sunday</t>
  </si>
  <si>
    <t>rivers, streams, paddling, Pooh sticks, stepping stones, woodland walks, ancient woodland, orchard, wildlife spotting, Dartmoor ponies, otters, kingfishers, bats, dormice, old railway, cycling, Wray Valley Trail, National Trust, picnicking</t>
  </si>
  <si>
    <t>Springtime, Summer</t>
  </si>
  <si>
    <t>Birdsong, Fungi, Autumn Leaves, River wildlife spotting</t>
  </si>
  <si>
    <t>Pay On Arrival, Members Only</t>
  </si>
  <si>
    <t>Adult, (Fixed) Child, Baby</t>
  </si>
  <si>
    <t>0-5</t>
  </si>
  <si>
    <t>5-17</t>
  </si>
  <si>
    <t>Water shoes, Dry bags, Change of clothes</t>
  </si>
  <si>
    <t>Parke River.jpg</t>
  </si>
  <si>
    <t>1 adult &amp; up to 3 children</t>
  </si>
  <si>
    <t>2A + 3C</t>
  </si>
  <si>
    <t>Toilets, Disabled toilets, Indoor Seating, Picnic Benches, Guided Tour, Dogs Allowed, BYO Picnic</t>
  </si>
  <si>
    <t>Children’s trail</t>
  </si>
  <si>
    <t>Hot Drinks, Hot &amp; Cold food, Snacks, Giftshop, Bookshop</t>
  </si>
  <si>
    <t>Phear Park Circular</t>
  </si>
  <si>
    <t>Phear Park is one of Exmouth's most useful all-round park stops when different children need different things at the same time. There's open grass and mature trees for running and climbing, play areas for younger children, a skate park, tennis courts, pitch and putt and plenty of flat space for scooters or a ball. It can work as a quick leg-stretch or a full park morning depending on how the day is going, and it sits close enough to town that you can adjust the plan without much effort. Bumble &amp; Tee café on the edge of the park covers the hot drink and snack question.</t>
  </si>
  <si>
    <t>Quiet Cafés</t>
  </si>
  <si>
    <t>National Trust, Dartmoor Views, Elevated Views, Quiet Gardens</t>
  </si>
  <si>
    <t>Cafés with Outdoor Space</t>
  </si>
  <si>
    <t>0.5-1</t>
  </si>
  <si>
    <t>Designed or sculpted landscapes, Seasonal foliage, Room to run freely, Open sightlines, "Hidden corners, passageways, gates &amp; gardens", Children’s Activity Trails, Statues &amp; sculptures</t>
  </si>
  <si>
    <t>Castle Drogo Estate.JPG</t>
  </si>
  <si>
    <t>Phear Park</t>
  </si>
  <si>
    <t>Withycombe Village Road</t>
  </si>
  <si>
    <t>History &amp; Culture</t>
  </si>
  <si>
    <t>Historic Estate</t>
  </si>
  <si>
    <t>EX8 1TQ</t>
  </si>
  <si>
    <t>Castle Drogo Museum</t>
  </si>
  <si>
    <t>Low Effort</t>
  </si>
  <si>
    <t>A striking castle interior with family rooms, hidden details, historic objects and stories from the Drewe family. Inside Castle Drogo, families can explore the last castle built in England, with grand rooms, architectural detail, collection pieces and changing exhibitions. It’s a slower indoor visit, good for children who like houses, history, objects and spotting small details as they move through each room.</t>
  </si>
  <si>
    <t>Toilets, Picnic Benches, Bench Seating, Dogs Allowed, Outdoor Seating</t>
  </si>
  <si>
    <t>Ice creams, "Swings, Slides, Climbing Frames", Outdoor play equipment</t>
  </si>
  <si>
    <t>Monday, Tuesday, Wednesday, Thursday, Sunday, Saturday, Friday</t>
  </si>
  <si>
    <t>open green space, woodland walks, pond, duck feeding, pitch and putt golf, tennis, skateboarding, BMX, scooters, outdoor play equipment, swings, slides, climbing frames, ground trampoline, basket swing, balance trail, picnicking, cycling space, café nearby</t>
  </si>
  <si>
    <t>Seasonal Flowers</t>
  </si>
  <si>
    <t>Scenario &amp; World play</t>
  </si>
  <si>
    <t>Countryside views, Wildlife spotting, Rivers &amp; streams</t>
  </si>
  <si>
    <t>Narrative-led experiences</t>
  </si>
  <si>
    <t>Toilets, Disabled toilets, Indoor Seating, Picnic Benches, Guided Tour, Dogs Allowed</t>
  </si>
  <si>
    <t>Phear Park.JPG</t>
  </si>
  <si>
    <t>Hot Drinks, Hot &amp; Cold food, Bookshop, Giftshop, Sweet treats, Snacks</t>
  </si>
  <si>
    <t>Powderham Castle Grounds</t>
  </si>
  <si>
    <t>Windy (&gt; X mph), Raining / wet, Snow / sleet / ice, Overcast / cloudy, Stormy / heavy rain / thunderstorms, Dry &amp; mild, Dry &amp; cold</t>
  </si>
  <si>
    <t>30-60mins, 1-2hrs, Under 30mins</t>
  </si>
  <si>
    <t>Historic Houses, Castles, Architecture, National Trust</t>
  </si>
  <si>
    <t>Powderham gives you deer-park views, woodland edges, lawns and glimpses of the River Exe, which families can turn into a short wander, a picnic or a longer leg-stretch depending on energy. The deer are the main draw for children — the herd roams the grounds freely and can get surprisingly close. It's a good option when you want somewhere that feels a bit special and spacious, with the castle as a backdrop even if you're not going inside. Check opening times before visiting as access to the grounds varies seasonally.</t>
  </si>
  <si>
    <t>Historic buildings, Period features, Recreated environments, Castles or Fortresses, Story-led interpretation, Visual displays, Audio guides or trails</t>
  </si>
  <si>
    <t>Caslte Drogo Museum.jpg</t>
  </si>
  <si>
    <t>Mixed terrain, Flat, Uneven</t>
  </si>
  <si>
    <t>Powderham Estate</t>
  </si>
  <si>
    <t>EX6 8JQ</t>
  </si>
  <si>
    <t>Chard Nature Reserve</t>
  </si>
  <si>
    <t xml:space="preserve">A peaceful spot tucked slightly off the main road on the outskirts of Chard; this beautiful reservoir is home to a wide variety of wildlife, and there are plenty of opportunities to spot them at different points on the route around the water. The path isn't your typical circular route, requiring visitors to pick their route from a few options all of which tease a view of the reservoir without actually bringing you to the waters edge. With plenty of shade and the occasional bench, it's a simple spot for a picnic, run about in one of the grassy fields or wildflower meadows, and - for younger children with active imaginations - a number of places to play freely with natural materials made available for den-making and forest kitchens. </t>
  </si>
  <si>
    <t>Chard Nature Reserve &amp; Reservoir</t>
  </si>
  <si>
    <t>Oaklands Avenue</t>
  </si>
  <si>
    <t>TA20 1HU</t>
  </si>
  <si>
    <t>Outdoor Family Dining</t>
  </si>
  <si>
    <t>Destination Family Dining</t>
  </si>
  <si>
    <t>Food Festivals</t>
  </si>
  <si>
    <t>30-60mins, Under 30mins, 1-2hrs</t>
  </si>
  <si>
    <t>deer, deer park, deer spotting, riverside, estuary views, woodland walks, parkland, historic house, castle, wildlife spotting, picnicking, open space</t>
  </si>
  <si>
    <t>Red Deer Ruts</t>
  </si>
  <si>
    <t>Countryside views, Coastal views, Wildlife spotting</t>
  </si>
  <si>
    <t>Powderham Grounds.JPG</t>
  </si>
  <si>
    <t xml:space="preserve">Powderham Church to Turf Locks </t>
  </si>
  <si>
    <t>Bench Seating, BYO Picnic, Dogs Allowed</t>
  </si>
  <si>
    <t>Outdoor play equipment, Children’s trail</t>
  </si>
  <si>
    <t xml:space="preserve">Venture onto this pretty route along the Exe Estuary with caution at weekends where cyclists are known to speed along. Picnic spots and benches dot it's route, stretching from Dawlish into Exeter at its full length. This stretch starts at Powderham Church, ending at Turf Locks pub; a stone's throw from the small ferry boat into Topsham. 
</t>
  </si>
  <si>
    <t>St Clement's Church</t>
  </si>
  <si>
    <t>Powderham</t>
  </si>
  <si>
    <t>lake, reservoir, birdwatching, kingfishers, herons, egrets, grebes, cormorants, woodpeckers, nuthatches, wildfowl, dragonflies, damselflies, wildflowers, orchids, reedbeds, woodland walks, bird hide, children's trail, woodland play area</t>
  </si>
  <si>
    <t>EX6 8JJ</t>
  </si>
  <si>
    <t>Birdsong, Butterflies, Wildflower Meadows, Dragonflies &amp; Damselflies, Migrating Birds, Autumn Leaves, Kingfisher Spotting</t>
  </si>
  <si>
    <t>Climbing Logs or balance beams, Den-building materials, Guided outdoor learning prompts, Marked Trails, Children’s Activity Trails, Immersive natural surroundings, Quiet or low-intervention spaces</t>
  </si>
  <si>
    <t>Binoculars, XC Buggy, Sling / baby carrier, Infant / toddler carrier</t>
  </si>
  <si>
    <t>Chard Nature Reserve.jpg</t>
  </si>
  <si>
    <t>Chudleigh Play Park</t>
  </si>
  <si>
    <t>A brilliant local village park with a wide mix of equipment that caters for slightly older children as well as the usual play equipment aimed at younger ones; set right next to a brilliant pump track and skate park with easy sightlines across all three, making it an ideal option when you have a spread of ages.</t>
  </si>
  <si>
    <t>29 Millstream Meadow</t>
  </si>
  <si>
    <t>Chudleigh</t>
  </si>
  <si>
    <t>2-3hrs</t>
  </si>
  <si>
    <t>River walk route, estuary views</t>
  </si>
  <si>
    <t>TQ13 0PG</t>
  </si>
  <si>
    <t>Amusement Park</t>
  </si>
  <si>
    <t>Riverside stretches, Scooter-friendly, Traffic-free sections</t>
  </si>
  <si>
    <t>Major Animal Attractions</t>
  </si>
  <si>
    <t>Major Indoor Attractions</t>
  </si>
  <si>
    <t>Powderham to Turf Locks Cycle.JPG</t>
  </si>
  <si>
    <t>Seasonal &amp; Themed Events</t>
  </si>
  <si>
    <t>Powderham Estuary Route</t>
  </si>
  <si>
    <t>A flat, open estuary route with wide skies, water on both sides in places, and the Turf pub sitting at the end as a genuine destination rather than just a turning point. The Turf is one of the few pubs in the country you genuinely cannot reach by car only on foot, by bike or by boat, which gives the journey a sense of purpose that children respond to well. The route follows the Exe Estuary Trail along the canal towpath, with boats, lock gates, birdlife and estuary views keeping things interesting along the way. It feels more exposed than a woodland walk, so wind and weather make a difference to how enjoyable it is. The Topsham Ferry runs from late April to September, which gives you the option of a one-way trip with a ferry return if the distance feels like too much on the way back.</t>
  </si>
  <si>
    <t>"Swings, Slides, Climbing Frames"</t>
  </si>
  <si>
    <t>St Clement’s Church</t>
  </si>
  <si>
    <t>RNLI Beach</t>
  </si>
  <si>
    <t>Dry &amp; mild, Overcast / cloudy, Dry &amp; cold, Dry &amp; warm, Dry &amp; hot, Sunshine</t>
  </si>
  <si>
    <t>Rocky Cove</t>
  </si>
  <si>
    <t>Coasteering Beach</t>
  </si>
  <si>
    <t>Wild or Remote Beach</t>
  </si>
  <si>
    <t>Slide, firemans pole, swings, monkey bars</t>
  </si>
  <si>
    <t>Dog-Friendly Beach</t>
  </si>
  <si>
    <t>Mixed Sand &amp; Shingle Beach</t>
  </si>
  <si>
    <t>Sheltered Cove or Bay</t>
  </si>
  <si>
    <t>Surf Beach</t>
  </si>
  <si>
    <t>Estuary Beach</t>
  </si>
  <si>
    <t>Rope bridges, Climbing frames, Balance elements, Stepping obstacles, Towers and platforms, Zip wires, Fireman's poles, Ropes &amp; aerial adventures, Lookout points, Tunnels and crawl spaces, Mixed-difficulty zones, Clear sightlines for adults, Swings, Open grass / running space, Pump track</t>
  </si>
  <si>
    <t>Chudleigh Park.jpg</t>
  </si>
  <si>
    <t>Chudleigh Pump Track</t>
  </si>
  <si>
    <t>This brilliant pump track for bikes, scooters, skateboards and balance bikes, is set beside a play park and skate park. Designed for a mix of abilities, it gives confident riders a place to build rhythm and speed, while newer riders can use it more steadily with adult help. Its found in a quiet village with ample grassy space and benches around and clear sightlines, making it a fun, low effort visit.</t>
  </si>
  <si>
    <t>estuary, estuary views, canal, lock gates, boats, birdwatching, avocets, wading birds, wildfowl, herons, curlews, lapwings, cycling, balance bikes, scooters, pushchair friendly, flat walks, ferry, pub garden, Powderham Castle, deer</t>
  </si>
  <si>
    <t>Rivers &amp; streams, Coastal views, Wildlife spotting</t>
  </si>
  <si>
    <t>Powerderham to Turf.jpg</t>
  </si>
  <si>
    <t>River Otter Walk - Tipton St John</t>
  </si>
  <si>
    <t>This is a proper half-day family walk in its entirety rather than a quick wander, running about five miles from Tipton St John towards Ottery St Mary and back along public footpaths on both sides of the river. It's mostly fairly flat with small climbs over bridges and stiles, so older children who can manage the distance should get a good mix of river, countryside, bridges and village interest. The River Otter is home to England's first legally reintroduced wild beavers — keep an eye out for gnawed trees and dams as evidence of their activity, and at dusk there's a real chance of spotting them feeding. Build in snacks, mud-ready shoes and a play at the playpark in Tipton as an incentive; for younger children, it may work better as a shorter out-and-back from one end.</t>
  </si>
  <si>
    <t>Uneven, Flat</t>
  </si>
  <si>
    <t>Tipton St John Playing Field</t>
  </si>
  <si>
    <t>Tipton St John</t>
  </si>
  <si>
    <t>EX10 0AA</t>
  </si>
  <si>
    <t>rivers, streams, paddling, Pooh sticks, bridges, stiles, village exploring, playground, beavers, otters, kingfishers, herons, dragonflies, butterflies, wildflowers, river beach, wildlife spotting, countryside walks</t>
  </si>
  <si>
    <t>Baby Lambs, Bluebells, Dragonflies &amp; Damselflies, Starling Murmurations, River wildlife spotting</t>
  </si>
  <si>
    <t>Rivers &amp; streams, Natural paddling spots, "Bridges (wooden, stone, suspension)", Countryside views, Wildlife spotting</t>
  </si>
  <si>
    <t>Sling / baby carrier, Infant / toddler carrier, Towels, Water shoes, Fishing nets, Wetsuit Boots</t>
  </si>
  <si>
    <t>River Otter Walk.jpg</t>
  </si>
  <si>
    <t>Shelly Bay to Orcombe Point</t>
  </si>
  <si>
    <t>A lovely Exmouth seafront stretch when you want a walk that feels coastal without being complicated. Starting near Shelly Beach gives you the marina, boats, estuary views and a tucked-away feel before the route opens out along the promenade towards the main beach, cafés, Sideshore and eventually Orcombe Point. It's easy to make it shorter, snack-led or longer depending on children's energy. The final climb up to the Geoneedle gives older children a clear destination and good views in both directions along the coast, but the promenade section is flat and surfaced throughout — good for scooters and bikes.</t>
  </si>
  <si>
    <t>Dog friendly, Buggy friendly, Scooter route, Cycle route, Wheelchair friendly</t>
  </si>
  <si>
    <t>2.5–3</t>
  </si>
  <si>
    <t>EX8 1AN</t>
  </si>
  <si>
    <t>Water play</t>
  </si>
  <si>
    <t>Clear Sightlines, Snacks, Drinks stand, Sweet treats</t>
  </si>
  <si>
    <t>River Beach</t>
  </si>
  <si>
    <t>Waterparks</t>
  </si>
  <si>
    <t>On The Water</t>
  </si>
  <si>
    <t>Water Adventure</t>
  </si>
  <si>
    <t>Watersports</t>
  </si>
  <si>
    <t>Fishing Spot</t>
  </si>
  <si>
    <t>estuary views, marina, boats, beach, promenade, coastal views, coastal walking, Jurassic Coast, Geoneedle, World Heritage Site, red cliffs, headland, seafront, Sideshore, scooters, cycling, pushchair friendly, ice cream, cafés</t>
  </si>
  <si>
    <t>Natural paddling spots, Beaches or coves, Coastal views, Caves or rock formations, Elevated viewpoints</t>
  </si>
  <si>
    <t>Sunshine, Windy (&gt; X mph), Overcast / cloudy, Dry &amp; mild, Dry &amp; cold, Dry &amp; warm, Dry &amp; hot</t>
  </si>
  <si>
    <t>Bike track, pump track, practice space, BMX, cycling, balance biking, beginner cycling</t>
  </si>
  <si>
    <t>Adventure Playground</t>
  </si>
  <si>
    <t>Stover Country Park</t>
  </si>
  <si>
    <t>Natural Obstacle Course</t>
  </si>
  <si>
    <t>Skate Park</t>
  </si>
  <si>
    <t>Traffic-free sections, Clear sightlines, "Natural jumps, ramps or fun features", Scooter-friendly, Play areas en route, Short loops, Easy parking nearby, Parkland surroundings</t>
  </si>
  <si>
    <t>Orienteering Course</t>
  </si>
  <si>
    <t>Letterboxing Site</t>
  </si>
  <si>
    <t>Stover is a gentle nature walk with a lake at its centre, woodland paths, picnic spots and mostly level ground that can be kept short or extended into a slower loop. Younger children have plenty to notice close to the path — ducks, swans, water, boardwalks and small stopping points — while older children can take a longer loop, use the aerial walkway and explore more of the woodland. Ted Hughes's poetry trail adds something different for children who enjoy spotting things along the way, and the carved wooden animals along the route are worth looking out for. The park feels more contained than a wilder reserve, with toilets near the Stover Centre making it easier to use with mixed ages.</t>
  </si>
  <si>
    <t>Chudleigh Pump Track.jpg</t>
  </si>
  <si>
    <t>Buggy friendly, Dog friendly, Cycle route, Off-road Buggies only</t>
  </si>
  <si>
    <t>TQ12 6PW</t>
  </si>
  <si>
    <t>Dogs Allowed, Toilets, Disabled toilets, Picnic Benches, Bench Seating</t>
  </si>
  <si>
    <t>Chudleigh Skate Park</t>
  </si>
  <si>
    <t xml:space="preserve">A free concrete skate park with a large bowl, plaza section and quarter pipes beside Millstream Meadow. Chudleigh Skate Park is an open, unsupervised spot for scooters, skateboards, skates and BMX, with the pump track and play park close by. </t>
  </si>
  <si>
    <t>lake, ducks, swans, birdwatching, kingfishers, dragonflies, woodland walks, boardwalk, aerial walkway, poetry trail, carved wooden sculptures, wildlife spotting, squirrels, roe deer, nature trails, pushchair friendly, flat walks</t>
  </si>
  <si>
    <t>Arboretum</t>
  </si>
  <si>
    <t>Landscaped Garden</t>
  </si>
  <si>
    <t>Community Garden</t>
  </si>
  <si>
    <t>Themed Garden</t>
  </si>
  <si>
    <t>Enclosed Garden</t>
  </si>
  <si>
    <t>Stover Park.jpeg</t>
  </si>
  <si>
    <t>The Byes</t>
  </si>
  <si>
    <t>The Byes is one of the easiest riverside routes to use with children because it feels peaceful and tucked away, but still connects back into Sidmouth and the high street. The path follows the River Sid — Devon's shortest river — for about 1.5 miles through meadows and parkland towards Sidford, and is tarmacked throughout, making it good for scooters, bikes and buggies. Multiple small bridges cross the river along the route, which children tend to make the most of. Keep an eye out for kingfishers, dippers and grey wagtails, and otters are present in the river too. Build it around a town café, play stop or beach visit at the end — continuing into Sidmouth brings you out at Ham Play Park and the far end of the town beach, with cafés and ice cream a short walk away.</t>
  </si>
  <si>
    <t>Byes Lane</t>
  </si>
  <si>
    <t>Sidford</t>
  </si>
  <si>
    <t>EX10 9QX</t>
  </si>
  <si>
    <t>Parkland or Meadow</t>
  </si>
  <si>
    <t>Village Green</t>
  </si>
  <si>
    <t>Urban Green Space</t>
  </si>
  <si>
    <t>Castle Grounds</t>
  </si>
  <si>
    <t>rivers, streams, Pooh sticks, bridges, kingfishers, dippers, grey wagtails, otters, wildflowers, meadows, ancient trees, cycling, scooters, balance bikes, pushchair friendly, flat walks, beach, playground, wildlife spotting</t>
  </si>
  <si>
    <t>Bluebells, Daffodills, Kingfisher Spotting, Autumn Leaves, River wildlife spotting</t>
  </si>
  <si>
    <t>Rivers &amp; streams, Natural paddling spots, "Bridges (wooden, stone, suspension)", Wildlife spotting</t>
  </si>
  <si>
    <t>The Byes.jpg</t>
  </si>
  <si>
    <t>The Goat Trail Topsham</t>
  </si>
  <si>
    <t>The Goat Walk is an easy win when you want estuary views, boats, birdlife and a quaint Topsham feel without committing to a long walk. The circular route is around 2–2.5 miles, mostly flat and well-surfaced, making it ideal for scooters, balance bikes and early cyclists as well as buggies. The narrow waterside section is beautiful but needs care with scooters, buggies and small children because parts sit right beside the estuary with no railing. The RSPB bird hide along the route is a great spot for avocet and wading bird watching, and the quayside at the end offers cafés, pubs, toilets and independent shops. Works well as a loop or a relaxed out-and-back with a stop for snacks at the quay.</t>
  </si>
  <si>
    <t>Bowling Green Road</t>
  </si>
  <si>
    <t>Topsham</t>
  </si>
  <si>
    <t>EX3 0BG</t>
  </si>
  <si>
    <t>Raining / wet, Sunshine, Overcast / cloudy, Dry &amp; mild, Dry &amp; cold, Dry &amp; warm, Dry &amp; hot</t>
  </si>
  <si>
    <t>skateboarding, BMX, scootering, bowl, street skating, quarter pipes, pump track</t>
  </si>
  <si>
    <t>Balance elements, Towers and platforms, Mixed-difficulty zones, Clear sightlines for adults, Bowl, Quarter pipes, Street skating features</t>
  </si>
  <si>
    <t>Chudleigh Skate Park.jpg</t>
  </si>
  <si>
    <t>1-2hrs, 30-60mins, Under 30mins</t>
  </si>
  <si>
    <t>estuary, estuary views, boats, quayside, birdwatching, avocets, egrets, wading birds, herons, lapwings, RSPB, bird hide, scooters, balance bikes, history, maritime history, historic buildings, independent shops, wildlife spotting</t>
  </si>
  <si>
    <t>Winter, Springtime, Summer</t>
  </si>
  <si>
    <t>"Returning swallows, swifts (birds)", Seabird Colonies, Kingfisher Spotting, Migrating Birds, Starling Murmurations, Dragonflies &amp; Damselflies, Birdsong, Wildflowers</t>
  </si>
  <si>
    <t>Clapper Bridge, Postbridge</t>
  </si>
  <si>
    <t>The Goat Trail.JPG</t>
  </si>
  <si>
    <t>Postbridge Clapper Bridge is a simple Dartmoor stop with a lot for children to notice in a small area: the old granite bridge, the East Dart River, stepping stones, open moorland and the village setting around it. It works well as a short pause on a Dartmoor day, especially paired with the National Park Visitor Centre nearby or a wider walk from Postbridge, or a longer stop to paddle if the sun is shining. The river and stones make it feel much more interesting than a quick viewpoint, but the ground can be uneven and the water needs close supervision with younger children as it can move quickly in places. It's an idyllic spot, and with the Postbridge Cafe and Village Shop just down the road, it can make for a brilliant impromptu dip, coffee break, or somewhere quiet and beautiful to sit for a moment while the kids splash about and explore.</t>
  </si>
  <si>
    <t>Clapper Bridge</t>
  </si>
  <si>
    <t>Postbridge</t>
  </si>
  <si>
    <t>Turf Locks Riverside Walk</t>
  </si>
  <si>
    <t>The Turf Locks sit where the Exeter Ship Canal meets the Exe Estuary, and the appeal for families is straightforward: lock gates to peer into, boats coming through, wide estuary views, good birdwatching and a proper pub garden at the end that welcomes children and dogs without fuss. The route in is flat and easy going along the canal towpath, and you can make it as short or long as suits the group — younger children will get plenty from a shorter there-and-back with time spent watching the water, while older children can manage the full walk or cycle from Exeter Quay. The Topsham Ferry from late April to September gives you the option of arriving or returning by boat, which makes it feel more like an adventure.</t>
  </si>
  <si>
    <t>PL20 6TH</t>
  </si>
  <si>
    <t>Station Road</t>
  </si>
  <si>
    <t>EX6 8DZ</t>
  </si>
  <si>
    <t>canal, lock gates, boats, estuary, estuary views, birdwatching, avocets, wading birds, wildfowl, herons, curlews, kingfishers, dragonflies, cycling, balance bikes, scooters, pushchair friendly, flat walks, ferry, pub garden, history, Exeter Ship Canal</t>
  </si>
  <si>
    <t>BYO Picnic, Dogs Allowed</t>
  </si>
  <si>
    <t>Turf Locks Riverside.JPG</t>
  </si>
  <si>
    <t>Woodbury Castle</t>
  </si>
  <si>
    <t>Woodbury Castle gives families an easy way into Woodbury Common without needing to commit to a long walk. The Iron Age hillfort earthworks are the main draw: the banks and ditches give children something to scramble over, and the interior of the fort is flat enough for a picnic or a run around. Younger children get plenty from a short wander around the ramparts, collecting sticks and exploring the paths through the trees, while older children can link it into a longer common walk across the heathland beyond. The ground is uneven, stony and can be muddy after rain, so walking shoes or wellies suit it best, rather than scooters or pushchairs.</t>
  </si>
  <si>
    <t>clapper bridge, medieval history, ancient bridge, rivers, paddling, stone throwing, Pooh sticks, picnicking, Dartmoor, moorland, Dartmoor ponies, granite, archaeology</t>
  </si>
  <si>
    <t>Paddling spots, Natural Swimming Spots, Wildlife spotting, River Beach, Rivers or estuaries, National Park, Woodland or countryside setting</t>
  </si>
  <si>
    <t>Clapper Bridge.JPG</t>
  </si>
  <si>
    <t>Cliff Fields</t>
  </si>
  <si>
    <t>heathland, Iron Age, hill fort, archaeology, ancient history, earthworks, ramparts, woodland walks, wildlife spotting, butterflies, dragonflies, Dartford warbler, stonechat, ponies, scrambling, den building</t>
  </si>
  <si>
    <t>Panoramic views, Elevated viewpoints, Scenic valleys, Wildlife spotting, Ruins or historic features</t>
  </si>
  <si>
    <t xml:space="preserve">Cliff Field is a simple open green space by the Exe Estuary, useful when you need room for children to run around without venturing far from the cycle path, car or train station. This clifftop field is where the local football club often practises, so there may be goals set up, and it’s also popular with dog walkers. It makes an easy picnic stop along the Exe Estuary walking and cycling trail, with the station, village shop, pub and coffee shop all close enough to grab refreshments nearby. With stunning views across the estuary, and along the coast and small stony bays of Lympstone Village and the Habour, it's a low-key local spot that works for a rage of different activities and moments. </t>
  </si>
  <si>
    <t>Burgmanns Hill</t>
  </si>
  <si>
    <t>Woodbury Castle.JPG</t>
  </si>
  <si>
    <t>EX8 5HP</t>
  </si>
  <si>
    <t>Woodbury Common</t>
  </si>
  <si>
    <t>Woodbury Common is a wide open landscape of heathland, pine edges, rough tracks and long views, and its appeal for families is mainly in the freedom rather than any specific feature. You can make it a short stomp from one of the car parks or a longer loop across more exposed ground, depending on energy levels and age. Younger children tend to enjoy the puddles, stones and open space in short bursts; older children can take on longer routes with real distance and variety. The stony paths further from the car parks don't suit bikes unless they're proper off-road, but the tracks closer in work for a determined balance biker or remote-controlled monster truck. It feels less managed than a country park, which is exactly what makes it feel like an adventure.</t>
  </si>
  <si>
    <t>On-street / nearby parking, Free Car Park</t>
  </si>
  <si>
    <t>30-60mins, 1-2hrs, 2-3hrs, Under 30mins</t>
  </si>
  <si>
    <t>heathland, open moorland, wildlife spotting, Dartford warbler, nightjar, stonechat, hobby, butterflies, dragonflies, silver-studded blue, ponies, panoramic views, elevated viewpoints, nature trails</t>
  </si>
  <si>
    <t>Bench Seating, Dogs Allowed, Toilets</t>
  </si>
  <si>
    <t>Woodbury Common 1.jpg</t>
  </si>
  <si>
    <t>local fields, dog walking, estuary views</t>
  </si>
  <si>
    <t>Room to run freely, Open sightlines, Countryside views, Scenic backdrops, Football or Rugby Posts</t>
  </si>
  <si>
    <t>Cliff Field.JPG</t>
  </si>
  <si>
    <t>Climbing at Exeter Quay</t>
  </si>
  <si>
    <r>
      <rPr>
        <rFont val="Arial"/>
        <color theme="1"/>
        <sz val="9.0"/>
      </rPr>
      <t>An indoor roped climbing centre with tall walls, auto-belays, coaching and routes for building real confidence. Quay Climbing Centre is the more technical side of Exeter Quay’s climbing offer, with top rope, lead climbing, bouldering and family taster sessions for beginners aged seven and over. It suits older children, teens and adults who want a proper climbing session, with clubs and coaching available for those ready to progress.</t>
    </r>
  </si>
  <si>
    <t>Open, Weekend Hours</t>
  </si>
  <si>
    <t>Pay On Arrival, Pre-Register, Memberships</t>
  </si>
  <si>
    <t>£12.00-£14.00</t>
  </si>
  <si>
    <t>£12.00-14.00</t>
  </si>
  <si>
    <t>£10.00-£12.00</t>
  </si>
  <si>
    <t>Toilets, Indoor Seating, Showers / changing facilities</t>
  </si>
  <si>
    <t>Hot Drinks, Snacks</t>
  </si>
  <si>
    <t>climbing, climbing centre, indoor climbing, top rope climbing, lead climbing, auto belay, bouldering, harness climbing, graded routes, heights challenges</t>
  </si>
  <si>
    <t>Climbing Centre Exeter Quay.JPG</t>
  </si>
  <si>
    <t>Clip'n'Climb at Exeter Quay</t>
  </si>
  <si>
    <t>Bright and bustling indoor climbing with themed challenges, auto-belays and plenty for mixed ages and confidence levels to try together. Built for accessible climbing rather than technical instruction, with 25–26 different challenges, no previous experience needed and sessions suitable from four.</t>
  </si>
  <si>
    <t>Pay On Arrival, Advance Book, Pre-Register</t>
  </si>
  <si>
    <t>4-18</t>
  </si>
  <si>
    <t>Hot Drinks, Comfy Seating / Sofas, Clear Sightlines, Snacks, Sweet treats</t>
  </si>
  <si>
    <t>indoor climbing, climbing walls, speed climbing, Leap of Faith, zip lines, balance challenges, heights challenges, harness climbing</t>
  </si>
  <si>
    <t>Early access introduction, Skill progression, Confidence building, Coordination &amp; balance, Strength &amp; agility, Structured coaching, Mixed-ability sessions, Non-competitive options, Purpose-built facilities, Safe enclosed spaces, All-weather options, Climbing</t>
  </si>
  <si>
    <t>Clip'n'climb Exeter Quay.JPG</t>
  </si>
  <si>
    <t>Cold Harbour Field Kitchen</t>
  </si>
  <si>
    <t>Field kitchen with local produce, freshly cooked food in a relaxed countryside setting. Coldharbour is a great food stop ideal for when you want a simpler setting off the well-trodden path, set against a beautiful backdrop. Cosy in the winter with the log burner, with a well stocked selection of baked treats, and lively on open mic evenings on the deck. It's relaxed, family-friendly feel makes it a unrushed, ideal place to enjoy a meal or coffee.</t>
  </si>
  <si>
    <t>East Hill</t>
  </si>
  <si>
    <t>Slade Rd</t>
  </si>
  <si>
    <t>Ottery Saint Mary</t>
  </si>
  <si>
    <t>EX11 1QL</t>
  </si>
  <si>
    <t>Baby changing, Disabled toilets, Toilets, Outdoor Seating</t>
  </si>
  <si>
    <t>Hot Drinks, Comfy Seating / Sofas, Hot &amp; Cold food, Clear Sightlines, Sweet treats, Log burner, Outdoor terrace</t>
  </si>
  <si>
    <t>panoramic countryside views, outdoor decking, wood-fired pizza, farm shop, children's menu, spacious seating, open-air dining, live music nights</t>
  </si>
  <si>
    <t>Baby Lambs</t>
  </si>
  <si>
    <t>Flexible seating for families, Space for children to move a little, Outdoor seating or garden, Rural or scenic setting</t>
  </si>
  <si>
    <t>XC Buggy</t>
  </si>
  <si>
    <t>Coldharbour Field Kitchen.JPG</t>
  </si>
  <si>
    <t>Combestone Tor</t>
  </si>
  <si>
    <t>Energy Burner, Wilder Adventure</t>
  </si>
  <si>
    <t xml:space="preserve">Combestone Tor gives families one of the quicker ways to reach wide Dartmoor views without committing to a long moorland route. The tor sits only a short distance from its small car park, with open ground, rocks and views down towards the Dart valley creating a strong sense of being on the moor almost immediately. The short access makes it useful for a brief Dartmoor stop, but the surrounding ground is still open, uneven and exposed, so the feel is very different from a surfaced country park walk. It's a perfect spot for a picnic with panoramic views, Dartmoor pony spotting, and the idea setting for exploring, a game of hide and seek or the start point for a simple walk across the moor. </t>
  </si>
  <si>
    <t>PL20 6SE</t>
  </si>
  <si>
    <t>Wildlife Reserve</t>
  </si>
  <si>
    <t>Animal Parks &amp; Zoos</t>
  </si>
  <si>
    <t>Conservation Project</t>
  </si>
  <si>
    <t>Animal Sanctuary</t>
  </si>
  <si>
    <t>tor, rock scrambling, climbing, Dartmoor, panoramic views, Dart valley, moorland, Dartmoor ponies, pixie legend, ancient history, Celtic history, leat, stream, Dartmoor walking</t>
  </si>
  <si>
    <t>Letterboxing, Immersive natural surroundings</t>
  </si>
  <si>
    <t>Reptiles &amp; Exotics</t>
  </si>
  <si>
    <t>Bird of Prey Centre</t>
  </si>
  <si>
    <t>Sling / baby carrier, Infant / toddler carrier, Sturdy footwear, Kite</t>
  </si>
  <si>
    <t>Stables or Yard</t>
  </si>
  <si>
    <t>Combestone.JPG</t>
  </si>
  <si>
    <t>Country Park</t>
  </si>
  <si>
    <t>Cranbrook Country Park</t>
  </si>
  <si>
    <t>Cranbrook Country Park is made up of three meadows: long, stone and great which make up the Country Park. Throughout the Park are winding gravel tracks, perfect for an easy stroll, simple loops on a bike or balance bike, and a number of easy stop-offs dotted throughout; a pump track, outdoor exercise zone, open grassland, woods to explore and numerous cut-throughs into Cranbrook itself. The meadows are home to a large range of biodiverse habitats providing a home to kingfishers, bats, ducks, insects and plants, and the area feels peaceful - with fairly long sightlines for kids that wander a bit further when exploring. The footpath surfaces make it less suited to scooters, and the track type, while flat, can be slippery for new riders so take care. Access to the park can be achieved via a number of entry points, but most park at the Train Station and head in from there.</t>
  </si>
  <si>
    <t>20 Oakbeer Orchard</t>
  </si>
  <si>
    <t>Cranbrook</t>
  </si>
  <si>
    <t>EX5 7BL</t>
  </si>
  <si>
    <t>On-street / nearby parking, Free Car Park, Bike racks / bays</t>
  </si>
  <si>
    <t>BYO Picnic, Bench Seating, Picnic Benches, Dogs Allowed</t>
  </si>
  <si>
    <t>Windy (&gt; X mph), Sunshine, Dry &amp; mild, Dry &amp; cold, Dry &amp; warm, Dry &amp; hot</t>
  </si>
  <si>
    <t>otters, kingfishers, birdwatching, wildlife, pond dipping, dragonflies, damselflies, pump track, nature trails, walking, wildlife spotting, kingfishers, otters, dragonflies, stream paddling, pond dipping, community orchards, open meadows, picnic spots</t>
  </si>
  <si>
    <t>Kingfisher Spotting, Dragonflies &amp; Damselflies</t>
  </si>
  <si>
    <t>Meadows or wild grass, Room to run freely, "Natural play features (logs, slopes, rocks)", Climbable trees, Marked Trails, Streams or ditches, Grassy banks</t>
  </si>
  <si>
    <t>XC Buggy, Binoculars</t>
  </si>
  <si>
    <t>Cranbrook Country Park.JPG</t>
  </si>
  <si>
    <t>Cranbrook Pump Track</t>
  </si>
  <si>
    <t>Energy Burner, Low Effort, Simple Reset</t>
  </si>
  <si>
    <t>Cranbrook Pump Track is a surfaced outdoor circuit in the Stone Meadow area of Cranbrook Country Park, built for bikes, scooters and skates. With rollers, berms and jumps, it gives children and teens a focused place to build confidence, practise control and burn energy, with beginner-friendly use as well as room for more experienced riders.</t>
  </si>
  <si>
    <t xml:space="preserve">Cranbrook Country Park </t>
  </si>
  <si>
    <t>EX5 7ER</t>
  </si>
  <si>
    <t>Windy (&gt; X mph), Overcast / cloudy, Dry &amp; mild, Dry &amp; cold, Dry &amp; warm, Dry &amp; hot</t>
  </si>
  <si>
    <t>scooter track, country park, park trails, pump track, BMX, cycling, scootering, skateboarding, balance biking, country park setting</t>
  </si>
  <si>
    <t>Traffic-free sections, Clear sightlines, Parkland surroundings, "High-adrenaline routes, jumps or terrain", "Natural jumps, ramps or fun features", Stops for snacks or picnics, Short loops, Multiple access points, Easy parking nearby</t>
  </si>
  <si>
    <t>Cranbrook Pump Track.JPG</t>
  </si>
  <si>
    <t>Dartington Trust Gardens</t>
  </si>
  <si>
    <t xml:space="preserve">Dartington is the kind of place that works best when children have a bit of freedom to lead — the gardens are big enough that they don't feel managed, with enormous ancient trees to sit under (and climb in!), grass terraces to roll down, long views and paths that meander without feeling like a fixed route. The children's nature trail gives younger ones a bit of structure and purpose, and the bug hotels, sculptures and hidden corners reward children who like noticing little details. Den building and woodland walks extend the visit for those with a bit more energy, and there's a few simple options to get food without going far within the site, but opening times vary so it's worth packing snacks. It's a good fit for a slower, drifting kind of day rather than a packed itinerary, and the medieval great hall and open-air theatre add a sense of place that older children often pick up on. </t>
  </si>
  <si>
    <t>Dartington Hall</t>
  </si>
  <si>
    <t>Totnes</t>
  </si>
  <si>
    <t>TQ9 6EE</t>
  </si>
  <si>
    <t>Pay On Arrival, Members Only, Advance Book</t>
  </si>
  <si>
    <t>Adult, Young Child, Older Child, Group</t>
  </si>
  <si>
    <t>0-4</t>
  </si>
  <si>
    <t>2A + 6C</t>
  </si>
  <si>
    <t>Guided Tour, Service Dogs Only, Bench Seating, Picnic Benches, Toilets, BYO Picnic</t>
  </si>
  <si>
    <t>Snacks</t>
  </si>
  <si>
    <t>Mud kitchens</t>
  </si>
  <si>
    <t xml:space="preserve">conkers, children's nature trail, bug hotels, den building, woodland walks, ancient trees, sculptures, hidden paths, deer park trails, medieval architecture, outdoor play area, lawn games
</t>
  </si>
  <si>
    <t>Sand, soil, and loose materials</t>
  </si>
  <si>
    <t>Springtime, Autumn colours</t>
  </si>
  <si>
    <t>Den-building materials</t>
  </si>
  <si>
    <t>Bluebells, Birdsong, Daffodills, Autumn Leaves</t>
  </si>
  <si>
    <t>Natural construction zones</t>
  </si>
  <si>
    <t>Mud and puddles</t>
  </si>
  <si>
    <t>Shallow water play (streams, channels)</t>
  </si>
  <si>
    <t>Seasonal foliage, Room to run freely, Meandering paths, Statues &amp; sculptures, Seasonal or curated displays, Children’s Activity Trails, Designed or sculpted landscapes, "Hidden corners, passageways, gates &amp; gardens"</t>
  </si>
  <si>
    <t>Forest school activities</t>
  </si>
  <si>
    <t>Guided outdoor learning prompts</t>
  </si>
  <si>
    <t>Dartington Hall Gardens.JPG</t>
  </si>
  <si>
    <t>Marked Trails</t>
  </si>
  <si>
    <t>Children’s Activity Trails</t>
  </si>
  <si>
    <t>Letterboxing</t>
  </si>
  <si>
    <t>Fossil Hunting</t>
  </si>
  <si>
    <t>Farming school activities</t>
  </si>
  <si>
    <t>Simple tool use (supervised)</t>
  </si>
  <si>
    <t>Fire pits (when part of structured sessions)</t>
  </si>
  <si>
    <t>Immersive natural surroundings</t>
  </si>
  <si>
    <t>Dartmoor National Park Visitor Centre, Postbridge</t>
  </si>
  <si>
    <t>Quiet or low-intervention spaces</t>
  </si>
  <si>
    <t>Enclosed or defined play zones</t>
  </si>
  <si>
    <t>The Dartmoor National Park Visitor Centre in Princetown is a useful starting point when families want the moor to feel more understandable before heading out. It gives children and adults a way into Dartmoor’s landscape, wildlife, history and walking options, with staff information, displays and local guidance helping shape the rest of the visit. Its position in Princetown makes it easy to connect with shorter walks, toilets, cafés and the wider high-moor setting without starting the day completely cold, and it's a stone's throw from many of the Bellever Forest walking routes, and a short walk down the road to the famous Clapper Bridge. The information is thoughtfully curated inside to engage children across all ages, so it's worth a visit if you're new to the moor and want to spark your children's imaginations ahead of walking or exploring.</t>
  </si>
  <si>
    <t>Dartmoor National Park Visitor Centre</t>
  </si>
  <si>
    <t>Seasonal Hours</t>
  </si>
  <si>
    <t>Music &amp; Movement</t>
  </si>
  <si>
    <t>Creative Expression</t>
  </si>
  <si>
    <t>Performative Arts</t>
  </si>
  <si>
    <t>Film or Media</t>
  </si>
  <si>
    <t>Gallery or Exhbit</t>
  </si>
  <si>
    <t>Toilets, Disabled toilets, Baby changing, Picnic Benches, BYO Picnic, Dogs Allowed, Water Refill</t>
  </si>
  <si>
    <t>Activity Sheets or Signs, Clues / games</t>
  </si>
  <si>
    <t>Giftshop</t>
  </si>
  <si>
    <t>Raining / wet, Windy (&gt; X mph), Overcast / cloudy, Stormy / heavy rain / thunderstorms, Dry &amp; cold</t>
  </si>
  <si>
    <t>Bronze Age, archaeology, prehistoric, hut circles, dressing up, hands-on history, interactive exhibits, Dartmoor, nature trails, Dartmoor ponies</t>
  </si>
  <si>
    <t>Guided outdoor learning prompts, Marked Trails, Quiet or low-intervention spaces</t>
  </si>
  <si>
    <t>Dartmoor Visitor Centre Postbridge.JPG</t>
  </si>
  <si>
    <t>Dartmoor Zoo</t>
  </si>
  <si>
    <t>Dartmoor Zoo is a more relaxed, spacious zoo day than some larger attractions, with big personalities, conservation stories and a setting that feels very Dartmoor. It suits animal-focused children who like wandering between enclosures, stopping often and taking things at their own pace. There are play areas, a restaurant and indoor space for under-fives, which helps if younger children need a reset. It is open daily for most of the year, but extreme weather can affect opening, so it’s worth checking before travelling.</t>
  </si>
  <si>
    <t>Sparkwell</t>
  </si>
  <si>
    <t>Plymouth</t>
  </si>
  <si>
    <t>PL7 5DG</t>
  </si>
  <si>
    <t>Skill progression</t>
  </si>
  <si>
    <t>Confidence building</t>
  </si>
  <si>
    <t>Coordination &amp; balance</t>
  </si>
  <si>
    <t>Strength &amp; agility</t>
  </si>
  <si>
    <t>Structured coaching</t>
  </si>
  <si>
    <t>Mixed-ability sessions</t>
  </si>
  <si>
    <t>Team-based</t>
  </si>
  <si>
    <t>Friendly competition</t>
  </si>
  <si>
    <t>Non-competitive options</t>
  </si>
  <si>
    <t>Indoor sports halls</t>
  </si>
  <si>
    <t>Outdoor pitches</t>
  </si>
  <si>
    <t>Purpose-built facilities</t>
  </si>
  <si>
    <t>Safe enclosed spaces</t>
  </si>
  <si>
    <t>All-weather options</t>
  </si>
  <si>
    <t>Swimming</t>
  </si>
  <si>
    <t>Sea-sports</t>
  </si>
  <si>
    <t>Athletics &amp; Running</t>
  </si>
  <si>
    <t>Gymnastics</t>
  </si>
  <si>
    <t>Parkour &amp; freerunning</t>
  </si>
  <si>
    <t>Racquet sports</t>
  </si>
  <si>
    <t>Ninja warrior style courses</t>
  </si>
  <si>
    <t>Assault courses</t>
  </si>
  <si>
    <t>Obstacle courses</t>
  </si>
  <si>
    <t>Aerial / high ropes (indoor)</t>
  </si>
  <si>
    <t>Ball Sports</t>
  </si>
  <si>
    <t>Outdoor Fitness</t>
  </si>
  <si>
    <t>Martial Arts</t>
  </si>
  <si>
    <t>Advance Book, Memberships, Pay On Arrival</t>
  </si>
  <si>
    <t>Dance &amp; Movement</t>
  </si>
  <si>
    <t>Skateboarding</t>
  </si>
  <si>
    <t>Movement skills training</t>
  </si>
  <si>
    <t>0-2</t>
  </si>
  <si>
    <t>65+, Students</t>
  </si>
  <si>
    <t>2A +2C</t>
  </si>
  <si>
    <t>Toilets, Disabled toilets, Service Dogs Only, BYO Picnic</t>
  </si>
  <si>
    <t>Hot Drinks, Hot &amp; Cold food, Snacks, Sweet treats</t>
  </si>
  <si>
    <t>tigers, lions, wolves, lynx, cheetah, bears, meerkats, otters, monkeys, tapir, capybara, raccoons, reptiles, bugs, falconry displays, animal talks, outdoor play areas, den building, climbing frame, woodland setting</t>
  </si>
  <si>
    <t>Close-up viewing, Keeper talks, Multiple species, Rare or exotic animals, Walk-through enclosures, Outdoor animal areas</t>
  </si>
  <si>
    <t>Dartmoor Zoo.JPG</t>
  </si>
  <si>
    <t xml:space="preserve">Dartmouth Harbour </t>
  </si>
  <si>
    <t>Dartmouth's embankment is one of the best family harbour experiences in Devon — colourful, busy and full of things to watch; boats coming and going, ferries crossing to Kingswear, pontoons, river views and the bustle of the town wrapped around the water. Crabbing off the harbour wall is the defining children's activity, with bait available from shops along the embankment and handrails along the flat quayside making it accessible for younger children. Boat trips up the River Dart to Greenway, Totnes and Dittisham run regularly from the embankment, and the passenger ferry across to Kingswear connects to the Dartmouth Steam Railway. Coronation Park, a short walk north of the town centre, adds a play park, sandpit, tennis courts and open space if children need to run around. Dartmouth Castle sits at the river mouth and is worth combining with a visit if older children want something more historically substantial. With beautiful views in most directions, and plenty of harbour activity, it's a simple outing that works well paired with one of the many other options locally within Dartmouth.</t>
  </si>
  <si>
    <t>Mayor's Avenue</t>
  </si>
  <si>
    <t>Dartmouth</t>
  </si>
  <si>
    <t>TQ6 9YY</t>
  </si>
  <si>
    <t>Hot Drinks, Hot &amp; Cold food, Snacks, Drinks stand, Sweet treats, Bookshop, Giftshop</t>
  </si>
  <si>
    <t>crabbing, harbour wall, fishing boats, boat trips, river, River Dart, ferries, steam railway, seals, otters, dolphins, coastal views, castle, medieval history, town exploring, independent shops, seafront walking</t>
  </si>
  <si>
    <t>Crabbing, Estuary edges, Coastal Wildlife, Harbour, Dog Friendly - off lead all year, Boat trips nearby, Toilets nearby, Promenade</t>
  </si>
  <si>
    <t>Fishing rods &amp; bait, Buckets &amp; nets</t>
  </si>
  <si>
    <t>Dartmouth Harbour.jpg</t>
  </si>
  <si>
    <t>Sophie</t>
  </si>
  <si>
    <t>Cafés with Outdoor Space, Easy Pit-Stops</t>
  </si>
  <si>
    <t>Darts Farm Play Area</t>
  </si>
  <si>
    <t xml:space="preserve">Spot many a local parent on a Friday evening, with take-away fish and chips watching their children spend the last of the week's energy on the wooden play area or short farm walk circuit. Darts Farm works well for mixed plans: eat, visit the animal corner, follow the farm walk or look for birds from the wetlands hide, with a well-stocked farm shop loaded with luxury treats and multiple cafés to choose from. </t>
  </si>
  <si>
    <t>Darts Farm</t>
  </si>
  <si>
    <t>Clyst St George</t>
  </si>
  <si>
    <t>EX3 0QH</t>
  </si>
  <si>
    <t>Picnic Benches, Outdoor Seating, Bench Seating, Dogs Allowed, BYO Picnic</t>
  </si>
  <si>
    <t>Ice creams, Outdoor play equipment, "Swings, Slides, Climbing Frames"</t>
  </si>
  <si>
    <t>Hot Drinks, WiFi, Snacks, Drinks stand, Sweet treats, Clear Sightlines, Hot &amp; Cold food</t>
  </si>
  <si>
    <t>animal pens, seasonal maize maze, play equipment, outdoor play equipment, fort, assault course, farm animals, alpacas, sheep, pigs, Ruby Red Devon cattle, nature trail, farm walk, bird hide, wetland wildlife spotting</t>
  </si>
  <si>
    <t>Halloween</t>
  </si>
  <si>
    <t>Pumpkin Patch</t>
  </si>
  <si>
    <t>Toy corner or play table, Outdoor play area nearby, Farm animals nearby, "Shop or browsing area (e.g. farm shop, garden centre)"</t>
  </si>
  <si>
    <t>Darts Farm Park.JPG</t>
  </si>
  <si>
    <t xml:space="preserve">Decoy Country Park gives families lots of options for a lively outdoor trip: lake, woodland, wildlife, play area, picnic space, a splashpad in warmer months and boats that can be hired and taken out on the lake. It’s useful when you want more than a playground but less effort than a big day out, because children can move between climbing, walking, water play and snack stops, and the site isn't vast so nothing is a long walk from the car park. Bikes can be ridden around the trails which are sheltered and shaded, and have the usual large logs and fallen trees to clamber over. The splashpad is the summer make-or-break and runs on a timed daily system, so check it’s running before building the visit around it or prepare to be flexible and move between other options. </t>
  </si>
  <si>
    <t>Monday, Tuesday, Thursday, Wednesday, Friday, Saturday, Sunday</t>
  </si>
  <si>
    <t>Paid Car Park, Disabled parking bays</t>
  </si>
  <si>
    <t>Toilets, Bench Seating, Dogs Allowed, Picnic Benches, Disabled toilets, Outdoor Seating, BYO Picnic</t>
  </si>
  <si>
    <t>Ice creams, Activity trail</t>
  </si>
  <si>
    <t>Dry &amp; hot, Dry &amp; warm, Dry &amp; cold, Dry &amp; mild, Overcast / cloudy, Sunshine</t>
  </si>
  <si>
    <t>splashpad, water jets, tipping buckets, outdoor play equipment, zip wire, swings, climbing frame, slides, lake walk, duck feeding, wildlife spotting, kingfishers, BMX track, kayak hire</t>
  </si>
  <si>
    <t>Living History</t>
  </si>
  <si>
    <t>Open-Air Museum</t>
  </si>
  <si>
    <t>Industrial &amp; Working History</t>
  </si>
  <si>
    <t>Archaeological</t>
  </si>
  <si>
    <t>Cultural Heritage Site</t>
  </si>
  <si>
    <t>Watersports Hire, Seasonal water fun, Fungi, "Berries, Nuts, Conkers", Autumn Leaves, Migrating Birds, Butterflies, Dragonflies &amp; Damselflies</t>
  </si>
  <si>
    <t>Historic Religious Building</t>
  </si>
  <si>
    <t>Climbable trees, Play equipment, Marked Trails, "Natural play features (logs, slopes, rocks)", "Bridges (wooden, stone, suspension)", Scenic backdrops, Countryside views, Room to run freely, Ponds or lakes</t>
  </si>
  <si>
    <t>Towels, Swimming kit, Water shoes, XC Buggy, Sling / baby carrier, Infant / toddler carrier</t>
  </si>
  <si>
    <t>Decoy Park.jpg</t>
  </si>
  <si>
    <t>Decoy Park Splashpad</t>
  </si>
  <si>
    <t>Decoy Country Park is one of those useful all-rounders: a large play area, water play feature, lake, woodland and space to stretch the visit beyond a normal playground stop. The splashpad makes it especially good on warm days when children need cooling off without committing to a beach. Bring spare clothes, towels and a picnic mindset; the water feature is the make-or-break detail, so check seasonal operation before promising it.</t>
  </si>
  <si>
    <t>Decoy Country Park</t>
  </si>
  <si>
    <t>Decoy Road</t>
  </si>
  <si>
    <t>TQ12 1EB</t>
  </si>
  <si>
    <t>Toilets, Disabled toilets, Picnic Benches, Bench Seating, BYO Picnic</t>
  </si>
  <si>
    <t>Dry &amp; hot, Dry &amp; warm, Sunshine</t>
  </si>
  <si>
    <t>30-60mins, Under 30mins, 1-2hrs, 2-3hrs</t>
  </si>
  <si>
    <t>Paddling spots, Splash-friendly areas, Opportunities to explore</t>
  </si>
  <si>
    <t>Towels, Swimming kit, Water shoes, Warm change of clothes</t>
  </si>
  <si>
    <t>Decoy Park Splashpad.jpg</t>
  </si>
  <si>
    <t>Donkey Sanctuary</t>
  </si>
  <si>
    <t>Simple Reset, Low Effort, Special Day Out</t>
  </si>
  <si>
    <t>The Donkey Sanctuary near Sidmouth is a brilliant free full-day family days out in Devon, with hundreds of rescued donkeys and mules living across the grounds, each with their own name and story. Children can meet them along the open-access paths, watch keeper sessions and learn about the charity's work worldwide. Beyond the donkeys there's a hedge maze, a children's play area, exhibitions and regular seasonal events, with a café and shop near the entrance and a couple of drinks/ice cream stands throughout the site. The setting adds views and open space on top of the animals, and there is a footpath that heads down to the nearby cove if energy levels are high enough. It's not a zoo or a farm park — it's calmer and more purposeful than that — which makes it a particularly good fit for children who respond well to animals and slower, less hectic environments.</t>
  </si>
  <si>
    <t>Slade House Farm</t>
  </si>
  <si>
    <t>Weston</t>
  </si>
  <si>
    <t>EX10 0NU</t>
  </si>
  <si>
    <t>Christmas Day, Boxing Day</t>
  </si>
  <si>
    <t>Free Car Park, Disabled parking bays, Bike racks / bays</t>
  </si>
  <si>
    <t>Toilets, Disabled toilets, Baby changing, Picnic Benches, Indoor Seating, Outdoor Seating, Dogs Allowed, BYO Picnic</t>
  </si>
  <si>
    <t>Outdoor play equipment, "Swings, Slides, Climbing Frames", Ice creams, Activity trail</t>
  </si>
  <si>
    <t>Hot Drinks, Hot &amp; Cold food, Snacks, Sweet treats, Drinks stand, Giftshop</t>
  </si>
  <si>
    <t>Overcast / cloudy, Dry &amp; mild, Dry &amp; cold, Dry &amp; warm, Dry &amp; hot</t>
  </si>
  <si>
    <t>2-3hrs, 1-2hrs, 30-60mins</t>
  </si>
  <si>
    <t xml:space="preserve">donkeys, maze, conservation, animal rescue, animal welfare, coastal walks, tranquil gardens, sensory trail, farm animals, animal education talks, petting animals, rescue animals, hedge maze, nature trails, outdoor play area, woodland walks, animal talks, exhibits
</t>
  </si>
  <si>
    <t>Close-up viewing, Animal Sanctuary, Conservation, Keeper talks, Children’s Activity Trails, Animal feeding, Hands-on Petting</t>
  </si>
  <si>
    <t>Pram / buggy (road surfaces), XC Buggy, Sling / baby carrier, Infant / toddler carrier, Sturdy footwear</t>
  </si>
  <si>
    <t>Donkey Sanctuary.JPG</t>
  </si>
  <si>
    <t>Exeter Arena Skate Park</t>
  </si>
  <si>
    <t xml:space="preserve">Exeter Arena Skate Park is a proper concrete skate spot sitting alongside the enormous carpark for the main athletics arena. With features that make it suitable from absolute beginners through to semi-professional riders, it's particularly useful if you’ve got children building confidence as well as older ones who want more challenge. It’s best for scooters, skateboards and BMX on dry days, and because it’s near the Arena rather than a playground, I’d treat it as a focused wheels session rather than a wider family. Not a scenic spot, its unsuited to picnics but with playing fields and a park nearby, it can work for these occasions if you're willing to walk a little further afield.  </t>
  </si>
  <si>
    <t>Exeter Arena</t>
  </si>
  <si>
    <t>Summer Lane</t>
  </si>
  <si>
    <t>EX4 8DD</t>
  </si>
  <si>
    <t>09:0</t>
  </si>
  <si>
    <t>Free Car Park, Disabled parking bays</t>
  </si>
  <si>
    <t>Bench Seating, Indoor Seating, Dogs Allowed, BYO Picnic</t>
  </si>
  <si>
    <t>Rivers &amp; streams</t>
  </si>
  <si>
    <t>Natural paddling spots</t>
  </si>
  <si>
    <t>Lakes &amp; reservoirs</t>
  </si>
  <si>
    <t>Beaches or coves</t>
  </si>
  <si>
    <t>Rockpools</t>
  </si>
  <si>
    <t>Cliffs &amp; headlands</t>
  </si>
  <si>
    <t>Ancient trees</t>
  </si>
  <si>
    <t>Bridges (wooden, stone, suspension)</t>
  </si>
  <si>
    <t>Stepping stones</t>
  </si>
  <si>
    <t>Caves or rock formations</t>
  </si>
  <si>
    <t>Panoramic views</t>
  </si>
  <si>
    <t>Sunshine, Windy (&gt; X mph), Overcast / cloudy, Dry &amp; mild, Dry &amp; warm, Dry &amp; cold, Dry &amp; hot</t>
  </si>
  <si>
    <t>Countryside views</t>
  </si>
  <si>
    <t>Elevated viewpoints</t>
  </si>
  <si>
    <t>skateboarding, BMX, scootering, large bowl, quarter pipes, hips, rails, ledges, funbox, jersey barrier, flat bank, street skating, transition skating</t>
  </si>
  <si>
    <t>Scenic valleys</t>
  </si>
  <si>
    <t>Wildlife spotting</t>
  </si>
  <si>
    <t>Ruins or historic features</t>
  </si>
  <si>
    <t>Mixed-difficulty zones, Clear sightlines for adults, Quarter pipes, Street skating features</t>
  </si>
  <si>
    <t>Exeter Arena Skate Park.JPG</t>
  </si>
  <si>
    <t>Exeter Bike Park</t>
  </si>
  <si>
    <t xml:space="preserve">Exeter Bike Park is a purpose-built mountain bike park on a steep hillside near Exminster, with short downhill-style trails, wooden features, jump lines and a push-up back to the top. This is not a gentle family cycle path; it's a brilliant, white-knuckle track aimed at riders who already have some control, confidence and interest in mountain biking, BMX or dirt jumping. It's most suited to older children and teens who are confident on their bikes to enjoy the repeated runs and progression feel; not best-suited to younger or inexperienced riders but would inspire those watching from the well-placed cafe cabin on site. </t>
  </si>
  <si>
    <t>Exeter bike park</t>
  </si>
  <si>
    <t>Days Pottles Lane</t>
  </si>
  <si>
    <t>EX6 8BB</t>
  </si>
  <si>
    <t>Tuesday, Friday, Saturday, Sunday</t>
  </si>
  <si>
    <t>Seasonal opening hours</t>
  </si>
  <si>
    <t>8-17</t>
  </si>
  <si>
    <t>Toilets, Picnic Benches, Outdoor Seating, BYO Picnic</t>
  </si>
  <si>
    <t>Clear Sightlines, Snacks, Sweet treats, Log burner, Outdoor terrace</t>
  </si>
  <si>
    <t>mountain biking, bike jumps, bike drops</t>
  </si>
  <si>
    <t>Autumn, Halloween</t>
  </si>
  <si>
    <t>Skill progression, Confidence building, Strength &amp; agility, Purpose-built facilities, Safe enclosed spaces, Non-competitive options</t>
  </si>
  <si>
    <t>Exeter Bike Park.jpeg</t>
  </si>
  <si>
    <t>Ellis (Bike Park owner) via Typeform</t>
  </si>
  <si>
    <t>Exminster Driving Range</t>
  </si>
  <si>
    <t xml:space="preserve">Exminster Driving Range is a useful active stop for children who want to try golf without committing to a full course or formal lesson. The centre has a 16-bay floodlit covered driving range, with clubs for hire, a pro shop, changing rooms, and a bar and restaurant open to the public. It suits teens or sporty younger children with adult help — especially on damp days when you still want something outside but sheltered. It could work as a first-taster activity, and a simple, contained outing to expel some energy on a day where you'd really rather be outside but the weather isn't cooperating. </t>
  </si>
  <si>
    <t>Exminster Hill</t>
  </si>
  <si>
    <t>EX6 8GA</t>
  </si>
  <si>
    <t>(Fixed) Child, Adult</t>
  </si>
  <si>
    <t>£24.00-£48.00</t>
  </si>
  <si>
    <t>Toilets, Indoor Seating</t>
  </si>
  <si>
    <t>Wide pathways</t>
  </si>
  <si>
    <t>Hot Drinks, Hot &amp; Cold food, Snacks</t>
  </si>
  <si>
    <t>Clear sightlines</t>
  </si>
  <si>
    <t>Riverside stretches</t>
  </si>
  <si>
    <t>Canal views</t>
  </si>
  <si>
    <t>Parkland surroundings</t>
  </si>
  <si>
    <t>Coastal promenades</t>
  </si>
  <si>
    <t>Bridges and landmarks</t>
  </si>
  <si>
    <t>Natural jumps, ramps or fun features</t>
  </si>
  <si>
    <t>Scooter-friendly</t>
  </si>
  <si>
    <t>High-adrenaline routes, jumps or terrain</t>
  </si>
  <si>
    <t>Points of interest along the way</t>
  </si>
  <si>
    <t>Play areas en route</t>
  </si>
  <si>
    <t>Stops for snacks or picnics</t>
  </si>
  <si>
    <t>Short loops</t>
  </si>
  <si>
    <t>Multiple access points</t>
  </si>
  <si>
    <t>Easy parking nearby</t>
  </si>
  <si>
    <t>Dry &amp; mild, Dry &amp; cold, Dry &amp; warm, Dry &amp; hot, Overcast / cloudy, Sunshine, Raining / wet, Snow / sleet / ice</t>
  </si>
  <si>
    <t>Cafés or facilities along the route</t>
  </si>
  <si>
    <t>driving range, golf lessons, 9-hole golf course, pay and play golf, beginner golf, Exe Estuary views</t>
  </si>
  <si>
    <t>Skill progression, Early access introduction, Confidence building, Non-competitive options, All-weather options, Safe enclosed spaces</t>
  </si>
  <si>
    <t>Exminster Driving Range.JPG</t>
  </si>
  <si>
    <t>Sandy Beach, RNLI Beach, Dog-Friendly Beach</t>
  </si>
  <si>
    <t>Exmouth Beach</t>
  </si>
  <si>
    <t>A broad sandy beach with a long, level promenade, watersports, rock pooling and easy food stops close by. Exmouth Beach offers plenty of variety to shape a visit: sandcastles and paddling on the beach, a seafront walk with scooters or buggies, rock pooling at the right tide, and watersports or adventure golf for older children.</t>
  </si>
  <si>
    <t>Queen's Drive</t>
  </si>
  <si>
    <t>Toilets, Bench Seating, Dogs Allowed, BYO Picnic</t>
  </si>
  <si>
    <t>Hot Drinks, Clear Sightlines, Hot &amp; Cold food, Drinks stand, Sweet treats</t>
  </si>
  <si>
    <t>Windy (&gt; X mph), Sunshine, Snow / sleet / ice, Overcast / cloudy, Dry &amp; mild, Dry &amp; cold, Dry &amp; warm, Dry &amp; hot</t>
  </si>
  <si>
    <t>30-60mins, 1-2hrs, 2-3hrs, 4+ hours, Whole Day</t>
  </si>
  <si>
    <t>rockpools, sandy beach, rock pooling, swimming, sandcastles, watersports, bodyboarding, seafront promenade, beach huts, fairground rides, adventure golf, crabbing</t>
  </si>
  <si>
    <t>Rockpools, Shell or seaglass collecting, Diggable sand (Sandcastles), Shallow paddling, Swimming, Slipway, Kayaking / SUP, Seasonally Lifeguarded, Toilets nearby, Boat trips nearby, Beach Cafe, Promenade, Dog Friendly - seasonal leads, Equipment Hire, Watersports Lessons</t>
  </si>
  <si>
    <t>Exmouth Beach.jpg</t>
  </si>
  <si>
    <t>Library or Reading Nook</t>
  </si>
  <si>
    <t>Exmouth Library</t>
  </si>
  <si>
    <t>Toy corner or play table</t>
  </si>
  <si>
    <t>Simple Reset, Low Effort, Moment of Peace</t>
  </si>
  <si>
    <t>Puzzles or games</t>
  </si>
  <si>
    <t>Colouring</t>
  </si>
  <si>
    <t>Exmouth Library is a lovely indoor fallback with more family value than just borrowing books; the children's area is particularly well-stocked and with puzzles, board games, colouring and fancy dress all within the space, it can also make for an free, low-key trip out on a wet weather day. A sofa, wifi, free computers and simple donation-based refreshments (tea, coffee, squash) also make for a quick reprieve for accompanying adults. It's a calm, incredibly friendly space, with the children's area off to a flank making it feel less conspicuous than most libraries for when the kids get a little louder! A regular rotation of events also run, including the annual Summer Reading Challenge which often has a great prize for completion.</t>
  </si>
  <si>
    <t>Space to run around</t>
  </si>
  <si>
    <t>40 Exeter Road</t>
  </si>
  <si>
    <t>Outdoor play area nearby</t>
  </si>
  <si>
    <t>Farm animals nearby</t>
  </si>
  <si>
    <t>EX8 1PS</t>
  </si>
  <si>
    <t>Shop or browsing area (e.g. farm shop, garden centre)</t>
  </si>
  <si>
    <t>Monday, Tuesday, Thursday, Friday, Saturday</t>
  </si>
  <si>
    <t>Book swap or exchange library</t>
  </si>
  <si>
    <t>Bank holidays</t>
  </si>
  <si>
    <t>Closed</t>
  </si>
  <si>
    <t>On-street / nearby parking, Disabled parking bays</t>
  </si>
  <si>
    <t>Activity Sheets or Signs, "Indoor games (puzzles, boards)", Indoor Play Space, Colouring</t>
  </si>
  <si>
    <t>Hot Drinks, WiFi, Clear Sightlines, Comfy Seating / Sofas</t>
  </si>
  <si>
    <t>Sunshine, Overcast / cloudy, Dry &amp; mild, Dry &amp; cold, Dry &amp; warm, Dry &amp; hot, Windy (&gt; X mph), Raining / wet, Snow / sleet / ice, Stormy / heavy rain / thunderstorms</t>
  </si>
  <si>
    <t>children's books, storytime sessions, Bounce and Rhyme, Lego Club, Coderdojo Club, craft events, free computer access, free WiFi</t>
  </si>
  <si>
    <t>Toy corner or play table, Puzzles or games, Colouring, Book swap or exchange library</t>
  </si>
  <si>
    <t>Exmouth Library.JPG</t>
  </si>
  <si>
    <t>Exton Play Area</t>
  </si>
  <si>
    <t xml:space="preserve">A small well-maintained village play park situated alongside the beautiful Exe Estuary area, a stone's throw from the Exe Estuary Trail and Exton Train Station, making it ideal for a quick pitstop on a bike ride, or an easy destination to combine with a scenic walk or train ride. </t>
  </si>
  <si>
    <t>Long View</t>
  </si>
  <si>
    <t>EX3 0TR</t>
  </si>
  <si>
    <t>Immersive settings</t>
  </si>
  <si>
    <t>Dressing Up Clothes</t>
  </si>
  <si>
    <t>Ride-on vehicles or toys</t>
  </si>
  <si>
    <t>Narrative backdrops</t>
  </si>
  <si>
    <t>Role-based scenarios</t>
  </si>
  <si>
    <t>Character-led play</t>
  </si>
  <si>
    <t>Story-led experiences</t>
  </si>
  <si>
    <t>Mission or quest elements</t>
  </si>
  <si>
    <t>Problem-solving within a storyline</t>
  </si>
  <si>
    <t>Cooperative scenarios</t>
  </si>
  <si>
    <t>Group problem-solving</t>
  </si>
  <si>
    <t>Shared imaginative space</t>
  </si>
  <si>
    <t>Social role negotiation</t>
  </si>
  <si>
    <t>Open-ended play structure</t>
  </si>
  <si>
    <t>"Swings, Slides, Climbing Frames", Zip Line, Outdoor play equipment</t>
  </si>
  <si>
    <t>zip line, swings, apple trees, slide, football field</t>
  </si>
  <si>
    <t>Fruit Picking</t>
  </si>
  <si>
    <t>Zip wires, Fireman’s poles, Tunnels and crawl spaces, Balance elements, Climbing frames</t>
  </si>
  <si>
    <t>Exton Children's Play Area.JPG</t>
  </si>
  <si>
    <t>Conservation Project, Animal Sanctuary</t>
  </si>
  <si>
    <t>Ferne Animal Sanctuary</t>
  </si>
  <si>
    <t>Flexible seating for families</t>
  </si>
  <si>
    <t>Space for children to move a little</t>
  </si>
  <si>
    <t>Play area or outdoor play space</t>
  </si>
  <si>
    <t>Relaxed, family-welcoming feel</t>
  </si>
  <si>
    <t>Outdoor seating or garden</t>
  </si>
  <si>
    <t>Rural or scenic setting</t>
  </si>
  <si>
    <t>On-site grounds to explore</t>
  </si>
  <si>
    <t>Ferne Animal Sanctuary gives families a simpler animal-focused visit, with the Visitor Centre leading into sanctuary grounds, seasonal trails and children’s activities. The important difference from a zoo or farm park is that this is a working animal sanctuary, so the day is shaped by the animals’ needs and therefore not every animal can be guaranteed to be on show within their enclosures; but with over 300 animals being cared for there is always something to spot despite this being varied visit to visit. The setting itself offers beautiful countryside views, and in the sunnier months there is plenty of shades spots that work for a picnic. It's unfussy setting lends itself to a calmer visit without the usual over-excited dashing about between enclosures of a bigger animal park; you can take time to walk through the paths, slow down to look for the smaller details that are thoughtfully positioned along the way. The Creative Corner room is a highlight for many children, offering free creative activities and friendly, enthusiastic instruction from the staff on whichever animal-themed crafts they have running each week throughout the school holidays - it's worth checking out of holiday-season as they tend to run on a varied timetable the rest of the year (Tue-Sat 11:00-15:00 during holidays, varied out of season). It's a lovely trip out, more of a half-day affair than a full day, but one that younger children are likely to come away from having engaged their imaginations and curiosity, and older children genuinely engaged and learnt from the setting and their knowledgable staff.</t>
  </si>
  <si>
    <t>Farm animals or gardens</t>
  </si>
  <si>
    <t>Wambrook</t>
  </si>
  <si>
    <t>TA20 3DH</t>
  </si>
  <si>
    <t>Christmas Day, Boxing Day, and New Year's Day.</t>
  </si>
  <si>
    <t>(Fixed) Child, Adult, Group, Baby</t>
  </si>
  <si>
    <t>5-16</t>
  </si>
  <si>
    <t>17+</t>
  </si>
  <si>
    <t>Toilets, Disabled toilets, BYO Picnic, Dogs Allowed, Guided Tour</t>
  </si>
  <si>
    <t>Ice creams, Activity Sheets or Signs, Activity trail, "Indoor games (puzzles, boards)", Outdoor play equipment, Indoor Play Space, "Swings, Slides, Climbing Frames"</t>
  </si>
  <si>
    <t>Hot Drinks, Hot &amp; Cold food, Snacks, Giftshop, Comfy Seating / Sofas</t>
  </si>
  <si>
    <t>animal sanctuary, rescue animals, dogs, cats, horses, ponies, goats, sheep, pigs, donkeys, exotic birds, rabbits, guinea pigs, chinchillas, nature trail, ponds, children's play area, craft activities, conservation, history, countryside views, dog friendly</t>
  </si>
  <si>
    <t>Wildflower Meadows, Butterflies, Dragonflies &amp; Damselflies</t>
  </si>
  <si>
    <t>Close-up viewing, Animal Sanctuary, Conservation, Outdoor animal areas, Marked Trails, Children’s Activity Trails</t>
  </si>
  <si>
    <t>Fearne Animal Sanctuary.JPG</t>
  </si>
  <si>
    <t>Finlake Falls Flumes &amp; Rides</t>
  </si>
  <si>
    <t>The waterpark side of Finlake is what turns the pool into a proper day out — tube slides, flumes, an outdoor pool and splash zones that open seasonally from Easter through summer. Day passes cover both the indoor pool and the rides in one, and local family memberships make the price feel much more reasonable across a summer. Booking ahead is essential, height restrictions apply to the slides (generally suited to age 8 and over), and the outdoor pool and rides are seasonal, so check what's running before building the visit around the full waterpark experience.</t>
  </si>
  <si>
    <t>Finlake Resort &amp; Spa</t>
  </si>
  <si>
    <t>Barley Lane</t>
  </si>
  <si>
    <t>TQ13 0EJ</t>
  </si>
  <si>
    <t>Animals or animal experiences</t>
  </si>
  <si>
    <t>Live shows or performances</t>
  </si>
  <si>
    <t>Large interactive exhibits</t>
  </si>
  <si>
    <t>Immersive or themed environments</t>
  </si>
  <si>
    <t>Meet &amp; greet characters or people</t>
  </si>
  <si>
    <t>Hands-on activities</t>
  </si>
  <si>
    <t>Discovery trails</t>
  </si>
  <si>
    <t>Challenges or missions</t>
  </si>
  <si>
    <t>Play or activity zones</t>
  </si>
  <si>
    <t>Landmark features</t>
  </si>
  <si>
    <t>Iconic structures or rides</t>
  </si>
  <si>
    <t>Water features</t>
  </si>
  <si>
    <t>Scenic or dramatic settings</t>
  </si>
  <si>
    <t>Themed trails (e.g. Halloween, Christmas, Easter)</t>
  </si>
  <si>
    <t>Memberships, Advance Book, Pay On Arrival</t>
  </si>
  <si>
    <t>Baby, (Fixed) Child, Adult</t>
  </si>
  <si>
    <t>Disabled toilets, Baby changing, Showers / changing facilities, Indoor Seating, Outdoor Seating, Bench Seating</t>
  </si>
  <si>
    <t>Hot Drinks, Snacks, Hot &amp; Cold food</t>
  </si>
  <si>
    <t xml:space="preserve">holiday park, swimming pool, splash zone, water play, indoor swimming pool, water flumes, outdoor swimming pool, toddler splash zone, beach-entry pool, water slides, watersports hub
</t>
  </si>
  <si>
    <t>Seasonal water fun</t>
  </si>
  <si>
    <t>Seaweed beds</t>
  </si>
  <si>
    <t>Instructor support, Splash-friendly areas, Water slides, Water rides</t>
  </si>
  <si>
    <t>Shell or seaglass collecting</t>
  </si>
  <si>
    <t>Crabbing</t>
  </si>
  <si>
    <t>Finlake Pool.JPG</t>
  </si>
  <si>
    <t>Diggable sand (Sandcastles)</t>
  </si>
  <si>
    <t>Smooth pebbles</t>
  </si>
  <si>
    <t>Shallow paddling</t>
  </si>
  <si>
    <t>Streams or channels</t>
  </si>
  <si>
    <t>Coves &amp; inlets</t>
  </si>
  <si>
    <t>Rock formations</t>
  </si>
  <si>
    <t>Cliffs Or Headlands</t>
  </si>
  <si>
    <t>Caves</t>
  </si>
  <si>
    <t>Sand dunes</t>
  </si>
  <si>
    <t>Estuary edges</t>
  </si>
  <si>
    <t>Coastal Wildlife</t>
  </si>
  <si>
    <t>Finlake Falls Main Pool</t>
  </si>
  <si>
    <t>Equipment Hire</t>
  </si>
  <si>
    <t>Watersports Lessons</t>
  </si>
  <si>
    <t>Surfing</t>
  </si>
  <si>
    <t>Bodyboarding</t>
  </si>
  <si>
    <t>Finlake's indoor heated pool is open year-round and available to day visitors as well as those staying on the holiday park, with session passes and memberships available to local families. It's a proper swimming pool rather than a splash zone — lane options, swimming lessons and a calmer water environment make it useful for children working on their swimming or families who want a more focused pool session. Booking ahead is usually required, so plan it in advance rather than treating it as a spontaneous stop.</t>
  </si>
  <si>
    <t>Kayaking / SUP</t>
  </si>
  <si>
    <t>Slipway</t>
  </si>
  <si>
    <t>Harbour</t>
  </si>
  <si>
    <t>Seasonally Lifeguarded</t>
  </si>
  <si>
    <t>Dog Friendly - seasonal leads</t>
  </si>
  <si>
    <t>Dog Friendly - off lead all year</t>
  </si>
  <si>
    <t>Boat trips nearby</t>
  </si>
  <si>
    <t>Toilets nearby</t>
  </si>
  <si>
    <t>Beach Cafe</t>
  </si>
  <si>
    <t>Promenade</t>
  </si>
  <si>
    <t>Deep water or plunge pools</t>
  </si>
  <si>
    <t>Paddling spots</t>
  </si>
  <si>
    <t>Natural Swimming Spots</t>
  </si>
  <si>
    <t>Sheltered or shaded options</t>
  </si>
  <si>
    <t>Predictable tides or flow</t>
  </si>
  <si>
    <t>Instructor support, Splash-friendly areas</t>
  </si>
  <si>
    <t>Lifeguarded areas (where applicable)</t>
  </si>
  <si>
    <t>Instructor support</t>
  </si>
  <si>
    <t>Splash-friendly areas</t>
  </si>
  <si>
    <t>Opportunities to explore</t>
  </si>
  <si>
    <t>Fishing licenses; fishing spot</t>
  </si>
  <si>
    <t>Jetty</t>
  </si>
  <si>
    <t>River access for small boats or paddleboards</t>
  </si>
  <si>
    <t>White water for experienced kayaking</t>
  </si>
  <si>
    <t>Kayaking</t>
  </si>
  <si>
    <t>Rowing boats or small crafts</t>
  </si>
  <si>
    <t>Paddleboarding</t>
  </si>
  <si>
    <t>Lakes or reservoirs</t>
  </si>
  <si>
    <t>Rivers or estuaries</t>
  </si>
  <si>
    <t>Funder Park</t>
  </si>
  <si>
    <t>Special Day Out, Energy Burner</t>
  </si>
  <si>
    <t>Funder Park at Dawlish Warren is a classic seaside funfair-style stop; colour, noise and rides everywhere, for a quick or extneded trip full of quick bursts of excitement. It has a pirate theme, free entry and token-based rides, which helps families manage budget and only pay for what children actually want to do. Attractions include a younger-child rollercoaster, pirate ship, bumper boats, mini go-karts, adventure golf, bigger go-karts, arcade games and prize stalls. It's by no means a calm day out but could pair well with a trip to Dawlish Warren beach, with a fun, higher energy follow-on alongside. Seasonal timings may vary depending on weather.</t>
  </si>
  <si>
    <t>Blue Flag Beach</t>
  </si>
  <si>
    <t>Beach Road</t>
  </si>
  <si>
    <t>Coasteering</t>
  </si>
  <si>
    <t>Raft Building</t>
  </si>
  <si>
    <t>Splash Pads / Sprinklers</t>
  </si>
  <si>
    <t>Dawlish</t>
  </si>
  <si>
    <t>Water slides</t>
  </si>
  <si>
    <t>EX7 0NE</t>
  </si>
  <si>
    <t>Inflatables</t>
  </si>
  <si>
    <t>Wave machines</t>
  </si>
  <si>
    <t>Water rides</t>
  </si>
  <si>
    <t>Woodland or countryside setting</t>
  </si>
  <si>
    <t>Ride on Vehicles, Outdoor play equipment, "Swings, Slides, Climbing Frames", Ice creams</t>
  </si>
  <si>
    <t>Snacks, Drinks stand</t>
  </si>
  <si>
    <t>fairground rides, pirate ship, caterpillar roller coaster, go karts, trampolines, slides, crazy golf, token rides, seafront location</t>
  </si>
  <si>
    <t>Climbing frames</t>
  </si>
  <si>
    <t>Balance elements</t>
  </si>
  <si>
    <t>Scramble nets</t>
  </si>
  <si>
    <t>Stepping obstacles</t>
  </si>
  <si>
    <t>Towers and platforms</t>
  </si>
  <si>
    <t>Rides &amp; attractions</t>
  </si>
  <si>
    <t>Slides</t>
  </si>
  <si>
    <t>Zip wires</t>
  </si>
  <si>
    <t>Fireman's poles</t>
  </si>
  <si>
    <t>Funder Park.JPG</t>
  </si>
  <si>
    <t>Ropes &amp; aerial adventures</t>
  </si>
  <si>
    <t>Climbing rocks or bouldering</t>
  </si>
  <si>
    <t>Climbing wall</t>
  </si>
  <si>
    <t>Rope swings</t>
  </si>
  <si>
    <t>Abseiling or high ropes</t>
  </si>
  <si>
    <t>Fort-style structures</t>
  </si>
  <si>
    <t>Lookout points</t>
  </si>
  <si>
    <t>Tunnels and crawl spaces</t>
  </si>
  <si>
    <t>Mixed-difficulty zones</t>
  </si>
  <si>
    <t>Enclosed adventure zones</t>
  </si>
  <si>
    <t>Clear sightlines for adults</t>
  </si>
  <si>
    <t>Orienteering</t>
  </si>
  <si>
    <t>Water play features</t>
  </si>
  <si>
    <t>Swings</t>
  </si>
  <si>
    <t>Geoplay Seafront Park</t>
  </si>
  <si>
    <t>Basket / nest swings</t>
  </si>
  <si>
    <t>Roundabouts</t>
  </si>
  <si>
    <t>Seesaws</t>
  </si>
  <si>
    <t>Springers / rockers</t>
  </si>
  <si>
    <t>Ground trampolines</t>
  </si>
  <si>
    <t>Paignton’s Geoplay Park is a big, free seafront play park that feels more like a proper destination than a quick swing stop. It has more than 30 pieces of equipment, with different zones for different ages and play styles, including toddler play, climbing, spinning and geology-themed features that give older children something to notice too. Its location on Paignton Sands is the real parent win: you can combine play with the beach, pier, promenade, cafés, crazy golf or a picnic, making it easy to scale the visit up or down depending on weather and energy. Perfect for when children need a proper burst of active play.</t>
  </si>
  <si>
    <t>Sand play area</t>
  </si>
  <si>
    <t>Esplanade Road</t>
  </si>
  <si>
    <t>Mud kitchen</t>
  </si>
  <si>
    <t>Den building area</t>
  </si>
  <si>
    <t>Log balance trail</t>
  </si>
  <si>
    <t>Paignton</t>
  </si>
  <si>
    <t>Natural boulders</t>
  </si>
  <si>
    <t>TQ4 6BE</t>
  </si>
  <si>
    <t>Stream or water channel</t>
  </si>
  <si>
    <t>Wooded setting</t>
  </si>
  <si>
    <t>Open grass / running space</t>
  </si>
  <si>
    <t>Bowl</t>
  </si>
  <si>
    <t>Quarter pipes</t>
  </si>
  <si>
    <t>Street skating features</t>
  </si>
  <si>
    <t>Pump track</t>
  </si>
  <si>
    <t>BMX track</t>
  </si>
  <si>
    <t>Dirt jumps</t>
  </si>
  <si>
    <t>Wheelchair accessible equipment</t>
  </si>
  <si>
    <t>Inclusive swings</t>
  </si>
  <si>
    <t>Sensory play features</t>
  </si>
  <si>
    <t>Picnic Benches, BYO Picnic, Bench Seating, Dogs Allowed</t>
  </si>
  <si>
    <t>Seasonal foliage</t>
  </si>
  <si>
    <t>Seasonal or curated displays</t>
  </si>
  <si>
    <t>Water Features or Fountains</t>
  </si>
  <si>
    <t>Meadows &amp; wild grass</t>
  </si>
  <si>
    <t>Lakes or wildlife ponds</t>
  </si>
  <si>
    <t>Room to run freely</t>
  </si>
  <si>
    <t>Open sightlines</t>
  </si>
  <si>
    <t>Vegetable gardens &amp; growing spaces</t>
  </si>
  <si>
    <t>Meandering paths</t>
  </si>
  <si>
    <t>Hidden corners, passageways, gates &amp; gardens</t>
  </si>
  <si>
    <t>Garden “rooms”</t>
  </si>
  <si>
    <t>Bug hotels, discovery boards</t>
  </si>
  <si>
    <t>Bird Hydes &amp; Viewing Platforms</t>
  </si>
  <si>
    <t>Historic features</t>
  </si>
  <si>
    <t>Statues &amp; sculptures</t>
  </si>
  <si>
    <t>Maze</t>
  </si>
  <si>
    <t>Greenhouses &amp; tropical plants</t>
  </si>
  <si>
    <t>Biomes &amp; unusual environment</t>
  </si>
  <si>
    <t>Conservation displays or learning</t>
  </si>
  <si>
    <t>outdoor play equipment, zip wire, giant climbing net, sandpit, water play channel, sand and water digging, toddler play area, trilobite ride, swings, trampoline, spinner bowls, geology-themed play, seafront location</t>
  </si>
  <si>
    <t>Towers and platforms, Ropes &amp; aerial adventures, Lookout points, Tunnels and crawl spaces, Scramble nets, Balance elements, Climbing frames, Fort-style structures, Mixed-difficulty zones</t>
  </si>
  <si>
    <t>Geoplay Park.JPG</t>
  </si>
  <si>
    <t>Farm or Smallholding</t>
  </si>
  <si>
    <t>Greendale Farm Animal Trail</t>
  </si>
  <si>
    <t>Greendale Farm’s Animal Trail is a free, pushchair-friendly farm walk starting from the farm shop. Children can spot animals including alpacas, donkeys, pigs, Highland cattle, ducks and Oscar the ostrich, making it an easy add-on to food, shopping or a low-key pitstop rather than a full-scale farm park day out.</t>
  </si>
  <si>
    <t>Greendale Farm Shop</t>
  </si>
  <si>
    <t>Sidmouth Road</t>
  </si>
  <si>
    <t>Farringdon</t>
  </si>
  <si>
    <t>EX5 2JU</t>
  </si>
  <si>
    <t>Ponds or lakes</t>
  </si>
  <si>
    <t>Duck Ponds</t>
  </si>
  <si>
    <t>Streams or ditches</t>
  </si>
  <si>
    <t>Scenic backdrops</t>
  </si>
  <si>
    <t>Rolling landscapes</t>
  </si>
  <si>
    <t>Natural play features (logs, slopes, rocks)</t>
  </si>
  <si>
    <t>Climbable trees</t>
  </si>
  <si>
    <t>Grassy banks</t>
  </si>
  <si>
    <t>Small hills / mounds</t>
  </si>
  <si>
    <t>Play equipment</t>
  </si>
  <si>
    <t>Football or Rugby Posts</t>
  </si>
  <si>
    <t>Toilets, Indoor Seating, Outdoor Seating, Picnic Benches, BYO Picnic</t>
  </si>
  <si>
    <t>Ice creams, Outdoor play equipment</t>
  </si>
  <si>
    <t>Hot Drinks, WiFi, Hot &amp; Cold food, Drinks stand, Snacks</t>
  </si>
  <si>
    <t>farm animals, ostrich, ponies, black swans, emus, wallabies, deer, goats, donkeys, highland cattle, chickens, ducks, vintage tractors, pushchair-friendly trail, children's menu, outdoor play area</t>
  </si>
  <si>
    <t>Close-up viewing, Outdoor animal areas</t>
  </si>
  <si>
    <t>Greendale Farm.JPG</t>
  </si>
  <si>
    <t>Greendale Farm Kitchen</t>
  </si>
  <si>
    <t>Greendale Kitchen gives families a flexible food stop that can stretch beyond sitting down to eat. The café-restaurant sits within the wider farm shop site, with the animal trail, fish and chip takeaway, drive-thru, farm shop counters and children’s menus all helping the visit feel flexible and easily adapted to families. It is particularly useful when food needs to anchor the outing but that might look like a combination of sitting in, grabbing supplies or stocking up for a picnic: breakfast before a coast day, lunch with something for children to look at afterwards, or a practical stop between Exeter, Exmouth, Sidmouth and the A3052. The lift up to the café and regular bus links add to the ease of using it with different family setups, and being dog-friendly, wheelchair or pushchair accessible, and having a reasonably-priced varied menu with a children's menu, it's well suited to a family dining experience.</t>
  </si>
  <si>
    <t>Reduced hours on Christmas Day</t>
  </si>
  <si>
    <t>Toilets, Disabled toilets, Baby changing, Highchairs, Indoor Seating, Dogs Allowed, Outdoor Seating, Water Refill</t>
  </si>
  <si>
    <t>Colouring, Ice creams, Children's Menu, "Swings, Slides, Climbing Frames"</t>
  </si>
  <si>
    <t>Hot Drinks, Hot &amp; Cold food, Snacks, Sweet treats, Giftshop, Outdoor terrace</t>
  </si>
  <si>
    <t>Raining / wet, Windy (&gt; X mph), Snow / sleet / ice, Overcast / cloudy, Stormy / heavy rain / thunderstorms, Dry &amp; cold, Dry &amp; mild</t>
  </si>
  <si>
    <t>farm animals, ostrich, ponies, rheas, peacocks, black swans, wallabies, deer, chickens, ducks, vintage tractors, farm trail, tractor trails, children's menu, farm shop, local produce</t>
  </si>
  <si>
    <t>Children’s menu, Flexible seating for families, Space for children to move a little, Play area or outdoor play space, "Relaxed, family-welcoming feel", Outdoor seating or garden, Rural or scenic setting, Farm animals or gardens</t>
  </si>
  <si>
    <t>Greendale Kitchen.JPG</t>
  </si>
  <si>
    <t>Greenway (NT)</t>
  </si>
  <si>
    <t>Greenway is a slower National Trust day with a bit of adventure built into the getting-there. The house, gardens, woodland paths and river views make it good for children who like exploring, stories and outdoor wandering rather than rides or big play areas; a more traditional National Trust visit than some of the estates which are more adapted to families. The key thing to know before setting off is parking: if you’re driving, you need to book a parking space ahead of your visit. Arriving by boat, ferry or steam railway can make the day feel much more memorable too, so it's a trip that can easily be made into something of an adventure if you've got the energy and interest. Beautiful views and peaceful surroundings make it a lovely trip regardless, and you can expect the usual NT Cafe goodies that complete the visit.</t>
  </si>
  <si>
    <t>Greenway Road</t>
  </si>
  <si>
    <t>Galmpton</t>
  </si>
  <si>
    <t>TQ5 0ES</t>
  </si>
  <si>
    <t xml:space="preserve">Open weekdays February to October. Nov-Dec open weekends 11:00-16:00. Shut January. </t>
  </si>
  <si>
    <t>(Fixed) Child, Adult, Group</t>
  </si>
  <si>
    <t>Paid Car Park, Members Car Park, Disabled parking bays, Bike racks / bays</t>
  </si>
  <si>
    <t>Toilets, Disabled toilets, Baby changing, Bench Seating, Picnic Benches, Highchairs, Indoor Seating, Dogs Allowed, Guided Tour, Outdoor Seating, BYO Picnic</t>
  </si>
  <si>
    <t>Activity trail, Treasure hunt, Clues / games, Children’s trail, Children's Menu, Ice creams</t>
  </si>
  <si>
    <t>Hot Drinks, Hot &amp; Cold food, Snacks, Sweet treats, Outdoor terrace, Bookshop, Giftshop, WiFi</t>
  </si>
  <si>
    <t>Agatha Christie holiday home, house trail, animal spotting trail, walled gardens, woodland walks, riverside paths, boathouse, Napoleonic battery, River Dart views, fernery, National Trust</t>
  </si>
  <si>
    <t>Christmas, Springtime, Summer</t>
  </si>
  <si>
    <t>Ice Creams, Garden games, Festive Displays, Bluebells, Seasonal Flowers</t>
  </si>
  <si>
    <t>Designed or sculpted landscapes, Seasonal foliage, Seasonal or curated displays, Room to run freely, Open sightlines, Meandering paths, "Hidden corners, passageways, gates &amp; gardens"</t>
  </si>
  <si>
    <t>Greenway.JPG</t>
  </si>
  <si>
    <t>Easy Pit-Stops, Coffee Cabin / Truck</t>
  </si>
  <si>
    <t xml:space="preserve">Hangtime </t>
  </si>
  <si>
    <t>Hangtime is the handy beachside café at Sideshore when you’re already doing the beach, scooters or a seafront wander and need food without pulling everyone away from the water. The benches look straight out over the sand and watersports, so children have something to watch while you do coffee, snacks, breakfast baps or lunch. It’s not a destination on its own, but it’s very good at making an Exmouth beach trip easier when everyone is sandy, hungry or flagging. It's also one of the earliest to open at the Sideshore complex, so if you're after a coffee break after an early start, Hangtime is there for you!</t>
  </si>
  <si>
    <t>Unit 6 &amp; 7, Sideshore</t>
  </si>
  <si>
    <t>Picnic Benches, Bench Seating, Dogs Allowed, Outdoor Seating</t>
  </si>
  <si>
    <t>Hot Drinks, Snacks, Sweet treats, Outdoor terrace</t>
  </si>
  <si>
    <t xml:space="preserve">beach cafe, coffee stop, sea views, coffee, smoothies, acai bowls, pasties, ice cream, milkshakes, beachfront views, watching watersports, outdoor seating
</t>
  </si>
  <si>
    <t>Outdoor play area nearby, Combined with a walk or attraction, Farm animals nearby</t>
  </si>
  <si>
    <t>Hangtime.JPG</t>
  </si>
  <si>
    <t>Heavitree Pleasure Grounds</t>
  </si>
  <si>
    <t>Heavitree Pleasure Grounds is one of those Exeter parks that can keep different ages busy without needing much planning. There’s play, open space, tennis, basketball, BMX/skate facilities, bowling and picnic space, so it can be a quick playground stop or a longer after-school energy burn. It’s especially useful when siblings want different things and you need somewhere active but easy to reach. Parking can be tricky with a fair amount of on-street parking restricted to residents bays, but if you time it right there's enough local streets that you're likely to find a spot.</t>
  </si>
  <si>
    <t>Whipton Lane</t>
  </si>
  <si>
    <t>Heavitree</t>
  </si>
  <si>
    <t>EX1 3DN</t>
  </si>
  <si>
    <t>Toilets, Highchairs, Indoor Seating, Dogs Allowed, Outdoor Seating, Showers / changing facilities, BYO Picnic</t>
  </si>
  <si>
    <t>Hot Drinks, Hot &amp; Cold food, Snacks, Sweet treats, Outdoor terrace</t>
  </si>
  <si>
    <t>Sunshine, Overcast / cloudy, Dry &amp; warm, Dry &amp; cold, Dry &amp; mild, Dry &amp; hot</t>
  </si>
  <si>
    <t>outdoor play equipment, paddling pools, skateboarding, BMX, scootering, basketball, tennis, open green space, running</t>
  </si>
  <si>
    <t>Seasonal water fun, Autumn Leaves</t>
  </si>
  <si>
    <t>Climbing frames, Slides, Swings, Open grass / running space, Water play features, Bowl, Quarter pipes, Street skating features</t>
  </si>
  <si>
    <t>Heavitree Pleasure Grounds.JPG</t>
  </si>
  <si>
    <t>Heron Farm Cafe</t>
  </si>
  <si>
    <t xml:space="preserve">Heron Farm is actually a vineyard set in beautiful countryside, with a kitchen garden, orchards and offers a small menu of seasonal food and drink but is a perfect spot on a sunny or dry day when you'd like a moment to enjoy delicious food whilst being able to keep a close eye on smaller children. Their play area sits opposite outside seating picnic-style benches designed to enable parents to enjoy the peaceful surroundings, in clear sight of their kids. With an additional orchard area behind this, in a fenced area, Heron farm offers a lovely option for families wishing to combine a cafe stop, with a moment of peace.
</t>
  </si>
  <si>
    <t>Heron Farm</t>
  </si>
  <si>
    <t>Honiton</t>
  </si>
  <si>
    <t>EX14 3NZ</t>
  </si>
  <si>
    <t>Friday, Saturday, Sunday, Monday</t>
  </si>
  <si>
    <t>Toilets, Indoor Seating, Dogs Allowed, Outdoor Seating</t>
  </si>
  <si>
    <t>Children's Menu, Outdoor play equipment, "Swings, Slides, Climbing Frames", Children’s trail</t>
  </si>
  <si>
    <t>Sunshine, Overcast / cloudy, Dry &amp; mild, Dry &amp; cold, Dry &amp; warm, Dry &amp; hot, Raining / wet, Windy (&gt; X mph)</t>
  </si>
  <si>
    <t>fairy garden, orchard garden, slides, swings, grassy areas, outdoor play area, fairy garden, fairy houses, children's menu, walled garden, vineyard setting, orchard, beaver and otter spotting</t>
  </si>
  <si>
    <t>Outdoor seating or garden, Rural or scenic setting, Play area or outdoor play space, "Relaxed, family-welcoming feel", Flexible seating for families, Space for children to move a little, Children’s menu</t>
  </si>
  <si>
    <t>Heron Farm.JPG</t>
  </si>
  <si>
    <t>Family Eateries, Outdoor Family Dining</t>
  </si>
  <si>
    <t>Heydays</t>
  </si>
  <si>
    <t xml:space="preserve">Heydays is a seafront restaurant at Sideshore that can make an Exmouth beach day feel much easier to manage: proper food, kids’ menu, drinks, sea views and somewhere to reset without leaving the sand-and-prom rhythm behind. It’s a lovely spot for breakfast before the beach, lunch after watersports, or an early dinner when everyone is hungry; the outside terrace has a relaxed 'just off the beach' feel, but inside is nice, so not suited to coming straight off the beach with kids. Walk-ins are welcome, dogs are allowed, but booking can get busy in peak summer so it's worth booking ahead. </t>
  </si>
  <si>
    <t xml:space="preserve"> Queen's Drive</t>
  </si>
  <si>
    <t>Toilets, Disabled toilets, Indoor Seating, Highchairs</t>
  </si>
  <si>
    <t>Colouring, Ice creams, Children's Menu</t>
  </si>
  <si>
    <t>Hot &amp; Cold food, Snacks, Sweet treats</t>
  </si>
  <si>
    <t>Sunshine, Overcast / cloudy, Dry &amp; mild, Dry &amp; cold, Dry &amp; warm, Dry &amp; hot, Windy (&gt; X mph), Raining / wet, Stormy / heavy rain / thunderstorms</t>
  </si>
  <si>
    <t>seafront dining, all-day menu, children's menu, gluten-free options, coastal views, relaxed atmosphere</t>
  </si>
  <si>
    <t>Children’s menu, Flexible seating for families, Rural or scenic setting</t>
  </si>
  <si>
    <t>Heydays.JPG</t>
  </si>
  <si>
    <t>Easy Pit-Stops, Family-Friendly Cafés</t>
  </si>
  <si>
    <t>High Tide Cafe</t>
  </si>
  <si>
    <t>High Tide is a small village café in the heart of Lympstone, useful for a slower stop around a walk, estuary wander or visit to the village. It looks best for coffee, sandwiches, homemade cakes and a calmer sit-down rather than formal children’s entertainment, although its social updates mention pottery activity links. This is one for families who want a friendly, simple refuel in a pretty village setting, not a destination café with play equipment. Check opening days before making a special journey, as it is closed Monday and Tuesday.</t>
  </si>
  <si>
    <t>Hide Tide Cafe</t>
  </si>
  <si>
    <t>EX8 5EY</t>
  </si>
  <si>
    <t>Tuesday, Wednesday, Thursday, Friday, Saturday, Sunday</t>
  </si>
  <si>
    <t>Mondays</t>
  </si>
  <si>
    <t>Paid Car Park, On-street / nearby parking, Bike racks / bays</t>
  </si>
  <si>
    <t>Toilets, Dogs Allowed, Indoor Seating</t>
  </si>
  <si>
    <t>Ice creams, Colouring, "Indoor games (puzzles, boards)"</t>
  </si>
  <si>
    <t>Hot Drinks, Comfy Seating / Sofas, WiFi, Hot &amp; Cold food, Sweet treats, Snacks</t>
  </si>
  <si>
    <t>local cafe, pottery painting</t>
  </si>
  <si>
    <t>Colouring, Combined with a walk or attraction</t>
  </si>
  <si>
    <t>High Tide Cafe.jpg</t>
  </si>
  <si>
    <t>High Tide Cafe Pottery</t>
  </si>
  <si>
    <t xml:space="preserve">High Tide is a cosy, relaxed, very friendly local cafe just shy of the train station and Exe Estuary trail in Lympstone Village. A simple pottery painting set up, with small clay animals available to paint at anytime, it's an informal take on the usual pottery cafes and perfect for a low-key, simple moment or to keep hands and minds occupied for an hour. A flat rate of £9.50 per animal, you can paint them and collect them fully glazed and fired after approx. 3 weeks.  </t>
  </si>
  <si>
    <t>0-18</t>
  </si>
  <si>
    <t>Ice creams, Colouring, Children's Menu, "Indoor games (puzzles, boards)"</t>
  </si>
  <si>
    <t>Raining / wet, Windy (&gt; X mph), Sunshine, Snow / sleet / ice, Overcast / cloudy, Stormy / heavy rain / thunderstorms, Dry &amp; mild, Dry &amp; hot, Dry &amp; warm, Dry &amp; cold</t>
  </si>
  <si>
    <t>pottery painting, pottery animals</t>
  </si>
  <si>
    <t>Open-ended creativity, "Pottery, ceramics or clay", Painting or brushwork, Imaginative freedom, "Informal, welcoming environments"</t>
  </si>
  <si>
    <t>High Tide Pottery.JPG</t>
  </si>
  <si>
    <t>Home Farm Cafe</t>
  </si>
  <si>
    <t>Home Farm Café sits in the courtyard at the heart of Parke, making it an easy pitstop for a walk around the estate rather than a café stop you would seek out especially, but it comes in handy when you'd like a nice riverside walk, and need an incentive for the route back, or a snack before you set off. The setting gives families a natural rhythm: riverside paths, woodland or the old railway line, then food, cake or a warm drink option back near the walled garden. The cosy interior works well on chillier days, and the courtyard picnic benches are perfect for a sunnier day despite the limited shade, as they're all equipped with sun umbrellas. The cafe sits close to the car park, the walled gardnes and the amenities of the site. A seasonal menu that varies weekly, you can be sure to expect a good selection of cakes, coffees, and seasonal light lunch options (more suited to adults) that feel more substantial than a standard park kiosk. Within reach of the Wray Valley Trail too, but worth considering it stis atop of a considerable hill, which younger legs might find a challenge after a long ride.</t>
  </si>
  <si>
    <t>Bovey Tracey</t>
  </si>
  <si>
    <t>Paid Car Park, Members Only Car Park</t>
  </si>
  <si>
    <t>Toilets, Disabled toilets, Baby changing, Picnic Benches, Highchairs, Dogs Allowed, Water Refill, Outdoor Seating</t>
  </si>
  <si>
    <t>countryside views, Dartmoor, locally sourced food, seasonal menu, cream teas, homemade cakes, dog friendly, outdoor seating, courtyard setting, National Trust estate</t>
  </si>
  <si>
    <t>Space to run around, Combined with a walk or attraction</t>
  </si>
  <si>
    <t>Home Farm Cafe.JPG</t>
  </si>
  <si>
    <t>Sandy Beach</t>
  </si>
  <si>
    <t>Hope Cove</t>
  </si>
  <si>
    <t>Hope Cove is the sort of beach village that works best when you want sand, rockpools, a paddle and somewhere nearby for food, without committing to a huge resort day. There are two beaches — Mouthwell Sands closest to the car park, and Harbour Beach just beyond — so you can shift about depending on tide, weather and children’s energy. Roads into the village are narrow and parking can be tight in summer, so it’s worth going early rather than arriving with hungry children and no space. Public toilets and cafés nearby make it much easier than a completely wild beach stop.</t>
  </si>
  <si>
    <t>TQ7 3HG</t>
  </si>
  <si>
    <t>Toilets, Indoor Seating, Outdoor Seating, BYO Picnic</t>
  </si>
  <si>
    <t>Hot Drinks, Hot &amp; Cold food, Clear Sightlines, Snacks, Sweet treats, Outdoor terrace</t>
  </si>
  <si>
    <t>1-2hrs, 2-3hrs, 4+ hours, Whole Day</t>
  </si>
  <si>
    <t>sandy beach, swimming, rock pooling, stream paddling, dam building, sandcastles, bodyboarding, kayaking, paddleboarding, seal spotting, dolphin spotting, coastal walking, harbour wall jumping, smugglers caves</t>
  </si>
  <si>
    <t>Ice Creams, Watersports Hire, Wildflower Meadows, Seasonal Flowers, Marine Wildlife Spotting, Migrating Birds, Seabird Colonies</t>
  </si>
  <si>
    <t>Seasonally Lifeguarded, Diggable sand (Sandcastles), Rockpools, Seaweed beds, Shell or seaglass collecting, Smooth pebbles, Shallow paddling, Streams or channels, Coves &amp; inlets, Rock formations, Caves, Cliffs Or Headlands, Coastal Wildlife, Surfing, Swimming, Bodyboarding, Kayaking / SUP, Toilets nearby, Beach Cafe, Slipway</t>
  </si>
  <si>
    <t>Hope Cove.jpg</t>
  </si>
  <si>
    <t>Museums &amp; Discovery</t>
  </si>
  <si>
    <t>History &amp; Pastimes</t>
  </si>
  <si>
    <t>House of Marbles</t>
  </si>
  <si>
    <t>House of Marbles is a brilliant low-pressure option when you want something interesting, free and easy to dip into. Children can watch huge marble runs, explore toy, games and glass museums, see live glassmaking and browse the shop, while adults get a proper restaurant rather than just a basic café stop. It’s not a running-around attraction, so it suits curious children who enjoy watching, choosing, tinkering and looking closely. Free entry and parking make it especially useful as a rainy-day stop or a gentler add-on near Bovey Tracey.</t>
  </si>
  <si>
    <t>The Old Pottery</t>
  </si>
  <si>
    <t>Pottery Road</t>
  </si>
  <si>
    <t>TQ13 9DS</t>
  </si>
  <si>
    <t>New Years Day, Easter Sunday, Christmas Day, Boxing Day</t>
  </si>
  <si>
    <t>Varies</t>
  </si>
  <si>
    <t>Toilets, Disabled toilets, Indoor Seating, Guided Tour</t>
  </si>
  <si>
    <t>Ice creams, "Swings, Slides, Climbing Frames", Outdoor play equipment, Activity trail</t>
  </si>
  <si>
    <t>Animal feeding</t>
  </si>
  <si>
    <t>Close-up viewing</t>
  </si>
  <si>
    <t>marble runs, giant marble run, interactive marble displays, glassblowing demonstration, games museum, vintage board games, pottery museum, marble museum, outdoor play area, climbing frame, giant chess, giant dominoes, giant floating marble, brass rubbing trail</t>
  </si>
  <si>
    <t>Keeper talks</t>
  </si>
  <si>
    <t>Animal Experience Day</t>
  </si>
  <si>
    <t>Trekking, rides or hacking</t>
  </si>
  <si>
    <t>Guided walks</t>
  </si>
  <si>
    <t>Science and engineering themes</t>
  </si>
  <si>
    <t>Animal husbandry</t>
  </si>
  <si>
    <t>House of Marbles.JPG</t>
  </si>
  <si>
    <t>Tractor rides</t>
  </si>
  <si>
    <t>Animal races</t>
  </si>
  <si>
    <t>Animal displays or shows</t>
  </si>
  <si>
    <t>Drive-through Safari</t>
  </si>
  <si>
    <t>Soft Play &amp; Indoor Active Play</t>
  </si>
  <si>
    <t>Litter Farmer Experiences</t>
  </si>
  <si>
    <t>Multiple species</t>
  </si>
  <si>
    <t>Trampoline Park</t>
  </si>
  <si>
    <t>Rare or exotic animals</t>
  </si>
  <si>
    <t>iBounce exeter</t>
  </si>
  <si>
    <t>Conservation</t>
  </si>
  <si>
    <t>Baby animals (seasonal)</t>
  </si>
  <si>
    <t>Walk-through enclosures</t>
  </si>
  <si>
    <t>iBounce is a high-energy indoor option for days when children need to jump, crash, climb and burn off steam without depending on the weather. Trampolines, dodgeball, football target zone, giant airbag, foam pit and parent-and-toddler sessions, with iPlay soft play at the same address if you've not tired them out sufficiently afterwards. It is best for families who are happy with lots of happy shouting usually accompanied by dance music, and organise yourself ahead of time for timed sessions and grip-sock logistics (not incl. in the price).</t>
  </si>
  <si>
    <t>Rides or Treks</t>
  </si>
  <si>
    <t>33 Marsh Green Road West</t>
  </si>
  <si>
    <t>Outdoor animal areas</t>
  </si>
  <si>
    <t xml:space="preserve"> Marsh Barton</t>
  </si>
  <si>
    <t>Farm-based activities (e.g. egg collecting)</t>
  </si>
  <si>
    <t>EX2 8PN</t>
  </si>
  <si>
    <t>Pay On Arrival, Advance Book</t>
  </si>
  <si>
    <t>Young Child, Older Child, Adult</t>
  </si>
  <si>
    <t>Children's Menu</t>
  </si>
  <si>
    <t>Overcast / cloudy, Dry &amp; mild, Dry &amp; cold, Windy (&gt; X mph), Raining / wet, Snow / sleet / ice, Stormy / heavy rain / thunderstorms</t>
  </si>
  <si>
    <t>indoor trampolining, wall-to-wall trampolines, giant airbag, foam pit, dodgeball, light chaser games, football target game, stunt zone</t>
  </si>
  <si>
    <t>Clear sightlines, Seating for adults, Café or refreshment area</t>
  </si>
  <si>
    <t>Grip socks</t>
  </si>
  <si>
    <t>iBounce Exeter.JPG</t>
  </si>
  <si>
    <t>Lizzie</t>
  </si>
  <si>
    <t>Immersive Worlds, Scenario &amp; World play</t>
  </si>
  <si>
    <t>Imagination Avenue Play Cafe</t>
  </si>
  <si>
    <t>Moment of Peace, Low Effort, Simple Reset</t>
  </si>
  <si>
    <t xml:space="preserve">Enter a world of make-believe at Imagination Avenue, where younger children can step into their own small version of everyday life. The play spaces are set up for choosing roles, copying grown-ups, moving between little scenes and making up stories as they go, with enough detail to let children lead the play in their own way. The baby area helps when siblings are at different stages, while the café keeps grown-ups close enough to watch, join in or pause without feeling separate from the play; with child-friendly options like pancakes, toasties, sandwiches and granola pots, and great coffee for the grown ups, it's great find for any sort of day. </t>
  </si>
  <si>
    <t>Unit 2F Onyx Business Park</t>
  </si>
  <si>
    <t xml:space="preserve">Enterprise Road </t>
  </si>
  <si>
    <t xml:space="preserve">Barnstaple </t>
  </si>
  <si>
    <t>EX31 3ZD</t>
  </si>
  <si>
    <t>Monday, Tuesday, Wednesday, Thursday, Friday, Saturday</t>
  </si>
  <si>
    <t>Baby, Young Child, Older Child, Adult</t>
  </si>
  <si>
    <t>0-6 months</t>
  </si>
  <si>
    <t>6-11 months</t>
  </si>
  <si>
    <t>Costumed interpretation</t>
  </si>
  <si>
    <t>Recreated environments</t>
  </si>
  <si>
    <t>Period features</t>
  </si>
  <si>
    <t>Ruins to explore</t>
  </si>
  <si>
    <t>Dungeons</t>
  </si>
  <si>
    <t>Towers, walls, and tunnels</t>
  </si>
  <si>
    <t>Fossils</t>
  </si>
  <si>
    <t>Castles or Fortresses</t>
  </si>
  <si>
    <t>Hidden rooms or passages</t>
  </si>
  <si>
    <t>Outdoor grounds</t>
  </si>
  <si>
    <t>Story-led interpretation</t>
  </si>
  <si>
    <t>Audio guides or trails</t>
  </si>
  <si>
    <t>Visual displays</t>
  </si>
  <si>
    <t>Free Car Park, On-street / nearby parking</t>
  </si>
  <si>
    <t>Interactive elements</t>
  </si>
  <si>
    <t>Toilets, Baby changing, Highchairs, Indoor Seating</t>
  </si>
  <si>
    <t>Hands-on exhibits</t>
  </si>
  <si>
    <t>Dress-up areas</t>
  </si>
  <si>
    <t>Re-enactment days</t>
  </si>
  <si>
    <t>Hot Drinks, Clear Sightlines, Snacks, Sweet treats, WiFi, Hot &amp; Cold food</t>
  </si>
  <si>
    <t>Craft or heritage activities</t>
  </si>
  <si>
    <t>Demonstrations</t>
  </si>
  <si>
    <t>Dance</t>
  </si>
  <si>
    <t>Music or singing</t>
  </si>
  <si>
    <t>Take-home creations</t>
  </si>
  <si>
    <t>Drawing or sketching</t>
  </si>
  <si>
    <t>Guided creative sessions</t>
  </si>
  <si>
    <t>Drama &amp; Theatre</t>
  </si>
  <si>
    <t>Open-ended creativity</t>
  </si>
  <si>
    <t>Windy (&gt; X mph), Raining / wet, Overcast / cloudy, Stormy / heavy rain / thunderstorms, Dry &amp; mild, Dry &amp; cold, Dry &amp; warm, Snow / sleet / ice</t>
  </si>
  <si>
    <t>Small group workshop</t>
  </si>
  <si>
    <t>Drop-in creative tables</t>
  </si>
  <si>
    <t>Pottery, ceramics or clay</t>
  </si>
  <si>
    <t>imaginative play, baby zone, soft play, imaginary play, dress up, role play</t>
  </si>
  <si>
    <t>Painting or brushwork</t>
  </si>
  <si>
    <t>Needlecraft instruction, lessons or talks</t>
  </si>
  <si>
    <t>Storytelling or Creative Writing</t>
  </si>
  <si>
    <t>Photography opportunities</t>
  </si>
  <si>
    <t>Immersive settings, Dressing Up Clothes, Role-based scenarios, Shared imaginative spaces, Open-ended play structure</t>
  </si>
  <si>
    <t>Performance opportunities</t>
  </si>
  <si>
    <t>Imaginative freedom</t>
  </si>
  <si>
    <t>Imagination Play Cafe.jpg</t>
  </si>
  <si>
    <t>Confidence-building environment</t>
  </si>
  <si>
    <t>Abi (Play Cafe Owner)</t>
  </si>
  <si>
    <t>Supportive facilitators</t>
  </si>
  <si>
    <t>Calm, focused space</t>
  </si>
  <si>
    <t>Creative studio</t>
  </si>
  <si>
    <t>Informal, welcoming environment</t>
  </si>
  <si>
    <t>Soft Play Centre</t>
  </si>
  <si>
    <t>iPlay Softplay</t>
  </si>
  <si>
    <t xml:space="preserve">iPlay is a dedicated soft play centre at Marsh Barton, useful when younger children need a proper indoor run-around and you want something more focused than a café corner or small play area (or if the car is being fixed at one of the many nearby garages, and you need a place to wait it out). It shares the same site as iBounce (indoor trampoline park), which is handy if you’re juggling different ages, but iPlay itself is very much the younger-child option: climbing, sliding, exploring and a fairly standard café experience for adults. Dinosaur themed with easy sight-lines, it's a small-medium sized venue, </t>
  </si>
  <si>
    <t>Marsh Barton</t>
  </si>
  <si>
    <t>Advance Book, Pay On Arrival</t>
  </si>
  <si>
    <t xml:space="preserve">&lt;1 </t>
  </si>
  <si>
    <t>Toilets, Disabled toilets, Baby changing, Showers / changing facilities, Highchairs, Indoor Seating, Picnic Benches</t>
  </si>
  <si>
    <t>Children's Menu, Indoor Play Space, "Swings, Slides, Climbing Frames", Ice creams</t>
  </si>
  <si>
    <t>Hot Drinks, Hot &amp; Cold food, Clear Sightlines, Snacks, Sweet treats</t>
  </si>
  <si>
    <t>Raining / wet, Windy (&gt; X mph), Snow / sleet / ice, Overcast / cloudy, Stormy / heavy rain / thunderstorms, Dry &amp; cold</t>
  </si>
  <si>
    <t xml:space="preserve">dinosaur theme, ball pit, slides, softplay cafe, soft play, Jurassic-themed play zone, dinosaur climbing frames, volcano slide, Ice Age-themed play zone, woolly mammoth, sensory room, toddler area, ball pit
</t>
  </si>
  <si>
    <t>Soft climbing structures, Slides, Tunnels and crawl spaces, Ball pools, Enclosed space, Clear sightlines, Seating for adults, Café or refreshment area, Separate toddler area</t>
  </si>
  <si>
    <t>iplay Softplay.JPG</t>
  </si>
  <si>
    <t>Pebble or Shingle Beach, Mixed Sand &amp; Shingle Beach</t>
  </si>
  <si>
    <t>Jacobs Ladder Beach</t>
  </si>
  <si>
    <t>Jacobs Ladder Beach sits infront of Sidmouth's imposing red cliffs, with steep but buggy-friendly access from the clifftop footpath, or via 'Jacob's Ladder' ladder-like steps from Connaught Gardens, offering an alternative scenic approach. Sand and rockpools are revealed at low tide; steep terraced pebble beach at high tide.</t>
  </si>
  <si>
    <t>Manor Road Long Stay Car Park</t>
  </si>
  <si>
    <t>Peak Hill Road</t>
  </si>
  <si>
    <t>EX10 8RZ</t>
  </si>
  <si>
    <t>Drinks stand</t>
  </si>
  <si>
    <t>sandy beach, rock pooling, swimming, red cliffs, pebble beach, beach huts, Jurassic Coast, wooden steps, sheltered beach</t>
  </si>
  <si>
    <t>Shell or seaglass collecting, Smooth pebbles, Estuary edges, Toilets nearby, Beach Cafe, Rockpools, Seaweed beds, Cliffs Or Headlands, Dog Friendly - seasonal leads</t>
  </si>
  <si>
    <t>Sling / baby carrier, Infant / toddler carrier, XC Buggy, Fishing nets</t>
  </si>
  <si>
    <t>Jacobs Ladder Beach.JPG</t>
  </si>
  <si>
    <t>Jungle Journey Adventure Golf</t>
  </si>
  <si>
    <t>Jungle Journey Adventure Golf is an 18-hole outdoor crazy golf course in Abbey Park, close to Torquay seafront. The jungle theme, obstacles and animal features give the course enough visual interest to keep the game moving, while the scoring and turn-taking nature of the golf course itself make it easy for different ages to join in together without the need for too much skill! It is a useful structured activity when families want something playful and contained near Torre Abbey Sands, the promenade or Abbey Park, without committing to a larger attraction, and gives a fun focus to a visit without the overstimulation of some of the seafront rides and attractions. No booking needed — just turn up, pay and play, with all clubs and equipment provided. There's a bonus element on the final hole: hole it in one and you win a free game; children who do well overall win an ice cream. Second round is available at half price if everyone wants to go again.</t>
  </si>
  <si>
    <t>Abbey Park</t>
  </si>
  <si>
    <t>Belgrave Road</t>
  </si>
  <si>
    <t>TQ2 5HP</t>
  </si>
  <si>
    <t>21:00</t>
  </si>
  <si>
    <t>Young Child, Older Child, Adult, Concession</t>
  </si>
  <si>
    <t>5-13</t>
  </si>
  <si>
    <t>14+</t>
  </si>
  <si>
    <t>Over 60</t>
  </si>
  <si>
    <t>Ice creams, Clues / games</t>
  </si>
  <si>
    <t>adventure golf, crazy golf, mini golf, jungle theme, water hazards, animal sculptures, competitive play, family competition, outdoor activity, seafront location</t>
  </si>
  <si>
    <t>Confidence building, Friendly competition, Non-competitive options, Purpose-built facilities</t>
  </si>
  <si>
    <t>Jungle Journey Golf.jpg</t>
  </si>
  <si>
    <t>Killerton Estate (NT)</t>
  </si>
  <si>
    <t xml:space="preserve">A National Trust estate with garden paths, woodland, play areas, orienteering and plenty of room and routes for a proper leg stretch. Killerton works well for mixed-energy days: there's a buggy-friendly garden loop and younger children’s play areas, dens building space in the woods and an Explorer Challenge for older children. A great option when you want space, fresh air and a bit of structure without it feeling too formal. The mix of house, gardens, woodland and wider estate walks means you can make it a walk-and-café visit or a proper stomp making use of the numerous local trails that surround the estate to increase the length of the walk. </t>
  </si>
  <si>
    <t>Young Child, Older Child, Adult, Group</t>
  </si>
  <si>
    <t>Toilets, Disabled toilets, Dogs Allowed, Service Dogs Only, Outdoor Seating, Indoor Seating, Baby changing, Bench Seating, Picnic Benches, Highchairs, Guided Tour, BYO Picnic</t>
  </si>
  <si>
    <t>Outdoor play equipment, Activity trail, Children’s trail, Clues / games, Treasure hunt</t>
  </si>
  <si>
    <t>Hot Drinks, Snacks, Hot &amp; Cold food, Sweet treats, Bookshop, Giftshop, Outdoor terrace</t>
  </si>
  <si>
    <t xml:space="preserve">Historic fashion, National Trust, country estate grounds, woodland trails, parkland walking, den building, orienteering, Volcano Challenge trail, ancient trees, bear's hut, wildlife spotting, highland cattle, dormice, bats, butterflies, cycling, outdoor play equipment, ranger activity trail, Georgian country house, historic fashion collection, house mouse trail, secondhand bookshop
</t>
  </si>
  <si>
    <t>Autumn colours, Springtime, Summer, Christmas</t>
  </si>
  <si>
    <t>Bluebells, Autumn Leaves, "Berries, Nuts, Conkers", Crocus Lawn, Garden games, Apple Picking, Pumpkin Patch, Festive Displays, Seasonal Flowers, Snowdrops, Butterflies, Migrating Birds</t>
  </si>
  <si>
    <t>Room to run freely, Open sightlines, Meandering paths, Historic features, "Hidden corners, passageways, gates &amp; gardens", Seasonal foliage, Seasonal or curated displays</t>
  </si>
  <si>
    <t>Killerton.JPG</t>
  </si>
  <si>
    <t>Knightshayes Court</t>
  </si>
  <si>
    <t>A National Trust estate with woodland play, garden trails, open parkland and a Gothic house full of carved details. Knightshayes gives families several ways to use the day: balance and climbing in the Douglas Fir Walk, seasonal trails, picnics on the lawns, buggy-friendly garden routes and a house spotter trail for damper-weather.</t>
  </si>
  <si>
    <t>Knighthayes Court</t>
  </si>
  <si>
    <t>Bolham</t>
  </si>
  <si>
    <t>Tiverton</t>
  </si>
  <si>
    <t>EX16 7RQ</t>
  </si>
  <si>
    <t>From 02/11/26 closes at 16:00</t>
  </si>
  <si>
    <t>Memberships, Pay On Arrival</t>
  </si>
  <si>
    <t>Baby, (Fixed) Child, Adult, Group</t>
  </si>
  <si>
    <t>Toilets, Disabled toilets, Baby changing, Indoor Seating, Dogs Allowed, BYO Picnic</t>
  </si>
  <si>
    <t>Giftshop, Bookshop, Hot &amp; Cold food, Snacks, Sweet treats, Hot Drinks</t>
  </si>
  <si>
    <t>Gothic Revival architecture, woodland trails, parkland, children's activity trails, natural play area, treehouse, log tunnels, seasonal trails, wildlife spotting, red deer, walled kitchen garden, Victorian house, secondhand bookshop, seasonal events, National Trust</t>
  </si>
  <si>
    <t>Autumn colours, Spring flowers</t>
  </si>
  <si>
    <t>Bluebells, Fungi, Snowdrops, Autumn Leaves, "Berries, Nuts, Conkers"</t>
  </si>
  <si>
    <t>Designed or sculpted landscapes, Seasonal foliage, Room to run freely, Historic features</t>
  </si>
  <si>
    <t>Knightshayes.JPG</t>
  </si>
  <si>
    <t>Land of Canaan Park</t>
  </si>
  <si>
    <t xml:space="preserve">Land of Canaan sits beside the River Otter and is anchored by a bespoke basking otter multi-play unit, custom-created as a celebration of the local environment, where children can climb, traverse, balance and explore tactile elements. Younger children have a wooden junior climber and a compact wood multi-play structure, there's a double flat-seat swing bay alongside an inclusive swing seat and cradle-seat swing, a wheelchair-accessible roundabout, a seesaw, two horizontal bars for strength and agility, and a balance and traversal element, plus a large multi-goal unit for ball games. It’s a useful town-centre energy burn, especially before or after errands, food or a riverside wander. </t>
  </si>
  <si>
    <t>Land of Canaan</t>
  </si>
  <si>
    <t>Canaan Way</t>
  </si>
  <si>
    <t>Ottery St Mary</t>
  </si>
  <si>
    <t>EX11 1XT</t>
  </si>
  <si>
    <t>multi-play climbing unit, wooden junior climber, balance and traversal trail, double swings, inclusive swing seat, wheelchair-accessible roundabout, seesaw, horizontal bars, ball games area, multi-goal unit, riverside setting, inclusive play design</t>
  </si>
  <si>
    <t>Climbing frames, Towers and platforms, Fort-style structures, Mixed-difficulty zones, Clear sightlines for adults</t>
  </si>
  <si>
    <t>Land of Canaan Park.jpg</t>
  </si>
  <si>
    <t>Lime Kiln Play Area</t>
  </si>
  <si>
    <t>Simple Reset, Energy Burner, Moment of Peace, Low Effort</t>
  </si>
  <si>
    <t>Lime Kiln Play Area gives families a newly refurbished outdoor play stop right on the seafront, with toddler and junior areas designed for younger children as well as more confident climbers. With swings, slides and climbing frames, it works well for a short burst of play before or after the beach. The location is especially useful for a simple coastal outing, with a skatepark, seafront toilets and refreshment kiosks nearby.</t>
  </si>
  <si>
    <t>slides, climbing frame, fireman's pole, roundabout, swings</t>
  </si>
  <si>
    <t>Slides, Climbing frames, Towers and platforms, Stepping obstacles, Fireman's poles, Lookout points, Tunnels and crawl spaces, Enclosed adventure zones, Basket / nest swings</t>
  </si>
  <si>
    <t>Lime Kiln Play Area.JPG</t>
  </si>
  <si>
    <t>Lime Kiln Skate Park</t>
  </si>
  <si>
    <t>Simple Reset, Energy Burner, Low Effort, Moment of Peace</t>
  </si>
  <si>
    <t xml:space="preserve">Budleigh Skate Park provides a focused space for scooters, skateboards, BMX and inline skating in a beautiful natural setting. Flanked by a Nature Reserve and Budleigh Beach it makes it easy to pair with a beach walk, or low-key stop in Budleigh, the library or an Estuary Walk. Great for wide range of ages and abilities.
</t>
  </si>
  <si>
    <t>Skate ramps, pump track, scooter riding, rollerblades, estuary views, skateboarding, BMX, scootering, quarter pipes, street skating, flatbanks, rails, seafront location</t>
  </si>
  <si>
    <t>Clear sightlines for adults, Mixed-difficulty zones, Quarter pipes, Street skating features</t>
  </si>
  <si>
    <t>Lime Kiln Skate Park.JPG</t>
  </si>
  <si>
    <t>Long Park</t>
  </si>
  <si>
    <t>Long Park's recently refreshed play area gives children a more considered space than an older neighbourhood park; swings, a roundabout, tower frame, slide, younger-child play pieces and fresh, colourfu surfacing, the space offers a mix of movement, climbing and simple repeat play options with a modern, vibrant feel that is sometimes missing in older parks. Its Woolbrook location makes it useful for families staying or living on this side of Sidmouth, especially when a park stop needs to feel easy rather than becoming a whole town or beach outing, but is well-positioned such that if you're heading into Sidmouth for a longer trip or a walk along the Byes, it's a handy stop on-route or the return. Close to a lovely bakery, and Sidmouth's LIDL, there are also easy picnic options available if you've come unprepared - and the skate park and smaller Manstone Play Park around the corner can help stretch out a visit if needed too.</t>
  </si>
  <si>
    <t>Long Park Play Area</t>
  </si>
  <si>
    <t>Technology &amp; Innovation</t>
  </si>
  <si>
    <t>EX10 9JA</t>
  </si>
  <si>
    <t>World &amp; Cultures</t>
  </si>
  <si>
    <t>Child-Focused Discovery</t>
  </si>
  <si>
    <t>Toddler Play Space</t>
  </si>
  <si>
    <t>Indoor Climbing</t>
  </si>
  <si>
    <t>Inside Course</t>
  </si>
  <si>
    <t>Multi-Activity Centre</t>
  </si>
  <si>
    <t>Sunshine, Overcast / cloudy, Dry &amp; warm, Dry &amp; hot, Dry &amp; mild, Windy (&gt; X mph), Dry &amp; cold</t>
  </si>
  <si>
    <t>climbing wall, slide, swings, roundabout, local park, playing field</t>
  </si>
  <si>
    <t>Climbing frames, Balance elements, Towers and platforms, Slides, Climbing wall, Roundabouts, Lookout points, Clear sightlines for adults, Swings</t>
  </si>
  <si>
    <t>Long Park.JPG</t>
  </si>
  <si>
    <t>Cafés with Outdoor Space, Quiet Cafés, Easy Pit-Stops</t>
  </si>
  <si>
    <t>Lower Halsdon Farm Cafe</t>
  </si>
  <si>
    <t>A farm tea garden with cream teas, estuary views and access to farmland, orchards and wider walking routes. Lower Halsdon is a quieter countryside stop, shaped around simple food, open views and the working farm setting. Seasonal opening is limited, but it can work well alongside a gentle walk or time on the nearby multi-use River Exe trail.</t>
  </si>
  <si>
    <t>Lower Halsdon Farm</t>
  </si>
  <si>
    <t>Mudbank Lane</t>
  </si>
  <si>
    <t>EX83EG</t>
  </si>
  <si>
    <t>Saturday, Sunday</t>
  </si>
  <si>
    <t>Open Spring/ Summer only</t>
  </si>
  <si>
    <t>Bike racks / bays, On-street / nearby parking</t>
  </si>
  <si>
    <t>Picnic Benches, Dogs Allowed</t>
  </si>
  <si>
    <t>Hot Drinks, Sweet treats, Snacks</t>
  </si>
  <si>
    <t>Sunshine, Overcast / cloudy, Dry &amp; mild, Dry &amp; warm, Dry &amp; hot</t>
  </si>
  <si>
    <t>estuary views, outdoor tea garden, Exe Estuary Trail, walking, cycling, open countryside, cream teas, wading birds, National Trust farm setting</t>
  </si>
  <si>
    <t>Lower Halsdon Farm Cafe.JPG</t>
  </si>
  <si>
    <t>Lukesland Gardens</t>
  </si>
  <si>
    <t>A family-run garden with streams, bridges, winding paths and seasonal colour in spring and autumn. Lukesland is made for slower exploring rather than a fixed route, with children’s trails, tunnels through shrubs, bridges over the brook and plenty of changes in level and texture. Spring flowers and autumn colour are the main draws, with a simple tea room available during open seasons.</t>
  </si>
  <si>
    <t>Ivybridge</t>
  </si>
  <si>
    <t>PL21 OJF</t>
  </si>
  <si>
    <t>Wednesday, Sunday</t>
  </si>
  <si>
    <t>Closed 07/06/2026-04/10/2026, Closed 15/11/20206-01/03/2027</t>
  </si>
  <si>
    <t>Toilets, Bench Seating, Guided Tour, Dogs Allowed, BYO Picnic</t>
  </si>
  <si>
    <t xml:space="preserve">woodland garden, streams, waterfalls, bridges, islands, bluebells, rhododendrons, pond spotting, children's trails, treasure hunts, sound and story garden, champion trees
</t>
  </si>
  <si>
    <t>Fungi, Snowdrops, Autumn Leaves</t>
  </si>
  <si>
    <t>Designed or sculpted landscapes, Seasonal foliage, Water Features or Fountains, Room to run freely, Meandering paths</t>
  </si>
  <si>
    <t>Lukesland Gardens.JPG</t>
  </si>
  <si>
    <t>Lympstone Harbour Crabbing</t>
  </si>
  <si>
    <t>Low Effort, Simple Reset</t>
  </si>
  <si>
    <t>Lympstone Harbour is a popular local spot for traditional crabbing along the Exe Estuary. The best areas are around the main harbour wall, the boat shelter, and the slipway as the tide is coming in or going out; aim for 1-2 hours before high tide when the crabs tend to be most active. Bring your bait along (ham, oily fish heads, raw bacon) or pick some up from the local village shop enroute. With High Tide Cafe or The Swan Pub just around the corner, that station a 2minute walk away, and the Exe Estuary trail passing behind the harbour, it makes for an enjoyable pitstop activity, or as a simple outing in itself.</t>
  </si>
  <si>
    <t>EX8 5EX</t>
  </si>
  <si>
    <t>Dogs Allowed, Bench Seating, BYO Picnic</t>
  </si>
  <si>
    <t>Windy (&gt; X mph), Overcast / cloudy, Dry &amp; mild, Dry &amp; cold, Dry &amp; warm, Dry &amp; hot, Sunshine</t>
  </si>
  <si>
    <t>local village walk, crabbing, harbour wall, fishing boats, estuary views, wading birds, beachcombing, cockle picking, low tide exploring</t>
  </si>
  <si>
    <t>Crabbing, Streams or channels, Estuary edges, Coastal Wildlife, Slipway, Harbour, Dog Friendly - off lead all year, Kayaking / SUP</t>
  </si>
  <si>
    <t>Water shoes, Fishing nets, Fishing rods &amp; bait</t>
  </si>
  <si>
    <t>Lympstone Harbour.jpg</t>
  </si>
  <si>
    <t>Lympstone Village Beach</t>
  </si>
  <si>
    <t>A small estuary foreshore with harbour views, low-tide exploring, crabbing and wide open views across the water. Lympstone is more estuary edge than bucket-and-spade beach, with the visit shaped by the tide: walking and cockle-picking at low water, boats and fishing at high water, and birds moving across the mudflats and shoreline. It suits a gentle wander, especially if you’re pairing it with the village or Exe Estuary Trail.</t>
  </si>
  <si>
    <t>On-street / nearby parking, Bike racks / bays</t>
  </si>
  <si>
    <t xml:space="preserve">cockle hunting, fishing boats, estuary beach, beachcombing, wading birds, herons, egrets, fishing boats, harbour, estuary views
</t>
  </si>
  <si>
    <t>Slipway, Harbour, Crabbing, Dog Friendly - off lead all year</t>
  </si>
  <si>
    <t>Fishing nets</t>
  </si>
  <si>
    <t>Lympstone Village Beach.JPG</t>
  </si>
  <si>
    <t>Make Southwest Gallery</t>
  </si>
  <si>
    <t>MAKE Southwest is a calm, creative stop rather than a run-around attraction: three gallery spaces, a large craft shop, café and family-friendly activities inside the historic Riverside Mill. It's a simple trip and would work best for children who enjoy making, looking closely, choosing materials or pottering, especially on wet days or as a gentler add-on to a trip to Bovey Tracey.</t>
  </si>
  <si>
    <t>Riverside Mill</t>
  </si>
  <si>
    <t>TQ13 9AF</t>
  </si>
  <si>
    <t>Tuesday, Wednesday, Thursday, Friday, Saturday</t>
  </si>
  <si>
    <t>Dogs Allowed, Indoor Seating</t>
  </si>
  <si>
    <t>Colouring, Activity Sheets or Signs</t>
  </si>
  <si>
    <t>Hot Drinks, Hot &amp; Cold food, Snacks, Sweet treats, Giftshop</t>
  </si>
  <si>
    <t>craft gallery, ceramics, glass, textiles, prints, free drop-in craft activity, rotating exhibitions, café</t>
  </si>
  <si>
    <t>Christmas, Easter, Summer</t>
  </si>
  <si>
    <t>Visual displays, Interactive elements, Craft or heritage activities</t>
  </si>
  <si>
    <t>Makers South West Art Gallery.JPG</t>
  </si>
  <si>
    <t>Manor Gardens Exmouth</t>
  </si>
  <si>
    <t>Manor Gardens is a small but useful pause point between Exmouth town and the seafront to grab a quick sit down and tasty snack. With small Victorian-style gardens, it gives families a softer place to break up a town or beach visit with plenty of shade and a short hop from the town's shops. It is particularly useful with younger children when the seafront is too busy, windy or overstimulating.</t>
  </si>
  <si>
    <t>Snacks, Sweet treats, Drinks stand, Hot Drinks, Clear Sightlines</t>
  </si>
  <si>
    <t>ornamental gardens, colourful flower borders, bandstand, children's playground, picnic areas, seasonal events, summer concerts, toilets, café nearby, Victorian walled garden, near seafront</t>
  </si>
  <si>
    <t>Manor Gardens Exmouth.JPG</t>
  </si>
  <si>
    <t>Rocky Cove, Wild or Remote Beach, Pebble or Shingle Beach</t>
  </si>
  <si>
    <t>Mansands Beach (NT)</t>
  </si>
  <si>
    <t>Simple Reset, Energy Burner, Wilder Adventure</t>
  </si>
  <si>
    <t>Mansands is a beautiful, quieter beach for families who are happy to put in a bit of additional effort for space and a wilder feel. There’s no parking right by the beach and access is on foot, so it’s better for children who can manage the walk, uneven ground and carrying their own bits. At low tide there’s more sand to play on; at other times it feels more pebbly and tucked-away. Pack everything you need, because this is not a facilities beach but a beautiful, magical feel when you arrive.</t>
  </si>
  <si>
    <t>Woodhuish Lane Car Park</t>
  </si>
  <si>
    <t>Kingswear</t>
  </si>
  <si>
    <t>TQ6 0EF</t>
  </si>
  <si>
    <t>pebble and sand beach, rock pooling, caves, coastal exploration, fresh water stream, brackish lagoon, bird hide, birdwatching, grass snakes, coastal walking, National Trust</t>
  </si>
  <si>
    <t>Winter, Summer</t>
  </si>
  <si>
    <t>"Returning swallows, swifts (birds)", Birdsong, Migrating Birds, Starling Murmurations, Snowdrops</t>
  </si>
  <si>
    <t>Rockpools, Seaweed beds, Shell or seaglass collecting, Smooth pebbles, Coves &amp; inlets, Streams or channels, Rock formations, Cliffs Or Headlands, Caves, Coastal Wildlife, Dog Friendly - off lead all year</t>
  </si>
  <si>
    <t>Sling / baby carrier, Infant / toddler carrier, Swimming kit, Towels, Water shoes, Wetsuit Boots</t>
  </si>
  <si>
    <t>Mansands Beach.JPG</t>
  </si>
  <si>
    <t>Manstone Basketball Courts</t>
  </si>
  <si>
    <t>An outdoor court beside the recreation ground, useful for shooting practice, a quick game or a wider park stop. Manstone works best as a simple active stop for older children and teens, especially if they want space for basketball alongside nearby skate, football and open recreation areas. It’s unsupervised and practical rather than polished, so bring a ball and fold it into a short outdoor session.</t>
  </si>
  <si>
    <t>Manstone Lane</t>
  </si>
  <si>
    <t>EX10 9TS</t>
  </si>
  <si>
    <t>BYO Picnic</t>
  </si>
  <si>
    <t>basketball, multi-use games area</t>
  </si>
  <si>
    <t>Non-competitive options, Purpose-built facilities</t>
  </si>
  <si>
    <t>Manstone Basketball Courts.JPG</t>
  </si>
  <si>
    <t>Manstone Park Play Area</t>
  </si>
  <si>
    <t>A neighbourhood play area beside Manstone Recreation Ground, with open space and a skate park close by so it suits a practical, simple outdoor stop when different ages need different ways to move in close proximity. It’s more local park than destination day out, with space for a short play, scoot or skate.</t>
  </si>
  <si>
    <t>swings, zip wire, trampoline, roundabout, outdoor play equipment, slide</t>
  </si>
  <si>
    <t>Climbing frames, Rope bridges, Balance elements</t>
  </si>
  <si>
    <t>Manstone Play Area.JPG</t>
  </si>
  <si>
    <t>Manstone Skate Park</t>
  </si>
  <si>
    <t xml:space="preserve">Sidmouth Skate Park sits within Sidmouth’s Manstone Recreation Ground and gives scooter, skateboard and BMX-mad children and teens a proper sprayed-concrete space to practise. The layout links a free-flow bowl with a street section, including a stair-set, transfers and ledges, so it suits confident riders who want more challenge than a basic ramp, children who are confident and want a space to practice, or, on quieter days, a smooth surface for those learning to enjoy a simple scoot around after the park.
</t>
  </si>
  <si>
    <t>Windy (&gt; X mph), Overcast / cloudy, Dry &amp; mild, Dry &amp; warm, Dry &amp; cold, Dry &amp; hot, Sunshine</t>
  </si>
  <si>
    <t>skateboarding, BMX, scootering, bowl, street skating, quarter pipes, stair set, sprayed concrete park</t>
  </si>
  <si>
    <t>Mixed-difficulty zones, Clear sightlines for adults</t>
  </si>
  <si>
    <t>Manstone Skate Park.JPG</t>
  </si>
  <si>
    <t>Destination Playground, Local park</t>
  </si>
  <si>
    <t>Mill Marsh Park</t>
  </si>
  <si>
    <t>Mill Marsh Park is one of those parks that gives considerably more than you'd expect from a town-centre green space. Found just off the high street in Bovey Tracey, it was recently revamped and now caters genuinely well to a wide range of ages — one of the few parks that has thought seriously about older children, with a dedicated section for 10+ featuring higher, harder obstacle-style challenges rather than just more of the same equipment scaled up. The park sits within a wider recreation ground that includes a skate park, open playing fields and direct access to the River Bovey, so families can bring balls, river shoes, bikes and skateboards and move freely between activities for a few hours without running out of things to do. There's a Co-op nearby for last-minute picnic supplies, and a handful of good independent cafés a short walk further along the high street for a proper coffee stop. MAKE Southwest Gallery, Bovey Tracey Lido and Home Farm Café at Parke are both within easy reach if you want to extend the day whatever the weather.</t>
  </si>
  <si>
    <t>1 Southbrook Lane</t>
  </si>
  <si>
    <t>TQ13 9NB</t>
  </si>
  <si>
    <t>Zip Line, "Swings, Slides, Climbing Frames", Outdoor play equipment</t>
  </si>
  <si>
    <t>open green space, rivers, paddling, stone throwing, outdoor play equipment, climbing frames, castle play structure, skateboarding, BMX, scootering, cycling, riverside walking, craft festival</t>
  </si>
  <si>
    <t>Climbing frames, Stepping obstacles, Towers and platforms, Slides, Zip wires, Ropes &amp; aerial adventures, Mixed-difficulty zones, Fort-style structures, Lookout points, Tunnels and crawl spaces, Swings, Roundabouts, Springers / rockers, Clear sightlines for adults</t>
  </si>
  <si>
    <t>Mill Marsh Park.JPG</t>
  </si>
  <si>
    <t>Mincinglake Valley Park is more of a wild-feeling nature wander than a manicured park, with valley paths, meadows, hedgerows and woodland close to residential Exeter. It’s a good choice when children need fresh air, sticks, mud and space rather than play equipment. Best with sensible shoes and snacks, and better for families happy to explore at a slower pace than those looking for toilets, café stops or a fixed activity. The space is managed but left fairly natural, so it's a great place to explore the different trails and loops throughout the park.</t>
  </si>
  <si>
    <t xml:space="preserve">woodland walking, meadow exploring, stream paddling, den building, wildlife spotting, foxes, bullfinches, harvest mice, bug hunting, fairy village, outdoor play equipment, giant slide, climbing frame, nature trails
</t>
  </si>
  <si>
    <t>Grassy banks, Rolling landscapes, Scenic backdrops, Countryside views, Streams or ditches, Meadows or wild grass</t>
  </si>
  <si>
    <t>Binoculars, Sling / baby carrier, Infant / toddler carrier, XC Buggy</t>
  </si>
  <si>
    <t>Science &amp; Discovery, History &amp; Pastimes, Technology &amp; Innovation</t>
  </si>
  <si>
    <t>Newton Abbot Museum</t>
  </si>
  <si>
    <t>Newton Abbot Museum is set inside the restored Victorian church at Newton’s Place, with local history, railway stories, market heritage, changing exhibitions and hands-on displays. It has the kind of scale that makes it easy to drop into without turning it into a longer trip if you don't have time, but there is enough for children to slow down, look closely and follow their own interests. The railway exhibits are the headline draw — a full-scale working signal box with real levers children can pull, a model atmospheric railway, a railway carriage and displays on Brunel's plans for the South Devon Railway, including the story of how rats gnawing through leather seals helped bring the whole system down. Beyond the railway there are recreated rooms including an Iron Age hut, a Victorian parlour and a 1940s war room, plus hands-on activities including designing an Aller Vale pot, sending codes on the signal bells, trying on historical hats and feeling the difference between rich and poor Victorian fabrics. There are over 20 interactive activities in total. A hidden bird hunt around the museum is a reliable hit with younger children. The museum also runs drop-in family craft sessions and workshops alongside its changing exhibitions — worth checking the calendar before visiting.
The museum is pushchair-accessible, with a lift to all levels, ramps through the main gallery, sensory bags, ear defenders, activity sheets and baby changing available. It is a useful indoor anchor for a Newton Abbot town visit, with cafés, shops and the bus station nearby.</t>
  </si>
  <si>
    <t>Newton's Place</t>
  </si>
  <si>
    <t>Wolborough Street</t>
  </si>
  <si>
    <t>TQ12 1JQ</t>
  </si>
  <si>
    <t>Service Dogs Only, Toilets, Baby changing, Disabled toilets</t>
  </si>
  <si>
    <t>Activity Sheets or Signs, Colouring, Clues / games</t>
  </si>
  <si>
    <t>Giftshop, Snacks</t>
  </si>
  <si>
    <t>Raining / wet, Windy (&gt; X mph), Snow / sleet / ice, Overcast / cloudy, Stormy / heavy rain / thunderstorms</t>
  </si>
  <si>
    <t>railway history, trains, steam trains, signal box, Brunel, atmospheric railway, Iron Age, Victorian history, World War Two, local history, interactive exhibits, hands-on history, crafts, object handling, bird spotting trail, free entry, all weather</t>
  </si>
  <si>
    <t>Science and engineering themes, Nature and the environment, History brought to life, Technology and robotics, Rotating or seasonal exhibits</t>
  </si>
  <si>
    <t>Newton Abbot Museum.jpg</t>
  </si>
  <si>
    <t>Indoor Entertainment</t>
  </si>
  <si>
    <t>Bowling</t>
  </si>
  <si>
    <t>Ocean Bowling</t>
  </si>
  <si>
    <t>Low Effort, Special Day Out</t>
  </si>
  <si>
    <t>Offering 12 lanes of interactive tenpin bowling, Ocean's facilities offer a fun outing whatever the weather. Situated along Exmouth seafront it can be combined with a number of other activities that are nearby or contained within the same building - arcades, softplay, restaurant, and pool tables. The food and drink options in the building are broad and easy, but also the standard you'd expect from a leisure centre; there's also local, independent cafes nearby if you prefer or want more choice.</t>
  </si>
  <si>
    <t>Ocean</t>
  </si>
  <si>
    <t>Adult, (Fixed) Child, Concession</t>
  </si>
  <si>
    <t>£7.25-£16.95</t>
  </si>
  <si>
    <t>£8.25-£19.50</t>
  </si>
  <si>
    <t>£6.00-£13.00</t>
  </si>
  <si>
    <t>Toilets, Disabled toilets, Baby changing, Indoor Seating</t>
  </si>
  <si>
    <t>WiFi, Hot Drinks, Hot &amp; Cold food, Snacks, Sweet treats</t>
  </si>
  <si>
    <t>bowling, parties, ten-pin bowling, bowling ramps and bumpers, arcade games, seafront views, children's menu</t>
  </si>
  <si>
    <t>Ocean Bowling.JPG</t>
  </si>
  <si>
    <t>Ocean Softplay</t>
  </si>
  <si>
    <t>Ocean is a large soft play venue on the Exmouth seafront, home to a multi-level frame that caters for children aged 0–11, zoned to suit different ages from the smallest crawlers to confident older climbers. It's big, open (noisy!) and well set up for parents to sit directly alongside the action in the café space rather than watching from a distance. It gets busy during party season and school holidays, but the layout handles numbers well — enclosed with a single entry and exit, easy access to toilets and refreshments, and the bonus of seafront views from the upper levels. A solid rainy-day energy burner that's straightforward to manage from the moment you arrive, but be aware that it's a large, loud and lively setting so if you're in search of something for younger children who would get a bit lost with other larger children charging around, it's something to consider before booking. (Although booking ahead is necessary, you are able to do this from reception if you want to arrive and guage busyness first.)</t>
  </si>
  <si>
    <t>0-12months</t>
  </si>
  <si>
    <t>Ice creams, Children's Menu, Indoor Play Space</t>
  </si>
  <si>
    <t>drop-slides, sensory zone, softplay</t>
  </si>
  <si>
    <t>Soft climbing structures, Slides, Tunnels and crawl spaces, Ball pools, Enclosed space, Clear sightlines, Seating for adults, Café or refreshment area, Separate toddler area, Age-zoned play areas</t>
  </si>
  <si>
    <t>Ocean Softplay.jpg</t>
  </si>
  <si>
    <t>Archaeological, Cultural Heritage Site</t>
  </si>
  <si>
    <t>Okehampton Castle</t>
  </si>
  <si>
    <t>Okehampton Castle is a low-key, imaginative ruin in a wooded valley, ideal for children who like clambering gently, exploring old walls and making up stories or games in wide open spaces, rather than needing formal activities or structured options. It’s a good picnic-and-potter stop, with grass, benches and the feel of a small adventure without the scale of a full heritage day out, but the ground is uneven and varied as you might expect from castle ruins, so it's not well suited for smooth, easy-access or particularly buggy friendly.</t>
  </si>
  <si>
    <t>Castle Lodge</t>
  </si>
  <si>
    <t>Okehampton</t>
  </si>
  <si>
    <t>EX20 1JA</t>
  </si>
  <si>
    <t>Thursday, Friday, Saturday, Sunday, Wednesday</t>
  </si>
  <si>
    <t>Closed 1st November to 31st March</t>
  </si>
  <si>
    <t>Guided Tour, Bench Seating, Dogs Allowed, BYO Picnic</t>
  </si>
  <si>
    <t>Sunshine, Dry &amp; mild, Dry &amp; cold, Dry &amp; warm, Dry &amp; hot, Overcast / cloudy</t>
  </si>
  <si>
    <t>castle ruins, medieval keep, gatehouse, motte and bailey, riverside picnic area, woodland walks, wildlife spotting, history, audio tour, birds of prey, ghost legend</t>
  </si>
  <si>
    <t>Ruins to explore, Castles or Fortresses</t>
  </si>
  <si>
    <t>Okehampton Castle.JPG</t>
  </si>
  <si>
    <t>Orange Elephant Summer Meadow Play Area</t>
  </si>
  <si>
    <t>Low Effort, Simple Reset, Moment of Peace</t>
  </si>
  <si>
    <t>The Orange Elephant’s Summer Meadow Play Area is a relaxed countryside stop built around ice cream, outdoor play and space to linger. Children under 12 can move between the sandpits, climbing frame, pedal tractors and open meadow, with animals to spot nearby and picnic benches for slower family time. It is best suited to a sunny, low-pressure outing where the play, farm setting and ice cream are the main event.</t>
  </si>
  <si>
    <t>Lower, Brenton Rd</t>
  </si>
  <si>
    <t>Stage-Show</t>
  </si>
  <si>
    <t>Kennford</t>
  </si>
  <si>
    <t>Live Events</t>
  </si>
  <si>
    <t>Gaming &amp; VR</t>
  </si>
  <si>
    <t>Escape Room</t>
  </si>
  <si>
    <t>EX6 7YL</t>
  </si>
  <si>
    <t>Improvised Performance</t>
  </si>
  <si>
    <t>Comedy</t>
  </si>
  <si>
    <t>Karaoke</t>
  </si>
  <si>
    <t>Thursday, Friday, Saturday, Sunday</t>
  </si>
  <si>
    <t>Arcade / Amusements</t>
  </si>
  <si>
    <t>Laser Tag</t>
  </si>
  <si>
    <t>Closed 07/09/2026-03/04/2027</t>
  </si>
  <si>
    <t>2-18</t>
  </si>
  <si>
    <t>Toilets, Disabled toilets, Baby changing, Indoor Seating, Outdoor Seating</t>
  </si>
  <si>
    <t>Ice creams, Sandpit, "Swings, Slides, Climbing Frames", Outdoor play equipment, Ride on Vehicles, Indoor Play Space</t>
  </si>
  <si>
    <t>Windy (&gt; X mph), Sunshine, Overcast / cloudy, Dry &amp; mild, Dry &amp; warm, Dry &amp; cold, Dry &amp; hot</t>
  </si>
  <si>
    <t>30-60mins, 2-3hrs, 1-2hrs</t>
  </si>
  <si>
    <t>Obstacle courses, farm animals, cows, calves, chickens, sheep, pigs, maize maze, outdoor play equipment, sandpit, open fields</t>
  </si>
  <si>
    <t>Climbing frames, Balance elements, Stepping obstacles, Obstacle courses, Clear sightlines for adults</t>
  </si>
  <si>
    <t>Sand toys</t>
  </si>
  <si>
    <t>Orange Elephant.jpg</t>
  </si>
  <si>
    <t>Liv</t>
  </si>
  <si>
    <t>Sandy Beach, Dog-Friendly Beach, Rockpooling Hotspot</t>
  </si>
  <si>
    <t>Orccombe Point</t>
  </si>
  <si>
    <t>Orcombe Point is the quieter, more exploring-led end of Exmouth Beach, where families can combine sand, sea air and a bit of Jurassic Coast discovery. The Geoneedle gives children a clear “thing to find,” while the coast path, clifftop views and wildflower meadows make it feel more adventurous than a standard beach stop. Best for dry days when you want a beach walk, fossil/geology chat, picnic pause or space to wander — but keep younger children close on cliff paths and check tide/weather if planning beach time below. Tide times are also helpful to plan your trip if rockpooling is the aim, as they're well worth timing a visit for, but they're only accessible at low tide.</t>
  </si>
  <si>
    <t>Under 30mins, 30-60mins, 1-2hrs, 2-3hrs, 4+ hours, Whole Day</t>
  </si>
  <si>
    <t>rockpooling, sandcastles, beach days</t>
  </si>
  <si>
    <t>Rockpools, Diggable sand (Sandcastles), Cliffs Or Headlands, Coastal Wildlife, Swimming, Dog Friendly - off lead all year, Shallow paddling</t>
  </si>
  <si>
    <t>Swimming kit, Towels, Water shoes, Beach toys, Sand toys, Fishing nets, Wetsuit Boots, Wetsuits</t>
  </si>
  <si>
    <t>Orccombe Point Beach Exmouth.JPG</t>
  </si>
  <si>
    <t>Otter Valley Field Kitchen</t>
  </si>
  <si>
    <t>Moment of Peace, Low Effort</t>
  </si>
  <si>
    <t>Award-winning field kitchen and gelato-style ice-cream with an enormous selection of flavours, outdoor seating and picturesque valley views. Otter Valley keeps things simple: freshly cooked food, small-batch ice cream made with milk from the farm, and space outside when the weather suits. It’s a perfect fit for a quick pitstop along the A30 or a slower food stop when children need room to move between courses or cones.</t>
  </si>
  <si>
    <t>Monkton</t>
  </si>
  <si>
    <t>EX14 9QN</t>
  </si>
  <si>
    <t>24/12/2026 - 9AM-3PM
25/12/2026-01/01/2027 - CLOSED
JANUARY 2ND OPEN 9AM-4PM
JANUARY 3RD 9AM -4PM</t>
  </si>
  <si>
    <t>Toilets, Outdoor Seating, Indoor Seating</t>
  </si>
  <si>
    <t>Colouring, Ice creams</t>
  </si>
  <si>
    <t>Outdoor terrace, Snacks, Clear Sightlines, Hot &amp; Cold food, Hot Drinks</t>
  </si>
  <si>
    <t>scenic views, ice cream, open countryside, farm setting</t>
  </si>
  <si>
    <t>Flexible seating for families, Space for children to move a little, "Relaxed, family-welcoming feel", Outdoor seating or garden, Rural or scenic setting</t>
  </si>
  <si>
    <t>Otter Valley Field Kitchen.JPG</t>
  </si>
  <si>
    <t>Otterton Mill Museum</t>
  </si>
  <si>
    <t>Otterton Mill Museum showcases a working watermill on the banks of the River Otter, situated on the same site as the bakery, café, farm shop, gallery and craft shop in a way that makes it easy to shape a visit around different ages. Milling stroneground flour on site and baking it into bread on the on-site bakery, the whole grain-to-table process is happening and showcased within a few metres of each other. Younger children may be drawn to the water, wheel and heritage feel, while older children can connect more with the history of the mill, local crafts and the self-guided mill tour explaining how the milling process works. It’s a useful anchor for an Otterton visit, especially if you are pairing it with the river walk towards Budleigh or a food stop. With plenty to look at in order to keep everyone engaged, be warned, to access the Mill Museum you need to walk through the gift shop so something to bear in mind for little hands! With plenty of signs and information, tasty freshly baked snacks, and the peaceful setting, it's a nice way of connecting a food pitstop with the local history.</t>
  </si>
  <si>
    <t>Otterton Mill</t>
  </si>
  <si>
    <t>Otterton</t>
  </si>
  <si>
    <t>EX9 7HG</t>
  </si>
  <si>
    <t>Seasonal Closing (close at 16:00 in winter, 17:00 in summer)</t>
  </si>
  <si>
    <t>Toilets, Disabled toilets, Baby changing, Picnic Benches, Indoor Seating, Dogs Allowed, Outdoor Seating</t>
  </si>
  <si>
    <t>working watermill, milling, flour milling, waterwheel, bread baking, local food, River Otter, beavers, otters, kingfishers, art gallery, crafts, ceramics, sculpture, wildlife, farm shop</t>
  </si>
  <si>
    <t>Historic buildings, Period features, Visual displays, Craft or heritage activities</t>
  </si>
  <si>
    <t>Otterton Mill Museum.jpg</t>
  </si>
  <si>
    <t>Cafés with Outdoor Space, Coffee Cabin / Truck</t>
  </si>
  <si>
    <t xml:space="preserve">A working watermill with a café, bakery, farm shop and riverside setting that gives a perfect pitstop at the start or end of the riverside walk to Budleigh Beach, or a peaceful setting to read or reset with the smell of baking and the sound of the River Otter for company. </t>
  </si>
  <si>
    <t>Fore St</t>
  </si>
  <si>
    <t>Toilets, Disabled toilets, Outdoor Seating, Dogs Allowed</t>
  </si>
  <si>
    <t>Hot Drinks, Hot &amp; Cold food, Drinks stand, Sweet treats, Outdoor terrace</t>
  </si>
  <si>
    <t>heritage, working watermill, waterwheel, milling demonstration, play area, chickens and ducks, riverside setting, art gallery, farm shop, bakery, café</t>
  </si>
  <si>
    <t>Combined with a walk or attraction, "Shop or browsing area (e.g. farm shop, garden centre)", Farm animals nearby</t>
  </si>
  <si>
    <t>Otterton Mill.JPG</t>
  </si>
  <si>
    <t>Sensory or Calming Experiences</t>
  </si>
  <si>
    <t>Library</t>
  </si>
  <si>
    <t>Ottery St Mary Library</t>
  </si>
  <si>
    <t>Ottery St Mary Library is a small, local library that works if you're in the town-centre and want a simple indoor stop, especially when a visit needs something calmer between errands, park time or the River Otter. It has a small children's section, but paired with a couple of other errands, offers a quiet place to reset without needing to pay for an activity. The Information Centre side also makes it practical for families new to the area or visiting the town, with local knowledge and community information sitting alongside the usual library offer.</t>
  </si>
  <si>
    <t>Silver Street</t>
  </si>
  <si>
    <t>EX11 1DB</t>
  </si>
  <si>
    <t>On-street / nearby parking, Free Car Park, Paid Car Park</t>
  </si>
  <si>
    <t>Indoor Play Space, "Indoor games (puzzles, boards)", Activity Sheets or Signs</t>
  </si>
  <si>
    <t>Sensory Space</t>
  </si>
  <si>
    <t>Soothing Environment</t>
  </si>
  <si>
    <t>Light-touch Sensory</t>
  </si>
  <si>
    <t>children's books, storytime, Bounce and Rhyme, craft events, holiday activities, free WiFi, free computer access, tourist information</t>
  </si>
  <si>
    <t>Quiet space</t>
  </si>
  <si>
    <t>Ottery St Mary Library.JPG</t>
  </si>
  <si>
    <t>Paignton Zoo</t>
  </si>
  <si>
    <t>Paignton Zoo is a full-day animal adventure, better suited to a day when you want a bigger outing and have the energy for plenty of walking. Across 80 acres, children can see major animals like giraffes, tigers, red pandas, rhinos, orangutans and gorillas, with gardens, indoor habitats and play areas helping to keep the day varied. Jungle Fun soft play is included for visitors and split into baby, toddler and older-child zones, which makes it especially helpful if you need a dry-weather fallback or a mid-visit reset.</t>
  </si>
  <si>
    <t>Totnes Road</t>
  </si>
  <si>
    <t>TQ4 7EU</t>
  </si>
  <si>
    <t>Baby, Young Child, Older Child, Adult, Concession</t>
  </si>
  <si>
    <t>&lt;1</t>
  </si>
  <si>
    <t>Carer</t>
  </si>
  <si>
    <t>Disabled toilets, Toilets, Baby changing, Bench Seating, Picnic Benches, Outdoor Seating, Service Dogs Only, BYO Picnic</t>
  </si>
  <si>
    <t>Ice creams, Activity Sheets or Signs, Indoor Play Space, Outdoor play equipment, "Swings, Slides, Climbing Frames"</t>
  </si>
  <si>
    <t>Hot Drinks, Hot &amp; Cold food, Snacks, Sweet treats, Drinks stand</t>
  </si>
  <si>
    <t>4+ hours, Whole Day</t>
  </si>
  <si>
    <t>giraffes, tigers, gorillas, orangutans, lions, rhinos, red pandas, meerkats, lemurs, flamingos, giant tortoises, wolves, crocodiles, reptiles, bugs, farm animals, walk-through lemur enclosure, wobbly bridge, outdoor play areas, indoor soft play, nature trail, daily keeper talks, animal feeding sessions, botanical gardens</t>
  </si>
  <si>
    <t>Close-up viewing, Keeper talks, Animal feeding, Rare or exotic animals, Animal Sanctuary, Conservation, Walk-through enclosures</t>
  </si>
  <si>
    <t>Paignton Zoo.JPG</t>
  </si>
  <si>
    <t>Parke Estate River Beach</t>
  </si>
  <si>
    <t>A woodland river spot with shallow paddling places, stony banks and shaded paths. The River Bovey runs through Parke, with small river beaches reached from the estate paths and old railway line. It suits a slower outdoor stop: paddle when levels are low, skim stones, follow the woodland trails or bring bikes for the flatter traffic-free sections. Water levels can rise quickly after rain, so conditions matter.</t>
  </si>
  <si>
    <t>Parke Estate</t>
  </si>
  <si>
    <t>Snacks, Drinks stand, Outdoor terrace</t>
  </si>
  <si>
    <t>river paddling, stone skimming, woodland walks, wildlife spotting, walled garden, orchard, Dartmoor ponies, riverside trails, picnicking, National Trust estate</t>
  </si>
  <si>
    <t>Birdsong</t>
  </si>
  <si>
    <t>Shallow water, Paddling spots, Natural Swimming Spots, Sheltered or shaded options, Splash-friendly areas, Wildlife spotting, River Beach, Rivers or estuaries, Woodland or countryside setting</t>
  </si>
  <si>
    <t>Water shoes, Fishing nets, Fishing rods &amp; bait, Towels, XC Buggy, Sling / baby carrier, Infant / toddler carrier</t>
  </si>
  <si>
    <t>Parke River Beach.JPG</t>
  </si>
  <si>
    <t>Pennywell Farm</t>
  </si>
  <si>
    <t>A busy farm day out with animal cuddles, pig racing, bottle feeding, rides and play areas across the site. Pennywell runs to a timetable, with something running regularly throughout the day: miniature pig cuddles, goat milking, ferret racing, pony meeting, tractor rides and more. It suits families who like a full, structured day with plenty to break up the visit.</t>
  </si>
  <si>
    <t>Technology and robotics</t>
  </si>
  <si>
    <t>Nature and the environment</t>
  </si>
  <si>
    <t>History brought to life</t>
  </si>
  <si>
    <t>Space and exploration</t>
  </si>
  <si>
    <t>Rotating or seasonal exhibits</t>
  </si>
  <si>
    <t>Lower Dean</t>
  </si>
  <si>
    <t xml:space="preserve">Buckfastleigh </t>
  </si>
  <si>
    <t>TQ11 0LT</t>
  </si>
  <si>
    <t>Adult, Young Child, Older Child, Concession</t>
  </si>
  <si>
    <t>Below 90cm</t>
  </si>
  <si>
    <t>Over 90cm</t>
  </si>
  <si>
    <t>Ball pools</t>
  </si>
  <si>
    <t>Enclosed space</t>
  </si>
  <si>
    <t>Seating for adults</t>
  </si>
  <si>
    <t>Café or refreshment area</t>
  </si>
  <si>
    <t>Toilets, Baby changing, Disabled toilets, Picnic Benches, Service Dogs Only, Outdoor Seating, BYO Picnic</t>
  </si>
  <si>
    <t>Separate toddler area</t>
  </si>
  <si>
    <t>Age-zoned play areas</t>
  </si>
  <si>
    <t>Calm or quieter zones</t>
  </si>
  <si>
    <t>Ice creams, Activity Sheets or Signs, Activity trail, Tractor Rides, Indoor Play Space, Outdoor play equipment, "Swings, Slides, Climbing Frames"</t>
  </si>
  <si>
    <t>Hot Drinks, Snacks, Sweet treats, Hot &amp; Cold food, Giftshop</t>
  </si>
  <si>
    <t>(Free) Dog Kennels</t>
  </si>
  <si>
    <t>Sunshine, Overcast / cloudy, Dry &amp; mild, Dry &amp; warm, Dry &amp; hot, Dry &amp; cold</t>
  </si>
  <si>
    <t>4+ hours, Whole Day, 2-3hrs</t>
  </si>
  <si>
    <t>Petting zoo, animals, tractors, bottle feeding animals, miniature ponies, pigs, piglets, miniature pigs, piglet cuddles, goats, rabbits, ponies, alpacas, donkeys, deer, guinea pigs, hedgehogs, tractor rides, pig racing, ferret racing, goat walking, goat milking, outdoor play area, indoor soft play, children's rides</t>
  </si>
  <si>
    <t>Easter, Halloween, Lent, Christmas, Advent</t>
  </si>
  <si>
    <t>Animal feeding, Hands-on Petting, Tractor rides, Animal races, Animal displays or shows, Baby animals (seasonal), Outdoor animal areas, Close-up viewing</t>
  </si>
  <si>
    <t>Pennywell Farm.jpg</t>
  </si>
  <si>
    <t>Phear Park Basketball Court</t>
  </si>
  <si>
    <t>Low Effort, Energy Burner</t>
  </si>
  <si>
    <t>The basketball area at Phear Park gives older children and teens another active reason to use the park, especially if they want something more independent than the play area. Because it sits alongside the skatepark, tennis courts, open grass and seasonal café, it can work well for families with different ages or interests. It's a casual outdoor sports stop rather than a bookable facility with enough around that it can be extended into a longer outing if preferred.</t>
  </si>
  <si>
    <t>Withycombe Road</t>
  </si>
  <si>
    <t>EX8 1TJ</t>
  </si>
  <si>
    <t>enum_name</t>
  </si>
  <si>
    <t>group_label</t>
  </si>
  <si>
    <t>value_key</t>
  </si>
  <si>
    <t>value_label</t>
  </si>
  <si>
    <t>applies_to_type</t>
  </si>
  <si>
    <t>status</t>
  </si>
  <si>
    <t>notes</t>
  </si>
  <si>
    <t>Provider facing label</t>
  </si>
  <si>
    <t>Icon name</t>
  </si>
  <si>
    <t>Opportunity Types</t>
  </si>
  <si>
    <t>Toilets, Bench Seating, BYO Picnic</t>
  </si>
  <si>
    <t>Activity Venue</t>
  </si>
  <si>
    <t>all</t>
  </si>
  <si>
    <t>Active</t>
  </si>
  <si>
    <t>Route</t>
  </si>
  <si>
    <t>Outdoor pitches, Ball Sports, Purpose-built facilities</t>
  </si>
  <si>
    <t>Club</t>
  </si>
  <si>
    <t>Phear Park Basketball Court.JPG</t>
  </si>
  <si>
    <t>Event</t>
  </si>
  <si>
    <t>experience</t>
  </si>
  <si>
    <t>Experience</t>
  </si>
  <si>
    <t>inactive</t>
  </si>
  <si>
    <t>Future use / Military pilot only</t>
  </si>
  <si>
    <t>Phear Park Playpark</t>
  </si>
  <si>
    <t>community</t>
  </si>
  <si>
    <t>Community</t>
  </si>
  <si>
    <t>Simple Reset, Moment of Peace, Low Effort, Energy Burner</t>
  </si>
  <si>
    <t>Phear Park Play Park sits within a much bigger green park, making it more flexible than a standalone playground as it gives you lots of options in close proximity. Children can use the play area, then spill into open space, trees, paths and nearby park facilities if they still have energy. The park itself caters mainly to children ages 8 and under, but with basketball courts alongside it, and in eyeshot of the main park, it can easily work for mixed ages.</t>
  </si>
  <si>
    <t>support</t>
  </si>
  <si>
    <t>Support</t>
  </si>
  <si>
    <t>Activity Grouping (User-facing Filters)</t>
  </si>
  <si>
    <t>activity_group</t>
  </si>
  <si>
    <t>active</t>
  </si>
  <si>
    <t>activities under X hours, X total cost, not high energy, not chaotic energy, something calming</t>
  </si>
  <si>
    <t>high energy, intended to tire children out and burn off energy - will need to categorise this better</t>
  </si>
  <si>
    <t>low_effort</t>
  </si>
  <si>
    <t>low input needed from parents, something simple, closeby, that children can enjoy mostly independently</t>
  </si>
  <si>
    <t>a special, more considered day out that requires half a day minimum</t>
  </si>
  <si>
    <t>Free Car Park, Bike racks / bays, On-street / nearby parking</t>
  </si>
  <si>
    <t>moment_of_peace</t>
  </si>
  <si>
    <t>something where the parent can enjoy a coffee or a sit down without being required to rush about, something calm, minimal to no input, likely to keep  hildren engaged quietly</t>
  </si>
  <si>
    <t>under_the_radar</t>
  </si>
  <si>
    <t>Under the Radar</t>
  </si>
  <si>
    <t>something off the beaten track, local hidden gem, something worth making a bit more effort for</t>
  </si>
  <si>
    <t>wilder_adventure</t>
  </si>
  <si>
    <t>Wilder Adventure</t>
  </si>
  <si>
    <t>activities that are a little wilder, more of an adventure</t>
  </si>
  <si>
    <t>swings, slides, climbing frame</t>
  </si>
  <si>
    <t>Interest Categories (User-facing Interest Areas)</t>
  </si>
  <si>
    <t>interest_category</t>
  </si>
  <si>
    <t>Interest Category</t>
  </si>
  <si>
    <t>Climbing frames, Zip wires, Mixed-difficulty zones, Clear sightlines for adults, Towers and platforms</t>
  </si>
  <si>
    <t>nature_exploration</t>
  </si>
  <si>
    <t>Nature &amp; Exploration</t>
  </si>
  <si>
    <t>profile</t>
  </si>
  <si>
    <t>Phear Park Play Park.JPG</t>
  </si>
  <si>
    <t>Outdoor discovery, nature connection</t>
  </si>
  <si>
    <t>icon_Nature &amp; Exploration.png</t>
  </si>
  <si>
    <t>movement_energy</t>
  </si>
  <si>
    <t>Movement &amp; Energy</t>
  </si>
  <si>
    <t>High-energy, physical play</t>
  </si>
  <si>
    <t>Phear Park Skate Park</t>
  </si>
  <si>
    <t>icon_Movement &amp; Energy.png</t>
  </si>
  <si>
    <t>Energy Burner, Moment of Peace, Low Effort</t>
  </si>
  <si>
    <t>creativity_imagination</t>
  </si>
  <si>
    <t>Phear Park Skate Park is a brilliant, proper concrete skatepark for children and teens who already love scooters, skateboards or BMX and want more than a basic ramp. The layout mixes ramps, banks, fun boxes, ledges and rails, giving riders different lines to try as their confidence grows. Because it sits inside Phear Park, it can work well for families with mixed ages: older children can ride while younger siblings use the wider park and open green space nearby.</t>
  </si>
  <si>
    <t>Creativity &amp; Imagination</t>
  </si>
  <si>
    <t>Withycombe Rd</t>
  </si>
  <si>
    <t>Making, pretending, expressing</t>
  </si>
  <si>
    <t>icon_Creative &amp; Imagination.png</t>
  </si>
  <si>
    <t>learning_curiosity</t>
  </si>
  <si>
    <t>Learning &amp; Curiosity</t>
  </si>
  <si>
    <t>Discovery, questions, learning</t>
  </si>
  <si>
    <t>icon_Learning &amp; Curiosity copy.png</t>
  </si>
  <si>
    <t>slowing_down</t>
  </si>
  <si>
    <t>Slowing Down</t>
  </si>
  <si>
    <t>Soothing, quiet, low stimulation</t>
  </si>
  <si>
    <t>icon_Special Days Out.png</t>
  </si>
  <si>
    <t>together_time</t>
  </si>
  <si>
    <t>Family Resets</t>
  </si>
  <si>
    <t>Shared, connective experiences</t>
  </si>
  <si>
    <t>icon_Family Resets.png</t>
  </si>
  <si>
    <t>special_memorable</t>
  </si>
  <si>
    <t>Special &amp; Memorable Days Out</t>
  </si>
  <si>
    <t>Novelty, excitement, big moments</t>
  </si>
  <si>
    <t>Opportunity Themes</t>
  </si>
  <si>
    <t>Dogs Allowed, Picnic Benches, BYO Picnic</t>
  </si>
  <si>
    <t>opportunity_theme</t>
  </si>
  <si>
    <t>Opportunity Theme</t>
  </si>
  <si>
    <t>scenic_walks</t>
  </si>
  <si>
    <t>route, event, club</t>
  </si>
  <si>
    <t>Walks chosen for views &amp; atmosphere</t>
  </si>
  <si>
    <t>icon_Scenic Walks &amp; Trails.png</t>
  </si>
  <si>
    <t>green_spaces</t>
  </si>
  <si>
    <t>venue, event, club</t>
  </si>
  <si>
    <t>Open spaces for free play</t>
  </si>
  <si>
    <t>icon_Green Open Spaces.png</t>
  </si>
  <si>
    <t>Dry &amp; hot, Sunshine, Overcast / cloudy, Dry &amp; mild, Dry &amp; cold, Dry &amp; warm</t>
  </si>
  <si>
    <t>nature_wildlife</t>
  </si>
  <si>
    <t>route, venue, event, club</t>
  </si>
  <si>
    <t>skateboarding, BMX, scootering, bowl, ramps, street skating, ledges, floodlit evening sessions</t>
  </si>
  <si>
    <t>Nature-rich, exploratory environments</t>
  </si>
  <si>
    <t>icon_Nature &amp; Wildlife Exploration.png</t>
  </si>
  <si>
    <t>coastal_adventures</t>
  </si>
  <si>
    <t>Coastal exploration &amp; play</t>
  </si>
  <si>
    <t>icon_Coastal Adventures.png</t>
  </si>
  <si>
    <t>Phear Park Skate.JPG</t>
  </si>
  <si>
    <t>gardens_outdoor</t>
  </si>
  <si>
    <t>Curated outdoor spaces</t>
  </si>
  <si>
    <t>icon_Gardens &amp; Curated Spaces.png</t>
  </si>
  <si>
    <t>active_play</t>
  </si>
  <si>
    <t>Large-scale, physical play</t>
  </si>
  <si>
    <t>icon_Playgrounds &amp; Adventure Parks.png</t>
  </si>
  <si>
    <t>sporty_activities</t>
  </si>
  <si>
    <t xml:space="preserve">Phear Park is one of Exmouth’s most useful “everyone needs something different” spaces: open grass, mature trees, play, skatepark, tennis, pitch and putt, toilets and a café nearby. It’s good when you don’t want the full effort of the beach but still need fresh air and room to move. Families can make it short and simple, or stretch it into a longer park morning with food, wheels and games. It is a good everyday option for a low-cost outdoor stretch, especially with mixed ages, and with the paths around the park having been recently re-laid, it's perfect for a smooth, gently undulating scoot, balance bike or easy bike ride around the path loops. </t>
  </si>
  <si>
    <t>Organised or casual sports</t>
  </si>
  <si>
    <t>icon_Sporty Activities.png</t>
  </si>
  <si>
    <t>wheels_routes</t>
  </si>
  <si>
    <t>Bike, scooter, wheeled routes</t>
  </si>
  <si>
    <t>icon_Rideable Routes.png</t>
  </si>
  <si>
    <t>water_fun</t>
  </si>
  <si>
    <t>Swimming, paddling, splash</t>
  </si>
  <si>
    <t>icon_Water Activities.png</t>
  </si>
  <si>
    <t>creative_play</t>
  </si>
  <si>
    <t>Art, making, performing</t>
  </si>
  <si>
    <t>icon_Creative Activities.png</t>
  </si>
  <si>
    <t>imaginative_play</t>
  </si>
  <si>
    <t>Pretend &amp; story-led play</t>
  </si>
  <si>
    <t>icon_Imaginative &amp; Role Play.png</t>
  </si>
  <si>
    <t>sensory_soothing</t>
  </si>
  <si>
    <t>Regulation-focused experiences</t>
  </si>
  <si>
    <t>icon_Sensory or Calming Experiences.png</t>
  </si>
  <si>
    <t>hands_on_learning</t>
  </si>
  <si>
    <t>Hands-On Learning</t>
  </si>
  <si>
    <t>Learning by doing</t>
  </si>
  <si>
    <t>icon_Hands-On Learning.png</t>
  </si>
  <si>
    <t>interactive_museums</t>
  </si>
  <si>
    <t>Museums designed for children</t>
  </si>
  <si>
    <t>icon_Museums &amp; Discovery.png</t>
  </si>
  <si>
    <t>historical_cultural</t>
  </si>
  <si>
    <t>Heritage &amp; culture</t>
  </si>
  <si>
    <t>icon_History &amp; Culture.png</t>
  </si>
  <si>
    <t>animal_encounters</t>
  </si>
  <si>
    <t>Animals as the core draw</t>
  </si>
  <si>
    <t>icon_Animal Encounters.png</t>
  </si>
  <si>
    <t>soft_play</t>
  </si>
  <si>
    <t>venue, event</t>
  </si>
  <si>
    <t>Indoor physical play</t>
  </si>
  <si>
    <t>icon_Soft Play &amp; Indoor Active Play.png</t>
  </si>
  <si>
    <t>indoor_entertainment</t>
  </si>
  <si>
    <t>venue, club, event</t>
  </si>
  <si>
    <t>Indoor related activities</t>
  </si>
  <si>
    <t>icon_Indoor Entertainment.png</t>
  </si>
  <si>
    <t>vehicles_transport</t>
  </si>
  <si>
    <t>open green space, woodland walks, pond, duck spotting, pitch and putt golf, tennis courts, café, picnic areas, cycling space</t>
  </si>
  <si>
    <t>Transport &amp; Engineering</t>
  </si>
  <si>
    <t>Trains, boats, machinery</t>
  </si>
  <si>
    <t>icon_Transport &amp; Engineering.png</t>
  </si>
  <si>
    <t>big_day_out</t>
  </si>
  <si>
    <t>Large, immersive attractions</t>
  </si>
  <si>
    <t>icon_A Big Day Out.png</t>
  </si>
  <si>
    <t>Meadows or wild grass, Duck Ponds, Water Features or Fountains, Room to run freely, Open sightlines, Grassy banks, Play equipment</t>
  </si>
  <si>
    <t>relaxed_cafe</t>
  </si>
  <si>
    <t>Informal café time</t>
  </si>
  <si>
    <t>icon_Cafés &amp; Coffee Stops.png</t>
  </si>
  <si>
    <t>family_dining</t>
  </si>
  <si>
    <t>Sit-down family meals</t>
  </si>
  <si>
    <t>icon_Family Dining.png</t>
  </si>
  <si>
    <t>Plymouth Aquarium</t>
  </si>
  <si>
    <t>seasonal</t>
  </si>
  <si>
    <t>Seasonal</t>
  </si>
  <si>
    <t>Special Day Out, Low Effort</t>
  </si>
  <si>
    <t>icon_Seasonal.png</t>
  </si>
  <si>
    <t>The National Marine Aquarium is a strong all-weather choice for children who are fascinated by sea life, big tanks and slower, immersive exploring. It works well when you want something inside and memorable, with plenty of visual interest for everyone and additional conservation detail for older ones. Standard tickets include a free 12-month pass, which makes the cost feel more useful if you might return. There is also seasonal soft play for younger children, with timed sessions, a small extra charge and height/age limits.</t>
  </si>
  <si>
    <t>Rope Walk</t>
  </si>
  <si>
    <t>Opportunity Themes mapped to Interest Categories</t>
  </si>
  <si>
    <t>Coxside</t>
  </si>
  <si>
    <t>interest_category_options</t>
  </si>
  <si>
    <t>PL4 0LF</t>
  </si>
  <si>
    <t>Gardens &amp; Heritage Grounds</t>
  </si>
  <si>
    <t>Baby, (Fixed) Child, Adult, Concession</t>
  </si>
  <si>
    <t>60+, Students</t>
  </si>
  <si>
    <t>Toilets, Disabled toilets, Indoor Seating, BYO Picnic</t>
  </si>
  <si>
    <t>Indoor Play Space</t>
  </si>
  <si>
    <t>Hot Drinks, Hot &amp; Cold food, Giftshop, Drinks stand</t>
  </si>
  <si>
    <t>active_play_climbing</t>
  </si>
  <si>
    <t>Raining / wet, Windy (&gt; X mph), Snow / sleet / ice, Overcast / cloudy, Stormy / heavy rain / thunderstorms, Dry &amp; mild, Dry &amp; cold</t>
  </si>
  <si>
    <t>sharks, stingrays, sea turtle, jellyfish, seahorses, octopus, rays, eels, tropical fish, coral reefs, rock pool touch tank, UK's deepest aquarium tank, interactive displays, digital drawing activity, activity trail, dive shows, keeper talks</t>
  </si>
  <si>
    <t>Guided walks, Animal Sanctuary, Rare or exotic animals, Keeper talks, Close-up viewing</t>
  </si>
  <si>
    <t>Plymouth Aquarium.JPG</t>
  </si>
  <si>
    <t>Putsborough Beach</t>
  </si>
  <si>
    <t>Special Day Out, Simple Reset</t>
  </si>
  <si>
    <t>Putsborough is a beautiful, big-sky beach day with wide sand, surf and views across towards Woolacombe, but it feels a little more tucked-away than the busiest resort beaches. It’s a good choice when you want proper beach space, bodyboarding or a long sandy wander, with facilities close enough to make the day manageable. The headland gives some shelter from south and south-westerly winds, which can be a real parent win.</t>
  </si>
  <si>
    <t>Putsborough</t>
  </si>
  <si>
    <t>Georgeham</t>
  </si>
  <si>
    <t>near Braunton</t>
  </si>
  <si>
    <t>EX33 1LB</t>
  </si>
  <si>
    <t>Creativity &amp; Imagination Options</t>
  </si>
  <si>
    <t>Learning &amp; Curiosity Options</t>
  </si>
  <si>
    <t>Toilets, Disabled toilets, Baby changing, Dogs Allowed, Showers / changing facilities, BYO Picnic</t>
  </si>
  <si>
    <t>Clear Sightlines, Hot &amp; Cold food, Snacks, Drinks stand, Sweet treats, Hot Drinks, Giftshop</t>
  </si>
  <si>
    <t>sandy beach, rock pooling, surfing, bodyboarding, stream paddling, sand dunes, swimming, café, sheltered bay</t>
  </si>
  <si>
    <t>Slowing Down Options</t>
  </si>
  <si>
    <t>Diggable sand (Sandcastles), Shallow paddling</t>
  </si>
  <si>
    <t>Sand toys, Beach toys, Fishing nets, Wetsuits, Swimming kit, Towels</t>
  </si>
  <si>
    <t>Putsborough Beach.jpg</t>
  </si>
  <si>
    <t>Queens Parade Play Area</t>
  </si>
  <si>
    <t>This Jurassic-themed seafront play area on Queens Drive, is open dawn to dusk year-round and is a popular local spot. The centrepiece is a 7.5-metre Old Wise Tree climbing structure, alongside a diplodocus, a large tower and slide, pirate ship, swings and climbing frames — enough variety for a good burst of play without it feeling like a basic swing-and-slide stop. It sits right on the seafront with the beach, promenade, Ocean leisure centre and Sideshore all within easy walking distance, so it can anchor a longer seafront morning or work as a quick energy burn between other stops. The events space alongside hosts a seasonal funfair and various children's attractions throughout the year, which can transform the feel of the space considerably on busier days; Exmouth is known to be a tourist hotspot during summer months, but come the quieter days post-peak season, there's so much to do and multiple options within close proximity to each other to create an easy, low-key day out.</t>
  </si>
  <si>
    <t>a_big_day_out</t>
  </si>
  <si>
    <t>General Skills / Abilities</t>
  </si>
  <si>
    <t>general_skill</t>
  </si>
  <si>
    <t>Balance Biking</t>
  </si>
  <si>
    <t>Show for Ages 1 - 4</t>
  </si>
  <si>
    <t>Cycling</t>
  </si>
  <si>
    <t>Show for Ages 4 and over</t>
  </si>
  <si>
    <t>Scootering</t>
  </si>
  <si>
    <t>Show for Ages 1 - 5</t>
  </si>
  <si>
    <t>Hiking</t>
  </si>
  <si>
    <t>Show for Age 8 and over</t>
  </si>
  <si>
    <t>Show for Age 6 and over</t>
  </si>
  <si>
    <t>Ice creams, Sandpit, "Swings, Slides, Climbing Frames", Outdoor play equipment</t>
  </si>
  <si>
    <t>Specific Skills / Abilities</t>
  </si>
  <si>
    <t xml:space="preserve">(This is shown when the child is likely to be building skill and parents are looking for dedicated clubs or events catering to them having shown a specific interest - not just general 'have a go' activities) </t>
  </si>
  <si>
    <t>Skills associated with each Interest Opportunity Theme</t>
  </si>
  <si>
    <t>Orienteering or Navigation</t>
  </si>
  <si>
    <t>Age 8 and over</t>
  </si>
  <si>
    <t>helter-skelter slide, wooden structures, swings, sandpit</t>
  </si>
  <si>
    <t>Sailing</t>
  </si>
  <si>
    <t>Age 6 and over</t>
  </si>
  <si>
    <t>Rope bridges, Slides (particularly tall or long)</t>
  </si>
  <si>
    <t>Sand toys, Beach toys</t>
  </si>
  <si>
    <t>Queen's Parade Play Park.JPG</t>
  </si>
  <si>
    <t>World &amp; Cultures, History &amp; Pastimes</t>
  </si>
  <si>
    <t>RAMM Exeter</t>
  </si>
  <si>
    <t>Football</t>
  </si>
  <si>
    <t>Royal Albert Memorial Museum &amp; Art Gallery is a free, city-centre museum with galleries covering natural history, world cultures, local history and art. Families can follow museum trails, use the family area and join regular children’s activities, making it a strong all-weather option for curious children who like objects, animals, stories and hands-on discovery. For younger children there are a number of mini suitcases that can be borrowed from the Information Desk containing dressing up things and magnifying glasses to help parents turn a trip around the different exhibits into more of an adventure. With a particularly wide range of taxidermy including an enormous giraffe, a menagerie of different birds, and an enormous tiger, in addition to a considerable collection of preserved bugs and butterflies, there are lots of different ways to capture the imagination, as well as their intellect!</t>
  </si>
  <si>
    <t>Tennis</t>
  </si>
  <si>
    <t>Royal Albert memorial Museum Art &amp; Gallery</t>
  </si>
  <si>
    <t>Age 5 and over</t>
  </si>
  <si>
    <t>Queen St</t>
  </si>
  <si>
    <t>Athletics</t>
  </si>
  <si>
    <t>EX4 3RX</t>
  </si>
  <si>
    <t>Age 7 and over</t>
  </si>
  <si>
    <t>Rollerblades / skates</t>
  </si>
  <si>
    <t>Motorcross</t>
  </si>
  <si>
    <t>Music</t>
  </si>
  <si>
    <t>Creative Writing</t>
  </si>
  <si>
    <t>Age 10 and over</t>
  </si>
  <si>
    <t>Drama / Acting</t>
  </si>
  <si>
    <t>Coding</t>
  </si>
  <si>
    <t>Horse Riding</t>
  </si>
  <si>
    <t>Animal Husbandry</t>
  </si>
  <si>
    <t>Robotics</t>
  </si>
  <si>
    <t>Hot Drinks, Giftshop, Bookshop</t>
  </si>
  <si>
    <t>Construction</t>
  </si>
  <si>
    <t>Yoga</t>
  </si>
  <si>
    <t>Escape rooms</t>
  </si>
  <si>
    <t>natural history collection, world cultures galleries, interactive exhibits, Mini Explorer Zone, dressing up, handling sessions, geology discovery, art gallery, free entry, reading corner, beastie bags</t>
  </si>
  <si>
    <t>History brought to life, Rotating or seasonal exhibits</t>
  </si>
  <si>
    <t>RAMM.JPG</t>
  </si>
  <si>
    <t>RHS Rosemoor</t>
  </si>
  <si>
    <t>A 65-acre RHS garden in a North Devon valley, set between Exmoor and Dartmoor with the River Torridge running along its western edge. For families it works better than many gardens because the children's offer is genuinely thought-through rather than bolted on. There's a dedicated natural play area with climbing frames, log stepping stones and a sandpit; a seasonal children's trail running year-round with a prize on completion; monthly Welly Walks for under-fives with a story, craft and garden walk for £3 per child; and free drop-in craft workshops in the Garden Room. The garden itself has something in every season, and the rose garden, cottage garden, potager, rock garden and hot borders give older children and adults plenty to look at between activities.</t>
  </si>
  <si>
    <t>Go-Karting</t>
  </si>
  <si>
    <t>Great Torrington</t>
  </si>
  <si>
    <t>EX38 8PH</t>
  </si>
  <si>
    <t>Opportunity Themes mapped to each Opportunity Type</t>
  </si>
  <si>
    <t>Christmas Day</t>
  </si>
  <si>
    <t>opportunity_type_theme_options</t>
  </si>
  <si>
    <t>Route Themes</t>
  </si>
  <si>
    <t>route_themes</t>
  </si>
  <si>
    <t>Venue Themes</t>
  </si>
  <si>
    <t>venue_themes</t>
  </si>
  <si>
    <t>Green Space To Run Around</t>
  </si>
  <si>
    <t>£13.60-£17.40</t>
  </si>
  <si>
    <t>Formal or landscaped gardens</t>
  </si>
  <si>
    <t>Toilets, Disabled toilets, Baby changing, Bench Seating, Picnic Benches, Indoor Seating, Outdoor Seating, BYO Picnic</t>
  </si>
  <si>
    <t>Outdoor play equipment, "Swings, Slides, Climbing Frames", Activity trail, Children’s trail, Activity Sheets or Signs, Colouring, Clues / games, Ice creams</t>
  </si>
  <si>
    <t>Playground space</t>
  </si>
  <si>
    <t>Cycling or Walking Routes</t>
  </si>
  <si>
    <t>Water-based Activities</t>
  </si>
  <si>
    <t>Creative or Expressive Play</t>
  </si>
  <si>
    <t>formal gardens, flower displays, garden trails, children's trail, natural play area, log stepping stones, sandpit, giant bug spotting, den building, woodland walks, forest school workshops, bird feeding stations, seasonal events, rose gardens, wildflower meadows, RHS, gardens, rose garden, wildflower meadows, children's trail, natural play area, log stepping stones, sandpit, climbing, den building, forest school, campfire cooking, craft workshops, Welly Walks, bug spotting, pond dipping, birdwatching, bird feeding, seasonal displays, bluebells, spring bulbs, summer borders, autumn colour, Christmas trail, RHS Glow, North Devon</t>
  </si>
  <si>
    <t>Imaginary Role Play</t>
  </si>
  <si>
    <t>Winter, Christmas, Spring flowers, Easter, Autumn colours, Summer</t>
  </si>
  <si>
    <t>Birdsong, Bluebells, Daffodills, Wildflower Meadows, Butterflies, Fungi, "Berries, Nuts, Conkers", Autumn Leaves</t>
  </si>
  <si>
    <t>Sensory Experiences</t>
  </si>
  <si>
    <t>Designed or sculpted landscapes, Seasonal foliage, Seasonal or curated displays, Water Features or Fountains, Meadows &amp; wild grass, Lakes or wildlife ponds, Room to run freely, Open sightlines, Vegetable gardens &amp; growing spaces, Historic features, Meandering paths, "Hidden corners, passageways, gates &amp; gardens", Garden “rooms”, Greenhouses &amp; tropical plants</t>
  </si>
  <si>
    <t>Exhibits &amp; Discoveries</t>
  </si>
  <si>
    <t>RHS Rosemoor.JPG</t>
  </si>
  <si>
    <t>Historical or cultural education</t>
  </si>
  <si>
    <t>Indoor Play Equipment</t>
  </si>
  <si>
    <t xml:space="preserve">Rise Bakery </t>
  </si>
  <si>
    <t>Rise is lovely seafront stop for parents when you want a good coffee and a tasty snack: coffee, fresh pastries, sandwiches and something that feels a bit nicer than a standard kiosk, right by the beach and Sideshore. It’s a strong refuel point before or after sand, scooting, beach play or watersports-watching, but not a play venue, so it suits families who can manage a café pause on the go and are happy to sit outside on the bench seating. Beware of the seagulls for young children, as they're particularly eagle-eyed around this area for unguarded snacks.</t>
  </si>
  <si>
    <t>Rise Bakery</t>
  </si>
  <si>
    <t>Vehicle rides or exploration</t>
  </si>
  <si>
    <t>1 Queen’s Drive</t>
  </si>
  <si>
    <t>A special (big) day out</t>
  </si>
  <si>
    <t>A relaxed coffee stop</t>
  </si>
  <si>
    <t>Family Dining moment</t>
  </si>
  <si>
    <t>Club Themes</t>
  </si>
  <si>
    <t>club_themes</t>
  </si>
  <si>
    <t>Picnic Benches</t>
  </si>
  <si>
    <t>Sweet treats</t>
  </si>
  <si>
    <t xml:space="preserve">sourdough, pastries, coffee, beachfront views, outdoor seating, local produce
</t>
  </si>
  <si>
    <t>Rise Bakery.JPG</t>
  </si>
  <si>
    <t>River Dart Country Park</t>
  </si>
  <si>
    <t>A full outdoor day with woodland trails, water play, climbing zones, slides, forts and space to picnic by the river. River Dart Country Park has a lot to move between, from the adventure playground, agility trail and wooden fort to low ropes, bike trails, tyre swings, a pirate ship and riverside paths. It works especially well for mixed ages, with bigger challenges, quieter walks and younger play areas all within the park.</t>
  </si>
  <si>
    <t>Ashburton</t>
  </si>
  <si>
    <t>TQ13 7NP</t>
  </si>
  <si>
    <t>Event Themes</t>
  </si>
  <si>
    <t>event_themes</t>
  </si>
  <si>
    <t>Baby, Adult, Concession, Young Child, Older Child</t>
  </si>
  <si>
    <t>£3.50-£8.45</t>
  </si>
  <si>
    <t>£3.50-£14.95</t>
  </si>
  <si>
    <t>Companion</t>
  </si>
  <si>
    <t>£5.50-£7.70</t>
  </si>
  <si>
    <t>Toilets, Disabled toilets, Baby changing, Bench Seating, Picnic Benches, Indoor Seating, Dogs Allowed, Outdoor Seating, Showers / changing facilities, BYO Picnic</t>
  </si>
  <si>
    <t>Ice creams, Activity trail, Children’s trail, Sandpit, Zip Line, Rope Swings, "Swings, Slides, Climbing Frames", Outdoor play equipment</t>
  </si>
  <si>
    <t>Hot Drinks, WiFi, Hot &amp; Cold food, Snacks, Drinks stand, Sweet treats, Giftshop, Outdoor terrace</t>
  </si>
  <si>
    <t>Dry &amp; mild, Dry &amp; warm, Dry &amp; hot, Sunshine</t>
  </si>
  <si>
    <t>pirate ships, pump track, obstacle courses, camping, rivers, kayaking, paddleboarding, SUP, picnics, bike trails, aventure play, river paddling, forest adventures, adventure play, rope swings, bike route</t>
  </si>
  <si>
    <t>Summer, Halloween</t>
  </si>
  <si>
    <t>Butterflies, Dragonflies &amp; Damselflies</t>
  </si>
  <si>
    <t>Rope bridges, Climbing frames, Balance elements, Scramble nets, Stepping obstacles, Towers and platforms, Slides, Zip wires, Fireman's poles, Ropes &amp; aerial adventures, Climbing rocks or bouldering, Rope swings, Wooded setting, Swings, Basket / nest swings, Water play features, Mixed-difficulty zones, Pump track, BMX track, Dirt jumps, Open grass / running space, Stream or water channel, Natural boulders</t>
  </si>
  <si>
    <t>Water shoes, Towels, Swimming kit, Fishing nets, Sturdy footwear</t>
  </si>
  <si>
    <t>River Dart Country Park.JPG</t>
  </si>
  <si>
    <t>Opportunity Theme Variants (what is it, exactly)</t>
  </si>
  <si>
    <t>opportunity_theme_variant_walks</t>
  </si>
  <si>
    <t>River Dart River Beach</t>
  </si>
  <si>
    <t>woodland_walk</t>
  </si>
  <si>
    <t>Under the Radar, Wilder Adventure</t>
  </si>
  <si>
    <t>Tree-covered, shaded walks</t>
  </si>
  <si>
    <t>A stone's throw further along the route to River Dart Country Park, you'll find an informal access point into the River Dart, a popular spot for locals who don't want to commit to a full trip to the nearby Park, but want access to the river for a wild swim, paddleboard or cool down. Parking is along the main stretch of road, which is limited, so on hot summer days it can fill up quickly, but it's well worth planning ahead and arriving early, or waiting for the initial rush to die down, because it's an idyllic spot. With a rope swing, a little waterfall, and deeper spots ideal for swimming, it's a hidden gem that showcases Dartmoor at its most unspoilt — clear water, granite boulders, overhanging trees and that particular stillness you only get when you're properly away from the facilities and the crowds. No entry fee, no wristbands, no timetables. Just the river.</t>
  </si>
  <si>
    <t>coastal_walk</t>
  </si>
  <si>
    <t>Sea views, cliffs</t>
  </si>
  <si>
    <t>riverside_walk</t>
  </si>
  <si>
    <t>TQ13 7NW</t>
  </si>
  <si>
    <t>Calm waterside walks</t>
  </si>
  <si>
    <t>nature_trail</t>
  </si>
  <si>
    <t>Signed or circular routes</t>
  </si>
  <si>
    <t>national_park</t>
  </si>
  <si>
    <t>route, venue</t>
  </si>
  <si>
    <t>waymarked_trail</t>
  </si>
  <si>
    <t>estate_grounds</t>
  </si>
  <si>
    <t>heathland</t>
  </si>
  <si>
    <t>feature_walk</t>
  </si>
  <si>
    <t>Destination-led</t>
  </si>
  <si>
    <t>gentle_wander</t>
  </si>
  <si>
    <t>Short, low-effort walks</t>
  </si>
  <si>
    <t>hilly_hike</t>
  </si>
  <si>
    <t>Challenging hikes on tricky terrain</t>
  </si>
  <si>
    <t>city_circuit</t>
  </si>
  <si>
    <t>Short loops in urban areas</t>
  </si>
  <si>
    <t>Rope Swings</t>
  </si>
  <si>
    <t>towpaths</t>
  </si>
  <si>
    <t>Simple towpaths</t>
  </si>
  <si>
    <t>opportunity_theme_variant</t>
  </si>
  <si>
    <t>Open Green Spaces</t>
  </si>
  <si>
    <t>country_parks</t>
  </si>
  <si>
    <t>Big open parks with space to roam</t>
  </si>
  <si>
    <t>open_parkland</t>
  </si>
  <si>
    <t>Wide, unfenced grassy areas</t>
  </si>
  <si>
    <t>village_greens</t>
  </si>
  <si>
    <t>swimming, river beach, ponies, Dartmoor views, paddling, picnic spot, rope swing, SUP</t>
  </si>
  <si>
    <t>Informal local green spaces</t>
  </si>
  <si>
    <t>village_parks</t>
  </si>
  <si>
    <t>Smaller local park options usually with some greenspace</t>
  </si>
  <si>
    <t>urban_green_spaces</t>
  </si>
  <si>
    <t>City-based open green areas</t>
  </si>
  <si>
    <t>Shallow water, Natural Swimming Spots, Splash-friendly areas, Wildlife spotting, River Beach, Rivers or estuaries, National Park, Deep water or plunge pools, Paddling spots, Sheltered or shaded options, River access for small boats or paddleboards, Kayaking, Paddleboarding, Woodland or countryside setting</t>
  </si>
  <si>
    <t>castle_grounds</t>
  </si>
  <si>
    <t>River Dart Informal Access.jpg</t>
  </si>
  <si>
    <t>Joanne</t>
  </si>
  <si>
    <t>Managed grounds open to the public</t>
  </si>
  <si>
    <t>nature_reserves</t>
  </si>
  <si>
    <t>River Otter River Beach</t>
  </si>
  <si>
    <t>all, route</t>
  </si>
  <si>
    <t>Protected or unmanaged natural areas</t>
  </si>
  <si>
    <t>wildlife_spotting</t>
  </si>
  <si>
    <t>A gentle, wildlife-rich riverside spot tucked behind the playing fields of Tipton St John — quieter and less well-known than the main Otter Estuary trail, which is part of its appeal. Accessed through the playing fields from the village car park, the path curves around to the river where you can find plenty of picnic spots, slow down and let children play freely. The river is shallow and clear in dry months with good paddling, stone-skimming and the possibility of beaver signs along the banks if you look carefully, but maintain good supervision when the river is higher as it's fast moving in places and there are many deep patches. It's a simple, unhurried outdoor stop rather than a managed venue — best with snacks, wellies in the winter, and no fixed plan for the afternoon.</t>
  </si>
  <si>
    <t>Birds, insects, deer</t>
  </si>
  <si>
    <t>hydes_cabins</t>
  </si>
  <si>
    <t>EX10 0AF</t>
  </si>
  <si>
    <t>Quiet observation</t>
  </si>
  <si>
    <t>learning_hut</t>
  </si>
  <si>
    <t>forest_school</t>
  </si>
  <si>
    <t>Lightly structured, nature-first learning</t>
  </si>
  <si>
    <t>natural_play_areas</t>
  </si>
  <si>
    <t>Play using natural materials, wild, unmanaged spaces</t>
  </si>
  <si>
    <t>den_building</t>
  </si>
  <si>
    <t>Hands-on interaction with nature</t>
  </si>
  <si>
    <t>nature_trails</t>
  </si>
  <si>
    <t>Trails designed to encourage exploration</t>
  </si>
  <si>
    <t>waterfall</t>
  </si>
  <si>
    <t>reservoir</t>
  </si>
  <si>
    <t>sandy_beach</t>
  </si>
  <si>
    <t>Sand-focused play</t>
  </si>
  <si>
    <t>pebble_beach</t>
  </si>
  <si>
    <t>river paddling, wild swimming, rope swings, stone skimming, riverside walks, picnicking, beaver spotting, kingfishers, stepping stones, Pooh sticks</t>
  </si>
  <si>
    <t>rnli_beach</t>
  </si>
  <si>
    <t>Safe water entry</t>
  </si>
  <si>
    <t>coves_exploration</t>
  </si>
  <si>
    <t>Deep water or plunge pools, Paddling spots, Natural Swimming Spots, Wildlife spotting, Rivers or estuaries, River Beach, Woodland or countryside setting</t>
  </si>
  <si>
    <t>Smaller, enclosed bays</t>
  </si>
  <si>
    <t>Water shoes, Towels, Swimming kit, Warm change of clothes, XC Buggy, Sling / baby carrier, Infant / toddler carrier</t>
  </si>
  <si>
    <t>River Otter River Beach.JPG</t>
  </si>
  <si>
    <t>coasteering_adventure</t>
  </si>
  <si>
    <t>club, experience, venue</t>
  </si>
  <si>
    <t>Coasterring as an activity or ideal preferred spot</t>
  </si>
  <si>
    <t>wild_open_beaches</t>
  </si>
  <si>
    <t>RSPB Bird Hyde</t>
  </si>
  <si>
    <t>Exposed, expansive beaches</t>
  </si>
  <si>
    <t>Moment of Peace, Under the Radar</t>
  </si>
  <si>
    <t>dog_friendly_beaches</t>
  </si>
  <si>
    <t>Dog access important</t>
  </si>
  <si>
    <t>The bird hide at Bowling Green Marsh is one of the best easily accessible birdwatching spots in Devon, sitting right on the edge of Topsham town and managed by the RSPB as part of the wider Exe Estuary reserve. From the hide, children can scan the shallow marsh and mudflats through binoculars or the viewing slits and spot wading birds at surprisingly close range — avocets, black-tailed godwits, lapwings, redshanks and herons are all regulars, with the avocet numbers peaking in winter when up to a third of the UK's entire avocet population gathers on the Exe. The hide itself is small and peaceful, which suits children who enjoy quiet looking rather than busy activity, and the short walk from Topsham town means it pairs naturally with the Goat Walk, quayside cafés or a browse around the village. Binoculars make a real difference here — borrow or bring a pair if you can.</t>
  </si>
  <si>
    <t>mixed_sand_shingle</t>
  </si>
  <si>
    <t>Bowling Green Rd</t>
  </si>
  <si>
    <t>cove_or_bay</t>
  </si>
  <si>
    <t>Wednesday, Thursday, Friday, Saturday, Sunday</t>
  </si>
  <si>
    <t>surf_beach</t>
  </si>
  <si>
    <t>harbour_beach</t>
  </si>
  <si>
    <t>estuary_beach</t>
  </si>
  <si>
    <t>Subject to volunteer availability</t>
  </si>
  <si>
    <t>botanical_gardens</t>
  </si>
  <si>
    <t>Botanical Garden</t>
  </si>
  <si>
    <t>Plant collections</t>
  </si>
  <si>
    <t>arboretum</t>
  </si>
  <si>
    <t>historic_estate_gardens</t>
  </si>
  <si>
    <t>Bike racks / bays</t>
  </si>
  <si>
    <t>Manor, estate, heritage gardens</t>
  </si>
  <si>
    <t>formal_landscape_gardens</t>
  </si>
  <si>
    <t>Designed garden layouts</t>
  </si>
  <si>
    <t>community_gardens</t>
  </si>
  <si>
    <t>Local gardens open to the public</t>
  </si>
  <si>
    <t>themed_gardens</t>
  </si>
  <si>
    <t>Art, sculpture, or concept-led gardens</t>
  </si>
  <si>
    <t>enclosed_gardens</t>
  </si>
  <si>
    <t>Overcast / cloudy, Dry &amp; mild, Dry &amp; cold, Dry &amp; warm, Dry &amp; hot, Raining / wet, Sunshine</t>
  </si>
  <si>
    <t>Contained, intimate spaces</t>
  </si>
  <si>
    <t>bird migrations, natural habitats, birdwatching, bird hide, wading birds, wildfowl, herons, egrets, avocets, godwits, wetland wildlife, nature garden, bug hotels, pond dipping, estuary views</t>
  </si>
  <si>
    <t>large_playgrounds</t>
  </si>
  <si>
    <t>Birdsong, "Returning swallows, swifts (birds)", Seabird Colonies, Kingfisher Spotting, Dragonflies &amp; Damselflies, Starling Murmurations, Migrating Birds</t>
  </si>
  <si>
    <t>Destination Playground</t>
  </si>
  <si>
    <t>Big, well-equipped playgrounds</t>
  </si>
  <si>
    <t>Immersive natural surroundings, Quiet or low-intervention spaces</t>
  </si>
  <si>
    <t>local_playgrouns</t>
  </si>
  <si>
    <t>RSPB Bowling Green Bird Hyde.JPG</t>
  </si>
  <si>
    <t>Smaller, village parks</t>
  </si>
  <si>
    <t>adventure_playgrounds</t>
  </si>
  <si>
    <t>More challenging, exploratory play</t>
  </si>
  <si>
    <t>natural_play</t>
  </si>
  <si>
    <t>Wood, ropes, nature-led design</t>
  </si>
  <si>
    <t>Sea Shore Ice Creamery</t>
  </si>
  <si>
    <t>skate_park</t>
  </si>
  <si>
    <t>Sea Shore Ice Creamery is the classic seafront ice-cream stop: useful when you need a small treat, a pause on the promenade, or something to stretch out a beach visit without committing to another paid activity. The parent value is in the options — including dairy-free and gluten-free — and the location, which makes it easy to fold into beach, scooters, Sideshore or a walk towards Orcombe Point.</t>
  </si>
  <si>
    <t>actie</t>
  </si>
  <si>
    <t>Ramps, jumps, smoothed surface intended for skates</t>
  </si>
  <si>
    <t>orienteering_course</t>
  </si>
  <si>
    <t>Height, obstacles, physical challenge</t>
  </si>
  <si>
    <t>letterboxing_course</t>
  </si>
  <si>
    <t>Fast-paced, physical play</t>
  </si>
  <si>
    <t>leisure_centre</t>
  </si>
  <si>
    <t>Leisure Centre</t>
  </si>
  <si>
    <t>assault-course</t>
  </si>
  <si>
    <t>climbing_centre</t>
  </si>
  <si>
    <t>multisports_activity_centre</t>
  </si>
  <si>
    <t>sports_stadium</t>
  </si>
  <si>
    <t>sports_arena</t>
  </si>
  <si>
    <t>swimming_pool</t>
  </si>
  <si>
    <t>community_centre</t>
  </si>
  <si>
    <t>Hot Drinks, Snacks, Sweet treats, Drinks stand</t>
  </si>
  <si>
    <t>range</t>
  </si>
  <si>
    <t>sports_track</t>
  </si>
  <si>
    <t>indoor_courts</t>
  </si>
  <si>
    <t>outdoor_courts</t>
  </si>
  <si>
    <t>ice cream, dairy-free options, gluten-free options, milkshakes, beachfront location, takeaway</t>
  </si>
  <si>
    <t>specialist_sports_facility</t>
  </si>
  <si>
    <t>outdoor_pitch</t>
  </si>
  <si>
    <t>Sea Shore Creamery.JPG</t>
  </si>
  <si>
    <t>gym</t>
  </si>
  <si>
    <t>Mixed Sand &amp; Shingle Beach, Estuary Beach</t>
  </si>
  <si>
    <t>Shaldon Beach</t>
  </si>
  <si>
    <t>A sheltered sand-and-shingle beach on the estuary, with boats to watch and cafés close behind the shore. Shaldon Beach is better for gentle beach time than full seaside sprawl: watching the ferry and boats, playing by the water’s edge, or pairing the stop with the village, Shaldon Wildlife Trust or the Smugglers Tunnel to Ness Cove. Swimming not recommended due to strong tidal currents.</t>
  </si>
  <si>
    <t>winter_wonderland</t>
  </si>
  <si>
    <t>Winter Wonderland</t>
  </si>
  <si>
    <t>Shaldon</t>
  </si>
  <si>
    <t xml:space="preserve">Teignmouth </t>
  </si>
  <si>
    <t>TQ14 0DL</t>
  </si>
  <si>
    <t>ice_rink</t>
  </si>
  <si>
    <t>Ice-skating Rink</t>
  </si>
  <si>
    <t>Tuesday, Monday, Wednesday, Thursday, Friday, Saturday, Sunday</t>
  </si>
  <si>
    <t>festival_park</t>
  </si>
  <si>
    <t>Festival Park</t>
  </si>
  <si>
    <t>arena</t>
  </si>
  <si>
    <t>Arena</t>
  </si>
  <si>
    <t>statium</t>
  </si>
  <si>
    <t>Stadium</t>
  </si>
  <si>
    <t>showground</t>
  </si>
  <si>
    <t>Showground</t>
  </si>
  <si>
    <t>fairground</t>
  </si>
  <si>
    <t>Fairground</t>
  </si>
  <si>
    <t>pick_your_own</t>
  </si>
  <si>
    <t>PYO Farm</t>
  </si>
  <si>
    <t>light_trail</t>
  </si>
  <si>
    <t>Lights Trail</t>
  </si>
  <si>
    <t>patch</t>
  </si>
  <si>
    <t>Patch or Field</t>
  </si>
  <si>
    <t>opportunity_theme_variant_rideable</t>
  </si>
  <si>
    <t>quick_spin</t>
  </si>
  <si>
    <t>“Easy win / quick reset” energy. Keeps it broad (bike/scooter/etc.) without specifying kit.</t>
  </si>
  <si>
    <t>estuary wildlife, fishing boats, sandy and shingle beach, swimming, rock pooling, shrimping, estuary views, smugglers tunnel, Ness Cove hidden beach, passenger ferry, shell collecting</t>
  </si>
  <si>
    <t>longer_ride</t>
  </si>
  <si>
    <t>Signals a more committed outing without implying distance, difficulty, or route shape (handled elsewhere).</t>
  </si>
  <si>
    <t>practise_route</t>
  </si>
  <si>
    <t>Diggable sand (Sandcastles), Shallow paddling, Streams or channels, Estuary edges, Dog Friendly - off lead all year, Toilets nearby, Coastal Wildlife</t>
  </si>
  <si>
    <t>Parent intent: learning, improving, settling nerves. Covers “learn to ride” and skill progression without age bands.</t>
  </si>
  <si>
    <t>Beach toys, Sand toys, Towels, Water shoes, Wetsuits, Swimming kit, Wetsuit Boots</t>
  </si>
  <si>
    <t>Shaldon Beach.JPG</t>
  </si>
  <si>
    <t>skills_and_stunts</t>
  </si>
  <si>
    <t>Captures pump tracks / ramps / jumps as a feel (high-energy, skill-testing) without naming facilities or disciplines.</t>
  </si>
  <si>
    <t>paddle_spot</t>
  </si>
  <si>
    <t>Sheltered Cove or Bay, Mixed Sand &amp; Shingle Beach, Harbour or Village Beach</t>
  </si>
  <si>
    <t>Paddle Spot</t>
  </si>
  <si>
    <t>Shelly Beach</t>
  </si>
  <si>
    <t>Activity Venue, Route</t>
  </si>
  <si>
    <t>Core hot-weather intent. Covers paddling, shallow water, splashy play without naming water type.</t>
  </si>
  <si>
    <t>water_play</t>
  </si>
  <si>
    <t>Pirate Cove, also known as Shelly Beach, is a small tucked-away beach near Exmouth Marina, better for a quiet wander, picnic or sheltered sit than a full beach day. It has a more hidden, local feel than the main seafront, with views across the estuary and space for children to potter, look for shells and watch boats. Check tide and access before relying on it for play.</t>
  </si>
  <si>
    <t>Signals calm, low-risk, sensory water experiences (streams, edges, shallow areas).</t>
  </si>
  <si>
    <t>river_beach</t>
  </si>
  <si>
    <t>EX8 1XN</t>
  </si>
  <si>
    <t>Calm water, shade, inland feel</t>
  </si>
  <si>
    <t>water_park</t>
  </si>
  <si>
    <t>Parent-recognisable phrase for splash parks / fountains without facility lists.</t>
  </si>
  <si>
    <t>water_rides</t>
  </si>
  <si>
    <t>activity, venue, club</t>
  </si>
  <si>
    <t>water_adventure</t>
  </si>
  <si>
    <t>Slightly braver, exploratory water experiences (wading, flowing water) without tipping into Beach or Sporty.</t>
  </si>
  <si>
    <t>swimming_lido</t>
  </si>
  <si>
    <t>Venue, Club, Event</t>
  </si>
  <si>
    <t>water_sports</t>
  </si>
  <si>
    <t>fishing_spot</t>
  </si>
  <si>
    <t>making_and_creating</t>
  </si>
  <si>
    <t>Activity Venue, Club, Event</t>
  </si>
  <si>
    <t>Hands-on creative output: art, craft, clay, textiles. Medium-agnostic by design.</t>
  </si>
  <si>
    <t>expressive_movement_and_music</t>
  </si>
  <si>
    <t>estuary beach, boat watching, birdwatching, estuary views, wading birds, dog walking, beachcombing</t>
  </si>
  <si>
    <t>Singing, dancing, rhythm, performance through the body; not fitness-led.</t>
  </si>
  <si>
    <t>creative_expression</t>
  </si>
  <si>
    <t>creative writing, poetry, spoken verse, storytelling</t>
  </si>
  <si>
    <t>Diggable sand (Sandcastles), Harbour, Crabbing</t>
  </si>
  <si>
    <t>performing_and_putting_on_a_show</t>
  </si>
  <si>
    <t>Shelly Beach.jpg</t>
  </si>
  <si>
    <t>Drama, theatre-style play, confidence-building expression in front of others.</t>
  </si>
  <si>
    <t>film_photography</t>
  </si>
  <si>
    <t>Photography, film, creative documentation framed as meaning-making, not tech skills.</t>
  </si>
  <si>
    <t>art_gallery</t>
  </si>
  <si>
    <t>role_play_and_characters</t>
  </si>
  <si>
    <t>Character-Led Play</t>
  </si>
  <si>
    <t>Neutral, scalable phrasing that works from dressing up through to character-led re-enactment.</t>
  </si>
  <si>
    <t>immersive_worlds</t>
  </si>
  <si>
    <t>Activity Venue, Event</t>
  </si>
  <si>
    <t>Sidmouth Library</t>
  </si>
  <si>
    <t>Signals depth and escapism without sounding provider-led or age-specific.</t>
  </si>
  <si>
    <t>Simple Reset, Moment of Peace</t>
  </si>
  <si>
    <t>scenario_and_world_play</t>
  </si>
  <si>
    <t xml:space="preserve">Sidmouth Library offers families a calm indoor setting close to Blackmore Gardens, the town and the seafront with a beautifully decorated children's section; well-stocked with plenty of variety, a small selection of toys, colouring, board games and comfy seating, this space provides a simple stop or calmer visit for anyone who loves a story. It can act as a rainy day anchor when the beach or gardens are not quite enough on their own, and with computers, printing and the usual library services, it can serve different needs within the family without everyone needing to be entertained in the same way. With donation-based squash, snacks and tea/coffee, it can also be an ideal pitstop when a simple reset in a fresh environment is needed. </t>
  </si>
  <si>
    <t>Activity Venue, Club</t>
  </si>
  <si>
    <t>Broad enough to include small-world play and complex scenario building or re-enactment.</t>
  </si>
  <si>
    <t>narrative_led_experiences</t>
  </si>
  <si>
    <t>Slightly more mature phrasing for story-driven experiences without tipping into academic tone.</t>
  </si>
  <si>
    <t>Wednesday, Thursday, Friday, Saturday</t>
  </si>
  <si>
    <t>sensory_garden</t>
  </si>
  <si>
    <t>Sensory garden</t>
  </si>
  <si>
    <t>Recognisable parent term; outdoor, designed-for-senses, calming by intent.</t>
  </si>
  <si>
    <t>sensory_room_or_space</t>
  </si>
  <si>
    <t>Dedicated indoor sensory rooms or permanent calming spaces.</t>
  </si>
  <si>
    <t>calming_designed_environment</t>
  </si>
  <si>
    <t>Intentionally gentle environments or installations without clinical framing.</t>
  </si>
  <si>
    <t>light_touch_sensory_experience</t>
  </si>
  <si>
    <t>Sensory-focused but explicitly not intense or overwhelming.</t>
  </si>
  <si>
    <t>public_library</t>
  </si>
  <si>
    <t>experiments</t>
  </si>
  <si>
    <t>Experiments</t>
  </si>
  <si>
    <t>Science-style exploration, trial &amp; error</t>
  </si>
  <si>
    <t>discovery_challenges</t>
  </si>
  <si>
    <t>Toilets, Baby changing, Service Dogs Only, Water Refill</t>
  </si>
  <si>
    <t>Discovery-Based Challenges</t>
  </si>
  <si>
    <t>"Indoor games (puzzles, boards)", Indoor Play Space</t>
  </si>
  <si>
    <t>learning_through_play</t>
  </si>
  <si>
    <t>Learning Through Play</t>
  </si>
  <si>
    <t>Hot Drinks, WiFi</t>
  </si>
  <si>
    <t>Play-led learning environments</t>
  </si>
  <si>
    <t>interactive_exhibits</t>
  </si>
  <si>
    <t>Interactive Exhibits</t>
  </si>
  <si>
    <t>Touch, build, manipulate</t>
  </si>
  <si>
    <t>problem_solving</t>
  </si>
  <si>
    <t>Problem-Solving</t>
  </si>
  <si>
    <t>Puzzles, logic, engineering-style tasks</t>
  </si>
  <si>
    <t>construction_activity</t>
  </si>
  <si>
    <t>Construction Activities</t>
  </si>
  <si>
    <t>Constructing, assembling, creating</t>
  </si>
  <si>
    <t>children's books, storytime, Bounce and Rhyme, Lego Club, Stay and Play, craft events, creative workshops, clay, sculpture, free WiFi, free computer access</t>
  </si>
  <si>
    <t>science_and_discovery</t>
  </si>
  <si>
    <t>Science &amp; Discovery</t>
  </si>
  <si>
    <t>Science centres, discovery museums</t>
  </si>
  <si>
    <t>technology_and_innovation</t>
  </si>
  <si>
    <t>Tech, engineering, innovation spaces</t>
  </si>
  <si>
    <t>history_made_interactive</t>
  </si>
  <si>
    <t>Sidmouth Library.JPG</t>
  </si>
  <si>
    <t>History presented interactively</t>
  </si>
  <si>
    <t>world_and_cultures</t>
  </si>
  <si>
    <t>Geography, people, global cultures</t>
  </si>
  <si>
    <t>children_focused_discovery</t>
  </si>
  <si>
    <t>Designed specifically for children</t>
  </si>
  <si>
    <t>Sidmouth Town Beach</t>
  </si>
  <si>
    <t>A sand-and-shingle beach with rock pools, a seafront promenade and easy town stops close by. Sidmouth Town Beach works well when you want a classic seaside rhythm: beach time, a walk along the front, a play stop, then food or an ice cream without moving far.</t>
  </si>
  <si>
    <t>Bedford Lawn Car Park</t>
  </si>
  <si>
    <t>farm_and_smallholding</t>
  </si>
  <si>
    <t>EX10 8NP</t>
  </si>
  <si>
    <t>Petting farms, open farms, smallholdings</t>
  </si>
  <si>
    <t>wildlife_reserve</t>
  </si>
  <si>
    <t>animal_parks</t>
  </si>
  <si>
    <t>Zoos, safari parks, wildlife parks</t>
  </si>
  <si>
    <t>conservation_project</t>
  </si>
  <si>
    <t>animal_sanctuary</t>
  </si>
  <si>
    <t>sealife_aquarium</t>
  </si>
  <si>
    <t>Aquatic animal centres</t>
  </si>
  <si>
    <t>reptiles_and_exotics</t>
  </si>
  <si>
    <t>Reptile centres, specialist collections</t>
  </si>
  <si>
    <t>birds_of_prey</t>
  </si>
  <si>
    <t>stables_yard</t>
  </si>
  <si>
    <t>venue, club, experience</t>
  </si>
  <si>
    <t>Riding, grooming, pony encounters</t>
  </si>
  <si>
    <t>ancient_sites</t>
  </si>
  <si>
    <t>Ancient Site</t>
  </si>
  <si>
    <t>venue, route</t>
  </si>
  <si>
    <t>Castles, fortresses, ruins</t>
  </si>
  <si>
    <t>historic_houses</t>
  </si>
  <si>
    <t>Manor houses, estates, heritage homes</t>
  </si>
  <si>
    <t>living_history</t>
  </si>
  <si>
    <t>Re-enactment, costumed history</t>
  </si>
  <si>
    <t>open_museum</t>
  </si>
  <si>
    <t>sandy beach, swimming, rock pooling, pebble beach, sandcastles, paddling, red cliffs, Jurassic Coast, seafront promenade</t>
  </si>
  <si>
    <t>industrial_history</t>
  </si>
  <si>
    <t>Mills, railways, mines, docks</t>
  </si>
  <si>
    <t>archaeological_sites</t>
  </si>
  <si>
    <t>Shell or seaglass collecting, Rockpools, Smooth pebbles, Diggable sand (Sandcastles), Shallow paddling, Streams or channels, Slipway, Toilets nearby, Beach Cafe, Promenade</t>
  </si>
  <si>
    <t>Fossil spots, archaeological sites of interest</t>
  </si>
  <si>
    <t>cultural_heritage</t>
  </si>
  <si>
    <t>Sidmouth Town Beach.JPG</t>
  </si>
  <si>
    <t>Cultural exhibitions, heritage centres</t>
  </si>
  <si>
    <t>historic_religious</t>
  </si>
  <si>
    <t>Cathedrals, abbeys, historic churches</t>
  </si>
  <si>
    <t>Slapton Sands</t>
  </si>
  <si>
    <t>large_soft_play</t>
  </si>
  <si>
    <t>Multi-level, slides, big structures</t>
  </si>
  <si>
    <t>toddler_soft_play</t>
  </si>
  <si>
    <t>A three-mile sweep of shingle beach backed by Slapton Ley, the largest natural freshwater lake in South West England and a National Nature Reserve. The beach and the Ley give the visit two completely different dimensions — one is all sea, pebbles and waves, the other is reedbeds, birdwatching and quiet wildlife exploration. The water at Slapton can get deep quickly near the shore, which makes it better for confident swimmers and less suited to very young children paddling, but for bodyboarding, swimming and kayaking it's excellent. The Ley has bird hides, walking trails and information boards, and rangers run family wildlife safaris, bat evenings and wild food foraging sessions in the summer holidays from the Field Studies Centre at Slapton village.  And, for a small dose of history to add to the trip, the WWII Sherman tank at Torcross at the southern end of the beach is a lovely snippet of history children tend to find genuinely striking and unexpected to find at the beach!</t>
  </si>
  <si>
    <t>Slapton Sands Beach</t>
  </si>
  <si>
    <t>Designed for under 5s</t>
  </si>
  <si>
    <t>indoor_climbing</t>
  </si>
  <si>
    <t>Climbing walls, obstacle-style energy</t>
  </si>
  <si>
    <t>Kingsbridge</t>
  </si>
  <si>
    <t>indoor_course</t>
  </si>
  <si>
    <t>TQ6 0RR</t>
  </si>
  <si>
    <t>Assault course, ninja course, obstacles</t>
  </si>
  <si>
    <t>trampoline_park</t>
  </si>
  <si>
    <t>Trampolines, bounce parks</t>
  </si>
  <si>
    <t>indoor_multi_activity</t>
  </si>
  <si>
    <t>Mixed zones: soft play + trampolines etc</t>
  </si>
  <si>
    <t>cinema</t>
  </si>
  <si>
    <t>Cinema</t>
  </si>
  <si>
    <t>event, club</t>
  </si>
  <si>
    <t>theature_panto</t>
  </si>
  <si>
    <t>live_events</t>
  </si>
  <si>
    <t>gaming</t>
  </si>
  <si>
    <t>escape_room</t>
  </si>
  <si>
    <t>improvised_performance</t>
  </si>
  <si>
    <t>comedy_club</t>
  </si>
  <si>
    <t>karaoke_club</t>
  </si>
  <si>
    <t>Toilets, BYO Picnic, Dogs Allowed</t>
  </si>
  <si>
    <t>arcade_hall</t>
  </si>
  <si>
    <t>laser_tag</t>
  </si>
  <si>
    <t>bowling_alley</t>
  </si>
  <si>
    <t>trains_and_rail</t>
  </si>
  <si>
    <t>Trains &amp; Railways</t>
  </si>
  <si>
    <t>Steam, heritage, miniature railways</t>
  </si>
  <si>
    <t>boat_trips</t>
  </si>
  <si>
    <t>Boat Trips &amp; Ferries</t>
  </si>
  <si>
    <t>route, event</t>
  </si>
  <si>
    <t>shingle beach, swimming, bodyboarding, surfing, kayaking, paddleboarding, seal spotting, dolphin spotting, birdwatching, birdwatching hides, Cetti's warbler, bitterns, otters, kingfishers, dragonflies, Cirl bunting, freshwater lake, National Nature Reserve, WWII history, Sherman tank, coastal walking, fishing</t>
  </si>
  <si>
    <t>Ferries, sightseeing boat trips</t>
  </si>
  <si>
    <t>harbours_and_marinas</t>
  </si>
  <si>
    <t>Harbours &amp; Marinas</t>
  </si>
  <si>
    <t>Watching boats, ports, docks</t>
  </si>
  <si>
    <t>aviation_experiences</t>
  </si>
  <si>
    <t>Aircraft &amp; Aviation</t>
  </si>
  <si>
    <t>Seasonally Lifeguarded, Shell or seaglass collecting, Smooth pebbles, Coastal Wildlife, Bodyboarding, Kayaking / SUP, Toilets nearby, Equipment Hire, Swimming</t>
  </si>
  <si>
    <t>Museums, viewing areas, airfields</t>
  </si>
  <si>
    <t>Water shoes, Towels, Buckets &amp; nets</t>
  </si>
  <si>
    <t>Slapton Sands.jpg</t>
  </si>
  <si>
    <t>transport_museums</t>
  </si>
  <si>
    <t>Transport Museum</t>
  </si>
  <si>
    <t>Cars, buses, mixed vehicle collections</t>
  </si>
  <si>
    <t>working_transport_hubs</t>
  </si>
  <si>
    <t>Working Transport Hubs</t>
  </si>
  <si>
    <t>Stations, depots, logistics hubs</t>
  </si>
  <si>
    <t>Stover Park Information Hut</t>
  </si>
  <si>
    <t>themepark</t>
  </si>
  <si>
    <t>Themepark</t>
  </si>
  <si>
    <t>Ride-based parks</t>
  </si>
  <si>
    <t>The Stover Centre is the practical anchor point for a Stover visit: toilets, ranger presence and information close to the entrance before you head into the woods and lake paths. It isn’t a standalone attraction, but it matters for parents because it gives you a “sort everyone out first” point — toilet stop, orientation, then walking. The public toilets are listed as open 9am–5pm.</t>
  </si>
  <si>
    <t>amusement_park</t>
  </si>
  <si>
    <t>arcades</t>
  </si>
  <si>
    <t>major_animal_attractions</t>
  </si>
  <si>
    <t>Zoos, safari parks</t>
  </si>
  <si>
    <t>large_scale_outdoor</t>
  </si>
  <si>
    <t>Estates, expansive outdoor sites</t>
  </si>
  <si>
    <t>major_indoor</t>
  </si>
  <si>
    <t>Large indoor destinations</t>
  </si>
  <si>
    <t>seasonal_and_themed</t>
  </si>
  <si>
    <t>Christmas trails, festivals, themed days</t>
  </si>
  <si>
    <t>family_friendly_cafes</t>
  </si>
  <si>
    <t>Welcoming, space for kids</t>
  </si>
  <si>
    <t>cafe_with_play</t>
  </si>
  <si>
    <t>Toys, books, colouring</t>
  </si>
  <si>
    <t>cafe_with_outdoor_space</t>
  </si>
  <si>
    <t>Gardens, courtyards, terraces</t>
  </si>
  <si>
    <t>coffee_cabin</t>
  </si>
  <si>
    <t>Small mobile coffee stations with nearby seating / views</t>
  </si>
  <si>
    <t>pit_stop_cafes</t>
  </si>
  <si>
    <t>On routes, parks, attractions</t>
  </si>
  <si>
    <t>Dogs Allowed, Outdoor Seating, Disabled toilets, Baby changing, Toilets, Picnic Benches</t>
  </si>
  <si>
    <t>casual_family_restaurants</t>
  </si>
  <si>
    <t>Relaxed, unfussy, welcoming</t>
  </si>
  <si>
    <t>dining_with_space</t>
  </si>
  <si>
    <t>Gardens, play corners, outdoor areas</t>
  </si>
  <si>
    <t>destination_dining</t>
  </si>
  <si>
    <t>Food as part of a wider outing</t>
  </si>
  <si>
    <t>food_festival</t>
  </si>
  <si>
    <t>nature interpretation centre, wildlife displays, live nest box CCTV, wildlife identification boards, children's trail leaflets, Ted Hughes children's poetry trail, carved wooden sculptures, storytelling chair, aerial walkway, bird feeding station</t>
  </si>
  <si>
    <t>detailed_weather_suitability</t>
  </si>
  <si>
    <t>Weather Conditions</t>
  </si>
  <si>
    <t>wet_rain</t>
  </si>
  <si>
    <t>Raining / wet</t>
  </si>
  <si>
    <t>icon_Cloudy &amp; sunny.png</t>
  </si>
  <si>
    <t>Guided outdoor learning prompts, Quiet or low-intervention spaces, Immersive natural surroundings</t>
  </si>
  <si>
    <t>Stover Country Park Hut.jpg</t>
  </si>
  <si>
    <t>icon_Cloud and light rain.png</t>
  </si>
  <si>
    <t>windy</t>
  </si>
  <si>
    <t>Windy (&gt; X mph)</t>
  </si>
  <si>
    <t>icon_Cloud and heavy rain.png</t>
  </si>
  <si>
    <t>icon_Windy.png</t>
  </si>
  <si>
    <t>sunshine</t>
  </si>
  <si>
    <t>Sunshine</t>
  </si>
  <si>
    <t>icon_Snow - frost - Ice.png</t>
  </si>
  <si>
    <t>snow_ice</t>
  </si>
  <si>
    <t>Stover Park</t>
  </si>
  <si>
    <t>Snow / sleet / ice</t>
  </si>
  <si>
    <t>icon_Sunny.png</t>
  </si>
  <si>
    <t>overcast</t>
  </si>
  <si>
    <t>Stover Country Park is a calm, easy trip with woodland, lake, marsh, picnic areas, walking routes, a bird hide and an aerial walkway that is suitable for wheelchairs and pushchairs. It is best timed for when you want fresh air without committing to a hard walk: children can look for wildlife, follow the children’s trail, spot poetry posts and pause often.</t>
  </si>
  <si>
    <t>Overcast / cloudy</t>
  </si>
  <si>
    <t>icon_Cloudy.png</t>
  </si>
  <si>
    <t>storm_heavy_rain</t>
  </si>
  <si>
    <t>Stormy / heavy rain / thunderstorms</t>
  </si>
  <si>
    <t>TQ12 6QG</t>
  </si>
  <si>
    <t>icon_Cloud and thunderstorms.png</t>
  </si>
  <si>
    <t>dry_mild</t>
  </si>
  <si>
    <t>Dry &amp; mild</t>
  </si>
  <si>
    <t>dry_cold</t>
  </si>
  <si>
    <t>Dry &amp; cold</t>
  </si>
  <si>
    <t>dry_warm</t>
  </si>
  <si>
    <t>Dry &amp; warm</t>
  </si>
  <si>
    <t>X–X°C</t>
  </si>
  <si>
    <t>dry_hot</t>
  </si>
  <si>
    <t>Dry &amp; hot</t>
  </si>
  <si>
    <t>&gt; X°C</t>
  </si>
  <si>
    <t>Physical Setting</t>
  </si>
  <si>
    <t>physical_setting</t>
  </si>
  <si>
    <t>inside</t>
  </si>
  <si>
    <t>outside</t>
  </si>
  <si>
    <t>mixed_covering</t>
  </si>
  <si>
    <t>Toilets, Disabled toilets, Bench Seating, Picnic Benches, Dogs Allowed, BYO Picnic</t>
  </si>
  <si>
    <t>age_suitability</t>
  </si>
  <si>
    <t>under_one</t>
  </si>
  <si>
    <t>Under 1's</t>
  </si>
  <si>
    <t>1_years</t>
  </si>
  <si>
    <t>woodland walks, lake, ducks and swans, birdwatching, bird hide, bird feeders, aerial walkway, dragonflies, children's trail, poetry trail, wildlife spotting, squirrels, roe deer, carved wooden animals, nature interpretation centre</t>
  </si>
  <si>
    <t>2_years</t>
  </si>
  <si>
    <t>3_years</t>
  </si>
  <si>
    <t>Ponds or lakes, Duck Ponds, Room to run freely, Open sightlines, Countryside views, "Natural play features (logs, slopes, rocks)", Climbable trees, Marked Trails</t>
  </si>
  <si>
    <t>XC Buggy, Sling / baby carrier, Infant / toddler carrier, Binoculars</t>
  </si>
  <si>
    <t>4_years</t>
  </si>
  <si>
    <t>Stover Park.JPG</t>
  </si>
  <si>
    <t>5_years</t>
  </si>
  <si>
    <t>6_years</t>
  </si>
  <si>
    <t>7_years</t>
  </si>
  <si>
    <t>Mixed Sand &amp; Shingle Beach, Surf Beach, Wild or Remote Beach</t>
  </si>
  <si>
    <t>8_years</t>
  </si>
  <si>
    <t>Summerleaze is Bude’s main family beach, with sand, surf, beach huts, toilets, a café, RNLI lifeguarding in season and Bude Sea Pool tucked into the rocks. It’s a proper beach-day option rather than a quick paddle stop, especially if you want swimming, sand play and town facilities close by. The nearby car park makes logistics easier, but tide, wind and surf conditions still matter.</t>
  </si>
  <si>
    <t>9_years</t>
  </si>
  <si>
    <t>10_years</t>
  </si>
  <si>
    <t>11_years</t>
  </si>
  <si>
    <t>12_years</t>
  </si>
  <si>
    <t>13_years</t>
  </si>
  <si>
    <t>13+</t>
  </si>
  <si>
    <t>16_years</t>
  </si>
  <si>
    <t>Estimated Time To Spend</t>
  </si>
  <si>
    <t>estimated_duration</t>
  </si>
  <si>
    <t>Estimated Duration</t>
  </si>
  <si>
    <t>under_thirty_mins</t>
  </si>
  <si>
    <t>icon_Duration.png</t>
  </si>
  <si>
    <t>thirty_sixty_mins</t>
  </si>
  <si>
    <t>one_two_hours</t>
  </si>
  <si>
    <t>Toilets, Showers / changing facilities, Dogs Allowed, BYO Picnic</t>
  </si>
  <si>
    <t>two_three_hours</t>
  </si>
  <si>
    <t>Clear Sightlines, Drinks stand, Sweet treats, Hot Drinks</t>
  </si>
  <si>
    <t>four_plus</t>
  </si>
  <si>
    <t>4+ hours</t>
  </si>
  <si>
    <t>whole_day</t>
  </si>
  <si>
    <t>Whole Day</t>
  </si>
  <si>
    <t>functional_facility</t>
  </si>
  <si>
    <t>toilets</t>
  </si>
  <si>
    <t>Sunshine, Dry &amp; mild, Dry &amp; warm, Dry &amp; hot</t>
  </si>
  <si>
    <t>rockpools, surf hire, sandy beach, swimming, surfing, bodyboarding, rock pooling, tidal sea pool, beach huts, breakwater walk, paddleboarding, kayaking, surf lessons</t>
  </si>
  <si>
    <t>icon_Toilets.png</t>
  </si>
  <si>
    <t>disabled_toilets</t>
  </si>
  <si>
    <t>Disabled toilets</t>
  </si>
  <si>
    <t>icon_Disabled toilets.png</t>
  </si>
  <si>
    <t>baby_changing</t>
  </si>
  <si>
    <t>Swimming, Bodyboarding, Surfing, Seasonally Lifeguarded</t>
  </si>
  <si>
    <t>Baby changing</t>
  </si>
  <si>
    <t>icon_Baby changing.png</t>
  </si>
  <si>
    <t>Summerleaze Beach.jpg</t>
  </si>
  <si>
    <t>showers_changing</t>
  </si>
  <si>
    <t>Showers / changing facilities</t>
  </si>
  <si>
    <t>icon_Showers - changing facilities.png</t>
  </si>
  <si>
    <t>benches</t>
  </si>
  <si>
    <t>Bench Seating</t>
  </si>
  <si>
    <t>icon_Bench Seating.png</t>
  </si>
  <si>
    <t>picnic_benches</t>
  </si>
  <si>
    <t>icon_Picnic Benches.png</t>
  </si>
  <si>
    <t>Gaming &amp; VR, Arcade / Amusements</t>
  </si>
  <si>
    <t>picnic_friendly</t>
  </si>
  <si>
    <t>Tenpin Arcade</t>
  </si>
  <si>
    <t>The arcade hall at Tenpin sits alongside the bowling lanes, laser tag and escape rooms, making it easy to fold into a longer visit or use as a warm-up and wind-down on either side of a main activity. Machines range from classic coin-pushers and prize grabbers to ticket redemption games where children collect tickets towards prizes at the counter — the kind of setup that gives younger children a clear goal and older ones something competitive to work at. It's not a dedicated arcade centre, so the selection is solid rather than extensive, but if you enjoy arcades, it works withiin the wider Tenpin offer rather than a standalone destination. Validated parking is available from reception, so remember to confirm this before heading to the car.</t>
  </si>
  <si>
    <t>icon_Picnic Friendly.png</t>
  </si>
  <si>
    <t>3 - 4 Havenbanks Retail Park</t>
  </si>
  <si>
    <t>highchairs</t>
  </si>
  <si>
    <t>Highchairs</t>
  </si>
  <si>
    <t>icon_Highchairs.png</t>
  </si>
  <si>
    <t>indoor_seating</t>
  </si>
  <si>
    <t>Indoor Seating</t>
  </si>
  <si>
    <t>icon_Indoor Seating.png</t>
  </si>
  <si>
    <t>dogs_allowed</t>
  </si>
  <si>
    <t>icon_Dogs Allowed.png</t>
  </si>
  <si>
    <t>guided_tour</t>
  </si>
  <si>
    <t>Guided Tour</t>
  </si>
  <si>
    <t>icon_Guided Tour.png</t>
  </si>
  <si>
    <t>service_dogs_only</t>
  </si>
  <si>
    <t>Service Dogs Only</t>
  </si>
  <si>
    <t>icon_Service Dogs Only.png</t>
  </si>
  <si>
    <t>buggy loan</t>
  </si>
  <si>
    <t>Buggy Loan</t>
  </si>
  <si>
    <t>icon_Buggy friendly.png</t>
  </si>
  <si>
    <t>carrier_loan</t>
  </si>
  <si>
    <t>Baby Carrier Loan</t>
  </si>
  <si>
    <t>icon_Baby Carrier Hire.png</t>
  </si>
  <si>
    <t>outdoor_seating</t>
  </si>
  <si>
    <t>Outdoor Seating</t>
  </si>
  <si>
    <t>icon_Outdoor Seating.png</t>
  </si>
  <si>
    <t>camping_site</t>
  </si>
  <si>
    <t>Campsite</t>
  </si>
  <si>
    <t>icon_Campsite copy.png</t>
  </si>
  <si>
    <t>water_refill</t>
  </si>
  <si>
    <t>Water Refill</t>
  </si>
  <si>
    <t>icon_Water refill station.png</t>
  </si>
  <si>
    <t>parent_facility</t>
  </si>
  <si>
    <t>hot_drinks</t>
  </si>
  <si>
    <t>Toilets, Disabled toilets, Indoor Seating</t>
  </si>
  <si>
    <t>Hot Drinks</t>
  </si>
  <si>
    <t>icon_Hot Drinks.png</t>
  </si>
  <si>
    <t>Ice creams, Clues / games, Children's Menu, "Swings, Slides, Climbing Frames"</t>
  </si>
  <si>
    <t>comfy_seating</t>
  </si>
  <si>
    <t>Comfy Seating / Sofas</t>
  </si>
  <si>
    <t>icon_Comfy Seating - Sofas.png</t>
  </si>
  <si>
    <t>Hot Drinks, Clear Sightlines, Hot &amp; Cold food, Snacks, Sweet treats, WiFi</t>
  </si>
  <si>
    <t>sunloungers</t>
  </si>
  <si>
    <t>Sunloungers</t>
  </si>
  <si>
    <t>icon_Sunloungers.png</t>
  </si>
  <si>
    <t>wifi</t>
  </si>
  <si>
    <t>WiFi</t>
  </si>
  <si>
    <t>icon_WiFi.png</t>
  </si>
  <si>
    <t>hot_cold_food</t>
  </si>
  <si>
    <t>Hot &amp; Cold food</t>
  </si>
  <si>
    <t>icon_Hot &amp; Cold food.png</t>
  </si>
  <si>
    <t>clear_sightlines</t>
  </si>
  <si>
    <t>icon_Clear Sightlines.png</t>
  </si>
  <si>
    <t>snacks</t>
  </si>
  <si>
    <t>icon_Snacks.png</t>
  </si>
  <si>
    <t>drinks_stand</t>
  </si>
  <si>
    <t>icon_Drinks stand.png</t>
  </si>
  <si>
    <t>arcade games, VR</t>
  </si>
  <si>
    <t>sweet_treats</t>
  </si>
  <si>
    <t>icon_Sweet treats.png</t>
  </si>
  <si>
    <t>log_burner</t>
  </si>
  <si>
    <t>Log burner</t>
  </si>
  <si>
    <t>icon_Log burner.png</t>
  </si>
  <si>
    <t>book_shop</t>
  </si>
  <si>
    <t>Tenpin Arcade.JPG</t>
  </si>
  <si>
    <t>Bookshop</t>
  </si>
  <si>
    <t>icon_Bookshop.png</t>
  </si>
  <si>
    <t>gift_shop</t>
  </si>
  <si>
    <t>icon_Giftshop.png</t>
  </si>
  <si>
    <t>outdoor_terrace</t>
  </si>
  <si>
    <t>Outdoor terrace</t>
  </si>
  <si>
    <t>Tenpin Bowling</t>
  </si>
  <si>
    <t>icon_Outdoor Terrace.png</t>
  </si>
  <si>
    <t>kids_facility</t>
  </si>
  <si>
    <t>Kid Facilities</t>
  </si>
  <si>
    <t>colouring</t>
  </si>
  <si>
    <t xml:space="preserve">Tenpin Bowling is a safe bet at Marsh Barton when you need an indoor activity that mixed ages can all do together. It gives enough structure to fill a rainy afternoon, birthday meet-up or post-school treat, without needing everyone to have the same skill level. Younger children can usually join in with lighter balls and help from adults, while older ones get the competition. There are 15+ lanes, so although it's worth calling ahead if you have specific timings in mind, it's unlikely to be a frustrating wait as the arcade/food setup means you can stretch the visit if people are still going or need to kill some time before a lane becomes available. </t>
  </si>
  <si>
    <t>icon_Colouring.png</t>
  </si>
  <si>
    <t>ice_creams</t>
  </si>
  <si>
    <t>icon_Ice creams.png</t>
  </si>
  <si>
    <t>activity_sheets</t>
  </si>
  <si>
    <t>icon_Colouring copy.png</t>
  </si>
  <si>
    <t>activity_trail</t>
  </si>
  <si>
    <t>Activity trail</t>
  </si>
  <si>
    <t>icon_Activity trail.png</t>
  </si>
  <si>
    <t>treasure_hunt</t>
  </si>
  <si>
    <t>Treasure hunt</t>
  </si>
  <si>
    <t xml:space="preserve"> icon_Treasure Hunt.png</t>
  </si>
  <si>
    <t>childrens_trail</t>
  </si>
  <si>
    <t>icon_Compass Star.png</t>
  </si>
  <si>
    <t>clues_games</t>
  </si>
  <si>
    <t>Clues / games</t>
  </si>
  <si>
    <t>icon_Clues - games.png</t>
  </si>
  <si>
    <t>indoor_games</t>
  </si>
  <si>
    <t>Indoor games (puzzles, boards)</t>
  </si>
  <si>
    <t>icon_Indoor games.png</t>
  </si>
  <si>
    <t>sandpit</t>
  </si>
  <si>
    <t>Sandpit</t>
  </si>
  <si>
    <t>icon_Sandpit.png</t>
  </si>
  <si>
    <t>zip_line</t>
  </si>
  <si>
    <t>Zip Line</t>
  </si>
  <si>
    <t>0-15</t>
  </si>
  <si>
    <t>icon_Zip Line.png</t>
  </si>
  <si>
    <t>rope_swings</t>
  </si>
  <si>
    <t>icon_Rope Swings.png</t>
  </si>
  <si>
    <t>ride_on_vehicles</t>
  </si>
  <si>
    <t>Ride on Vehicles</t>
  </si>
  <si>
    <t>icon_Ride on Vehicles.png</t>
  </si>
  <si>
    <t>tractor_rides</t>
  </si>
  <si>
    <t>Tractor Rides</t>
  </si>
  <si>
    <t>icon_Tractor Rides.png</t>
  </si>
  <si>
    <t>childrens_menu</t>
  </si>
  <si>
    <t>icon_Children's Menu.png</t>
  </si>
  <si>
    <t>swings_slides</t>
  </si>
  <si>
    <t>Swings, Slides, Climbing Frames</t>
  </si>
  <si>
    <t>icon_Swings, Slides, Climbing Frames.png</t>
  </si>
  <si>
    <t>soft_play_space</t>
  </si>
  <si>
    <t>icon_Indoor Play Space.png</t>
  </si>
  <si>
    <t>play_equipment</t>
  </si>
  <si>
    <t>icon_ Outdoor play equipment.png</t>
  </si>
  <si>
    <t>dog_facility</t>
  </si>
  <si>
    <t>dog_bins</t>
  </si>
  <si>
    <t>icon_Dog Facilities.png</t>
  </si>
  <si>
    <t>dog_wash</t>
  </si>
  <si>
    <t>Dog Wash</t>
  </si>
  <si>
    <t>dog_kennels</t>
  </si>
  <si>
    <t xml:space="preserve">bowling, team games, ten-pin bowling, lane bumpers, bowling ramps
</t>
  </si>
  <si>
    <t>lead_only</t>
  </si>
  <si>
    <t>Bowling lanes, Bar / licensed venue, Private hire / party packages</t>
  </si>
  <si>
    <t>parking_provision</t>
  </si>
  <si>
    <t>car_parking_paid</t>
  </si>
  <si>
    <t>Tenpin Bowling.JPG</t>
  </si>
  <si>
    <t>icon_Car Parking.png</t>
  </si>
  <si>
    <t>car_parking_free</t>
  </si>
  <si>
    <t>car_parking_members_only</t>
  </si>
  <si>
    <t>Members Only Car Park</t>
  </si>
  <si>
    <t>Tenpin Escape Rooms</t>
  </si>
  <si>
    <t>on_street_nearby</t>
  </si>
  <si>
    <t>disabled_bays</t>
  </si>
  <si>
    <t>Disabled parking bays</t>
  </si>
  <si>
    <t>Tenpin’s Houdini’s Escape Rooms are perfect for when you want an indoor activity that can sit alongside bowling, arcades, laser tag, karaoke or food, making it easier to please mixed ages in one venue. The Exeter location is at Tenpin on Havenbanks, with 60-minute rooms built around teamwork, clues and puzzles. Like most escape rooms, it's best for older children, teens and family groups who enjoy shared problem-solving; younger children may need a confident adult to keep them involved. It's worth noting that parking here is notoriously strict, with the Pay and Display monitored by entry cameras, but Tenpin centre offers free valided parking in reception provided you confirm this ahead of the trip, so don't forget to do this first.</t>
  </si>
  <si>
    <t>3–4 Haven Banks Retail Park</t>
  </si>
  <si>
    <t>horse_parking</t>
  </si>
  <si>
    <t>Horse “parking”</t>
  </si>
  <si>
    <t>bike_racks</t>
  </si>
  <si>
    <t>extra_kit</t>
  </si>
  <si>
    <t>Extra Kit: Pushchair &amp; carrying</t>
  </si>
  <si>
    <t>pram_buggy_road</t>
  </si>
  <si>
    <t>Pram / buggy (road surfaces)</t>
  </si>
  <si>
    <t>xcountry_buggy</t>
  </si>
  <si>
    <t>sling_carrier</t>
  </si>
  <si>
    <t>Sling / baby carrier</t>
  </si>
  <si>
    <t>toddler_carrier</t>
  </si>
  <si>
    <t>Infant / toddler carrier</t>
  </si>
  <si>
    <t>Adult, Group, (Fixed) Child</t>
  </si>
  <si>
    <t>Extra Kit: Water &amp; beach</t>
  </si>
  <si>
    <t>swimming_kit</t>
  </si>
  <si>
    <t>Swimming kit</t>
  </si>
  <si>
    <t>6-17</t>
  </si>
  <si>
    <t>towels</t>
  </si>
  <si>
    <t>Towels</t>
  </si>
  <si>
    <t>water_shoes</t>
  </si>
  <si>
    <t>Water shoes</t>
  </si>
  <si>
    <t>beach_toys</t>
  </si>
  <si>
    <t>Beach toys</t>
  </si>
  <si>
    <t>sand_toys</t>
  </si>
  <si>
    <t>tide_times</t>
  </si>
  <si>
    <t>Tide timetable</t>
  </si>
  <si>
    <t>dry_bags</t>
  </si>
  <si>
    <t>Dry bags</t>
  </si>
  <si>
    <t>fishing_nets</t>
  </si>
  <si>
    <t>Buckets &amp; nets</t>
  </si>
  <si>
    <t>fishing_rods_bait</t>
  </si>
  <si>
    <t>Fishing rods &amp; bait</t>
  </si>
  <si>
    <t>wetsuits</t>
  </si>
  <si>
    <t>Wetsuits</t>
  </si>
  <si>
    <t>wetsuit_boots</t>
  </si>
  <si>
    <t>Wetsuit Boots</t>
  </si>
  <si>
    <t>snorkel_mask</t>
  </si>
  <si>
    <t>Snorkel &amp; Mask</t>
  </si>
  <si>
    <t>Extra Kit: Weather &amp; clothing</t>
  </si>
  <si>
    <t>sunshine_kit</t>
  </si>
  <si>
    <t>Sun kit (SPF, hats, sunglasses)</t>
  </si>
  <si>
    <t>waterproofs</t>
  </si>
  <si>
    <t>Waterproof clothing</t>
  </si>
  <si>
    <t>wellies</t>
  </si>
  <si>
    <t>Wellies</t>
  </si>
  <si>
    <t>warm_clothes</t>
  </si>
  <si>
    <t>Change of clothes</t>
  </si>
  <si>
    <t>sturdy_footwear</t>
  </si>
  <si>
    <t>Sturdy footwear</t>
  </si>
  <si>
    <t>Extra Kit: Visibility &amp; gear</t>
  </si>
  <si>
    <t>torch</t>
  </si>
  <si>
    <t>Torch</t>
  </si>
  <si>
    <t>Group (4+)</t>
  </si>
  <si>
    <t>headtorch</t>
  </si>
  <si>
    <t>Headtorch</t>
  </si>
  <si>
    <t>binoculars</t>
  </si>
  <si>
    <t>Toilets, Indoor Seating, Disabled toilets, Baby changing</t>
  </si>
  <si>
    <t>Extra Kit: Other</t>
  </si>
  <si>
    <t>activity_specific_clothing</t>
  </si>
  <si>
    <t>Hot &amp; Cold food, Snacks, Hot Drinks</t>
  </si>
  <si>
    <t>chalk_bag</t>
  </si>
  <si>
    <t>Chalk Bag</t>
  </si>
  <si>
    <t>kite_play</t>
  </si>
  <si>
    <t>Kite</t>
  </si>
  <si>
    <t>indoor_activities_kit</t>
  </si>
  <si>
    <t>Indoor activities (colouring, puzzles)</t>
  </si>
  <si>
    <t>cash_payments</t>
  </si>
  <si>
    <t>Cash - no card payments</t>
  </si>
  <si>
    <t>Murder mystery, apocalypse</t>
  </si>
  <si>
    <t>cashless_payments_only</t>
  </si>
  <si>
    <t>Cashless - bring a bank card</t>
  </si>
  <si>
    <t>camping_gear</t>
  </si>
  <si>
    <t>Camping Gear</t>
  </si>
  <si>
    <t>seasonal_tag</t>
  </si>
  <si>
    <t>Tenpin Escape Rooms.JPG</t>
  </si>
  <si>
    <t>christmas</t>
  </si>
  <si>
    <t>Christmas</t>
  </si>
  <si>
    <t>advent</t>
  </si>
  <si>
    <t>Advent</t>
  </si>
  <si>
    <t>Soft Play Centre, Toddler Play Space</t>
  </si>
  <si>
    <t>Tenpin Soft Play</t>
  </si>
  <si>
    <t>winter</t>
  </si>
  <si>
    <t>Tenpin Soft Play is useful when younger children need to climb, slide and burn energy but you don’t want the whole family outing to revolve around soft play. The Exeter site has toddler space for ages 1–2 and junior play for ages 3–12, with timed sessions, so it’s a contained option rather than an open-ended stay-all-day setup. The real advantage is being inside Tenpin: older siblings can bowl, play arcade games or do laser tag, which makes it easier when everyone needs something different under one roof.</t>
  </si>
  <si>
    <t>valentines</t>
  </si>
  <si>
    <t>Valentine’s</t>
  </si>
  <si>
    <t>winter_solstice</t>
  </si>
  <si>
    <t>Winter solstice</t>
  </si>
  <si>
    <t>spring_flowers</t>
  </si>
  <si>
    <t>easter</t>
  </si>
  <si>
    <t>lent</t>
  </si>
  <si>
    <t>Lent</t>
  </si>
  <si>
    <t>autumn</t>
  </si>
  <si>
    <t>summer</t>
  </si>
  <si>
    <t>summer_solstice</t>
  </si>
  <si>
    <t>Summer solstice</t>
  </si>
  <si>
    <t>Young Child, Older Child</t>
  </si>
  <si>
    <t>autumn_colours</t>
  </si>
  <si>
    <t>halloween</t>
  </si>
  <si>
    <t>guy_fawkes</t>
  </si>
  <si>
    <t>Guy Fawkes</t>
  </si>
  <si>
    <t>summer_holiday_clubs</t>
  </si>
  <si>
    <t>Summer holiday clubs</t>
  </si>
  <si>
    <t>half_term_clubs</t>
  </si>
  <si>
    <t>Half term clubs</t>
  </si>
  <si>
    <t>seasonal_highlights</t>
  </si>
  <si>
    <t>seasonal_highlights_spring</t>
  </si>
  <si>
    <t>icon_Spring highlight.png</t>
  </si>
  <si>
    <t>Bluebells</t>
  </si>
  <si>
    <t>Daffodills</t>
  </si>
  <si>
    <t>softplay, slides</t>
  </si>
  <si>
    <t>Foals</t>
  </si>
  <si>
    <t>Tenpin Softplay.JPG</t>
  </si>
  <si>
    <t>Returning swallows, swifts (birds)</t>
  </si>
  <si>
    <t>New Ponies</t>
  </si>
  <si>
    <t>seasonal_highlights_summer</t>
  </si>
  <si>
    <t>The Coffee Bank</t>
  </si>
  <si>
    <t>icon_Summer highlight.png</t>
  </si>
  <si>
    <t>Low Effort, Moment of Peace, Simple Reset</t>
  </si>
  <si>
    <t>Butterflies</t>
  </si>
  <si>
    <t>A small local café with an enchanting children’s play space designed to keep little people happily occupied when you need coffee, food and a moment of peace. Geared for smaller numbers, it's easy to keep an eye on your child while enjoying something from their extensive menu, and with a variety of food options for children too, it makes for a simple, low effort, enjoyable spot.</t>
  </si>
  <si>
    <t>6 Silver St</t>
  </si>
  <si>
    <t>Seabird Colonies</t>
  </si>
  <si>
    <t>EX11 1DD</t>
  </si>
  <si>
    <t>PYO Fruit</t>
  </si>
  <si>
    <t>PYO Vegetables</t>
  </si>
  <si>
    <t>Kingfisher Spotting</t>
  </si>
  <si>
    <t>River wildlife spotting</t>
  </si>
  <si>
    <t>Will close at 14:00 if no customers in by 13:30</t>
  </si>
  <si>
    <t>Glow worms</t>
  </si>
  <si>
    <t>Wildflowers</t>
  </si>
  <si>
    <t>Marine Wildlife Spotting</t>
  </si>
  <si>
    <t>Watersports Hire</t>
  </si>
  <si>
    <t>Toilets, Indoor Seating, Highchairs</t>
  </si>
  <si>
    <t>Ice Creams</t>
  </si>
  <si>
    <t>Indoor Play Space, Children's Menu, Colouring, Ice creams, Clues / games, "Indoor games (puzzles, boards)"</t>
  </si>
  <si>
    <t>Garden games</t>
  </si>
  <si>
    <t>Hot Drinks, Comfy Seating / Sofas, Snacks, Sweet treats</t>
  </si>
  <si>
    <t>Marine Life</t>
  </si>
  <si>
    <t>Dragonflies &amp; Damselflies</t>
  </si>
  <si>
    <t>seasonal_highlights_autumn</t>
  </si>
  <si>
    <t>Autumn pony "drifts"</t>
  </si>
  <si>
    <t>icon_Autumn highlight.png</t>
  </si>
  <si>
    <t>Roleplay toys, toys, wooden toys, playmats, books, imaginary play</t>
  </si>
  <si>
    <t>Truffling Pigs</t>
  </si>
  <si>
    <t>Dedicated play area, Toy corner or play table, Colouring</t>
  </si>
  <si>
    <t>Fungi</t>
  </si>
  <si>
    <t>The Coffee Bank.JPG</t>
  </si>
  <si>
    <t>The Ham Play Park</t>
  </si>
  <si>
    <t>Blackberry Picking</t>
  </si>
  <si>
    <t>Tucked behind Sidmouth Leisure Centre, this well-known local spot boasts a large sandpit stocked with community sand toys, a variety of play equipment and sits a short distance from the bustle of Sidmouth's highstreet, coffee shops and amenities. With views of the surrounding cliffs and pebble beach, it offers a quieter alternative to the beach with lots to keep younger children busy.</t>
  </si>
  <si>
    <t>Ham Play Park</t>
  </si>
  <si>
    <t>EX10 8BP</t>
  </si>
  <si>
    <t>Autumnal Drinks</t>
  </si>
  <si>
    <t>Migrating Birds</t>
  </si>
  <si>
    <t>Berries, Nuts, Conkers</t>
  </si>
  <si>
    <t>seasonal_highlights_winter</t>
  </si>
  <si>
    <t>Snowdrops</t>
  </si>
  <si>
    <t>icon_Winter highlight.png</t>
  </si>
  <si>
    <t>Crocus Lawn</t>
  </si>
  <si>
    <t>Starling Murmurations</t>
  </si>
  <si>
    <t>Festive Displays</t>
  </si>
  <si>
    <t>Barn Owl Spotting</t>
  </si>
  <si>
    <t>Sledging Spot</t>
  </si>
  <si>
    <t>Sandpit, Zip Line, Outdoor play equipment</t>
  </si>
  <si>
    <t>Route Specific</t>
  </si>
  <si>
    <t>circular</t>
  </si>
  <si>
    <t>icon_Circular (route type).png</t>
  </si>
  <si>
    <t>sandpit, sandtoys, climbing wall, zip line, slide, swings, pirate ship,</t>
  </si>
  <si>
    <t>out_and_back</t>
  </si>
  <si>
    <t>icon_Out-and-back (route type).png</t>
  </si>
  <si>
    <t>point_to_point</t>
  </si>
  <si>
    <t>Balance elements, Slides (particularly tall or long), Climbing Wall, Zip wires</t>
  </si>
  <si>
    <t>icon_Point to point (route type).png</t>
  </si>
  <si>
    <t>The Ham Play Park.JPG</t>
  </si>
  <si>
    <t>loop_with_variations</t>
  </si>
  <si>
    <t>trail_network</t>
  </si>
  <si>
    <t>icon_Trail network (route type).png</t>
  </si>
  <si>
    <t>The Lost Temple Escape Room</t>
  </si>
  <si>
    <t>buggy_friendly</t>
  </si>
  <si>
    <t>Buggy friendly</t>
  </si>
  <si>
    <t>The Lost Temple sends your group deep into a jungle setting to recover a legendary idol before a rival expedition beats you to it. Where Prodogy's Wizards of Wyvern room leans into magic and local legend, this room has more of an adventure and archaeology feel — Indiana Jones territory rather than Hogwarts — which tends to appeal to children who prefer action and discovery over fantasy. The puzzles are well-constructed and suit mixed-age groups, with children able to take an active part alongside adults. The same setup applies as across all Prodigy rooms: no locked doors, a dedicated one-to-one gamemaster who tailors hints to keep things moving, and a 100% completion ethos meaning no group leaves without finishing.</t>
  </si>
  <si>
    <t>26B Clifton Hill</t>
  </si>
  <si>
    <t>dog_friendly</t>
  </si>
  <si>
    <t>Dog friendly</t>
  </si>
  <si>
    <t>EX1 2DJ</t>
  </si>
  <si>
    <t>icon_Dog friendly.png</t>
  </si>
  <si>
    <t>scooter_route</t>
  </si>
  <si>
    <t>Scooter route</t>
  </si>
  <si>
    <t>icon_Scooter route.png</t>
  </si>
  <si>
    <t>cycle_route</t>
  </si>
  <si>
    <t>Cycle route</t>
  </si>
  <si>
    <t>icon_Cycle route.png</t>
  </si>
  <si>
    <t>bike_route</t>
  </si>
  <si>
    <t>icon_Mountain Bikes Only.png</t>
  </si>
  <si>
    <t>wheelchair_friendly</t>
  </si>
  <si>
    <t>Wheelchair friendly</t>
  </si>
  <si>
    <t>icon_Wheelchair friendly.png</t>
  </si>
  <si>
    <t>carrier_only</t>
  </si>
  <si>
    <t>5-15</t>
  </si>
  <si>
    <t>icon_Kids Carrier Only.png</t>
  </si>
  <si>
    <t>offroad_buggy_only</t>
  </si>
  <si>
    <t>Off-road Buggies only</t>
  </si>
  <si>
    <t>icon_Off-road Buggies only.png</t>
  </si>
  <si>
    <t>Groups of 3+</t>
  </si>
  <si>
    <t>terrain_type</t>
  </si>
  <si>
    <t>steep</t>
  </si>
  <si>
    <t>Steep</t>
  </si>
  <si>
    <t>icon_Terrain Type.png</t>
  </si>
  <si>
    <t>undulating</t>
  </si>
  <si>
    <t>Undulating</t>
  </si>
  <si>
    <t>flat</t>
  </si>
  <si>
    <t>Flat</t>
  </si>
  <si>
    <t>mixed</t>
  </si>
  <si>
    <t>Mixed terrain</t>
  </si>
  <si>
    <t>steps</t>
  </si>
  <si>
    <t>escape room, puzzle solving, teamwork, archaeology, jungle, adventure, exploration, Indiana Jones, immersive storytelling, problem solving, logical thinking, group challenge, all weather, indoor activity</t>
  </si>
  <si>
    <t>Steps</t>
  </si>
  <si>
    <t>rocky</t>
  </si>
  <si>
    <t>Rocky</t>
  </si>
  <si>
    <t>Immersive experience</t>
  </si>
  <si>
    <t>The Lost Temple.jpg</t>
  </si>
  <si>
    <t>gravel</t>
  </si>
  <si>
    <t>Dan from Prodigy Escapes</t>
  </si>
  <si>
    <t>Gravel</t>
  </si>
  <si>
    <t>uneven</t>
  </si>
  <si>
    <t>Uneven</t>
  </si>
  <si>
    <t>surfaced_smooth</t>
  </si>
  <si>
    <t>sand</t>
  </si>
  <si>
    <t>Sand</t>
  </si>
  <si>
    <t>The Maer</t>
  </si>
  <si>
    <t>woodland_track</t>
  </si>
  <si>
    <t>The Maer is a quieter pocket of Exmouth, useful when the beach feels too busy or you want a sandy-soil wander with wildlife rather than buckets and waves. It’s a gentle add-on to a seafront day, with dunes, open space and a more natural feel close to town. Worth knowing: East Devon’s public toilet information has listed The Maer toilets as closed/temporarily seasonal, so don’t rely on loos being available.</t>
  </si>
  <si>
    <t>Route Difficulty</t>
  </si>
  <si>
    <t>EX8 2BX</t>
  </si>
  <si>
    <t>easy</t>
  </si>
  <si>
    <t>moderate</t>
  </si>
  <si>
    <t>challenging</t>
  </si>
  <si>
    <t>Challenging</t>
  </si>
  <si>
    <t>Club Specific</t>
  </si>
  <si>
    <t>workshop</t>
  </si>
  <si>
    <t>Workshop</t>
  </si>
  <si>
    <t>stay_and_play_supervised</t>
  </si>
  <si>
    <t>lesson</t>
  </si>
  <si>
    <t>Lesson</t>
  </si>
  <si>
    <t>free_play_unsupervised</t>
  </si>
  <si>
    <t>Free play (unsupervised)</t>
  </si>
  <si>
    <t>training</t>
  </si>
  <si>
    <t>Club Frequency</t>
  </si>
  <si>
    <t>one_off</t>
  </si>
  <si>
    <t>One-off</t>
  </si>
  <si>
    <t>daily</t>
  </si>
  <si>
    <t>Daily</t>
  </si>
  <si>
    <t>weekly</t>
  </si>
  <si>
    <t>sand dune exploring, insect spotting, solitary bee watching, wildflower spotting, skylark spotting, coastal wildlife, nature reserve walks</t>
  </si>
  <si>
    <t>monthly</t>
  </si>
  <si>
    <t>Meadows or wild grass, Room to run freely, Open sightlines, Scenic backdrops, Play equipment, "Natural play features (logs, slopes, rocks)", Grassy banks</t>
  </si>
  <si>
    <t>term_time_only</t>
  </si>
  <si>
    <t>Term-time only</t>
  </si>
  <si>
    <t>The Maer.jpg</t>
  </si>
  <si>
    <t>all_year_with_exceptions</t>
  </si>
  <si>
    <t>All year (with exceptions)</t>
  </si>
  <si>
    <t>club_commitment</t>
  </si>
  <si>
    <t>Club Committment</t>
  </si>
  <si>
    <t>The Wizards of Wyvern Escape Room</t>
  </si>
  <si>
    <t>pay_one_off</t>
  </si>
  <si>
    <t xml:space="preserve">The Wizards of Wyvern is Prodigy's most family-focused room and the one most consistently recommended for children. It offers an ideal escape room choice for children, teens or adults with a fascination with magic, fantasy and immersive storytelling. The story is rooted in Exeter's own history — a magical community gifted with power by a dragon egg, now threatened when the egg is stolen from the Sidwell Sanctum — which gives it a local flavour that works particularly well if children know Exeter. The room has an easy mode specifically refined for children aged eight and upward to take an active lead, and the puzzles mix traditional padlocks with technology and theatrical effects in a way that keeps different ages engaged at the same time. Prodigy never lock the doors, which removes the anxiety that can put some children off, and the dedicated one-to-one gamemaster adjusts hints to keep things moving without making anyone feel stuck. It is bookable for teams of 2–6 and, like most escape rooms, is best suited to confident primary-aged children upwards, especially those happy to listen, collaborate and stay engaged for a full escape-room experience. </t>
  </si>
  <si>
    <t>termly_blocks</t>
  </si>
  <si>
    <t>Termly blocks</t>
  </si>
  <si>
    <t>annually</t>
  </si>
  <si>
    <t>Annually</t>
  </si>
  <si>
    <t>membership</t>
  </si>
  <si>
    <t>Membership</t>
  </si>
  <si>
    <t>skill_area</t>
  </si>
  <si>
    <t>sport</t>
  </si>
  <si>
    <t>creative_arts</t>
  </si>
  <si>
    <t>academic</t>
  </si>
  <si>
    <t>Academic</t>
  </si>
  <si>
    <t>social_emotional</t>
  </si>
  <si>
    <t>Social &amp; emotional</t>
  </si>
  <si>
    <t>life_skills</t>
  </si>
  <si>
    <t>Life Skills</t>
  </si>
  <si>
    <t>technical_skills</t>
  </si>
  <si>
    <t>Technical Skills</t>
  </si>
  <si>
    <t>outdoor_nature</t>
  </si>
  <si>
    <t>global_awareness</t>
  </si>
  <si>
    <t>Global Awareness</t>
  </si>
  <si>
    <t>digital_media_modern</t>
  </si>
  <si>
    <t>Digital, media &amp; modern</t>
  </si>
  <si>
    <t>crafting_art</t>
  </si>
  <si>
    <t>sensory_play</t>
  </si>
  <si>
    <t>Sensory or SEND</t>
  </si>
  <si>
    <t>escape room, puzzle solving, teamwork, magic, wizards, dragons, Exeter history, immersive storytelling, problem solving, logical thinking, group challenge, all weather, indoor activity</t>
  </si>
  <si>
    <t>skill_area_variant</t>
  </si>
  <si>
    <t>team_sports</t>
  </si>
  <si>
    <t>Team Sports</t>
  </si>
  <si>
    <t>club,event,venue</t>
  </si>
  <si>
    <t>Football/rugby/hockey/netball etc</t>
  </si>
  <si>
    <t>The Wizards of Wyvern.jpg</t>
  </si>
  <si>
    <t>racquet_sports</t>
  </si>
  <si>
    <t>Racquet Sports</t>
  </si>
  <si>
    <t>Tennis/badminton/squash/table tennis</t>
  </si>
  <si>
    <t>swimming_water_sports</t>
  </si>
  <si>
    <t>Swimming &amp; Water Sports</t>
  </si>
  <si>
    <t>Swimming lessons and organised water sports</t>
  </si>
  <si>
    <t>gymnastics_martial_arts</t>
  </si>
  <si>
    <t>Family-Friendly Cafés, Cafés with Outdoor Space</t>
  </si>
  <si>
    <t>Thorne's Farm Cafe</t>
  </si>
  <si>
    <t>Gymnastics, karate, judo, taekwondo etc</t>
  </si>
  <si>
    <t>athletics_running</t>
  </si>
  <si>
    <t xml:space="preserve">Thornes Farm Shop &amp; Kitchen offers families more than a basic café stop, with food, a small farm shop and deli, and a dedicated indoor play corner and seasonal pick-your-own fields in one place. The menu is limited, but It’s useful for lunch, cake, browsing local produce or breaking up a day near Crediton, with younger children able to play and older children more likely to enjoy the PYO or choosing treats from the shop. Best suited to PYO season or a chilly winter day with younger children when you want an easy coffee stop, with a play space, decent coffee/cake and a cosy log burner. </t>
  </si>
  <si>
    <t>Hawthorn Gardens</t>
  </si>
  <si>
    <t>Track, running clubs, athletics</t>
  </si>
  <si>
    <t>Stockleigh Pomeroy</t>
  </si>
  <si>
    <t xml:space="preserve">Crediton </t>
  </si>
  <si>
    <t>EX17 4BH</t>
  </si>
  <si>
    <t>cycling_skating</t>
  </si>
  <si>
    <t>Cycling &amp; Skating</t>
  </si>
  <si>
    <t>BMX, track cycling, roller skating</t>
  </si>
  <si>
    <t>climbing</t>
  </si>
  <si>
    <t>Climbing walls, bouldering sessions</t>
  </si>
  <si>
    <t>multi_sport</t>
  </si>
  <si>
    <t>Multi-Sport</t>
  </si>
  <si>
    <t>Mixed sport sessions/camps</t>
  </si>
  <si>
    <t>Toilets, Disabled toilets, Indoor Seating, Dogs Allowed, Outdoor Seating, Highchairs</t>
  </si>
  <si>
    <t>Activity Sheets or Signs, Colouring, Ride on Vehicles, Children's Menu, Indoor Play Space</t>
  </si>
  <si>
    <t>Hot Drinks, Giftshop, Bookshop, Hot &amp; Cold food, Sweet treats, Log burner, Outdoor terrace</t>
  </si>
  <si>
    <t>PYO fruit, PYO vegetables, strawberry picking, indoor play area, children's menu, farm shop, pick your own soft fruit, pick your own pumpkins</t>
  </si>
  <si>
    <t>Fruit Picking, PYO Fruit, PYO Vegetables, PYO Flowers</t>
  </si>
  <si>
    <t>Dedicated play area, Toy corner or play table, Puzzles or games, Colouring, "Shop or browsing area (e.g. farm shop, garden centre)"</t>
  </si>
  <si>
    <t>Thorne's Cafe.JPG</t>
  </si>
  <si>
    <t>Topsham Recreation Ground</t>
  </si>
  <si>
    <t>Topsham Recreation Ground is a useful local green-space stop when you want room to run without leaving the village. It sits behind the bustle of the high street, so it can pair well with a wander, the ferry, the Goat Walk/estuary side, or a cycle-path outing but provides a quieter spot to reset after a trip to the shops or nearby cafes. It's a practical run-around, picnic or ball-games stop in a pictueresque spot that pairs well with a trip to the library, pool or nearby local shops or cafes.</t>
  </si>
  <si>
    <t>1 Ferry Road</t>
  </si>
  <si>
    <t xml:space="preserve"> Topsham</t>
  </si>
  <si>
    <t>EX3 0JW</t>
  </si>
  <si>
    <t>Bench Seating, Dogs Allowed, Highchairs, BYO Picnic</t>
  </si>
  <si>
    <t xml:space="preserve">estuary views, riverside walk, local park, swings, slides, outdoor play equipment, riverside setting, open green space
</t>
  </si>
  <si>
    <t>Slides, Zip wires, Clear sightlines for adults, Swings, Open grass / running space</t>
  </si>
  <si>
    <t>Topsham Recreation Ground.JPG</t>
  </si>
  <si>
    <t>Pebble or Shingle Beach, Sandy Beach</t>
  </si>
  <si>
    <t>Torre Abbey Sands</t>
  </si>
  <si>
    <t xml:space="preserve">Torquay's main beach and one of the better all-round family beaches on the English Riviera — long, flat and sandy with shallow water at low tide and rock pools at the Corbyn Head end worth exploring. The beach sits between two rock headlands that give it a sheltered feel, and Torre Abbey Meadows grass area directly behind the beach gives children room to run when they've had enough of the sand. Watersports hire including paddleboards and kayaks is available on the beach in summer, and the town centre, cafés and ice cream shops are a few minutes' walk away. Dogs are banned from the beach May to September but there's a dog exercise area on the Meadows if you need to bring your furry friend along. </t>
  </si>
  <si>
    <t>Torbay Road</t>
  </si>
  <si>
    <t>TQ2 5HA</t>
  </si>
  <si>
    <t>SEND</t>
  </si>
  <si>
    <t>ability_level</t>
  </si>
  <si>
    <t>novice</t>
  </si>
  <si>
    <t>beginner</t>
  </si>
  <si>
    <t>intermediate</t>
  </si>
  <si>
    <t>expert</t>
  </si>
  <si>
    <t>Expert</t>
  </si>
  <si>
    <t>sandy beach, swimming, paddling, rock pooling, diggable sand, sandcastles, shallow water, watersports, kayaking, paddleboarding, windsurfing, snorkelling, beach huts, deckchair hire, promenade, seafront, coastal views</t>
  </si>
  <si>
    <t>Event Specific</t>
  </si>
  <si>
    <t>Diggable sand (Sandcastles), Swimming, Toilets nearby, Promenade</t>
  </si>
  <si>
    <t>social_gathering</t>
  </si>
  <si>
    <t>Social Gathering</t>
  </si>
  <si>
    <t>Torquay Beach.jpg</t>
  </si>
  <si>
    <t>shared_meal</t>
  </si>
  <si>
    <t>Shared Meal</t>
  </si>
  <si>
    <t>workshop_or_talk</t>
  </si>
  <si>
    <t>Workshop or talk</t>
  </si>
  <si>
    <t>crafty_making</t>
  </si>
  <si>
    <t>Trafalgar Road Park</t>
  </si>
  <si>
    <t>festive</t>
  </si>
  <si>
    <t>Festive</t>
  </si>
  <si>
    <t>This very simple local park is nothing extraordinary or worth a dedicated visit for, but for those living locally it's an easy stop when you need something simple to get out the house for - and the fact that there is another park 100 metres away within the Candy's Field playing fields, makes this an easy local outing if you want a few low-key activities within close proximity to one another; park closeby and then wander from this park, to Candy's Field park, through to Cliff Field where there's space to run about and see the sea, with a cosy local coffee shop all within about 10mins walk from each other. If you're not from Lympstone but like a pretty village to use as a base for a morning or afternoon, this is it - and this park can act as a simple stop along the way.</t>
  </si>
  <si>
    <t>Trafalgar Road</t>
  </si>
  <si>
    <t>nature_based</t>
  </si>
  <si>
    <t>EX8 5HY</t>
  </si>
  <si>
    <t>formal_event</t>
  </si>
  <si>
    <t>Formal Event or Dinner</t>
  </si>
  <si>
    <t>country_show</t>
  </si>
  <si>
    <t>Agricultural or County Show</t>
  </si>
  <si>
    <t>festival</t>
  </si>
  <si>
    <t>Festival</t>
  </si>
  <si>
    <t>music_event</t>
  </si>
  <si>
    <t>performance</t>
  </si>
  <si>
    <t>Performance</t>
  </si>
  <si>
    <t>entertainment</t>
  </si>
  <si>
    <t>Entertainment</t>
  </si>
  <si>
    <t>sport_based</t>
  </si>
  <si>
    <t>Sporting</t>
  </si>
  <si>
    <t>foraging</t>
  </si>
  <si>
    <t>Foraging, Fruit Picking</t>
  </si>
  <si>
    <t>tasting_event</t>
  </si>
  <si>
    <t>Tasting Event</t>
  </si>
  <si>
    <t>themed</t>
  </si>
  <si>
    <t>Themed</t>
  </si>
  <si>
    <t>family_fun_day</t>
  </si>
  <si>
    <t>Family Funday</t>
  </si>
  <si>
    <t>booking_type</t>
  </si>
  <si>
    <t>advance_book</t>
  </si>
  <si>
    <t>pay_on_arrival</t>
  </si>
  <si>
    <t>swings, climbing frame, local park</t>
  </si>
  <si>
    <t>open_access</t>
  </si>
  <si>
    <t>Climbing frames, Zip wires, Fireman's poles, Swings, Basket / nest swings, Roundabouts, Springers / rockers</t>
  </si>
  <si>
    <t>pre_register</t>
  </si>
  <si>
    <t>Trafalgar Road Park.JPG</t>
  </si>
  <si>
    <t>Pre-Register</t>
  </si>
  <si>
    <t>members_only</t>
  </si>
  <si>
    <t>Memberships</t>
  </si>
  <si>
    <t>Ullacombe Farm &amp; Cafe</t>
  </si>
  <si>
    <t>ticket_variant</t>
  </si>
  <si>
    <t>Farm café with indoor and outdoor play spaces, animals to spot and Dartmoor views around the edges. Ullacombe is useful when food needs to come with movement: children can use the play areas, climb on the vintage tractor, watch the farm animals or head outside between bites. No direct sightlines unless sat outside, but with a cosy, practical feel, there's enough to stretch a café stop into a longer visit everyone can enjoy.</t>
  </si>
  <si>
    <t>Haytor Road</t>
  </si>
  <si>
    <t>baby</t>
  </si>
  <si>
    <t>Baby</t>
  </si>
  <si>
    <t>TQ13 9LL</t>
  </si>
  <si>
    <t>fixed_child</t>
  </si>
  <si>
    <t>young_child</t>
  </si>
  <si>
    <t>older_child</t>
  </si>
  <si>
    <t>adult</t>
  </si>
  <si>
    <t>concession</t>
  </si>
  <si>
    <t>Concession</t>
  </si>
  <si>
    <t>group</t>
  </si>
  <si>
    <t>Group</t>
  </si>
  <si>
    <t>Toilets, Disabled toilets, Picnic Benches, Outdoor Seating, Indoor Seating, Dogs Allowed</t>
  </si>
  <si>
    <t>Attractions and/or "Highlights" (by Opportunity Theme)</t>
  </si>
  <si>
    <t>Ice creams, Ride on Vehicles, Outdoor play equipment, Children's Menu</t>
  </si>
  <si>
    <t>walks_and_wanders_attractions</t>
  </si>
  <si>
    <t>Walks &amp; Wanders Attractions</t>
  </si>
  <si>
    <t>waterfalls</t>
  </si>
  <si>
    <t>Waterfalls</t>
  </si>
  <si>
    <t>rivers_and_streams</t>
  </si>
  <si>
    <t>natural_paddling</t>
  </si>
  <si>
    <t>lakes_reservoirs</t>
  </si>
  <si>
    <t>beaches_coves</t>
  </si>
  <si>
    <t>ride on vehicles, animal pens, tractors, play equipment, farm animals, chickens, ducks, outdoor play equipment, swings, slide, climbing frame, vintage tractor, indoor play area</t>
  </si>
  <si>
    <t>rockpools</t>
  </si>
  <si>
    <t>cliffs_headlands</t>
  </si>
  <si>
    <t>ancient_trees</t>
  </si>
  <si>
    <t>Ullacombe Farm Cafe.JPG</t>
  </si>
  <si>
    <t>bridges</t>
  </si>
  <si>
    <t>stepping_stones</t>
  </si>
  <si>
    <t>rock_formations</t>
  </si>
  <si>
    <t>panoramic_views</t>
  </si>
  <si>
    <t>coastal_views</t>
  </si>
  <si>
    <t>countryside_views</t>
  </si>
  <si>
    <t>elevated_viewpoints</t>
  </si>
  <si>
    <t>scenic_valleys</t>
  </si>
  <si>
    <t>Ancient Site, Living History</t>
  </si>
  <si>
    <t>Underground Passages</t>
  </si>
  <si>
    <t>historic_ruins</t>
  </si>
  <si>
    <t>waymarked_features</t>
  </si>
  <si>
    <t>Exeter Underground Passages is a memorable city-centre adventure for children who like history, tunnels and slightly unusual experiences. It is guided, structured and atmospheric rather than free-flowing, so it works particuarly well for children who can listen, stay with a group and manage being underground. Children must be 5–17 and accompanied underground, and it's worth nothing pushchairs and wheelchairs are restricted to the exhibition only. It's good for a short, distinctive wet-weather activity, especially paired with RAMM or another follow-on activity in the city.</t>
  </si>
  <si>
    <t>2 Paris Street</t>
  </si>
  <si>
    <t>green_space_attractions</t>
  </si>
  <si>
    <t>Meadows or wild grass</t>
  </si>
  <si>
    <t>EX1 1GA</t>
  </si>
  <si>
    <t>(Fixed) Child, Adult, Concession, Group</t>
  </si>
  <si>
    <t>Nature &amp; Wildlife Exploration Attractions</t>
  </si>
  <si>
    <t>Climbing Logs or balance beams</t>
  </si>
  <si>
    <t>medieval tunnels, guided tour, torchlit passages, hard hats, interactive heritage centre, green-screen fly-through, history, archaeology, dark tunnels</t>
  </si>
  <si>
    <t>Ruins to explore, Hidden rooms or passages, Audio guides or trails</t>
  </si>
  <si>
    <t>Underground Passages.JPG</t>
  </si>
  <si>
    <t>Waves Swimming Pool</t>
  </si>
  <si>
    <t>Waves is a proper swimming trip rather than a basic pool session, with a wave machine, flume, sloping beach-style entry, children’s play area and water feature. It’s good for mixed ages because younger children can ease in at the shallow end while older ones still have slides and waves to keep them interested. Sessions are bookable, so it's worth checking the timetable before heading there.</t>
  </si>
  <si>
    <t>Riviera International Centre</t>
  </si>
  <si>
    <t>Chestnut Avenue</t>
  </si>
  <si>
    <t xml:space="preserve">Torquay </t>
  </si>
  <si>
    <t>TQ2 5LZ</t>
  </si>
  <si>
    <t>Coastal Adventures Attractions</t>
  </si>
  <si>
    <t>Seniors</t>
  </si>
  <si>
    <t>Toilets, Disabled toilets, Baby changing, Showers / changing facilities, Indoor Seating</t>
  </si>
  <si>
    <t>Raining / wet, Windy (&gt; X mph), Snow / sleet / ice, Stormy / heavy rain / thunderstorms, Overcast / cloudy, Dry &amp; cold, Dry &amp; mild</t>
  </si>
  <si>
    <t xml:space="preserve">indoor swimming, wave machine, water flume, beach-style pool entry, toddler splash area, water jets, fill and spill buckets, water wheels, hand wheels, toddler slide, water play
</t>
  </si>
  <si>
    <t>Instructor support, Water slides, Wave machines, Lifeguarded areas (where applicable)</t>
  </si>
  <si>
    <t>Waves Swim.JPG</t>
  </si>
  <si>
    <t>West Dart River Beach</t>
  </si>
  <si>
    <t>The West Dart is an informal river landscape rather than a single signed “river beach,” with rocky banks, clear water, moorland edges and natural stopping places changing by access point. It has the kind of Dartmoor appeal older children often respond to — stones, pools, scrambling, open space and no fixed entertainment — while younger children need close supervision around slippery rocks and moving water. Dartmoor National Park allows river swimming where access is lawful and wildlife and other users are respected, so this is one to treat as a natural river stop rather than a managed family venue. This location has larger rocks and boulders to climb on, deeper stretches of water, as well as a shingle river beach that appears in summer months when the river is lower, with enough space nearby for a picnic rug. Parking is very limited though, so arrive early if it's set to be a beautiful day!</t>
  </si>
  <si>
    <t>Dartmoor Way</t>
  </si>
  <si>
    <t>Large tidal range</t>
  </si>
  <si>
    <t>Natural channels</t>
  </si>
  <si>
    <t>Calm water at low tide</t>
  </si>
  <si>
    <t>Driftwood</t>
  </si>
  <si>
    <t>Crabs &amp; small marine life</t>
  </si>
  <si>
    <t>Natural splash zones</t>
  </si>
  <si>
    <t>Designed or sculpted landscapes</t>
  </si>
  <si>
    <t>Shallow water, Deep water or plunge pools, Paddling spots, Natural Swimming Spots, Sheltered or shaded options, Opportunities to explore, Wildlife spotting, River access for small boats or paddleboards, Paddleboarding, Rivers or estuaries, River Beach, Woodland or countryside setting</t>
  </si>
  <si>
    <t>West River Dart.JPG</t>
  </si>
  <si>
    <t>Whimple Play Park</t>
  </si>
  <si>
    <t>Whimple Play Park has been newly refurbished and offers a good range of play options for smaller children looking for a simple park stop with easy follow-on activities nearby. Paired with a trip to the pump track or adventure play area within the playing fields, it can work as a quick reset, a longer energy blow-out, or a useful mixed-age stop where younger children can play while older ones bring bikes or scooters. Pack helmets if you’re using the pump track, and snacks if you want to stretch the visit.</t>
  </si>
  <si>
    <t>20 Slewton Cresent</t>
  </si>
  <si>
    <t>Whimple</t>
  </si>
  <si>
    <t>EX5 2QA</t>
  </si>
  <si>
    <t>Rope bridges</t>
  </si>
  <si>
    <t>outdoor play equipment, climbing frames, ground trampoline, roundabout, rope climbing unit, rotating seesaw, standing seesaw</t>
  </si>
  <si>
    <t>Climbing frames, Rope bridges, Balance elements, Scramble nets, Stepping obstacles, Towers and platforms, Slides, Swings, Basket / nest swings, Roundabouts, Seesaws, Ground trampolines, Wheelchair accessible equipment, Inclusive swings</t>
  </si>
  <si>
    <t>Whimple Play Park.JPG</t>
  </si>
  <si>
    <t>Whimple Pump Track</t>
  </si>
  <si>
    <t>Whimple Pump Track is a great spot for children who like bikes, scooters or balance bikes and want repeated loops rather than a long ride. The main track is almost 200 metres, with a smaller track for younger children on balance bikes, so it can work for mixed confidence levels if everyone has helmets and a bit of space. Situated in a broad open space with plenty of grass and an additional play space, it can work for a blended outing with children of varying ages. There's also a younger-child playpark just a stone's throw across a little stream, making it a nice multi-stop, low-key trip.</t>
  </si>
  <si>
    <t>15 Slewton Cresent</t>
  </si>
  <si>
    <t>Sunshine, Windy (&gt; X mph), Overcast / cloudy, Dry &amp; mild, Dry &amp; warm, Dry &amp; cold</t>
  </si>
  <si>
    <t>Early access introduction</t>
  </si>
  <si>
    <t>pump track, BMX, cycling, scootering, skateboarding, balance biking, beginner track for younger children</t>
  </si>
  <si>
    <t>Pump track, BMX track, Open grass / running space, Stepping obstacles, Balance elements, Obstacle courses</t>
  </si>
  <si>
    <t>Whimple Pump Track.JPG</t>
  </si>
  <si>
    <t>Wildwood Escot</t>
  </si>
  <si>
    <t xml:space="preserve">Wildwood offers an immersive experience into British wildlife, with their notorious resident brown bears providing a fascinating up-close experience not to be missed. Set within 45 acres of ancient woodland and gardens, visitors will spot wolves, lynx, wild boar, arctic foxes, red squirrels, and otters in enclosures throughout the park. An authentic Saxon village awaits, complete with a fire to toast a marshmallow, beech hedge maze, adventure playgrounds, drop slide, zip line, and indoor soft play area. </t>
  </si>
  <si>
    <t>EX11 1LU</t>
  </si>
  <si>
    <t>(Fixed) Child, Concession, Group</t>
  </si>
  <si>
    <t>Toilets, Picnic Benches, Indoor Seating, BYO Picnic</t>
  </si>
  <si>
    <t>Zip Line, Indoor Play Space, Outdoor play equipment, Rope Swings, "Swings, Slides, Climbing Frames"</t>
  </si>
  <si>
    <t>rope swing, maze, saxon village, animals, endangered animals, bears, wolves, red squirrel, brown bears, wolves, lynx, wild boar, arctic foxes, red squirrels, otters, birds of prey, Saxon village, beech hedge maze, adventure playground, drop slide, zip line, indoor soft play, nature trails, conservation education, conservation,</t>
  </si>
  <si>
    <t>Close-up viewing, Keeper talks, Rare or exotic animals, Multiple species, Conservation, Outdoor animal areas, Walk-through enclosures</t>
  </si>
  <si>
    <t>Traffic-free sections</t>
  </si>
  <si>
    <t>XC Buggy, Sling / baby carrier, Infant / toddler carrier, Sturdy footwear</t>
  </si>
  <si>
    <t>Wildwood.jpg</t>
  </si>
  <si>
    <t>Woodbury Salterton Play Area</t>
  </si>
  <si>
    <t>Woodbury Salterton Play Area is a village play space tucked between New Way and Sage Lea, with enough variety for a proper burst of outdoor play rather than just a quick swing stop. Children can move between the zip wire, swings, slides and climbing equipment, making it a good low-effort option for mixed ages who need fresh air, climbing and a bit of independence.</t>
  </si>
  <si>
    <t>New Way</t>
  </si>
  <si>
    <t>Woodbury Salterton</t>
  </si>
  <si>
    <t>EX5 1RA</t>
  </si>
  <si>
    <t>Monday, Wednesday, Tuesday, Thursday, Friday, Saturday, Sunday</t>
  </si>
  <si>
    <t>Shallow water</t>
  </si>
  <si>
    <t>zip line, swings</t>
  </si>
  <si>
    <t>Clear sightlines for adults, Climbing frames, Zip wires, Fort-style structures, Balance elements</t>
  </si>
  <si>
    <t>Woodbury Salterton Play Area.JPG</t>
  </si>
  <si>
    <t>Woodbury Village Play Area</t>
  </si>
  <si>
    <t>Woodbury Village Green Play Area is a small, central village play space opposite St Swithun’s Church, useful for a simple fresh-air stop rather than a destination day out. Designed for younger children, it gives families a contained burst of play with climbing, swinging and spinning equipment, plus the village green setting for a slower pause nearby.</t>
  </si>
  <si>
    <t xml:space="preserve">Church Stile Lane </t>
  </si>
  <si>
    <t>EX5 1HW</t>
  </si>
  <si>
    <t>climbing frame, swings, slide</t>
  </si>
  <si>
    <t>Messy, hands-on crafts</t>
  </si>
  <si>
    <t>Clear sightlines for adults, Climbing frames</t>
  </si>
  <si>
    <t>Woodbury Village Green Play Area.jpg</t>
  </si>
  <si>
    <t>Sandy Beach, Surf Beach</t>
  </si>
  <si>
    <t>Woolacombe Beach</t>
  </si>
  <si>
    <t>Woolacombe is a big, classic North Devon beach day: three miles of sand, surf, dunes and plenty of room to spread out when the tide allows. It’s brilliant for children who want buckets, boards, running space and a proper seaside atmosphere, but it can be busy and wind-exposed, so treat it as a planned day rather than a quick stop. Parking choices matter, and surf conditions should guide where and how children go in the water.</t>
  </si>
  <si>
    <t>Marine Drive</t>
  </si>
  <si>
    <t>EX34 7ZZ</t>
  </si>
  <si>
    <t>Paid Car Park, Members Car Park, Bike racks / bays</t>
  </si>
  <si>
    <t>Toilets, Disabled toilets, Baby changing, Showers / changing facilities, Dogs Allowed, BYO Picnic</t>
  </si>
  <si>
    <t>Sunloungers, Clear Sightlines, Snacks, Drinks stand, Sweet treats</t>
  </si>
  <si>
    <t>Themed environments</t>
  </si>
  <si>
    <t>sandy beach, surfing, surf lessons, bodyboarding, paddleboarding, kayaking, swimming, sandcastles, rock pooling, sand dunes, stream paddling, seal spotting, coastal walks</t>
  </si>
  <si>
    <t>Diggable sand (Sandcastles), Equipment Hire, Seasonally Lifeguarded, Surfing, Swimming, Bodyboarding, Watersports Lessons</t>
  </si>
  <si>
    <t>Wetsuits, Sand toys, Beach toys, Towels, Swimming kit</t>
  </si>
  <si>
    <t>Woolacombe Beach.jpg</t>
  </si>
  <si>
    <t>World of Country Life</t>
  </si>
  <si>
    <t xml:space="preserve">An animal-focused family attraction with petting encounters, play areas, museums, rides and daily activities. There's lots of animal variety; from deer feeding, small animal handling, goat walking and bird of prey displays, combined with indoor play spaces, outdoor adventure areas, vintage vehicles, crazy golf and a country-town style museum. </t>
  </si>
  <si>
    <t>West Down Lane</t>
  </si>
  <si>
    <t>Sandy Bay</t>
  </si>
  <si>
    <t>EX8 5BY</t>
  </si>
  <si>
    <t>Closed over winter from 1st November until 13th March</t>
  </si>
  <si>
    <t>Sensory &amp; Soothing Experiences</t>
  </si>
  <si>
    <t>Young Child, Older Child, Adult, Concession, Group</t>
  </si>
  <si>
    <t>3-17</t>
  </si>
  <si>
    <t>Arcade games</t>
  </si>
  <si>
    <t>VR goggles</t>
  </si>
  <si>
    <t>Pool or snooker table</t>
  </si>
  <si>
    <t>60+</t>
  </si>
  <si>
    <t>Bowling lanes</t>
  </si>
  <si>
    <t>Laser tag</t>
  </si>
  <si>
    <t>Toilets, Disabled toilets, Baby changing, Picnic Benches, Indoor Seating, BYO Picnic</t>
  </si>
  <si>
    <t>Trampolining</t>
  </si>
  <si>
    <t>Ice creams, Tractor Rides, "Swings, Slides, Climbing Frames", Outdoor play equipment, Indoor Play Space</t>
  </si>
  <si>
    <t>Hot Drinks, Hot &amp; Cold food, Snacks, Drinks stand</t>
  </si>
  <si>
    <t>Bar / licensed venue</t>
  </si>
  <si>
    <t>Café or restaurant</t>
  </si>
  <si>
    <t>Private hire / party packages</t>
  </si>
  <si>
    <t>Meet and greet</t>
  </si>
  <si>
    <t>VIP / premier experience</t>
  </si>
  <si>
    <t>Live music</t>
  </si>
  <si>
    <t>deer train safari, deer and llama hand feeding, pygmy goats, alpacas, wallabies, donkeys, cockatoos, rabbits, guinea pigs, birds of prey display, ferret racing, goat walking, soft play, outdoor play area, pirate ship, electric cars, trampolines, air bouncer, Victorian street, farming museum, vintage vehicles</t>
  </si>
  <si>
    <t>Comedy / stand-up</t>
  </si>
  <si>
    <t>Theatre / stage performance</t>
  </si>
  <si>
    <t>Pantomime</t>
  </si>
  <si>
    <t>Rides &amp; attractions, Animals or animal experiences, Play or activity zones, Live shows or performances, Large interactive exhibits</t>
  </si>
  <si>
    <t>World of Countrylife.JPG</t>
  </si>
  <si>
    <t>Musical theatre</t>
  </si>
  <si>
    <t>Open mic</t>
  </si>
  <si>
    <t>Q&amp;A / live interview</t>
  </si>
  <si>
    <t>Cinema screen</t>
  </si>
  <si>
    <t>Touch-and-try exhibits</t>
  </si>
  <si>
    <t>Interactive displays</t>
  </si>
  <si>
    <t>Engineering &amp; Building</t>
  </si>
  <si>
    <t>Navigation &amp; Map Reading</t>
  </si>
  <si>
    <t>Buttons, levers, and mechanisms</t>
  </si>
  <si>
    <t>Build-and-test stations</t>
  </si>
  <si>
    <t>Bushcraft &amp; Forest Skills</t>
  </si>
  <si>
    <t>Survival Skills</t>
  </si>
  <si>
    <t>Cause-and-effect activities</t>
  </si>
  <si>
    <t>Problem-solving challenges</t>
  </si>
  <si>
    <t>Experimentation</t>
  </si>
  <si>
    <t>Mix of calm and energetic zones</t>
  </si>
  <si>
    <t>Facilitated demo sessions (optional)</t>
  </si>
  <si>
    <t>Historic buildings</t>
  </si>
  <si>
    <t>Hands-on Petting</t>
  </si>
  <si>
    <t>Soft climbing structures</t>
  </si>
  <si>
    <t>Trains and locomotives</t>
  </si>
  <si>
    <t>Boats and ships</t>
  </si>
  <si>
    <t>Aircraft and helicopters</t>
  </si>
  <si>
    <t>Vintage vehicles</t>
  </si>
  <si>
    <t>Working machinery</t>
  </si>
  <si>
    <t>Rides or journeys</t>
  </si>
  <si>
    <t>Vehicles in operation</t>
  </si>
  <si>
    <t>Demonstrations or displays</t>
  </si>
  <si>
    <t>Cab or cockpit viewing</t>
  </si>
  <si>
    <t>Engineering features</t>
  </si>
  <si>
    <t>Dedicated play area</t>
  </si>
  <si>
    <t>Children’s menu</t>
  </si>
  <si>
    <t>Meet Father Christmas</t>
  </si>
  <si>
    <t>Festive Shows</t>
  </si>
  <si>
    <t>Singing figures or characters</t>
  </si>
  <si>
    <t>Seasonal Hot Chocolates</t>
  </si>
  <si>
    <t>Themed Areas</t>
  </si>
  <si>
    <t>Themed Food</t>
  </si>
  <si>
    <t>Easter Egg Hunts</t>
  </si>
  <si>
    <t>Clues or Treasure Hunts</t>
  </si>
  <si>
    <t>Meet the Easter Bunny</t>
  </si>
  <si>
    <t>Costumes or Fancy Dress-up</t>
  </si>
  <si>
    <t>Firework Displays</t>
  </si>
  <si>
    <t>Roasting Marshmallows</t>
  </si>
  <si>
    <t>Bonfires</t>
  </si>
  <si>
    <t>Solstice Rituals</t>
  </si>
  <si>
    <t>Seasonal Fruit Picking</t>
  </si>
  <si>
    <t>Maize Mazes</t>
  </si>
  <si>
    <t>Flower collecting or displays</t>
  </si>
  <si>
    <t>Splash Parks</t>
  </si>
  <si>
    <t>Inflatables Sessions</t>
  </si>
  <si>
    <t>BBQs</t>
  </si>
  <si>
    <t>Surf &amp; Turf</t>
  </si>
  <si>
    <t>Wildlife Spotting</t>
  </si>
  <si>
    <t>Sea Safari</t>
  </si>
  <si>
    <t>Airshows or displays</t>
  </si>
  <si>
    <t>Food stands &amp; stalls</t>
  </si>
  <si>
    <t>Live Performance</t>
  </si>
  <si>
    <t>Live Music</t>
  </si>
  <si>
    <t>Interest Tags (Combined)</t>
  </si>
  <si>
    <t>9-hole golf course
acai bowls
activity trail
adventure golf
adventure play
adventure playground
aerial walkway
Agatha Christie holiday home
air bouncer
all-day menu
alpacas
ancient history
ancient trees
ancient woodland
animal education talks
animal feeding sessions
animal keepers
animal pens
animal rescue
animal spotting trail
animal talks
animal welfare
animals
animated mythical creatures
animated scenes
apocalypse
arcade games
archaeology
Architecture
arctic foxes
art gallery
art room
assault course
audio tour
auto belay
aventure play
Avocet Line
avocets
baby zone
bakery
balance and traversal trail
balance bikes
balance biking
balance challenges
balance trail
ball games area
ball pit
bandstand
basket swing
basketball
bats
beach
beach balls
beach cafe
beach days
beach huts
beach-entry pool
beach-style pool entry
beachcombing
beachfront location
beachfront views
bear's hut
bears
beastie bags
beaver and otter spotting
beaver spotting
beavers
beech hedge maze
Beer Head
beginner cycling
beginner golf
beginner track for younger children
bike hire
bike route
Bike track
bike trails
biodiversity
bird feeders
bird feeding station
bird feeding stations
bird hide
bird migrations
bird spotting
bird watching
birds of prey
birds of prey display
birdsong
birdwatching
black swans
bluebell woods
bluebells
BMX
BMX track
board training
boardwalk
boat trips
boat watching
boathouse
boats
bodyboarding
bog plants
books
botanical gardens
bottle feeding animals
bouldering
boulders
Bounce and Rhyme
bowl
bowling
bowling ramps and bumpers
brackish lagoon
Branscombe beach
brass rubbing trail
brass rubbings
breakfast
breakwater walk
bridges
British landmarks in miniature
Bronze Age
brown bears
brown trout
buckets and spades
Budleigh Salterton
bug hotels
bug hunting
bugs
bullfinches
burial mounds
butterflies
butterfly spotting
buzzards
café
café nearby
cafés
cakes
camping
canal
canoeing
capybara
carved wooden animals
carved wooden sculptures
castle
castle ruins
Castles
caterpillar roller coaster
caves
ceramics
chalk cliffs
champion trees
cheetah
chickens
chickens and ducks
children's activity trail
children's activity trails
children's books
children's bookshelf
children's menu
children's nature trail
children's playground
children's rides
children's trail
children's trail leaflets
children's trails
city exploring
city park
clapper bridges
cliffs
cliffside setting
clifftop
climbable trees
climbing
climbing centre
climbing frame
climbing frames
climbing walls
coastal exploration
coastal views
coastal village
coastal walk pit stop
coastal walking
coastal walks
coastal wildlife
cockatoos
cockle hunting
cockle picking
Coderdojo Club
coffee
coffee stop
collecting
colour-coded routes
colourful flower borders
colourful harbour views
community orchards
community scheme
competition wall
compostable packaging
conifer forest
conkers
conservation
conservation education
coral reefs
country estate grounds
country park
country park setting
countryside cycling
countryside museum
countryside walks
crabbing
craft events
craft gallery
crafting area
crazy golf
cream teas
crocodiles
curlews
cycle trail
cycling
cycling space
daily keeper talks
dairy-free options
dam building
damselflies
dark tunnels
Dartford warbler
Dartmoor
Dartmoor ponies
Dartmoor views
deer
deer and llama hand feeding
deer park
deer park trails
deer spotting
deer train safari
den building
Devon Wildlife Trust
digital drawing activity
dinosaur climbing frames
dinosaur spotting
dinosaur theme
dinosaur trail
dinosaurs
dippers
ditches
dive shows
dodgeball
dog walking
dolphin spotting
donkeys
dormice
double swings
dragonflies
dragonfly spotting
dramatic scenery
dress up
dressing up
driving range
drop slide
drop-slides
duck feeding
duck spotting
ducks
ducks and swans
early access climbing
earthworks
eels
egrets
electric cars
elevated viewpoints
emus
endangered animals
estate paths
estuary
estuary beach
estuary views
estuary walks
estuary wildlife
Exe Estuary
Exe Estuary Trail
Exe Estuary views
Exeter
Exeter Ship Canal
exhibits
Exmouth
extinct volcano
fairground rides
fairy doors
fairy garden
fairy houses
fairy village
falconry displays
family cycling
farm animals
farm setting
farm shop
farm walk
farming museum
farmland
fern garden
fernery
ferns
ferret racing
ferry
fill and spill buckets
find Wally
fireman's pole
firemans pole
fish market viewing platform
fishing
fishing boats
fishing village
flamingos
flat bank
flat rides
flat walks
flatbanks
floodlit evening sessions
flower arranging workshops
flower displays
flower fields
foam pit
football target game
forest adventures
forest school workshops
forest trails
forest walking
Forestry England
formal gardens
fort
fossil hunting
foxes
free activity
free beach toy borrowing
free computer access
free drop-in craft activity
free entry
free WiFi
fresh water stream
frisbees
funbox
fungi
games museum
garden setting
garden trails
gardens
gatehouse
geology
geology discovery
geology-themed play
Geoneedle
Georgian country house
ghost legend
giant airbag
giant bug spotting
giant chess
giant climbing net
giant dominoes
giant floating marble
giant marble run
giant slide
giant tortoises
giraffes
glass
glassblowing demonstration
glow worms
gluten-free options
Go Ape
go karts
goat milking
goat walking
goats
godwits
Golden Hind replica ship
golf lessons
gorge
gorge views
gorillas
Gothic Revival architecture
graded climbing problems
graded routes
grass snakes
grassy areas
green-screen fly-through
greenhouses
grey wagtails
ground trampoline
Gruffalo
Gruffalo trail
guided tour
guinea pigs
hand wheels
handling sessions
harbour
harbour wall
harbour wall jumping
hard hats
harness climbing
harvest mice
headland
heather
heathland
hedge maze
hedgehogs
heights challenges
heritage
herons
hidden characters
hidden coves
hidden paths
highland cattle
hill fort
hillfort
hilltop views
hips
historic buildings
Historic fashion
historic fashion collection
historic glasshouses
historic house
Historic Houses
history
history trail
hobby
holiday park
homemade cakes
horizontal bars
hot chocolate
house mouse trail
house trail
Ice Age-themed play zone
ice cream
imaginary play
imaginative play
inclusive play design
inclusive swing seat
independent shops
indoor climbing
indoor play area
indoor soft play
indoor swimming
indoor swimming pool
indoor trampolining
insect spotting
interactive displays
interactive exhibits
interactive heritage centre
interactive marble displays
intertidal habitat
Iron Age
islands
jellyfish
jersey barrier
Julia Donaldson
Jurassic Coast
Jurassic-themed play zone
kayak hire
kayaking
keeper talks
kids pancakes
kingfishers
kites
lake
lake walk
lakes
landslip
lapwings
large bowl
lawn games
lead climbing
Leap of Faith
ledges
legend
Lego Club
lemurs
light chaser games
limestone cliffs
lions
live music nights
live nest box CCTV
local cafe
local park
local produce
local village walk
locally sourced produce
lock gates
log stepping stones
log tunnels
long views
low tide exploring
lunch
Lundy Island
lynx
map reading
marble museum
marble runs
marina
maritime history
maze
meadow exploring
meadows
medieval architecture
medieval keep
medieval tunnels
meerkats
milkshakes
milling
milling demonstration
mini assault course
Mini Explorer Zone
miniature pigs
miniature ponies
miniature village
mixed ability
monkey bars
monkeys
moorland
motte and bailey
mountain biking
muddy paths
multi-goal unit
multi-play climbing unit
multi-use games area
Murder mystery
Mythical Kingdom indoor walk-through
Napoleonic battery
National Trust
National Trust estate
National Trust farm setting
natural beauty
natural boulders
natural habitats
natural history collection
natural play area
nature garden
nature interpretation centre
nature lovers
nature reserve walks
nature trail
nature trails
near seafront
Ness Cove hidden beach
nightjar
no harness
no ropes
North Devon
oak woodland
obstacle courses
octopus
old railway
open countryside
open green space
open meadows
open moorland
open parkland
open space
open-air dining
orangutans
orchard
orchard garden
orchids
Orcombe Point
orienteering
orienteering courses
ornamental gardens
ostrich
otters
outdoor decking
outdoor play area
outdoor play areas
outdoor play equipment
outdoor seating
outdoor swimming pool
outdoor tea garden
packhorse bridge
paddleboard hire
paddleboarding
paddling
paddling pools
panoramic beach views
panoramic countryside views
panoramic views
park
park trails
parkland
parkland walking
parties
passenger ferry
pasties
pastries
pay and play golf
peaceful park
pearl-bordered fritillary
pebble and sand beach
pebble beach
pedal tractors
Peter's Tower
petting animals
Petting zoo
pheasants
pick your own flowers
pick your own pumpkins
pick your own soft fruit
picnic areas
picnic spots
picnicking
picnics
pictueresque scenery
pig racing
piglet cuddles
piglets
pigs
pirate ship
pirate ships
pitch and putt golf
plant-based options
play area
play equipment
playground
playgrounds
playmats
poetry trail
pond
pond dipping
pond spotting
ponds
ponies
Pooh sticks
pottery animals
pottery museum
pottery painting
Powderham Castle
practice space
prints
promenade
pub garden
pubs
pump track
pushchair friendly
pushchair-friendly trail
pygmy goats
PYO flowers
PYO fruit
PYO vegetables
quarter pipes
quayside
quirky humour
rabbits
raccoons
rails
ramparts
ramps
ranger activity trail
rare butterflies
rays
reading corner
red cliffs
red deer
red pandas
red sandstone sea stacks
red squirrel
red squirrels
reedbeds
relaxed atmosphere
reptiles
rescue animals
rhinos
rhododendrons
RHS
ride on vehicles
river beach
River Dart views
river paddling
rivers
riverside
riverside paths
riverside picnic area
riverside setting
riverside trails
riverside walk
riverside walks
rock climbing
rock formations
rock pool touch tank
rock pooling
rock scrambling
rockpool nets
rockpooling
rockpools
roe deer
role play
roleplay
Roleplay toys
rollerblades
Room on the Broom
rope climbing unit
rope swing
rope swings
rose gardens
rotating exhibitions
rotating seesaw
roundabout
Royal Marines
RSPB
Ruby Red Devon cattle
running
running trails
salmon
saltmarsh
sand and water digging
sand dune exploring
sand dunes
sandcastles
sandpit
sandy and shingle beach
sandy beach
saxon village
scavenger hunt
scenic views
scooter riding
scooter track
scootering
scooters
scrambling
sculptures
sea turtle
sea views
seafront
seafront dining
seafront location
seafront promenade
seafront views
seafront walking
seahorses
seal spotting
seals
seasonal events
seasonal maize maze
seasonal trails
seawater pool
secondhand bookshop
seesaw
self-guided trail
Sensory
sensory garden
sensory room
sensory trail
sensory zone
sharks
sheep
shell collecting
sheltered bay
sheltered beach
sheltered cove
shipbuilding
short walks
shrimping
Sideshore
silver-studded blue
Skate ramps
skateboarding
skylark spotting
slide
slides
smoothies
smugglers
smugglers caves
smugglers tunnel
soft play
softplay
softplay cafe
solitary bee watching
songbirds
sound and story garden
sourdough
South West Coast Path
southern damselfly
spacious seating
speed climbing
spinner bowls
splash zone
splashpad
spotting trail
sprayed concrete park
spring flowers
squirrels
SSSI
stair set
standing seesaw
steep walks
stepping stones
stiles
stingrays
stone skimming
stone throwing
stonechat
storytelling chair
storytime sessions
strawberry picking
stream paddling
streams
street skating
stunt zone
summer concerts
sundew
SUP
surf hire
surf lessons
surfing
suspension bridge
swans
swimming
swimming beach
swimming pool
swings
takeaway
tall trees
tapir
tearoom
Ted Hughes children's poetry trail
ten-pin bowling
tennis
tennis courts
textiles
tidal habitat
tidal sea pool
tigers
tipping buckets
toddler area
toddler play area
toddler slide
toddler splash area
toddler splash zone
toilets
token rides
top rope climbing
tor
torchlit passages
town exploring
town trail
toys
tractor rides
tractors
trail map
train
train ride
train spotting
trains
trampoline
trampolines
tranquil gardens
transition skating
treasure hunts
treasure legend
treehouse
treetop adventure
trilobite ride
tropical fish
trout
two-floor climbing wall
UK's deepest aquarium tank
unspoilt landscape
utdoor tidal swimming pool
Victorian house
Victorian street
Victorian walled garden
viewing platforms
viewpoints
village exploring
vineyard setting
vintage board games
vintage machinery
vintage tractor
vintage tractors
vintage vehicles
visiting birds
Volcano Challenge trail
volcano slide
wading birds
walk-through lemur enclosure
walking
walking trails
wall-to-wall trampolines
wallabies
walled garden
walled gardens
walled kitchen garden
watching watersports
water flume
water flumes
water jets
water play
water play channel
water slides
water wheels
waterfalls
watermill
watersports
watersports hub
waterwheel
wave machine
waymarked trail
waymarked trails
weir
wetland wildlife
wetland wildlife spotting
wheelchair-accessible roundabout
white cliffs
wild boar
wild garlic
wild swimming
wildflower meadow
wildflower meadows
wildflower spotting
wildflowers
wildfowl
wildlife
wildlife displays
wildlife hide
Wildlife Hyde
wildlife identification boards
wildlife reserve
wildlife spotting
wildlife watching
willow warbler
wobbly bridge
wolves
wood-fired pizza
wooden activity trail
wooden galleon
wooden junior climber
wooden staircase
wooden steps
wooden toys
woodland
woodland cycling
woodland garden
woodland railway
woodland setting
woodland trails
woodland walking
woodland walks
woolly mammoth
working fishing port
working watermill
world cultures galleries
World Heritage Site
Wray Valley Trail
yellowhammer
zip line
zip lines
zip wire</t>
  </si>
  <si>
    <t>coached_sessions</t>
  </si>
  <si>
    <t>Coached Sessions</t>
  </si>
  <si>
    <t>venue, club</t>
  </si>
  <si>
    <t>One-off or drop-in coaching</t>
  </si>
  <si>
    <t>structured_lessons</t>
  </si>
  <si>
    <t>Structured Lessons</t>
  </si>
  <si>
    <t>club, venue</t>
  </si>
  <si>
    <t>Progressive learning (e.g. weekly classes)</t>
  </si>
  <si>
    <t>clubs_and_teams</t>
  </si>
  <si>
    <t>Club or Team</t>
  </si>
  <si>
    <t>Membership-based, ongoing</t>
  </si>
  <si>
    <t>training_and_drills</t>
  </si>
  <si>
    <t>Training or Skills Focus</t>
  </si>
  <si>
    <t>Drills, skills sessions, practice</t>
  </si>
  <si>
    <t>kit_hire</t>
  </si>
  <si>
    <t>Kit &amp; Equipment Hire</t>
  </si>
  <si>
    <t>Kit hire, equipment loans</t>
  </si>
  <si>
    <t>hire_and_free_practice</t>
  </si>
  <si>
    <t>Hireable Court/Pitch</t>
  </si>
  <si>
    <t>Courts, pitches,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</si>
</sst>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809]#,##0.00"/>
    <numFmt numFmtId="165" formatCode="hh:mm"/>
    <numFmt numFmtId="166" formatCode="d-m"/>
    <numFmt numFmtId="167" formatCode="dd/mm/yyyy"/>
    <numFmt numFmtId="168" formatCode="[hh]:mm:ss"/>
    <numFmt numFmtId="169" formatCode="&quot;£&quot;#,##0"/>
  </numFmts>
  <fonts count="62">
    <font>
      <sz val="10.0"/>
      <color rgb="FF000000"/>
      <name val="Arial"/>
      <scheme val="minor"/>
    </font>
    <font>
      <b/>
      <sz val="10.0"/>
      <color theme="0"/>
      <name val="Arial"/>
      <scheme val="minor"/>
    </font>
    <font>
      <b/>
      <sz val="10.0"/>
      <color rgb="FFFFFFFF"/>
      <name val="Arial"/>
      <scheme val="minor"/>
    </font>
    <font>
      <b/>
      <sz val="8.0"/>
      <color theme="0"/>
      <name val="Arial"/>
      <scheme val="minor"/>
    </font>
    <font>
      <b/>
      <color theme="0"/>
      <name val="Inter"/>
    </font>
    <font>
      <b/>
      <color theme="0"/>
      <name val="Roboto"/>
    </font>
    <font>
      <b/>
      <color rgb="FFFFFFFF"/>
      <name val="Inter"/>
    </font>
    <font>
      <b/>
      <sz val="9.0"/>
      <color theme="1"/>
      <name val="Arial"/>
      <scheme val="minor"/>
    </font>
    <font>
      <b/>
      <sz val="10.0"/>
      <color rgb="FFFFFFFF"/>
      <name val="Roboto"/>
    </font>
    <font>
      <b/>
      <color theme="1"/>
      <name val="Arial"/>
      <scheme val="minor"/>
    </font>
    <font>
      <b/>
      <color rgb="FF000000"/>
      <name val="Arial"/>
    </font>
    <font>
      <b/>
      <sz val="9.0"/>
      <color theme="0"/>
      <name val="Arial"/>
      <scheme val="minor"/>
    </font>
    <font>
      <color rgb="FFFFFFFF"/>
      <name val="Inter"/>
    </font>
    <font>
      <b/>
      <color theme="0"/>
      <name val="Arial"/>
    </font>
    <font>
      <b/>
      <color theme="0"/>
      <name val="Arial"/>
      <scheme val="minor"/>
    </font>
    <font>
      <sz val="9.0"/>
      <color theme="0"/>
      <name val="Arial"/>
      <scheme val="minor"/>
    </font>
    <font>
      <b/>
      <sz val="10.0"/>
      <color rgb="FFFFFFFF"/>
      <name val="Inter"/>
    </font>
    <font>
      <b/>
      <color rgb="FFFFFFFF"/>
      <name val="Arial"/>
    </font>
    <font>
      <b/>
      <color theme="1"/>
      <name val="Roboto"/>
    </font>
    <font>
      <b/>
      <sz val="9.0"/>
      <color theme="1"/>
      <name val="Inter"/>
    </font>
    <font>
      <sz val="9.0"/>
      <color rgb="FFFFFFFF"/>
      <name val="Arial"/>
      <scheme val="minor"/>
    </font>
    <font>
      <sz val="10.0"/>
      <color rgb="FFFFFFFF"/>
      <name val="Inter"/>
    </font>
    <font>
      <sz val="8.0"/>
      <color theme="0"/>
      <name val="Inter"/>
    </font>
    <font>
      <sz val="8.0"/>
      <color rgb="FFFFFFFF"/>
      <name val="Inter"/>
    </font>
    <font>
      <color theme="0"/>
      <name val="Inter"/>
    </font>
    <font>
      <sz val="9.0"/>
      <color theme="0"/>
      <name val="Roboto"/>
    </font>
    <font>
      <sz val="10.0"/>
      <color theme="0"/>
      <name val="Roboto"/>
    </font>
    <font>
      <sz val="9.0"/>
      <color theme="0"/>
      <name val="Arial"/>
    </font>
    <font>
      <sz val="8.0"/>
      <color theme="0"/>
      <name val="Roboto"/>
    </font>
    <font>
      <u/>
      <sz val="9.0"/>
      <color rgb="FFFFFFFF"/>
    </font>
    <font>
      <sz val="9.0"/>
      <color theme="1"/>
      <name val="Arial"/>
      <scheme val="minor"/>
    </font>
    <font>
      <sz val="8.0"/>
      <color theme="0"/>
      <name val="Arial"/>
    </font>
    <font>
      <sz val="9.0"/>
      <color theme="1"/>
      <name val="Arial"/>
    </font>
    <font>
      <b/>
      <sz val="10.0"/>
      <color theme="0"/>
      <name val="Inter"/>
    </font>
    <font>
      <sz val="8.0"/>
      <color theme="1"/>
      <name val="Inter"/>
    </font>
    <font>
      <sz val="8.0"/>
      <color theme="1"/>
      <name val="Arial"/>
      <scheme val="minor"/>
    </font>
    <font>
      <sz val="8.0"/>
      <color rgb="FF000000"/>
      <name val="Arial"/>
      <scheme val="minor"/>
    </font>
    <font>
      <sz val="8.0"/>
      <color rgb="FF000000"/>
      <name val="Inter"/>
    </font>
    <font>
      <sz val="8.0"/>
      <color rgb="FF000000"/>
      <name val="Roboto"/>
    </font>
    <font>
      <sz val="7.0"/>
      <color rgb="FF000000"/>
      <name val="Arial"/>
      <scheme val="minor"/>
    </font>
    <font>
      <sz val="9.0"/>
      <color rgb="FFFFFFFF"/>
      <name val="Roboto"/>
    </font>
    <font>
      <sz val="9.0"/>
      <color rgb="FFFFFFFF"/>
      <name val="Arial"/>
    </font>
    <font>
      <sz val="9.0"/>
      <color theme="1"/>
      <name val="Inter"/>
    </font>
    <font>
      <color theme="1"/>
      <name val="Arial"/>
    </font>
    <font>
      <sz val="9.0"/>
      <color rgb="FF000000"/>
      <name val="Arial"/>
      <scheme val="minor"/>
    </font>
    <font>
      <color theme="1"/>
      <name val="Arial"/>
      <scheme val="minor"/>
    </font>
    <font>
      <sz val="9.0"/>
      <color theme="0"/>
      <name val="Inter"/>
    </font>
    <font>
      <sz val="8.0"/>
      <color theme="1"/>
      <name val="Arial"/>
    </font>
    <font>
      <sz val="8.0"/>
      <color rgb="FF000000"/>
      <name val="Arial"/>
    </font>
    <font>
      <sz val="9.0"/>
      <color rgb="FF222222"/>
      <name val="Arial"/>
      <scheme val="minor"/>
    </font>
    <font>
      <sz val="9.0"/>
      <color rgb="FF1F1F1F"/>
      <name val="Inter"/>
    </font>
    <font>
      <u/>
      <sz val="9.0"/>
      <color rgb="FF1155CC"/>
      <name val="Inter"/>
    </font>
    <font>
      <sz val="7.0"/>
      <color theme="1"/>
      <name val="Arial"/>
      <scheme val="minor"/>
    </font>
    <font>
      <sz val="9.0"/>
      <color rgb="FF1F1F1F"/>
      <name val="Arial"/>
      <scheme val="minor"/>
    </font>
    <font>
      <b/>
      <color theme="1"/>
      <name val="Arial"/>
    </font>
    <font>
      <sz val="9.0"/>
      <color rgb="FF47D1A3"/>
      <name val="Inter"/>
    </font>
    <font>
      <color rgb="FF47D1A3"/>
      <name val="Arial"/>
    </font>
    <font>
      <i/>
      <color rgb="FFFF0000"/>
      <name val="Arial"/>
    </font>
    <font>
      <strike/>
      <color theme="1"/>
      <name val="Arial"/>
    </font>
    <font>
      <color rgb="FF47D1A3"/>
      <name val="Inter"/>
    </font>
    <font>
      <color theme="1"/>
      <name val="Roboto"/>
    </font>
    <font>
      <strike/>
      <color theme="1"/>
      <name val="Roboto"/>
    </font>
  </fonts>
  <fills count="15">
    <fill>
      <patternFill patternType="none"/>
    </fill>
    <fill>
      <patternFill patternType="lightGray"/>
    </fill>
    <fill>
      <patternFill patternType="solid">
        <fgColor rgb="FF668CDE"/>
        <bgColor rgb="FF668CDE"/>
      </patternFill>
    </fill>
    <fill>
      <patternFill patternType="solid">
        <fgColor rgb="FFFFFFFF"/>
        <bgColor rgb="FFFFFFFF"/>
      </patternFill>
    </fill>
    <fill>
      <patternFill patternType="solid">
        <fgColor rgb="FF47D1A3"/>
        <bgColor rgb="FF47D1A3"/>
      </patternFill>
    </fill>
    <fill>
      <patternFill patternType="solid">
        <fgColor rgb="FFFF9975"/>
        <bgColor rgb="FFFF9975"/>
      </patternFill>
    </fill>
    <fill>
      <patternFill patternType="solid">
        <fgColor rgb="FFF3F3F3"/>
        <bgColor rgb="FFF3F3F3"/>
      </patternFill>
    </fill>
    <fill>
      <patternFill patternType="solid">
        <fgColor rgb="FFD9EAD3"/>
        <bgColor rgb="FFD9EAD3"/>
      </patternFill>
    </fill>
    <fill>
      <patternFill patternType="solid">
        <fgColor rgb="FFEFEFEF"/>
        <bgColor rgb="FFEFEFEF"/>
      </patternFill>
    </fill>
    <fill>
      <patternFill patternType="solid">
        <fgColor rgb="FFFFFF00"/>
        <bgColor rgb="FFFFFF00"/>
      </patternFill>
    </fill>
    <fill>
      <patternFill patternType="solid">
        <fgColor rgb="FFFFFDF8"/>
        <bgColor rgb="FFFFFDF8"/>
      </patternFill>
    </fill>
    <fill>
      <patternFill patternType="solid">
        <fgColor rgb="FFFFF6ED"/>
        <bgColor rgb="FFFFF6ED"/>
      </patternFill>
    </fill>
    <fill>
      <patternFill patternType="solid">
        <fgColor rgb="FFE69138"/>
        <bgColor rgb="FFE69138"/>
      </patternFill>
    </fill>
    <fill>
      <patternFill patternType="solid">
        <fgColor rgb="FFB6D7A8"/>
        <bgColor rgb="FFB6D7A8"/>
      </patternFill>
    </fill>
    <fill>
      <patternFill patternType="solid">
        <fgColor rgb="FFFF6D01"/>
        <bgColor rgb="FFFF6D01"/>
      </patternFill>
    </fill>
  </fills>
  <borders count="2">
    <border/>
    <border>
      <left style="thin">
        <color rgb="FF000000"/>
      </left>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2" fontId="5" numFmtId="0" xfId="0" applyAlignment="1" applyFill="1" applyFont="1">
      <alignment horizontal="center" readingOrder="0" shrinkToFit="0" vertical="center" wrapText="1"/>
    </xf>
    <xf borderId="0" fillId="2" fontId="6" numFmtId="0" xfId="0" applyAlignment="1" applyFill="1" applyFont="1">
      <alignment horizontal="center" readingOrder="0" shrinkToFit="0" vertical="center" wrapText="1"/>
    </xf>
    <xf borderId="0" fillId="3" fontId="7" numFmtId="0" xfId="0" applyAlignment="1" applyFill="1" applyFont="1">
      <alignment horizontal="center" readingOrder="0" shrinkToFit="0" vertical="center" wrapText="1"/>
    </xf>
    <xf borderId="0" fillId="2" fontId="8" numFmtId="0" xfId="0" applyAlignment="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0" fillId="2" fontId="10" numFmtId="0" xfId="0" applyAlignment="1" applyFill="1" applyFont="1">
      <alignment horizontal="center" readingOrder="0" shrinkToFit="0" vertical="center" wrapText="1"/>
    </xf>
    <xf borderId="0" fillId="2" fontId="11" numFmtId="0" xfId="0" applyAlignment="1" applyFill="1" applyFont="1">
      <alignment horizontal="center" readingOrder="0" shrinkToFit="0" vertical="center" wrapText="1"/>
    </xf>
    <xf borderId="0" fillId="2" fontId="12" numFmtId="0" xfId="0" applyAlignment="1" applyFill="1" applyFont="1">
      <alignment horizontal="center" shrinkToFit="0" vertical="center" wrapText="1"/>
    </xf>
    <xf borderId="0" fillId="2" fontId="13" numFmtId="0" xfId="0" applyAlignment="1" applyFill="1" applyFont="1">
      <alignment horizontal="center" readingOrder="0" shrinkToFit="0" vertical="center" wrapText="1"/>
    </xf>
    <xf borderId="0" fillId="2" fontId="14" numFmtId="0" xfId="0" applyAlignment="1" applyFill="1" applyFont="1">
      <alignment horizontal="center" readingOrder="0" shrinkToFit="0" vertical="center" wrapText="1"/>
    </xf>
    <xf borderId="0" fillId="2" fontId="15" numFmtId="0" xfId="0" applyAlignment="1" applyFill="1" applyFont="1">
      <alignment shrinkToFit="0" vertical="center" wrapText="1"/>
    </xf>
    <xf borderId="0" fillId="2" fontId="15" numFmtId="0" xfId="0" applyAlignment="1" applyFill="1" applyFont="1">
      <alignment readingOrder="0" shrinkToFit="0" vertical="center" wrapText="1"/>
    </xf>
    <xf borderId="0" fillId="2" fontId="16" numFmtId="0" xfId="0" applyAlignment="1" applyFill="1" applyFont="1">
      <alignment horizontal="center" readingOrder="0" shrinkToFit="0" vertical="center" wrapText="1"/>
    </xf>
    <xf borderId="0" fillId="2" fontId="15" numFmtId="0" xfId="0" applyAlignment="1" applyFill="1" applyFont="1">
      <alignment horizontal="center" shrinkToFit="0" vertical="center" wrapText="1"/>
    </xf>
    <xf borderId="0" fillId="2" fontId="17" numFmtId="0" xfId="0" applyAlignment="1" applyFill="1" applyFont="1">
      <alignment horizontal="center" readingOrder="0" shrinkToFit="0" vertical="center" wrapText="1"/>
    </xf>
    <xf borderId="0" fillId="2" fontId="17" numFmtId="0" xfId="0" applyAlignment="1" applyFill="1" applyFont="1">
      <alignment horizontal="center" shrinkToFit="0" vertical="center" wrapText="1"/>
    </xf>
    <xf borderId="0" fillId="2" fontId="15" numFmtId="0" xfId="0" applyAlignment="1" applyFill="1" applyFont="1">
      <alignment horizontal="center" readingOrder="0" shrinkToFit="0" vertical="center" wrapText="1"/>
    </xf>
    <xf borderId="0" fillId="4" fontId="18" numFmtId="0" xfId="0" applyAlignment="1" applyFill="1" applyFont="1">
      <alignment horizontal="center" shrinkToFit="0" wrapText="1"/>
    </xf>
    <xf borderId="0" fillId="5" fontId="7" numFmtId="0" xfId="0" applyAlignment="1" applyFill="1" applyFont="1">
      <alignment horizontal="center" readingOrder="0" vertical="center"/>
    </xf>
    <xf borderId="0" fillId="2" fontId="12" numFmtId="0" xfId="0" applyAlignment="1" applyFill="1" applyFont="1">
      <alignment shrinkToFit="0" vertical="center" wrapText="1"/>
    </xf>
    <xf borderId="0" fillId="5" fontId="19" numFmtId="0" xfId="0" applyAlignment="1" applyFill="1" applyFont="1">
      <alignment horizontal="center" readingOrder="0" shrinkToFit="0" vertical="center" wrapText="1"/>
    </xf>
    <xf borderId="0" fillId="2" fontId="20" numFmtId="0" xfId="0" applyAlignment="1" applyFill="1" applyFont="1">
      <alignment readingOrder="0" shrinkToFit="0" vertical="center" wrapText="1"/>
    </xf>
    <xf borderId="0" fillId="2" fontId="12" numFmtId="0" xfId="0" applyAlignment="1" applyFill="1" applyFont="1">
      <alignment readingOrder="0" shrinkToFit="0" vertical="center" wrapText="1"/>
    </xf>
    <xf borderId="0" fillId="2" fontId="21" numFmtId="0" xfId="0" applyAlignment="1" applyFill="1" applyFont="1">
      <alignment shrinkToFit="0" vertical="center" wrapText="1"/>
    </xf>
    <xf borderId="0" fillId="2" fontId="15" numFmtId="164" xfId="0" applyAlignment="1" applyFill="1" applyFont="1" applyNumberFormat="1">
      <alignment readingOrder="0" shrinkToFit="0" vertical="center" wrapText="1"/>
    </xf>
    <xf borderId="0" fillId="2" fontId="15" numFmtId="164" xfId="0" applyAlignment="1" applyFill="1" applyFont="1" applyNumberFormat="1">
      <alignment shrinkToFit="0" vertical="center" wrapText="1"/>
    </xf>
    <xf borderId="0" fillId="2" fontId="22" numFmtId="0" xfId="0" applyAlignment="1" applyFill="1" applyFont="1">
      <alignment horizontal="center" shrinkToFit="0" vertical="center" wrapText="1"/>
    </xf>
    <xf borderId="0" fillId="2" fontId="23" numFmtId="0" xfId="0" applyAlignment="1" applyFill="1" applyFont="1">
      <alignment horizontal="center" readingOrder="0" shrinkToFit="0" vertical="center" wrapText="1"/>
    </xf>
    <xf borderId="0" fillId="2" fontId="22" numFmtId="0" xfId="0" applyAlignment="1" applyFill="1" applyFont="1">
      <alignment readingOrder="0" shrinkToFit="0" vertical="center" wrapText="1"/>
    </xf>
    <xf borderId="0" fillId="2" fontId="24" numFmtId="0" xfId="0" applyAlignment="1" applyFill="1" applyFont="1">
      <alignment shrinkToFit="0" vertical="center" wrapText="1"/>
    </xf>
    <xf borderId="0" fillId="2" fontId="24" numFmtId="0" xfId="0" applyAlignment="1" applyFill="1" applyFont="1">
      <alignment readingOrder="0" shrinkToFit="0" vertical="center" wrapText="1"/>
    </xf>
    <xf borderId="0" fillId="2" fontId="24" numFmtId="0" xfId="0" applyAlignment="1" applyFill="1" applyFont="1">
      <alignment horizontal="center" readingOrder="0" shrinkToFit="0" vertical="center" wrapText="1"/>
    </xf>
    <xf borderId="0" fillId="2" fontId="25" numFmtId="0" xfId="0" applyAlignment="1" applyFill="1" applyFont="1">
      <alignment shrinkToFit="0" vertical="center" wrapText="1"/>
    </xf>
    <xf borderId="0" fillId="2" fontId="25" numFmtId="0" xfId="0" applyAlignment="1" applyFill="1" applyFont="1">
      <alignment readingOrder="0" shrinkToFit="0" vertical="center" wrapText="1"/>
    </xf>
    <xf borderId="0" fillId="2" fontId="25" numFmtId="0" xfId="0" applyAlignment="1" applyFill="1" applyFont="1">
      <alignment horizontal="center" readingOrder="0" shrinkToFit="0" vertical="center" wrapText="1"/>
    </xf>
    <xf borderId="0" fillId="2" fontId="26" numFmtId="0" xfId="0" applyAlignment="1" applyFill="1" applyFont="1">
      <alignment readingOrder="0" shrinkToFit="0" vertical="center" wrapText="1"/>
    </xf>
    <xf borderId="0" fillId="2" fontId="26" numFmtId="0" xfId="0" applyAlignment="1" applyFill="1" applyFont="1">
      <alignment horizontal="center" readingOrder="0" shrinkToFit="0" vertical="center" wrapText="1"/>
    </xf>
    <xf borderId="0" fillId="2" fontId="26" numFmtId="0" xfId="0" applyAlignment="1" applyFill="1" applyFont="1">
      <alignment shrinkToFit="0" vertical="center" wrapText="1"/>
    </xf>
    <xf borderId="0" fillId="2" fontId="27" numFmtId="0" xfId="0" applyAlignment="1" applyFill="1" applyFont="1">
      <alignment horizontal="center" shrinkToFit="0" vertical="center" wrapText="1"/>
    </xf>
    <xf borderId="0" fillId="2" fontId="28" numFmtId="0" xfId="0" applyAlignment="1" applyFill="1" applyFont="1">
      <alignment readingOrder="0" shrinkToFit="0" vertical="center" wrapText="1"/>
    </xf>
    <xf borderId="0" fillId="2" fontId="27" numFmtId="0" xfId="0" applyAlignment="1" applyFill="1" applyFont="1">
      <alignment shrinkToFit="0" vertical="center" wrapText="1"/>
    </xf>
    <xf borderId="0" fillId="2" fontId="29" numFmtId="0" xfId="0" applyAlignment="1" applyFill="1" applyFont="1">
      <alignment readingOrder="0" shrinkToFit="0" vertical="center" wrapText="1"/>
    </xf>
    <xf borderId="0" fillId="2" fontId="27" numFmtId="0" xfId="0" applyAlignment="1" applyFill="1" applyFont="1">
      <alignment horizontal="center" readingOrder="0" shrinkToFit="0" vertical="center" wrapText="1"/>
    </xf>
    <xf borderId="0" fillId="3" fontId="30" numFmtId="0" xfId="0" applyAlignment="1" applyFill="1" applyFont="1">
      <alignment horizontal="center" readingOrder="0" shrinkToFit="0" vertical="center" wrapText="1"/>
    </xf>
    <xf borderId="0" fillId="2" fontId="27" numFmtId="0" xfId="0" applyAlignment="1" applyFill="1" applyFont="1">
      <alignment readingOrder="0" shrinkToFit="0" vertical="center" wrapText="1"/>
    </xf>
    <xf borderId="0" fillId="4" fontId="7" numFmtId="0" xfId="0" applyAlignment="1" applyFill="1" applyFont="1">
      <alignment horizontal="center" readingOrder="0" shrinkToFit="0" vertical="center" wrapText="1"/>
    </xf>
    <xf borderId="0" fillId="2" fontId="31" numFmtId="0" xfId="0" applyAlignment="1" applyFill="1" applyFont="1">
      <alignment readingOrder="0" shrinkToFit="0" vertical="center" wrapText="1"/>
    </xf>
    <xf borderId="0" fillId="4" fontId="32" numFmtId="0" xfId="0" applyAlignment="1" applyFill="1" applyFont="1">
      <alignment readingOrder="0" shrinkToFit="0" vertical="center" wrapText="1"/>
    </xf>
    <xf borderId="0" fillId="2" fontId="33" numFmtId="0" xfId="0" applyAlignment="1" applyFill="1" applyFont="1">
      <alignment horizontal="center" readingOrder="0" shrinkToFit="0" vertical="center" wrapText="1"/>
    </xf>
    <xf borderId="0" fillId="2" fontId="31" numFmtId="0" xfId="0" applyAlignment="1" applyFill="1" applyFont="1">
      <alignment shrinkToFit="0" vertical="center" wrapText="1"/>
    </xf>
    <xf borderId="0" fillId="6" fontId="34" numFmtId="0" xfId="0" applyAlignment="1" applyFill="1" applyFont="1">
      <alignment horizontal="center" shrinkToFit="0" vertical="center" wrapText="1"/>
    </xf>
    <xf borderId="0" fillId="6" fontId="34" numFmtId="0" xfId="0" applyAlignment="1" applyFill="1" applyFont="1">
      <alignment shrinkToFit="0" vertical="center" wrapText="1"/>
    </xf>
    <xf borderId="0" fillId="4" fontId="30" numFmtId="0" xfId="0" applyAlignment="1" applyFill="1" applyFont="1">
      <alignment readingOrder="0" shrinkToFit="0" vertical="center" wrapText="1"/>
    </xf>
    <xf borderId="0" fillId="6" fontId="34" numFmtId="0" xfId="0" applyAlignment="1" applyFill="1" applyFont="1">
      <alignment readingOrder="0" shrinkToFit="0" vertical="center" wrapText="1"/>
    </xf>
    <xf borderId="0" fillId="6" fontId="35" numFmtId="0" xfId="0" applyAlignment="1" applyFill="1" applyFont="1">
      <alignment horizontal="center" shrinkToFit="0" vertical="center" wrapText="1"/>
    </xf>
    <xf borderId="0" fillId="6" fontId="35" numFmtId="0" xfId="0" applyAlignment="1" applyFill="1" applyFont="1">
      <alignment horizontal="center" shrinkToFit="0" vertical="center" wrapText="1"/>
    </xf>
    <xf borderId="0" fillId="6" fontId="34" numFmtId="0" xfId="0" applyAlignment="1" applyFill="1" applyFont="1">
      <alignment horizontal="center" readingOrder="0" shrinkToFit="0" vertical="center" wrapText="1"/>
    </xf>
    <xf borderId="0" fillId="6" fontId="36" numFmtId="0" xfId="0" applyAlignment="1" applyFill="1" applyFont="1">
      <alignment readingOrder="0" shrinkToFit="0" vertical="center" wrapText="1"/>
    </xf>
    <xf borderId="0" fillId="6" fontId="35" numFmtId="0" xfId="0" applyAlignment="1" applyFill="1" applyFont="1">
      <alignment horizontal="center" readingOrder="0" shrinkToFit="0" vertical="center" wrapText="1"/>
    </xf>
    <xf borderId="0" fillId="2" fontId="31" numFmtId="164" xfId="0" applyAlignment="1" applyFill="1" applyFont="1" applyNumberFormat="1">
      <alignment readingOrder="0" shrinkToFit="0" vertical="center" wrapText="1"/>
    </xf>
    <xf borderId="0" fillId="2" fontId="22" numFmtId="0" xfId="0" applyAlignment="1" applyFill="1" applyFont="1">
      <alignment horizontal="left" shrinkToFit="0" vertical="center" wrapText="1"/>
    </xf>
    <xf borderId="0" fillId="6" fontId="37" numFmtId="0" xfId="0" applyAlignment="1" applyFill="1" applyFont="1">
      <alignment readingOrder="0" shrinkToFit="0" vertical="center" wrapText="1"/>
    </xf>
    <xf borderId="0" fillId="2" fontId="31" numFmtId="164" xfId="0" applyAlignment="1" applyFill="1" applyFont="1" applyNumberFormat="1">
      <alignment shrinkToFit="0" vertical="center" wrapText="1"/>
    </xf>
    <xf borderId="0" fillId="2" fontId="23" numFmtId="0" xfId="0" applyAlignment="1" applyFill="1" applyFont="1">
      <alignment horizontal="left" readingOrder="0" shrinkToFit="0" vertical="center" wrapText="1"/>
    </xf>
    <xf borderId="0" fillId="2" fontId="22" numFmtId="0" xfId="0" applyAlignment="1" applyFill="1" applyFont="1">
      <alignment horizontal="left" readingOrder="0" shrinkToFit="0" vertical="center" wrapText="1"/>
    </xf>
    <xf borderId="0" fillId="6" fontId="38" numFmtId="0" xfId="0" applyAlignment="1" applyFill="1" applyFont="1">
      <alignment readingOrder="0" shrinkToFit="0" vertical="center" wrapText="1"/>
    </xf>
    <xf borderId="0" fillId="2" fontId="12" numFmtId="0" xfId="0" applyAlignment="1" applyFill="1" applyFont="1">
      <alignment horizontal="center" readingOrder="0" shrinkToFit="0" vertical="center" wrapText="1"/>
    </xf>
    <xf borderId="0" fillId="6" fontId="39" numFmtId="0" xfId="0" applyAlignment="1" applyFill="1" applyFont="1">
      <alignment readingOrder="0" shrinkToFit="0" vertical="center" wrapText="1"/>
    </xf>
    <xf borderId="0" fillId="2" fontId="23" numFmtId="0" xfId="0" applyAlignment="1" applyFill="1" applyFont="1">
      <alignment horizontal="center" shrinkToFit="0" vertical="center" wrapText="1"/>
    </xf>
    <xf borderId="0" fillId="6" fontId="35" numFmtId="0" xfId="0" applyAlignment="1" applyFill="1" applyFont="1">
      <alignment shrinkToFit="0" vertical="center" wrapText="1"/>
    </xf>
    <xf borderId="0" fillId="2" fontId="40" numFmtId="0" xfId="0" applyAlignment="1" applyFill="1" applyFont="1">
      <alignment readingOrder="0" shrinkToFit="0" vertical="center" wrapText="1"/>
    </xf>
    <xf borderId="0" fillId="6" fontId="35" numFmtId="0" xfId="0" applyAlignment="1" applyFill="1" applyFont="1">
      <alignment shrinkToFit="0" vertical="center" wrapText="1"/>
    </xf>
    <xf borderId="0" fillId="6" fontId="35" numFmtId="164" xfId="0" applyAlignment="1" applyFill="1" applyFont="1" applyNumberFormat="1">
      <alignment shrinkToFit="0" vertical="center" wrapText="1"/>
    </xf>
    <xf borderId="0" fillId="2" fontId="41" numFmtId="0" xfId="0" applyAlignment="1" applyFill="1" applyFont="1">
      <alignment shrinkToFit="0" vertical="center" wrapText="1"/>
    </xf>
    <xf borderId="0" fillId="2" fontId="27" numFmtId="0" xfId="0" applyAlignment="1" applyFill="1" applyFont="1">
      <alignment shrinkToFit="0" vertical="center" wrapText="1"/>
    </xf>
    <xf borderId="0" fillId="6" fontId="35" numFmtId="0" xfId="0" applyAlignment="1" applyFill="1" applyFont="1">
      <alignment readingOrder="0" vertical="center"/>
    </xf>
    <xf borderId="0" fillId="5" fontId="42" numFmtId="0" xfId="0" applyAlignment="1" applyFill="1" applyFont="1">
      <alignment horizontal="center" readingOrder="0" shrinkToFit="0" vertical="center" wrapText="1"/>
    </xf>
    <xf borderId="0" fillId="0" fontId="43" numFmtId="0" xfId="0" applyAlignment="1" applyFont="1">
      <alignment vertical="center"/>
    </xf>
    <xf borderId="0" fillId="5" fontId="42" numFmtId="0" xfId="0" applyAlignment="1" applyFill="1" applyFont="1">
      <alignment horizontal="center" shrinkToFit="0" vertical="center" wrapText="1"/>
    </xf>
    <xf borderId="0" fillId="6" fontId="44" numFmtId="0" xfId="0" applyAlignment="1" applyFill="1" applyFont="1">
      <alignment readingOrder="0" shrinkToFit="0" vertical="center" wrapText="1"/>
    </xf>
    <xf borderId="0" fillId="6" fontId="45" numFmtId="0" xfId="0" applyFill="1" applyFont="1"/>
    <xf borderId="0" fillId="2" fontId="46" numFmtId="0" xfId="0" applyAlignment="1" applyFill="1" applyFont="1">
      <alignment shrinkToFit="0" vertical="center" wrapText="1"/>
    </xf>
    <xf borderId="0" fillId="6" fontId="47" numFmtId="0" xfId="0" applyAlignment="1" applyFill="1" applyFont="1">
      <alignment horizontal="center" shrinkToFit="0" vertical="center" wrapText="1"/>
    </xf>
    <xf borderId="0" fillId="2" fontId="46" numFmtId="164" xfId="0" applyAlignment="1" applyFill="1" applyFont="1" applyNumberFormat="1">
      <alignment readingOrder="0" shrinkToFit="0" vertical="center" wrapText="1"/>
    </xf>
    <xf borderId="0" fillId="0" fontId="30" numFmtId="0" xfId="0" applyAlignment="1" applyFont="1">
      <alignment vertical="center"/>
    </xf>
    <xf borderId="0" fillId="6" fontId="47" numFmtId="0" xfId="0" applyAlignment="1" applyFill="1" applyFont="1">
      <alignment horizontal="center" readingOrder="0" shrinkToFit="0" vertical="center" wrapText="1"/>
    </xf>
    <xf borderId="0" fillId="6" fontId="38" numFmtId="0" xfId="0" applyAlignment="1" applyFill="1" applyFont="1">
      <alignment horizontal="center" readingOrder="0" shrinkToFit="0" vertical="center" wrapText="1"/>
    </xf>
    <xf borderId="0" fillId="2" fontId="46" numFmtId="164" xfId="0" applyAlignment="1" applyFill="1" applyFont="1" applyNumberFormat="1">
      <alignment shrinkToFit="0" vertical="center" wrapText="1"/>
    </xf>
    <xf borderId="0" fillId="0" fontId="42" numFmtId="0" xfId="0" applyAlignment="1" applyFont="1">
      <alignment shrinkToFit="0" vertical="center" wrapText="1"/>
    </xf>
    <xf borderId="0" fillId="6" fontId="47" numFmtId="0" xfId="0" applyAlignment="1" applyFill="1" applyFont="1">
      <alignment shrinkToFit="0" vertical="center" wrapText="1"/>
    </xf>
    <xf borderId="0" fillId="0" fontId="30" numFmtId="0" xfId="0" applyAlignment="1" applyFont="1">
      <alignment shrinkToFit="0" vertical="center" wrapText="1"/>
    </xf>
    <xf borderId="0" fillId="6" fontId="47" numFmtId="0" xfId="0" applyAlignment="1" applyFill="1" applyFont="1">
      <alignment shrinkToFit="0" vertical="center" wrapText="1"/>
    </xf>
    <xf borderId="0" fillId="0" fontId="42" numFmtId="0" xfId="0" applyAlignment="1" applyFont="1">
      <alignment shrinkToFit="0" vertical="center" wrapText="1"/>
    </xf>
    <xf borderId="0" fillId="0" fontId="30" numFmtId="49" xfId="0" applyAlignment="1" applyFont="1" applyNumberFormat="1">
      <alignment shrinkToFit="0" vertical="center" wrapText="1"/>
    </xf>
    <xf borderId="0" fillId="2" fontId="46" numFmtId="0" xfId="0" applyAlignment="1" applyFill="1" applyFont="1">
      <alignment readingOrder="0" shrinkToFit="0" vertical="center" wrapText="1"/>
    </xf>
    <xf borderId="0" fillId="6" fontId="48" numFmtId="0" xfId="0" applyAlignment="1" applyFill="1" applyFont="1">
      <alignment readingOrder="0" shrinkToFit="0" vertical="center" wrapText="1"/>
    </xf>
    <xf borderId="0" fillId="0" fontId="42" numFmtId="0" xfId="0" applyAlignment="1" applyFont="1">
      <alignment readingOrder="0" shrinkToFit="0" vertical="center" wrapText="1"/>
    </xf>
    <xf borderId="0" fillId="0" fontId="30" numFmtId="0" xfId="0" applyAlignment="1" applyFont="1">
      <alignment shrinkToFit="0" vertical="center" wrapText="1"/>
    </xf>
    <xf borderId="0" fillId="6" fontId="35" numFmtId="0" xfId="0" applyAlignment="1" applyFill="1" applyFont="1">
      <alignment readingOrder="0" shrinkToFit="0" vertical="center" wrapText="1"/>
    </xf>
    <xf borderId="0" fillId="6" fontId="47" numFmtId="0" xfId="0" applyAlignment="1" applyFill="1" applyFont="1">
      <alignment readingOrder="0" shrinkToFit="0" vertical="center" wrapText="1"/>
    </xf>
    <xf borderId="0" fillId="0" fontId="30" numFmtId="0" xfId="0" applyAlignment="1" applyFont="1">
      <alignment horizontal="right" vertical="center"/>
    </xf>
    <xf borderId="0" fillId="0" fontId="45" numFmtId="0" xfId="0" applyAlignment="1" applyFont="1">
      <alignment vertical="center"/>
    </xf>
    <xf borderId="0" fillId="0" fontId="30" numFmtId="0" xfId="0" applyAlignment="1" applyFont="1">
      <alignment vertical="center"/>
    </xf>
    <xf borderId="0" fillId="0" fontId="30" numFmtId="0" xfId="0" applyAlignment="1" applyFont="1">
      <alignment horizontal="center" vertical="center"/>
    </xf>
    <xf borderId="0" fillId="0" fontId="30" numFmtId="165" xfId="0" applyAlignment="1" applyFont="1" applyNumberFormat="1">
      <alignment horizontal="right" vertical="center"/>
    </xf>
    <xf borderId="0" fillId="6" fontId="48" numFmtId="0" xfId="0" applyAlignment="1" applyFill="1" applyFont="1">
      <alignment shrinkToFit="0" vertical="center" wrapText="1"/>
    </xf>
    <xf borderId="0" fillId="0" fontId="42" numFmtId="166" xfId="0" applyAlignment="1" applyFont="1" applyNumberFormat="1">
      <alignment horizontal="center" readingOrder="0" shrinkToFit="0" vertical="center" wrapText="1"/>
    </xf>
    <xf borderId="0" fillId="6" fontId="47" numFmtId="164" xfId="0" applyAlignment="1" applyFill="1" applyFont="1" applyNumberFormat="1">
      <alignment shrinkToFit="0" vertical="center" wrapText="1"/>
    </xf>
    <xf borderId="0" fillId="0" fontId="30" numFmtId="164" xfId="0" applyAlignment="1" applyFont="1" applyNumberFormat="1">
      <alignment vertical="center"/>
    </xf>
    <xf borderId="0" fillId="0" fontId="32" numFmtId="0" xfId="0" applyAlignment="1" applyFont="1">
      <alignment shrinkToFit="0" vertical="center" wrapText="1"/>
    </xf>
    <xf borderId="0" fillId="0" fontId="32" numFmtId="0" xfId="0" applyAlignment="1" applyFont="1">
      <alignment horizontal="right" shrinkToFit="0" vertical="center" wrapText="1"/>
    </xf>
    <xf borderId="0" fillId="0" fontId="43" numFmtId="0" xfId="0" applyAlignment="1" applyFont="1">
      <alignment vertical="center"/>
    </xf>
    <xf borderId="0" fillId="7" fontId="32" numFmtId="0" xfId="0" applyAlignment="1" applyFill="1" applyFont="1">
      <alignment shrinkToFit="0" wrapText="1"/>
    </xf>
    <xf borderId="0" fillId="0" fontId="42" numFmtId="0" xfId="0" applyAlignment="1" applyFont="1">
      <alignment horizontal="center" shrinkToFit="0" vertical="center" wrapText="1"/>
    </xf>
    <xf borderId="0" fillId="0" fontId="42" numFmtId="0" xfId="0" applyAlignment="1" applyFont="1">
      <alignment horizontal="center" readingOrder="0" shrinkToFit="0" vertical="center" wrapText="1"/>
    </xf>
    <xf borderId="0" fillId="7" fontId="43" numFmtId="0" xfId="0" applyFill="1" applyFont="1"/>
    <xf borderId="0" fillId="6" fontId="34" numFmtId="164" xfId="0" applyAlignment="1" applyFill="1" applyFont="1" applyNumberFormat="1">
      <alignment shrinkToFit="0" vertical="center" wrapText="1"/>
    </xf>
    <xf borderId="0" fillId="7" fontId="43" numFmtId="0" xfId="0" applyFill="1" applyFont="1"/>
    <xf borderId="0" fillId="0" fontId="30" numFmtId="167" xfId="0" applyAlignment="1" applyFont="1" applyNumberFormat="1">
      <alignment horizontal="center" readingOrder="0" vertical="center"/>
    </xf>
    <xf borderId="0" fillId="0" fontId="32" numFmtId="0" xfId="0" applyAlignment="1" applyFont="1">
      <alignment horizontal="right" readingOrder="0" shrinkToFit="0" wrapText="1"/>
    </xf>
    <xf borderId="0" fillId="0" fontId="49" numFmtId="49" xfId="0" applyAlignment="1" applyFont="1" applyNumberFormat="1">
      <alignment vertical="center"/>
    </xf>
    <xf borderId="0" fillId="7" fontId="32" numFmtId="0" xfId="0" applyAlignment="1" applyFill="1" applyFont="1">
      <alignment shrinkToFit="0" wrapText="1"/>
    </xf>
    <xf borderId="0" fillId="7" fontId="32" numFmtId="167" xfId="0" applyAlignment="1" applyFill="1" applyFont="1" applyNumberFormat="1">
      <alignment horizontal="right" shrinkToFit="0" wrapText="1"/>
    </xf>
    <xf borderId="0" fillId="7" fontId="32" numFmtId="0" xfId="0" applyAlignment="1" applyFill="1" applyFont="1">
      <alignment horizontal="right" shrinkToFit="0" wrapText="1"/>
    </xf>
    <xf borderId="0" fillId="7" fontId="32" numFmtId="0" xfId="0" applyAlignment="1" applyFill="1" applyFont="1">
      <alignment horizontal="center" shrinkToFit="0" wrapText="1"/>
    </xf>
    <xf borderId="0" fillId="0" fontId="42" numFmtId="0" xfId="0" applyAlignment="1" applyFont="1">
      <alignment vertical="center"/>
    </xf>
    <xf borderId="0" fillId="0" fontId="42" numFmtId="0" xfId="0" applyAlignment="1" applyFont="1">
      <alignment vertical="center"/>
    </xf>
    <xf borderId="0" fillId="0" fontId="42" numFmtId="49" xfId="0" applyAlignment="1" applyFont="1" applyNumberFormat="1">
      <alignment shrinkToFit="0" vertical="center" wrapText="1"/>
    </xf>
    <xf borderId="0" fillId="7" fontId="32" numFmtId="165" xfId="0" applyAlignment="1" applyFill="1" applyFont="1" applyNumberFormat="1">
      <alignment horizontal="right" shrinkToFit="0" wrapText="1"/>
    </xf>
    <xf borderId="0" fillId="0" fontId="42" numFmtId="0" xfId="0" applyAlignment="1" applyFont="1">
      <alignment horizontal="center" readingOrder="0" vertical="center"/>
    </xf>
    <xf borderId="0" fillId="0" fontId="45" numFmtId="0" xfId="0" applyAlignment="1" applyFont="1">
      <alignment readingOrder="0" vertical="center"/>
    </xf>
    <xf borderId="0" fillId="7" fontId="32" numFmtId="0" xfId="0" applyAlignment="1" applyFill="1" applyFont="1">
      <alignment horizontal="center" shrinkToFit="0" wrapText="1"/>
    </xf>
    <xf borderId="0" fillId="0" fontId="45" numFmtId="164" xfId="0" applyAlignment="1" applyFont="1" applyNumberFormat="1">
      <alignment readingOrder="0" vertical="center"/>
    </xf>
    <xf borderId="0" fillId="0" fontId="30" numFmtId="164" xfId="0" applyAlignment="1" applyFont="1" applyNumberFormat="1">
      <alignment horizontal="right" shrinkToFit="0" vertical="center" wrapText="1"/>
    </xf>
    <xf borderId="0" fillId="0" fontId="32" numFmtId="0" xfId="0" applyAlignment="1" applyFont="1">
      <alignment shrinkToFit="0" vertical="center" wrapText="1"/>
    </xf>
    <xf borderId="0" fillId="0" fontId="30" numFmtId="0" xfId="0" applyAlignment="1" applyFont="1">
      <alignment readingOrder="0" vertical="center"/>
    </xf>
    <xf borderId="0" fillId="7" fontId="42" numFmtId="0" xfId="0" applyAlignment="1" applyFill="1" applyFont="1">
      <alignment shrinkToFit="0" vertical="center" wrapText="1"/>
    </xf>
    <xf borderId="0" fillId="7" fontId="32" numFmtId="164" xfId="0" applyAlignment="1" applyFill="1" applyFont="1" applyNumberFormat="1">
      <alignment shrinkToFit="0" wrapText="1"/>
    </xf>
    <xf borderId="0" fillId="7" fontId="32" numFmtId="164" xfId="0" applyAlignment="1" applyFill="1" applyFont="1" applyNumberFormat="1">
      <alignment horizontal="right" shrinkToFit="0" wrapText="1"/>
    </xf>
    <xf borderId="0" fillId="0" fontId="42" numFmtId="0" xfId="0" applyAlignment="1" applyFont="1">
      <alignment horizontal="center" vertical="center"/>
    </xf>
    <xf borderId="0" fillId="0" fontId="49" numFmtId="0" xfId="0" applyAlignment="1" applyFont="1">
      <alignment shrinkToFit="0" vertical="center" wrapText="1"/>
    </xf>
    <xf borderId="0" fillId="0" fontId="30" numFmtId="49" xfId="0" applyAlignment="1" applyFont="1" applyNumberFormat="1">
      <alignment readingOrder="0" vertical="center"/>
    </xf>
    <xf borderId="0" fillId="7" fontId="43" numFmtId="0" xfId="0" applyAlignment="1" applyFill="1" applyFont="1">
      <alignment vertical="center"/>
    </xf>
    <xf borderId="0" fillId="0" fontId="45" numFmtId="49" xfId="0" applyAlignment="1" applyFont="1" applyNumberFormat="1">
      <alignment vertical="center"/>
    </xf>
    <xf borderId="0" fillId="0" fontId="30" numFmtId="0" xfId="0" applyAlignment="1" applyFont="1">
      <alignment horizontal="right" shrinkToFit="0" vertical="center" wrapText="1"/>
    </xf>
    <xf borderId="0" fillId="7" fontId="42" numFmtId="167" xfId="0" applyAlignment="1" applyFill="1" applyFont="1" applyNumberFormat="1">
      <alignment horizontal="right" shrinkToFit="0" vertical="center" wrapText="1"/>
    </xf>
    <xf borderId="0" fillId="0" fontId="30" numFmtId="165" xfId="0" applyAlignment="1" applyFont="1" applyNumberFormat="1">
      <alignment vertical="center"/>
    </xf>
    <xf borderId="0" fillId="0" fontId="30" numFmtId="165" xfId="0" applyAlignment="1" applyFont="1" applyNumberFormat="1">
      <alignment horizontal="center" vertical="center"/>
    </xf>
    <xf borderId="0" fillId="7" fontId="42" numFmtId="0" xfId="0" applyAlignment="1" applyFill="1" applyFont="1">
      <alignment horizontal="center" shrinkToFit="0" vertical="center" wrapText="1"/>
    </xf>
    <xf borderId="0" fillId="0" fontId="30" numFmtId="164" xfId="0" applyAlignment="1" applyFont="1" applyNumberFormat="1">
      <alignment horizontal="center" vertical="center"/>
    </xf>
    <xf borderId="0" fillId="0" fontId="45" numFmtId="164" xfId="0" applyAlignment="1" applyFont="1" applyNumberFormat="1">
      <alignment vertical="center"/>
    </xf>
    <xf borderId="0" fillId="7" fontId="42" numFmtId="0" xfId="0" applyAlignment="1" applyFill="1" applyFont="1">
      <alignment shrinkToFit="0" vertical="center" wrapText="1"/>
    </xf>
    <xf borderId="0" fillId="0" fontId="30" numFmtId="164" xfId="0" applyAlignment="1" applyFont="1" applyNumberFormat="1">
      <alignment shrinkToFit="0" vertical="center" wrapText="1"/>
    </xf>
    <xf borderId="0" fillId="0" fontId="42" numFmtId="166" xfId="0" applyAlignment="1" applyFont="1" applyNumberFormat="1">
      <alignment horizontal="center" readingOrder="0" vertical="center"/>
    </xf>
    <xf borderId="0" fillId="7" fontId="42" numFmtId="0" xfId="0" applyAlignment="1" applyFill="1" applyFont="1">
      <alignment horizontal="center" shrinkToFit="0" vertical="center" wrapText="1"/>
    </xf>
    <xf borderId="0" fillId="7" fontId="42" numFmtId="165" xfId="0" applyAlignment="1" applyFill="1" applyFont="1" applyNumberFormat="1">
      <alignment horizontal="right" shrinkToFit="0" vertical="center" wrapText="1"/>
    </xf>
    <xf borderId="0" fillId="0" fontId="32" numFmtId="0" xfId="0" applyAlignment="1" applyFont="1">
      <alignment readingOrder="0" vertical="center"/>
    </xf>
    <xf borderId="0" fillId="0" fontId="32" numFmtId="0" xfId="0" applyAlignment="1" applyFont="1">
      <alignment horizontal="center" readingOrder="0" shrinkToFit="0" vertical="center" wrapText="1"/>
    </xf>
    <xf borderId="0" fillId="7" fontId="32" numFmtId="0" xfId="0" applyFill="1" applyFont="1"/>
    <xf borderId="0" fillId="7" fontId="32" numFmtId="167" xfId="0" applyAlignment="1" applyFill="1" applyFont="1" applyNumberFormat="1">
      <alignment horizontal="right"/>
    </xf>
    <xf borderId="0" fillId="7" fontId="32" numFmtId="0" xfId="0" applyAlignment="1" applyFill="1" applyFont="1">
      <alignment horizontal="right"/>
    </xf>
    <xf borderId="0" fillId="7" fontId="32" numFmtId="0" xfId="0" applyAlignment="1" applyFill="1" applyFont="1">
      <alignment horizontal="center"/>
    </xf>
    <xf borderId="0" fillId="0" fontId="30" numFmtId="49" xfId="0" applyAlignment="1" applyFont="1" applyNumberFormat="1">
      <alignment readingOrder="0" shrinkToFit="0" vertical="center" wrapText="1"/>
    </xf>
    <xf borderId="0" fillId="7" fontId="32" numFmtId="165" xfId="0" applyAlignment="1" applyFill="1" applyFont="1" applyNumberFormat="1">
      <alignment horizontal="right"/>
    </xf>
    <xf borderId="0" fillId="7" fontId="42" numFmtId="164" xfId="0" applyAlignment="1" applyFill="1" applyFont="1" applyNumberFormat="1">
      <alignment horizontal="right" shrinkToFit="0" vertical="center" wrapText="1"/>
    </xf>
    <xf borderId="0" fillId="7" fontId="32" numFmtId="0" xfId="0" applyAlignment="1" applyFill="1" applyFont="1">
      <alignment horizontal="center"/>
    </xf>
    <xf borderId="0" fillId="3" fontId="30" numFmtId="49" xfId="0" applyAlignment="1" applyFill="1" applyFont="1" applyNumberFormat="1">
      <alignment horizontal="right" vertical="center"/>
    </xf>
    <xf borderId="0" fillId="7" fontId="32" numFmtId="0" xfId="0" applyFill="1" applyFont="1"/>
    <xf borderId="0" fillId="7" fontId="42" numFmtId="164" xfId="0" applyAlignment="1" applyFill="1" applyFont="1" applyNumberFormat="1">
      <alignment shrinkToFit="0" vertical="center" wrapText="1"/>
    </xf>
    <xf borderId="0" fillId="7" fontId="32" numFmtId="164" xfId="0" applyAlignment="1" applyFill="1" applyFont="1" applyNumberFormat="1">
      <alignment horizontal="right"/>
    </xf>
    <xf borderId="0" fillId="0" fontId="30" numFmtId="49" xfId="0" applyAlignment="1" applyFont="1" applyNumberFormat="1">
      <alignment vertical="center"/>
    </xf>
    <xf borderId="0" fillId="0" fontId="42" numFmtId="49" xfId="0" applyAlignment="1" applyFont="1" applyNumberFormat="1">
      <alignment vertical="center"/>
    </xf>
    <xf borderId="0" fillId="7" fontId="32" numFmtId="0" xfId="0" applyAlignment="1" applyFill="1" applyFont="1">
      <alignment shrinkToFit="0" vertical="bottom" wrapText="1"/>
    </xf>
    <xf borderId="0" fillId="7" fontId="43" numFmtId="0" xfId="0" applyAlignment="1" applyFill="1" applyFont="1">
      <alignment vertical="center"/>
    </xf>
    <xf borderId="0" fillId="0" fontId="30" numFmtId="0" xfId="0" applyAlignment="1" applyFont="1">
      <alignment readingOrder="0" vertical="center"/>
    </xf>
    <xf borderId="0" fillId="0" fontId="30" numFmtId="49" xfId="0" applyAlignment="1" applyFont="1" applyNumberFormat="1">
      <alignment horizontal="right" vertical="center"/>
    </xf>
    <xf borderId="0" fillId="7" fontId="32" numFmtId="0" xfId="0" applyAlignment="1" applyFill="1" applyFont="1">
      <alignment horizontal="right"/>
    </xf>
    <xf borderId="0" fillId="7" fontId="43" numFmtId="0" xfId="0" applyAlignment="1" applyFill="1" applyFont="1">
      <alignment vertical="bottom"/>
    </xf>
    <xf borderId="0" fillId="7" fontId="50" numFmtId="0" xfId="0" applyAlignment="1" applyFill="1" applyFont="1">
      <alignment shrinkToFit="0" vertical="center" wrapText="1"/>
    </xf>
    <xf borderId="0" fillId="7" fontId="32" numFmtId="164" xfId="0" applyFill="1" applyFont="1" applyNumberFormat="1"/>
    <xf borderId="0" fillId="0" fontId="42" numFmtId="49" xfId="0" applyAlignment="1" applyFont="1" applyNumberFormat="1">
      <alignment readingOrder="0" shrinkToFit="0" vertical="center" wrapText="1"/>
    </xf>
    <xf borderId="0" fillId="0" fontId="32" numFmtId="0" xfId="0" applyAlignment="1" applyFont="1">
      <alignment horizontal="center" readingOrder="0" vertical="center"/>
    </xf>
    <xf borderId="0" fillId="7" fontId="42" numFmtId="0" xfId="0" applyAlignment="1" applyFill="1" applyFont="1">
      <alignment horizontal="right" shrinkToFit="0" vertical="center" wrapText="1"/>
    </xf>
    <xf borderId="0" fillId="0" fontId="30" numFmtId="0" xfId="0" applyAlignment="1" applyFont="1">
      <alignment readingOrder="0" shrinkToFit="0" vertical="center" wrapText="1"/>
    </xf>
    <xf borderId="0" fillId="0" fontId="30" numFmtId="0" xfId="0" applyAlignment="1" applyFont="1">
      <alignment readingOrder="0" shrinkToFit="0" vertical="center" wrapText="1"/>
    </xf>
    <xf borderId="0" fillId="0" fontId="30" numFmtId="167" xfId="0" applyAlignment="1" applyFont="1" applyNumberFormat="1">
      <alignment readingOrder="0" vertical="center"/>
    </xf>
    <xf borderId="0" fillId="0" fontId="30" numFmtId="165" xfId="0" applyAlignment="1" applyFont="1" applyNumberFormat="1">
      <alignment readingOrder="0" vertical="center"/>
    </xf>
    <xf borderId="0" fillId="0" fontId="30" numFmtId="164" xfId="0" applyAlignment="1" applyFont="1" applyNumberFormat="1">
      <alignment readingOrder="0" vertical="center"/>
    </xf>
    <xf borderId="0" fillId="0" fontId="32" numFmtId="166" xfId="0" applyAlignment="1" applyFont="1" applyNumberFormat="1">
      <alignment horizontal="center" readingOrder="0" vertical="center"/>
    </xf>
    <xf borderId="0" fillId="7" fontId="51" numFmtId="0" xfId="0" applyAlignment="1" applyFill="1" applyFont="1">
      <alignment shrinkToFit="0" vertical="center" wrapText="1"/>
    </xf>
    <xf borderId="0" fillId="7" fontId="42" numFmtId="166" xfId="0" applyAlignment="1" applyFill="1" applyFont="1" applyNumberFormat="1">
      <alignment horizontal="right" shrinkToFit="0" vertical="center" wrapText="1"/>
    </xf>
    <xf borderId="0" fillId="3" fontId="42" numFmtId="0" xfId="0" applyAlignment="1" applyFill="1" applyFont="1">
      <alignment horizontal="right" readingOrder="0" shrinkToFit="0" vertical="center" wrapText="1"/>
    </xf>
    <xf borderId="0" fillId="0" fontId="42" numFmtId="164" xfId="0" applyAlignment="1" applyFont="1" applyNumberFormat="1">
      <alignment shrinkToFit="0" vertical="center" wrapText="1"/>
    </xf>
    <xf borderId="0" fillId="0" fontId="30" numFmtId="165" xfId="0" applyAlignment="1" applyFont="1" applyNumberFormat="1">
      <alignment shrinkToFit="0" vertical="center" wrapText="1"/>
    </xf>
    <xf borderId="0" fillId="0" fontId="30" numFmtId="165" xfId="0" applyAlignment="1" applyFont="1" applyNumberFormat="1">
      <alignment horizontal="center" shrinkToFit="0" vertical="center" wrapText="1"/>
    </xf>
    <xf borderId="0" fillId="0" fontId="30" numFmtId="165" xfId="0" applyAlignment="1" applyFont="1" applyNumberFormat="1">
      <alignment horizontal="right" shrinkToFit="0" vertical="center" wrapText="1"/>
    </xf>
    <xf borderId="0" fillId="0" fontId="30" numFmtId="0" xfId="0" applyAlignment="1" applyFont="1">
      <alignment horizontal="center" shrinkToFit="0" vertical="center" wrapText="1"/>
    </xf>
    <xf borderId="0" fillId="0" fontId="30" numFmtId="164" xfId="0" applyAlignment="1" applyFont="1" applyNumberFormat="1">
      <alignment horizontal="center" shrinkToFit="0" vertical="center" wrapText="1"/>
    </xf>
    <xf borderId="0" fillId="0" fontId="45" numFmtId="0" xfId="0" applyFont="1"/>
    <xf borderId="0" fillId="0" fontId="30" numFmtId="0" xfId="0" applyAlignment="1" applyFont="1">
      <alignment horizontal="center" readingOrder="0" vertical="center"/>
    </xf>
    <xf borderId="0" fillId="0" fontId="42" numFmtId="0" xfId="0" applyAlignment="1" applyFont="1">
      <alignment readingOrder="0" vertical="center"/>
    </xf>
    <xf borderId="0" fillId="0" fontId="42" numFmtId="0" xfId="0" applyAlignment="1" applyFont="1">
      <alignment readingOrder="0" vertical="center"/>
    </xf>
    <xf borderId="0" fillId="0" fontId="52" numFmtId="0" xfId="0" applyAlignment="1" applyFont="1">
      <alignment shrinkToFit="0" vertical="center" wrapText="1"/>
    </xf>
    <xf borderId="0" fillId="0" fontId="43" numFmtId="0" xfId="0" applyAlignment="1" applyFont="1">
      <alignment readingOrder="0" vertical="center"/>
    </xf>
    <xf borderId="0" fillId="0" fontId="42" numFmtId="0" xfId="0" applyAlignment="1" applyFont="1">
      <alignment readingOrder="0" shrinkToFit="0" vertical="center" wrapText="1"/>
    </xf>
    <xf borderId="0" fillId="0" fontId="30" numFmtId="164" xfId="0" applyAlignment="1" applyFont="1" applyNumberFormat="1">
      <alignment horizontal="right" vertical="center"/>
    </xf>
    <xf borderId="0" fillId="0" fontId="53" numFmtId="0" xfId="0" applyAlignment="1" applyFont="1">
      <alignment shrinkToFit="0" vertical="center" wrapText="1"/>
    </xf>
    <xf borderId="0" fillId="0" fontId="43" numFmtId="0" xfId="0" applyAlignment="1" applyFont="1">
      <alignment horizontal="center" readingOrder="0" vertical="center"/>
    </xf>
    <xf borderId="0" fillId="0" fontId="32" numFmtId="0" xfId="0" applyAlignment="1" applyFont="1">
      <alignment horizontal="right" shrinkToFit="0" vertical="center" wrapText="1"/>
    </xf>
    <xf borderId="0" fillId="0" fontId="42" numFmtId="0" xfId="0" applyAlignment="1" applyFont="1">
      <alignment horizontal="center" shrinkToFit="0" vertical="center" wrapText="1"/>
    </xf>
    <xf borderId="0" fillId="0" fontId="32" numFmtId="0" xfId="0" applyAlignment="1" applyFont="1">
      <alignment readingOrder="0" shrinkToFit="0" vertical="center" wrapText="1"/>
    </xf>
    <xf borderId="0" fillId="0" fontId="52" numFmtId="165" xfId="0" applyAlignment="1" applyFont="1" applyNumberFormat="1">
      <alignment shrinkToFit="0" vertical="center" wrapText="1"/>
    </xf>
    <xf borderId="0" fillId="0" fontId="30" numFmtId="0" xfId="0" applyAlignment="1" applyFont="1">
      <alignment horizontal="center" readingOrder="0" shrinkToFit="0" vertical="center" wrapText="1"/>
    </xf>
    <xf borderId="0" fillId="0" fontId="42" numFmtId="0" xfId="0" applyAlignment="1" applyFont="1">
      <alignment horizontal="right" readingOrder="0" shrinkToFit="0" vertical="center" wrapText="1"/>
    </xf>
    <xf borderId="0" fillId="0" fontId="42" numFmtId="0" xfId="0" applyAlignment="1" applyFont="1">
      <alignment horizontal="right" readingOrder="0" shrinkToFit="0" vertical="center" wrapText="1"/>
    </xf>
    <xf borderId="0" fillId="0" fontId="43" numFmtId="0" xfId="0" applyAlignment="1" applyFont="1">
      <alignment readingOrder="0" vertical="center"/>
    </xf>
    <xf borderId="0" fillId="0" fontId="35" numFmtId="0" xfId="0" applyAlignment="1" applyFont="1">
      <alignment vertical="center"/>
    </xf>
    <xf borderId="0" fillId="0" fontId="32" numFmtId="0" xfId="0" applyAlignment="1" applyFont="1">
      <alignment vertical="center"/>
    </xf>
    <xf borderId="0" fillId="0" fontId="45" numFmtId="165" xfId="0" applyAlignment="1" applyFont="1" applyNumberFormat="1">
      <alignment vertical="center"/>
    </xf>
    <xf borderId="0" fillId="0" fontId="30" numFmtId="168" xfId="0" applyAlignment="1" applyFont="1" applyNumberFormat="1">
      <alignment vertical="center"/>
    </xf>
    <xf borderId="0" fillId="0" fontId="30" numFmtId="166" xfId="0" applyAlignment="1" applyFont="1" applyNumberFormat="1">
      <alignment horizontal="right" shrinkToFit="0" vertical="center" wrapText="1"/>
    </xf>
    <xf borderId="0" fillId="0" fontId="45" numFmtId="0" xfId="0" applyAlignment="1" applyFont="1">
      <alignment readingOrder="0" vertical="center"/>
    </xf>
    <xf borderId="0" fillId="0" fontId="43" numFmtId="0" xfId="0" applyFont="1"/>
    <xf borderId="0" fillId="0" fontId="54" numFmtId="0" xfId="0" applyAlignment="1" applyFont="1">
      <alignment horizontal="center" shrinkToFit="0" wrapText="1"/>
    </xf>
    <xf borderId="0" fillId="0" fontId="54" numFmtId="0" xfId="0" applyAlignment="1" applyFont="1">
      <alignment shrinkToFit="0" wrapText="1"/>
    </xf>
    <xf borderId="0" fillId="8" fontId="54" numFmtId="0" xfId="0" applyAlignment="1" applyFill="1" applyFont="1">
      <alignment horizontal="center" shrinkToFit="0" wrapText="1"/>
    </xf>
    <xf borderId="0" fillId="0" fontId="43" numFmtId="0" xfId="0" applyAlignment="1" applyFont="1">
      <alignment shrinkToFit="0" wrapText="1"/>
    </xf>
    <xf borderId="0" fillId="4" fontId="43" numFmtId="0" xfId="0" applyAlignment="1" applyFill="1" applyFont="1">
      <alignment shrinkToFit="0" wrapText="1"/>
    </xf>
    <xf borderId="0" fillId="4" fontId="43" numFmtId="0" xfId="0" applyAlignment="1" applyFill="1" applyFont="1">
      <alignment shrinkToFit="0" wrapText="1"/>
    </xf>
    <xf borderId="0" fillId="4" fontId="43" numFmtId="0" xfId="0" applyFill="1" applyFont="1"/>
    <xf borderId="0" fillId="0" fontId="55" numFmtId="0" xfId="0" applyAlignment="1" applyFont="1">
      <alignment shrinkToFit="0" wrapText="1"/>
    </xf>
    <xf borderId="0" fillId="0" fontId="56" numFmtId="0" xfId="0" applyFont="1"/>
    <xf borderId="0" fillId="0" fontId="43" numFmtId="0" xfId="0" applyAlignment="1" applyFont="1">
      <alignment vertical="bottom"/>
    </xf>
    <xf borderId="0" fillId="0" fontId="43" numFmtId="0" xfId="0" applyAlignment="1" applyFont="1">
      <alignment shrinkToFit="0" wrapText="1"/>
    </xf>
    <xf borderId="0" fillId="0" fontId="56" numFmtId="0" xfId="0" applyAlignment="1" applyFont="1">
      <alignment shrinkToFit="0" vertical="bottom" wrapText="1"/>
    </xf>
    <xf borderId="0" fillId="0" fontId="43" numFmtId="0" xfId="0" applyAlignment="1" applyFont="1">
      <alignment shrinkToFit="0" vertical="bottom" wrapText="1"/>
    </xf>
    <xf borderId="0" fillId="0" fontId="43" numFmtId="0" xfId="0" applyAlignment="1" applyFont="1">
      <alignment shrinkToFit="0" vertical="bottom" wrapText="1"/>
    </xf>
    <xf borderId="0" fillId="3" fontId="53" numFmtId="0" xfId="0" applyAlignment="1" applyFill="1" applyFont="1">
      <alignment shrinkToFit="0" vertical="center" wrapText="1"/>
    </xf>
    <xf borderId="0" fillId="0" fontId="43" numFmtId="0" xfId="0" applyFont="1"/>
    <xf borderId="0" fillId="0" fontId="57" numFmtId="0" xfId="0" applyAlignment="1" applyFont="1">
      <alignment shrinkToFit="0" wrapText="1"/>
    </xf>
    <xf borderId="0" fillId="0" fontId="43" numFmtId="0" xfId="0" applyAlignment="1" applyFont="1">
      <alignment vertical="bottom"/>
    </xf>
    <xf borderId="0" fillId="0" fontId="30" numFmtId="164" xfId="0" applyAlignment="1" applyFont="1" applyNumberFormat="1">
      <alignment readingOrder="0" shrinkToFit="0" vertical="center" wrapText="1"/>
    </xf>
    <xf borderId="0" fillId="0" fontId="30" numFmtId="166" xfId="0" applyAlignment="1" applyFont="1" applyNumberFormat="1">
      <alignment horizontal="right" vertical="center"/>
    </xf>
    <xf borderId="0" fillId="4" fontId="43" numFmtId="0" xfId="0" applyAlignment="1" applyFill="1" applyFont="1">
      <alignment shrinkToFit="0" vertical="bottom" wrapText="1"/>
    </xf>
    <xf borderId="0" fillId="0" fontId="58" numFmtId="0" xfId="0" applyAlignment="1" applyFont="1">
      <alignment shrinkToFit="0" wrapText="1"/>
    </xf>
    <xf borderId="1" fillId="0" fontId="30" numFmtId="0" xfId="0" applyAlignment="1" applyBorder="1" applyFont="1">
      <alignment vertical="center"/>
    </xf>
    <xf borderId="0" fillId="9" fontId="42" numFmtId="0" xfId="0" applyAlignment="1" applyFill="1" applyFont="1">
      <alignment shrinkToFit="0" vertical="bottom" wrapText="1"/>
    </xf>
    <xf borderId="0" fillId="0" fontId="59" numFmtId="0" xfId="0" applyAlignment="1" applyFont="1">
      <alignment shrinkToFit="0" vertical="bottom" wrapText="1"/>
    </xf>
    <xf borderId="0" fillId="0" fontId="43" numFmtId="0" xfId="0" applyAlignment="1" applyFont="1">
      <alignment horizontal="right" shrinkToFit="0" wrapText="1"/>
    </xf>
    <xf borderId="0" fillId="0" fontId="43" numFmtId="0" xfId="0" applyAlignment="1" applyFont="1">
      <alignment horizontal="right" shrinkToFit="0" wrapText="1"/>
    </xf>
    <xf borderId="0" fillId="4" fontId="43" numFmtId="0" xfId="0" applyAlignment="1" applyFill="1" applyFont="1">
      <alignment vertical="bottom"/>
    </xf>
    <xf borderId="0" fillId="0" fontId="59" numFmtId="0" xfId="0" applyAlignment="1" applyFont="1">
      <alignment shrinkToFit="0" wrapText="1"/>
    </xf>
    <xf borderId="0" fillId="0" fontId="56" numFmtId="0" xfId="0" applyAlignment="1" applyFont="1">
      <alignment vertical="bottom"/>
    </xf>
    <xf borderId="0" fillId="0" fontId="30" numFmtId="164" xfId="0" applyAlignment="1" applyFont="1" applyNumberFormat="1">
      <alignment horizontal="right" readingOrder="0" shrinkToFit="0" vertical="center" wrapText="1"/>
    </xf>
    <xf borderId="0" fillId="0" fontId="45" numFmtId="0" xfId="0" applyAlignment="1" applyFont="1">
      <alignment readingOrder="0"/>
    </xf>
    <xf borderId="0" fillId="0" fontId="45" numFmtId="168" xfId="0" applyAlignment="1" applyFont="1" applyNumberFormat="1">
      <alignment vertical="center"/>
    </xf>
    <xf borderId="0" fillId="7" fontId="43" numFmtId="0" xfId="0" applyAlignment="1" applyFill="1" applyFont="1">
      <alignment shrinkToFit="0" wrapText="1"/>
    </xf>
    <xf borderId="0" fillId="7" fontId="60" numFmtId="0" xfId="0" applyAlignment="1" applyFill="1" applyFont="1">
      <alignment shrinkToFit="0" wrapText="1"/>
    </xf>
    <xf borderId="0" fillId="10" fontId="43" numFmtId="0" xfId="0" applyAlignment="1" applyFill="1" applyFont="1">
      <alignment shrinkToFit="0" wrapText="1"/>
    </xf>
    <xf borderId="0" fillId="10" fontId="43" numFmtId="0" xfId="0" applyFill="1" applyFont="1"/>
    <xf borderId="0" fillId="10" fontId="43" numFmtId="0" xfId="0" applyFill="1" applyFont="1"/>
    <xf borderId="0" fillId="11" fontId="43" numFmtId="0" xfId="0" applyAlignment="1" applyFill="1" applyFont="1">
      <alignment shrinkToFit="0" wrapText="1"/>
    </xf>
    <xf borderId="0" fillId="11" fontId="43" numFmtId="0" xfId="0" applyAlignment="1" applyFill="1" applyFont="1">
      <alignment shrinkToFit="0" wrapText="1"/>
    </xf>
    <xf borderId="0" fillId="11" fontId="60" numFmtId="0" xfId="0" applyAlignment="1" applyFill="1" applyFont="1">
      <alignment shrinkToFit="0" wrapText="1"/>
    </xf>
    <xf borderId="0" fillId="12" fontId="43" numFmtId="0" xfId="0" applyAlignment="1" applyFill="1" applyFont="1">
      <alignment shrinkToFit="0" wrapText="1"/>
    </xf>
    <xf borderId="0" fillId="11" fontId="43" numFmtId="0" xfId="0" applyFill="1" applyFont="1"/>
    <xf borderId="0" fillId="13" fontId="43" numFmtId="0" xfId="0" applyAlignment="1" applyFill="1" applyFont="1">
      <alignment shrinkToFit="0" wrapText="1"/>
    </xf>
    <xf borderId="0" fillId="13" fontId="43" numFmtId="0" xfId="0" applyAlignment="1" applyFill="1" applyFont="1">
      <alignment shrinkToFit="0" wrapText="1"/>
    </xf>
    <xf borderId="0" fillId="13" fontId="43" numFmtId="0" xfId="0" applyFill="1" applyFont="1"/>
    <xf borderId="0" fillId="0" fontId="60" numFmtId="0" xfId="0" applyAlignment="1" applyFont="1">
      <alignment shrinkToFit="0" wrapText="1"/>
    </xf>
    <xf borderId="0" fillId="0" fontId="49" numFmtId="49" xfId="0" applyAlignment="1" applyFont="1" applyNumberFormat="1">
      <alignment readingOrder="0" vertical="center"/>
    </xf>
    <xf borderId="0" fillId="0" fontId="60" numFmtId="0" xfId="0" applyAlignment="1" applyFont="1">
      <alignment shrinkToFit="0" wrapText="1"/>
    </xf>
    <xf borderId="0" fillId="0" fontId="61" numFmtId="0" xfId="0" applyAlignment="1" applyFont="1">
      <alignment shrinkToFit="0" wrapText="1"/>
    </xf>
    <xf borderId="0" fillId="0" fontId="60" numFmtId="0" xfId="0" applyFont="1"/>
    <xf borderId="0" fillId="0" fontId="30" numFmtId="169" xfId="0" applyAlignment="1" applyFont="1" applyNumberFormat="1">
      <alignment horizontal="right" vertical="center"/>
    </xf>
    <xf borderId="0" fillId="14" fontId="43" numFmtId="0" xfId="0" applyAlignment="1" applyFill="1" applyFont="1">
      <alignment shrinkToFit="0" wrapText="1"/>
    </xf>
    <xf borderId="0" fillId="14" fontId="43" numFmtId="0" xfId="0" applyFill="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bP52w9pEJXvDImGpH_PlUiO1Yxqne5_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u/0/folders/1nK9cEMUtuORDc6JMd84g_krnITPF3WNq"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3.75"/>
    <col customWidth="1" min="2" max="2" width="14.25"/>
    <col customWidth="1" min="3" max="3" width="16.0"/>
    <col customWidth="1" min="4" max="4" width="21.63"/>
    <col customWidth="1" min="5" max="5" width="16.13"/>
    <col customWidth="1" min="6" max="6" width="16.5"/>
    <col hidden="1" min="13" max="13" width="12.63"/>
    <col customWidth="1" min="14" max="14" width="15.13"/>
    <col customWidth="1" min="18" max="31" width="8.13"/>
    <col customWidth="1" min="37" max="37" width="17.5"/>
    <col customWidth="1" min="38" max="51" width="8.88"/>
    <col customWidth="1" min="52" max="52" width="16.25"/>
    <col customWidth="1" min="53" max="53" width="17.0"/>
    <col customWidth="1" min="54" max="54" width="15.5"/>
    <col customWidth="1" min="55" max="55" width="15.13"/>
    <col customWidth="1" min="56" max="56" width="14.88"/>
    <col customWidth="1" min="57" max="63" width="6.5"/>
    <col customWidth="1" min="64" max="64" width="15.0"/>
    <col customWidth="1" min="65" max="65" width="17.63"/>
    <col customWidth="1" min="66" max="66" width="18.75"/>
    <col customWidth="1" min="67" max="67" width="16.38"/>
    <col customWidth="1" min="68" max="69" width="15.75"/>
    <col customWidth="1" min="70" max="70" width="18.63"/>
    <col customWidth="1" min="71" max="71" width="15.88"/>
    <col customWidth="1" min="72" max="72" width="18.38"/>
    <col customWidth="1" min="73" max="73" width="6.75"/>
    <col customWidth="1" min="74" max="74" width="16.25"/>
    <col customWidth="1" min="75" max="76" width="12.25"/>
  </cols>
  <sheetData>
    <row r="1" ht="17.25" customHeight="1">
      <c r="A1" s="1" t="s">
        <v>0</v>
      </c>
      <c r="E1" s="2" t="s">
        <v>1</v>
      </c>
      <c r="G1" s="1" t="s">
        <v>2</v>
      </c>
      <c r="N1" s="3" t="s">
        <v>3</v>
      </c>
      <c r="AG1" s="3"/>
      <c r="AH1" s="1" t="s">
        <v>4</v>
      </c>
      <c r="AZ1" s="1" t="s">
        <v>5</v>
      </c>
      <c r="BE1" s="1" t="s">
        <v>6</v>
      </c>
      <c r="BL1" s="1" t="s">
        <v>7</v>
      </c>
      <c r="BO1" s="2" t="s">
        <v>8</v>
      </c>
      <c r="BU1" s="7" t="s">
        <v>10</v>
      </c>
      <c r="BV1" s="9" t="s">
        <v>13</v>
      </c>
    </row>
    <row r="2" ht="24.75" customHeight="1">
      <c r="N2" s="3" t="s">
        <v>16</v>
      </c>
      <c r="Q2" s="1" t="s">
        <v>17</v>
      </c>
      <c r="AF2" s="11" t="s">
        <v>18</v>
      </c>
      <c r="AH2" s="1" t="s">
        <v>19</v>
      </c>
      <c r="AI2" s="1" t="s">
        <v>20</v>
      </c>
      <c r="AJ2" s="1" t="s">
        <v>22</v>
      </c>
      <c r="AK2" s="1" t="s">
        <v>24</v>
      </c>
      <c r="AL2" s="1" t="s">
        <v>25</v>
      </c>
      <c r="AN2" s="1" t="s">
        <v>27</v>
      </c>
      <c r="AP2" s="1" t="s">
        <v>29</v>
      </c>
      <c r="AR2" s="1" t="s">
        <v>30</v>
      </c>
      <c r="AT2" s="1" t="s">
        <v>32</v>
      </c>
      <c r="AV2" s="1" t="s">
        <v>33</v>
      </c>
      <c r="AX2" s="1" t="s">
        <v>34</v>
      </c>
    </row>
    <row r="3" ht="70.5" customHeight="1">
      <c r="A3" s="15" t="s">
        <v>37</v>
      </c>
      <c r="B3" s="16" t="s">
        <v>38</v>
      </c>
      <c r="C3" s="16" t="s">
        <v>41</v>
      </c>
      <c r="D3" s="18" t="s">
        <v>42</v>
      </c>
      <c r="E3" s="16" t="s">
        <v>43</v>
      </c>
      <c r="F3" s="15" t="s">
        <v>44</v>
      </c>
      <c r="G3" s="18" t="s">
        <v>45</v>
      </c>
      <c r="H3" s="18" t="s">
        <v>46</v>
      </c>
      <c r="I3" s="18" t="s">
        <v>47</v>
      </c>
      <c r="J3" s="16" t="s">
        <v>48</v>
      </c>
      <c r="K3" s="16" t="s">
        <v>49</v>
      </c>
      <c r="L3" s="16" t="s">
        <v>50</v>
      </c>
      <c r="M3" s="18" t="s">
        <v>51</v>
      </c>
      <c r="N3" s="21" t="s">
        <v>52</v>
      </c>
      <c r="O3" s="21" t="s">
        <v>53</v>
      </c>
      <c r="P3" s="18" t="s">
        <v>54</v>
      </c>
      <c r="Q3" s="18" t="s">
        <v>55</v>
      </c>
      <c r="R3" s="18" t="s">
        <v>57</v>
      </c>
      <c r="S3" s="18" t="s">
        <v>58</v>
      </c>
      <c r="T3" s="18" t="s">
        <v>59</v>
      </c>
      <c r="U3" s="18" t="s">
        <v>60</v>
      </c>
      <c r="V3" s="18" t="s">
        <v>61</v>
      </c>
      <c r="W3" s="18" t="s">
        <v>62</v>
      </c>
      <c r="X3" s="18" t="s">
        <v>64</v>
      </c>
      <c r="Y3" s="18" t="s">
        <v>65</v>
      </c>
      <c r="Z3" s="18" t="s">
        <v>66</v>
      </c>
      <c r="AA3" s="18" t="s">
        <v>67</v>
      </c>
      <c r="AB3" s="18" t="s">
        <v>68</v>
      </c>
      <c r="AC3" s="18" t="s">
        <v>69</v>
      </c>
      <c r="AD3" s="18" t="s">
        <v>70</v>
      </c>
      <c r="AE3" s="18" t="s">
        <v>71</v>
      </c>
      <c r="AF3" s="16" t="s">
        <v>72</v>
      </c>
      <c r="AG3" s="26" t="s">
        <v>74</v>
      </c>
      <c r="AH3" s="16" t="s">
        <v>76</v>
      </c>
      <c r="AI3" s="15" t="s">
        <v>77</v>
      </c>
      <c r="AJ3" s="16" t="s">
        <v>79</v>
      </c>
      <c r="AK3" s="18" t="s">
        <v>81</v>
      </c>
      <c r="AL3" s="15" t="s">
        <v>82</v>
      </c>
      <c r="AM3" s="29" t="s">
        <v>83</v>
      </c>
      <c r="AN3" s="15" t="s">
        <v>86</v>
      </c>
      <c r="AO3" s="30" t="s">
        <v>88</v>
      </c>
      <c r="AP3" s="15" t="s">
        <v>92</v>
      </c>
      <c r="AQ3" s="30" t="s">
        <v>93</v>
      </c>
      <c r="AR3" s="15" t="s">
        <v>94</v>
      </c>
      <c r="AS3" s="30" t="s">
        <v>96</v>
      </c>
      <c r="AT3" s="15" t="s">
        <v>98</v>
      </c>
      <c r="AU3" s="30" t="s">
        <v>99</v>
      </c>
      <c r="AV3" s="15" t="s">
        <v>100</v>
      </c>
      <c r="AW3" s="30" t="s">
        <v>101</v>
      </c>
      <c r="AX3" s="15" t="s">
        <v>102</v>
      </c>
      <c r="AY3" s="30" t="s">
        <v>104</v>
      </c>
      <c r="AZ3" s="15" t="s">
        <v>103</v>
      </c>
      <c r="BA3" s="15" t="s">
        <v>105</v>
      </c>
      <c r="BB3" s="15" t="s">
        <v>106</v>
      </c>
      <c r="BC3" s="15" t="s">
        <v>107</v>
      </c>
      <c r="BD3" s="16" t="s">
        <v>108</v>
      </c>
      <c r="BE3" s="16" t="s">
        <v>109</v>
      </c>
      <c r="BF3" s="16" t="s">
        <v>110</v>
      </c>
      <c r="BG3" s="16" t="s">
        <v>111</v>
      </c>
      <c r="BH3" s="16" t="s">
        <v>112</v>
      </c>
      <c r="BI3" s="16" t="s">
        <v>113</v>
      </c>
      <c r="BJ3" s="16" t="s">
        <v>114</v>
      </c>
      <c r="BK3" s="16" t="s">
        <v>115</v>
      </c>
      <c r="BL3" s="15" t="s">
        <v>117</v>
      </c>
      <c r="BM3" s="16" t="s">
        <v>118</v>
      </c>
      <c r="BN3" s="15" t="s">
        <v>119</v>
      </c>
      <c r="BO3" s="26" t="s">
        <v>121</v>
      </c>
      <c r="BP3" s="15" t="s">
        <v>122</v>
      </c>
      <c r="BQ3" s="15" t="s">
        <v>124</v>
      </c>
      <c r="BR3" s="26" t="s">
        <v>125</v>
      </c>
      <c r="BS3" s="15" t="s">
        <v>126</v>
      </c>
      <c r="BT3" s="46" t="s">
        <v>129</v>
      </c>
      <c r="BU3" s="48" t="s">
        <v>133</v>
      </c>
      <c r="BV3" s="50" t="s">
        <v>140</v>
      </c>
      <c r="BW3" s="50" t="s">
        <v>156</v>
      </c>
      <c r="BX3" s="57"/>
    </row>
    <row r="4" ht="33.0" hidden="1" customHeight="1">
      <c r="A4" s="59" t="s">
        <v>151</v>
      </c>
      <c r="B4" s="60" t="s">
        <v>172</v>
      </c>
      <c r="C4" s="60" t="s">
        <v>177</v>
      </c>
      <c r="D4" s="59" t="s">
        <v>179</v>
      </c>
      <c r="E4" s="62" t="s">
        <v>182</v>
      </c>
      <c r="F4" s="62" t="s">
        <v>191</v>
      </c>
      <c r="G4" s="59" t="s">
        <v>193</v>
      </c>
      <c r="H4" s="59" t="s">
        <v>196</v>
      </c>
      <c r="I4" s="59" t="s">
        <v>198</v>
      </c>
      <c r="J4" s="60" t="s">
        <v>200</v>
      </c>
      <c r="K4" s="63" t="s">
        <v>187</v>
      </c>
      <c r="L4" s="63" t="s">
        <v>189</v>
      </c>
      <c r="M4" s="59" t="s">
        <v>210</v>
      </c>
      <c r="N4" s="60" t="s">
        <v>212</v>
      </c>
      <c r="O4" s="60" t="s">
        <v>215</v>
      </c>
      <c r="P4" s="59" t="s">
        <v>216</v>
      </c>
      <c r="Q4" s="59" t="s">
        <v>218</v>
      </c>
      <c r="R4" s="59" t="s">
        <v>220</v>
      </c>
      <c r="S4" s="59" t="s">
        <v>221</v>
      </c>
      <c r="T4" s="59" t="s">
        <v>222</v>
      </c>
      <c r="U4" s="59" t="s">
        <v>225</v>
      </c>
      <c r="V4" s="59" t="s">
        <v>229</v>
      </c>
      <c r="W4" s="59" t="s">
        <v>232</v>
      </c>
      <c r="X4" s="59" t="s">
        <v>235</v>
      </c>
      <c r="Y4" s="59" t="s">
        <v>237</v>
      </c>
      <c r="Z4" s="59" t="s">
        <v>239</v>
      </c>
      <c r="AA4" s="59" t="s">
        <v>241</v>
      </c>
      <c r="AB4" s="59" t="s">
        <v>243</v>
      </c>
      <c r="AC4" s="59" t="s">
        <v>244</v>
      </c>
      <c r="AD4" s="59" t="s">
        <v>246</v>
      </c>
      <c r="AE4" s="59" t="s">
        <v>247</v>
      </c>
      <c r="AF4" s="72" t="s">
        <v>249</v>
      </c>
      <c r="AG4" s="62"/>
      <c r="AH4" s="60" t="s">
        <v>251</v>
      </c>
      <c r="AI4" s="74" t="s">
        <v>253</v>
      </c>
      <c r="AJ4" s="76" t="s">
        <v>255</v>
      </c>
      <c r="AK4" s="59" t="s">
        <v>258</v>
      </c>
      <c r="AL4" s="74" t="s">
        <v>260</v>
      </c>
      <c r="AM4" s="77" t="s">
        <v>262</v>
      </c>
      <c r="AN4" s="74" t="s">
        <v>266</v>
      </c>
      <c r="AO4" s="77" t="s">
        <v>268</v>
      </c>
      <c r="AP4" s="74" t="s">
        <v>270</v>
      </c>
      <c r="AQ4" s="77" t="s">
        <v>272</v>
      </c>
      <c r="AR4" s="74" t="s">
        <v>274</v>
      </c>
      <c r="AS4" s="77" t="s">
        <v>276</v>
      </c>
      <c r="AT4" s="74" t="s">
        <v>278</v>
      </c>
      <c r="AU4" s="77" t="s">
        <v>279</v>
      </c>
      <c r="AV4" s="74" t="s">
        <v>281</v>
      </c>
      <c r="AW4" s="77" t="s">
        <v>283</v>
      </c>
      <c r="AX4" s="74" t="s">
        <v>286</v>
      </c>
      <c r="AY4" s="77" t="s">
        <v>288</v>
      </c>
      <c r="AZ4" s="59" t="s">
        <v>290</v>
      </c>
      <c r="BA4" s="59" t="s">
        <v>292</v>
      </c>
      <c r="BB4" s="59" t="s">
        <v>294</v>
      </c>
      <c r="BC4" s="59" t="s">
        <v>296</v>
      </c>
      <c r="BD4" s="80" t="s">
        <v>299</v>
      </c>
      <c r="BE4" s="76" t="s">
        <v>304</v>
      </c>
      <c r="BF4" s="76" t="s">
        <v>308</v>
      </c>
      <c r="BG4" s="76" t="s">
        <v>310</v>
      </c>
      <c r="BH4" s="76" t="s">
        <v>313</v>
      </c>
      <c r="BI4" s="76" t="s">
        <v>316</v>
      </c>
      <c r="BJ4" s="76" t="s">
        <v>318</v>
      </c>
      <c r="BK4" s="76" t="s">
        <v>320</v>
      </c>
      <c r="BL4" s="62" t="s">
        <v>321</v>
      </c>
      <c r="BM4" s="62" t="s">
        <v>323</v>
      </c>
      <c r="BN4" s="62" t="s">
        <v>325</v>
      </c>
      <c r="BO4" s="62" t="s">
        <v>328</v>
      </c>
      <c r="BP4" s="62" t="s">
        <v>331</v>
      </c>
      <c r="BQ4" s="62" t="s">
        <v>333</v>
      </c>
      <c r="BR4" s="62" t="s">
        <v>335</v>
      </c>
      <c r="BS4" s="62" t="s">
        <v>336</v>
      </c>
      <c r="BT4" s="62" t="s">
        <v>236</v>
      </c>
      <c r="BU4" s="84" t="s">
        <v>338</v>
      </c>
      <c r="BV4" s="85"/>
      <c r="BW4" s="85"/>
      <c r="BX4" s="62"/>
    </row>
    <row r="5" ht="24.75" customHeight="1">
      <c r="A5" s="89" t="s">
        <v>348</v>
      </c>
      <c r="B5" s="89" t="s">
        <v>352</v>
      </c>
      <c r="C5" s="95" t="s">
        <v>358</v>
      </c>
      <c r="D5" s="98" t="s">
        <v>362</v>
      </c>
      <c r="E5" s="102" t="s">
        <v>371</v>
      </c>
      <c r="F5" s="102" t="s">
        <v>374</v>
      </c>
      <c r="G5" s="102" t="s">
        <v>377</v>
      </c>
      <c r="H5" s="102" t="s">
        <v>379</v>
      </c>
      <c r="I5" s="102" t="s">
        <v>382</v>
      </c>
      <c r="J5" s="95" t="s">
        <v>384</v>
      </c>
      <c r="K5" s="105">
        <v>50.5354296340917</v>
      </c>
      <c r="L5" s="105">
        <v>-3.55894513490063</v>
      </c>
      <c r="M5" s="106"/>
      <c r="N5" s="107" t="s">
        <v>385</v>
      </c>
      <c r="O5" s="108" t="b">
        <v>1</v>
      </c>
      <c r="P5" s="109">
        <v>0.4166666666666667</v>
      </c>
      <c r="Q5" s="109">
        <v>0.6666666666666666</v>
      </c>
      <c r="R5" s="107" t="s">
        <v>387</v>
      </c>
      <c r="S5" s="107" t="s">
        <v>387</v>
      </c>
      <c r="T5" s="107" t="s">
        <v>387</v>
      </c>
      <c r="U5" s="107" t="s">
        <v>387</v>
      </c>
      <c r="V5" s="107" t="s">
        <v>387</v>
      </c>
      <c r="W5" s="107" t="s">
        <v>387</v>
      </c>
      <c r="X5" s="107" t="s">
        <v>387</v>
      </c>
      <c r="Y5" s="107" t="s">
        <v>387</v>
      </c>
      <c r="Z5" s="107" t="s">
        <v>387</v>
      </c>
      <c r="AA5" s="107" t="s">
        <v>387</v>
      </c>
      <c r="AB5" s="107" t="s">
        <v>387</v>
      </c>
      <c r="AC5" s="107" t="s">
        <v>387</v>
      </c>
      <c r="AD5" s="107" t="s">
        <v>387</v>
      </c>
      <c r="AE5" s="107" t="s">
        <v>387</v>
      </c>
      <c r="AF5" s="102" t="s">
        <v>396</v>
      </c>
      <c r="AG5" s="106"/>
      <c r="AH5" s="108" t="b">
        <v>0</v>
      </c>
      <c r="AI5" s="108" t="b">
        <v>0</v>
      </c>
      <c r="AJ5" s="107" t="s">
        <v>412</v>
      </c>
      <c r="AK5" s="106"/>
      <c r="AL5" s="107" t="s">
        <v>387</v>
      </c>
      <c r="AM5" s="113" t="s">
        <v>387</v>
      </c>
      <c r="AN5" s="107" t="s">
        <v>387</v>
      </c>
      <c r="AO5" s="113" t="s">
        <v>387</v>
      </c>
      <c r="AP5" s="107" t="s">
        <v>387</v>
      </c>
      <c r="AQ5" s="113" t="s">
        <v>387</v>
      </c>
      <c r="AR5" s="107" t="s">
        <v>387</v>
      </c>
      <c r="AS5" s="113" t="s">
        <v>387</v>
      </c>
      <c r="AT5" s="107" t="s">
        <v>387</v>
      </c>
      <c r="AU5" s="113" t="s">
        <v>387</v>
      </c>
      <c r="AV5" s="107" t="s">
        <v>387</v>
      </c>
      <c r="AW5" s="113" t="s">
        <v>387</v>
      </c>
      <c r="AX5" s="107" t="s">
        <v>387</v>
      </c>
      <c r="AY5" s="113" t="s">
        <v>387</v>
      </c>
      <c r="AZ5" s="107" t="s">
        <v>433</v>
      </c>
      <c r="BA5" s="107" t="s">
        <v>438</v>
      </c>
      <c r="BB5" s="107" t="s">
        <v>474</v>
      </c>
      <c r="BC5" s="107" t="s">
        <v>478</v>
      </c>
      <c r="BD5" s="106"/>
      <c r="BE5" s="108" t="b">
        <v>1</v>
      </c>
      <c r="BF5" s="108" t="b">
        <v>1</v>
      </c>
      <c r="BG5" s="108" t="b">
        <v>1</v>
      </c>
      <c r="BH5" s="108" t="b">
        <v>1</v>
      </c>
      <c r="BI5" s="108" t="b">
        <v>1</v>
      </c>
      <c r="BJ5" s="108" t="b">
        <v>1</v>
      </c>
      <c r="BK5" s="108" t="b">
        <v>1</v>
      </c>
      <c r="BL5" s="107" t="s">
        <v>496</v>
      </c>
      <c r="BM5" s="107" t="s">
        <v>502</v>
      </c>
      <c r="BN5" s="107" t="s">
        <v>507</v>
      </c>
      <c r="BO5" s="102" t="s">
        <v>510</v>
      </c>
      <c r="BP5" s="107" t="s">
        <v>514</v>
      </c>
      <c r="BQ5" s="107" t="s">
        <v>518</v>
      </c>
      <c r="BR5" s="102" t="s">
        <v>522</v>
      </c>
      <c r="BS5" s="102" t="s">
        <v>527</v>
      </c>
      <c r="BT5" s="102" t="s">
        <v>529</v>
      </c>
      <c r="BU5" s="102" t="s">
        <v>530</v>
      </c>
      <c r="BV5" s="123">
        <v>46260.0</v>
      </c>
      <c r="BW5" s="108" t="b">
        <v>0</v>
      </c>
      <c r="BX5" s="106"/>
    </row>
    <row r="6" ht="24.75" customHeight="1">
      <c r="A6" s="89" t="s">
        <v>348</v>
      </c>
      <c r="B6" s="89" t="s">
        <v>536</v>
      </c>
      <c r="C6" s="95" t="s">
        <v>538</v>
      </c>
      <c r="D6" s="125" t="s">
        <v>539</v>
      </c>
      <c r="E6" s="102" t="s">
        <v>541</v>
      </c>
      <c r="F6" s="102" t="s">
        <v>542</v>
      </c>
      <c r="G6" s="98" t="s">
        <v>545</v>
      </c>
      <c r="H6" s="98" t="s">
        <v>549</v>
      </c>
      <c r="I6" s="102" t="s">
        <v>550</v>
      </c>
      <c r="J6" s="98" t="s">
        <v>554</v>
      </c>
      <c r="K6" s="105">
        <v>50.4828435508817</v>
      </c>
      <c r="L6" s="105">
        <v>-3.52062463297659</v>
      </c>
      <c r="M6" s="106"/>
      <c r="N6" s="107" t="s">
        <v>558</v>
      </c>
      <c r="O6" s="108" t="b">
        <v>0</v>
      </c>
      <c r="P6" s="107" t="s">
        <v>387</v>
      </c>
      <c r="Q6" s="107" t="s">
        <v>387</v>
      </c>
      <c r="R6" s="109">
        <v>0.4166666666666667</v>
      </c>
      <c r="S6" s="109">
        <v>0.7291666666666666</v>
      </c>
      <c r="T6" s="109">
        <v>0.4166666666666667</v>
      </c>
      <c r="U6" s="109">
        <v>0.8541666666666666</v>
      </c>
      <c r="V6" s="109">
        <v>0.4166666666666667</v>
      </c>
      <c r="W6" s="109">
        <v>0.8541666666666666</v>
      </c>
      <c r="X6" s="109">
        <v>0.4166666666666667</v>
      </c>
      <c r="Y6" s="109">
        <v>0.8541666666666666</v>
      </c>
      <c r="Z6" s="109">
        <v>0.4166666666666667</v>
      </c>
      <c r="AA6" s="109">
        <v>0.7291666666666666</v>
      </c>
      <c r="AB6" s="109">
        <v>0.4166666666666667</v>
      </c>
      <c r="AC6" s="109">
        <v>0.7291666666666666</v>
      </c>
      <c r="AD6" s="109">
        <v>0.4166666666666667</v>
      </c>
      <c r="AE6" s="109">
        <v>0.7291666666666666</v>
      </c>
      <c r="AF6" s="102" t="s">
        <v>566</v>
      </c>
      <c r="AG6" s="106"/>
      <c r="AH6" s="108" t="b">
        <v>1</v>
      </c>
      <c r="AI6" s="108" t="b">
        <v>1</v>
      </c>
      <c r="AJ6" s="107" t="s">
        <v>571</v>
      </c>
      <c r="AK6" s="107" t="s">
        <v>574</v>
      </c>
      <c r="AL6" s="135" t="s">
        <v>387</v>
      </c>
      <c r="AM6" s="137" t="s">
        <v>387</v>
      </c>
      <c r="AN6" s="102" t="s">
        <v>580</v>
      </c>
      <c r="AO6" s="138">
        <v>17.95</v>
      </c>
      <c r="AP6" s="135" t="s">
        <v>387</v>
      </c>
      <c r="AQ6" s="135" t="s">
        <v>387</v>
      </c>
      <c r="AR6" s="135" t="s">
        <v>387</v>
      </c>
      <c r="AS6" s="135" t="s">
        <v>387</v>
      </c>
      <c r="AT6" s="102" t="s">
        <v>583</v>
      </c>
      <c r="AU6" s="138">
        <v>21.95</v>
      </c>
      <c r="AV6" s="102" t="s">
        <v>585</v>
      </c>
      <c r="AW6" s="138">
        <v>16.5</v>
      </c>
      <c r="AX6" s="135" t="s">
        <v>387</v>
      </c>
      <c r="AY6" s="137" t="s">
        <v>387</v>
      </c>
      <c r="AZ6" s="107" t="s">
        <v>588</v>
      </c>
      <c r="BA6" s="140" t="s">
        <v>589</v>
      </c>
      <c r="BB6" s="106"/>
      <c r="BC6" s="107" t="s">
        <v>592</v>
      </c>
      <c r="BD6" s="107" t="s">
        <v>593</v>
      </c>
      <c r="BE6" s="108" t="b">
        <v>1</v>
      </c>
      <c r="BF6" s="108" t="b">
        <v>1</v>
      </c>
      <c r="BG6" s="108" t="b">
        <v>1</v>
      </c>
      <c r="BH6" s="108" t="b">
        <v>1</v>
      </c>
      <c r="BI6" s="108" t="b">
        <v>1</v>
      </c>
      <c r="BJ6" s="108" t="b">
        <v>1</v>
      </c>
      <c r="BK6" s="108" t="b">
        <v>1</v>
      </c>
      <c r="BL6" s="107" t="s">
        <v>519</v>
      </c>
      <c r="BM6" s="107" t="s">
        <v>597</v>
      </c>
      <c r="BN6" s="107" t="s">
        <v>598</v>
      </c>
      <c r="BO6" s="102" t="s">
        <v>599</v>
      </c>
      <c r="BP6" s="106"/>
      <c r="BQ6" s="106"/>
      <c r="BR6" s="107" t="s">
        <v>604</v>
      </c>
      <c r="BS6" s="106"/>
      <c r="BT6" s="145" t="s">
        <v>605</v>
      </c>
      <c r="BU6" s="102" t="s">
        <v>607</v>
      </c>
      <c r="BV6" s="123">
        <v>46260.0</v>
      </c>
      <c r="BW6" s="108" t="b">
        <v>0</v>
      </c>
      <c r="BX6" s="106"/>
    </row>
    <row r="7" ht="24.75" customHeight="1">
      <c r="A7" s="89" t="s">
        <v>348</v>
      </c>
      <c r="B7" s="89" t="s">
        <v>610</v>
      </c>
      <c r="C7" s="95" t="s">
        <v>612</v>
      </c>
      <c r="D7" s="146" t="s">
        <v>614</v>
      </c>
      <c r="E7" s="102" t="s">
        <v>339</v>
      </c>
      <c r="F7" s="102" t="s">
        <v>620</v>
      </c>
      <c r="G7" s="102" t="s">
        <v>621</v>
      </c>
      <c r="H7" s="148"/>
      <c r="I7" s="98" t="s">
        <v>624</v>
      </c>
      <c r="J7" s="98" t="s">
        <v>627</v>
      </c>
      <c r="K7" s="149">
        <v>50.8780700340998</v>
      </c>
      <c r="L7" s="149">
        <v>-2.98828221164244</v>
      </c>
      <c r="M7" s="106"/>
      <c r="N7" s="151" t="s">
        <v>558</v>
      </c>
      <c r="O7" s="152" t="b">
        <v>0</v>
      </c>
      <c r="P7" s="151" t="s">
        <v>387</v>
      </c>
      <c r="Q7" s="151" t="s">
        <v>387</v>
      </c>
      <c r="R7" s="109">
        <v>0.3541666666666667</v>
      </c>
      <c r="S7" s="109">
        <v>0.7083333333333334</v>
      </c>
      <c r="T7" s="109">
        <v>0.3541666666666667</v>
      </c>
      <c r="U7" s="109">
        <v>0.7083333333333334</v>
      </c>
      <c r="V7" s="109">
        <v>0.3541666666666667</v>
      </c>
      <c r="W7" s="109">
        <v>0.7083333333333334</v>
      </c>
      <c r="X7" s="109">
        <v>0.3541666666666667</v>
      </c>
      <c r="Y7" s="109">
        <v>0.7083333333333334</v>
      </c>
      <c r="Z7" s="109">
        <v>0.3541666666666667</v>
      </c>
      <c r="AA7" s="109">
        <v>0.7083333333333334</v>
      </c>
      <c r="AB7" s="109">
        <v>0.3541666666666667</v>
      </c>
      <c r="AC7" s="109">
        <v>0.7083333333333334</v>
      </c>
      <c r="AD7" s="109">
        <v>0.3541666666666667</v>
      </c>
      <c r="AE7" s="109">
        <v>0.6666666666666666</v>
      </c>
      <c r="AF7" s="106"/>
      <c r="AG7" s="106"/>
      <c r="AH7" s="108" t="b">
        <v>0</v>
      </c>
      <c r="AI7" s="154" t="b">
        <v>0</v>
      </c>
      <c r="AJ7" s="107" t="s">
        <v>412</v>
      </c>
      <c r="AK7" s="155"/>
      <c r="AL7" s="102" t="s">
        <v>387</v>
      </c>
      <c r="AM7" s="157" t="s">
        <v>387</v>
      </c>
      <c r="AN7" s="157" t="s">
        <v>387</v>
      </c>
      <c r="AO7" s="157" t="s">
        <v>387</v>
      </c>
      <c r="AP7" s="157" t="s">
        <v>387</v>
      </c>
      <c r="AQ7" s="157" t="s">
        <v>387</v>
      </c>
      <c r="AR7" s="157" t="s">
        <v>387</v>
      </c>
      <c r="AS7" s="157" t="s">
        <v>387</v>
      </c>
      <c r="AT7" s="157" t="s">
        <v>387</v>
      </c>
      <c r="AU7" s="157" t="s">
        <v>387</v>
      </c>
      <c r="AV7" s="157" t="s">
        <v>387</v>
      </c>
      <c r="AW7" s="157" t="s">
        <v>387</v>
      </c>
      <c r="AX7" s="157" t="s">
        <v>387</v>
      </c>
      <c r="AY7" s="157" t="s">
        <v>387</v>
      </c>
      <c r="AZ7" s="107" t="s">
        <v>433</v>
      </c>
      <c r="BA7" s="107" t="s">
        <v>643</v>
      </c>
      <c r="BB7" s="107" t="s">
        <v>644</v>
      </c>
      <c r="BC7" s="107" t="s">
        <v>645</v>
      </c>
      <c r="BD7" s="106"/>
      <c r="BE7" s="108" t="b">
        <v>1</v>
      </c>
      <c r="BF7" s="108" t="b">
        <v>1</v>
      </c>
      <c r="BG7" s="108" t="b">
        <v>1</v>
      </c>
      <c r="BH7" s="108" t="b">
        <v>1</v>
      </c>
      <c r="BI7" s="108" t="b">
        <v>1</v>
      </c>
      <c r="BJ7" s="108" t="b">
        <v>1</v>
      </c>
      <c r="BK7" s="108" t="b">
        <v>1</v>
      </c>
      <c r="BL7" s="107" t="s">
        <v>649</v>
      </c>
      <c r="BM7" s="107" t="s">
        <v>652</v>
      </c>
      <c r="BN7" s="107" t="s">
        <v>654</v>
      </c>
      <c r="BO7" s="102" t="s">
        <v>655</v>
      </c>
      <c r="BP7" s="107" t="s">
        <v>514</v>
      </c>
      <c r="BQ7" s="107" t="s">
        <v>658</v>
      </c>
      <c r="BR7" s="102" t="s">
        <v>659</v>
      </c>
      <c r="BS7" s="106"/>
      <c r="BT7" s="102" t="s">
        <v>660</v>
      </c>
      <c r="BU7" s="102" t="s">
        <v>530</v>
      </c>
      <c r="BV7" s="123">
        <v>46260.0</v>
      </c>
      <c r="BW7" s="108" t="b">
        <v>0</v>
      </c>
      <c r="BX7" s="106"/>
    </row>
    <row r="8" ht="24.75" customHeight="1">
      <c r="A8" s="89" t="s">
        <v>348</v>
      </c>
      <c r="B8" s="89" t="s">
        <v>595</v>
      </c>
      <c r="C8" s="89" t="s">
        <v>661</v>
      </c>
      <c r="D8" s="167" t="s">
        <v>662</v>
      </c>
      <c r="E8" s="107" t="s">
        <v>653</v>
      </c>
      <c r="F8" s="102" t="s">
        <v>666</v>
      </c>
      <c r="G8" s="102" t="s">
        <v>667</v>
      </c>
      <c r="H8" s="102" t="s">
        <v>668</v>
      </c>
      <c r="I8" s="102" t="s">
        <v>669</v>
      </c>
      <c r="J8" s="95" t="s">
        <v>670</v>
      </c>
      <c r="K8" s="105">
        <v>50.6122592592295</v>
      </c>
      <c r="L8" s="105">
        <v>-3.40783603305209</v>
      </c>
      <c r="M8" s="106"/>
      <c r="N8" s="107" t="s">
        <v>558</v>
      </c>
      <c r="O8" s="108" t="b">
        <v>1</v>
      </c>
      <c r="P8" s="109">
        <v>0.0</v>
      </c>
      <c r="Q8" s="171" t="s">
        <v>674</v>
      </c>
      <c r="R8" s="151" t="s">
        <v>387</v>
      </c>
      <c r="S8" s="151" t="s">
        <v>387</v>
      </c>
      <c r="T8" s="151" t="s">
        <v>387</v>
      </c>
      <c r="U8" s="151" t="s">
        <v>387</v>
      </c>
      <c r="V8" s="151" t="s">
        <v>387</v>
      </c>
      <c r="W8" s="151" t="s">
        <v>387</v>
      </c>
      <c r="X8" s="151" t="s">
        <v>387</v>
      </c>
      <c r="Y8" s="151" t="s">
        <v>387</v>
      </c>
      <c r="Z8" s="151" t="s">
        <v>387</v>
      </c>
      <c r="AA8" s="151" t="s">
        <v>387</v>
      </c>
      <c r="AB8" s="151" t="s">
        <v>387</v>
      </c>
      <c r="AC8" s="151" t="s">
        <v>387</v>
      </c>
      <c r="AD8" s="151" t="s">
        <v>387</v>
      </c>
      <c r="AE8" s="151" t="s">
        <v>387</v>
      </c>
      <c r="AF8" s="102" t="s">
        <v>387</v>
      </c>
      <c r="AG8" s="107" t="s">
        <v>678</v>
      </c>
      <c r="AH8" s="108" t="b">
        <v>0</v>
      </c>
      <c r="AI8" s="108" t="b">
        <v>0</v>
      </c>
      <c r="AJ8" s="107" t="s">
        <v>412</v>
      </c>
      <c r="AK8" s="106"/>
      <c r="AL8" s="102" t="s">
        <v>387</v>
      </c>
      <c r="AM8" s="157" t="s">
        <v>387</v>
      </c>
      <c r="AN8" s="102" t="s">
        <v>387</v>
      </c>
      <c r="AO8" s="157" t="s">
        <v>387</v>
      </c>
      <c r="AP8" s="102" t="s">
        <v>387</v>
      </c>
      <c r="AQ8" s="157" t="s">
        <v>387</v>
      </c>
      <c r="AR8" s="102" t="s">
        <v>387</v>
      </c>
      <c r="AS8" s="157" t="s">
        <v>387</v>
      </c>
      <c r="AT8" s="102" t="s">
        <v>387</v>
      </c>
      <c r="AU8" s="157" t="s">
        <v>387</v>
      </c>
      <c r="AV8" s="102" t="s">
        <v>387</v>
      </c>
      <c r="AW8" s="157" t="s">
        <v>387</v>
      </c>
      <c r="AX8" s="102" t="s">
        <v>387</v>
      </c>
      <c r="AY8" s="157" t="s">
        <v>387</v>
      </c>
      <c r="AZ8" s="107" t="s">
        <v>602</v>
      </c>
      <c r="BA8" s="140" t="s">
        <v>685</v>
      </c>
      <c r="BB8" s="107" t="s">
        <v>687</v>
      </c>
      <c r="BC8" s="107" t="s">
        <v>689</v>
      </c>
      <c r="BD8" s="107" t="s">
        <v>656</v>
      </c>
      <c r="BE8" s="108" t="b">
        <v>1</v>
      </c>
      <c r="BF8" s="108" t="b">
        <v>1</v>
      </c>
      <c r="BG8" s="108" t="b">
        <v>1</v>
      </c>
      <c r="BH8" s="108" t="b">
        <v>1</v>
      </c>
      <c r="BI8" s="108" t="b">
        <v>1</v>
      </c>
      <c r="BJ8" s="108" t="b">
        <v>0</v>
      </c>
      <c r="BK8" s="106"/>
      <c r="BL8" s="107" t="s">
        <v>519</v>
      </c>
      <c r="BM8" s="107" t="s">
        <v>697</v>
      </c>
      <c r="BN8" s="107" t="s">
        <v>699</v>
      </c>
      <c r="BO8" s="102" t="s">
        <v>701</v>
      </c>
      <c r="BP8" s="106"/>
      <c r="BQ8" s="106"/>
      <c r="BR8" s="102" t="s">
        <v>704</v>
      </c>
      <c r="BS8" s="106"/>
      <c r="BT8" s="102" t="s">
        <v>705</v>
      </c>
      <c r="BU8" s="102" t="s">
        <v>530</v>
      </c>
      <c r="BV8" s="123">
        <v>46260.0</v>
      </c>
      <c r="BW8" s="108" t="b">
        <v>0</v>
      </c>
      <c r="BX8" s="106"/>
    </row>
    <row r="9" ht="24.75" customHeight="1">
      <c r="A9" s="89" t="s">
        <v>348</v>
      </c>
      <c r="B9" s="89" t="s">
        <v>707</v>
      </c>
      <c r="C9" s="95" t="s">
        <v>709</v>
      </c>
      <c r="D9" s="98" t="s">
        <v>711</v>
      </c>
      <c r="E9" s="102" t="s">
        <v>713</v>
      </c>
      <c r="F9" s="102" t="s">
        <v>716</v>
      </c>
      <c r="G9" s="102" t="s">
        <v>717</v>
      </c>
      <c r="H9" s="175" t="s">
        <v>718</v>
      </c>
      <c r="I9" s="148"/>
      <c r="J9" s="175" t="s">
        <v>720</v>
      </c>
      <c r="K9" s="149">
        <v>50.6065605332477</v>
      </c>
      <c r="L9" s="149">
        <v>-3.7568320023734</v>
      </c>
      <c r="M9" s="106"/>
      <c r="N9" s="107" t="s">
        <v>558</v>
      </c>
      <c r="O9" s="108" t="b">
        <v>1</v>
      </c>
      <c r="P9" s="109">
        <v>0.4166666666666667</v>
      </c>
      <c r="Q9" s="109">
        <v>0.7083333333333334</v>
      </c>
      <c r="R9" s="107" t="s">
        <v>387</v>
      </c>
      <c r="S9" s="107" t="s">
        <v>387</v>
      </c>
      <c r="T9" s="107" t="s">
        <v>387</v>
      </c>
      <c r="U9" s="107" t="s">
        <v>387</v>
      </c>
      <c r="V9" s="107" t="s">
        <v>387</v>
      </c>
      <c r="W9" s="151" t="s">
        <v>387</v>
      </c>
      <c r="X9" s="151" t="s">
        <v>387</v>
      </c>
      <c r="Y9" s="151" t="s">
        <v>387</v>
      </c>
      <c r="Z9" s="151" t="s">
        <v>387</v>
      </c>
      <c r="AA9" s="151" t="s">
        <v>387</v>
      </c>
      <c r="AB9" s="151" t="s">
        <v>387</v>
      </c>
      <c r="AC9" s="151" t="s">
        <v>387</v>
      </c>
      <c r="AD9" s="151" t="s">
        <v>387</v>
      </c>
      <c r="AE9" s="151" t="s">
        <v>387</v>
      </c>
      <c r="AF9" s="102" t="s">
        <v>726</v>
      </c>
      <c r="AG9" s="102" t="s">
        <v>678</v>
      </c>
      <c r="AH9" s="108" t="b">
        <v>1</v>
      </c>
      <c r="AI9" s="108" t="b">
        <v>1</v>
      </c>
      <c r="AJ9" s="107" t="s">
        <v>731</v>
      </c>
      <c r="AK9" s="107" t="s">
        <v>733</v>
      </c>
      <c r="AL9" s="107" t="s">
        <v>735</v>
      </c>
      <c r="AM9" s="138">
        <v>0.0</v>
      </c>
      <c r="AN9" s="157" t="s">
        <v>736</v>
      </c>
      <c r="AO9" s="138">
        <v>11.0</v>
      </c>
      <c r="AP9" s="157" t="s">
        <v>387</v>
      </c>
      <c r="AQ9" s="157" t="s">
        <v>387</v>
      </c>
      <c r="AR9" s="157" t="s">
        <v>387</v>
      </c>
      <c r="AS9" s="157" t="s">
        <v>387</v>
      </c>
      <c r="AT9" s="157" t="s">
        <v>583</v>
      </c>
      <c r="AU9" s="138">
        <v>15.0</v>
      </c>
      <c r="AV9" s="157" t="s">
        <v>741</v>
      </c>
      <c r="AW9" s="138">
        <v>14.0</v>
      </c>
      <c r="AX9" s="102" t="s">
        <v>742</v>
      </c>
      <c r="AY9" s="138">
        <v>50.0</v>
      </c>
      <c r="AZ9" s="107" t="s">
        <v>433</v>
      </c>
      <c r="BA9" s="140" t="s">
        <v>745</v>
      </c>
      <c r="BB9" s="107" t="s">
        <v>747</v>
      </c>
      <c r="BC9" s="107" t="s">
        <v>750</v>
      </c>
      <c r="BD9" s="107" t="s">
        <v>656</v>
      </c>
      <c r="BE9" s="108" t="b">
        <v>0</v>
      </c>
      <c r="BF9" s="108" t="b">
        <v>1</v>
      </c>
      <c r="BG9" s="108" t="b">
        <v>1</v>
      </c>
      <c r="BH9" s="108" t="b">
        <v>1</v>
      </c>
      <c r="BI9" s="108" t="b">
        <v>1</v>
      </c>
      <c r="BJ9" s="108" t="b">
        <v>1</v>
      </c>
      <c r="BK9" s="108" t="b">
        <v>1</v>
      </c>
      <c r="BL9" s="107" t="s">
        <v>519</v>
      </c>
      <c r="BM9" s="107" t="s">
        <v>543</v>
      </c>
      <c r="BN9" s="107" t="s">
        <v>754</v>
      </c>
      <c r="BO9" s="102" t="s">
        <v>755</v>
      </c>
      <c r="BP9" s="107" t="s">
        <v>758</v>
      </c>
      <c r="BQ9" s="107" t="s">
        <v>759</v>
      </c>
      <c r="BR9" s="107" t="s">
        <v>760</v>
      </c>
      <c r="BS9" s="106"/>
      <c r="BT9" s="107" t="s">
        <v>762</v>
      </c>
      <c r="BU9" s="102" t="s">
        <v>764</v>
      </c>
      <c r="BV9" s="123">
        <v>46260.0</v>
      </c>
      <c r="BW9" s="108" t="b">
        <v>0</v>
      </c>
      <c r="BX9" s="106"/>
    </row>
    <row r="10" ht="24.75" customHeight="1">
      <c r="A10" s="89" t="s">
        <v>348</v>
      </c>
      <c r="B10" s="89" t="s">
        <v>772</v>
      </c>
      <c r="C10" s="95" t="s">
        <v>782</v>
      </c>
      <c r="D10" s="175" t="s">
        <v>785</v>
      </c>
      <c r="E10" s="102" t="s">
        <v>339</v>
      </c>
      <c r="F10" s="102" t="s">
        <v>789</v>
      </c>
      <c r="G10" s="102" t="s">
        <v>790</v>
      </c>
      <c r="H10" s="102" t="s">
        <v>582</v>
      </c>
      <c r="I10" s="102" t="s">
        <v>584</v>
      </c>
      <c r="J10" s="95" t="s">
        <v>798</v>
      </c>
      <c r="K10" s="105">
        <v>50.6963980496972</v>
      </c>
      <c r="L10" s="105">
        <v>-3.0910296771164</v>
      </c>
      <c r="M10" s="106"/>
      <c r="N10" s="107" t="s">
        <v>558</v>
      </c>
      <c r="O10" s="108" t="b">
        <v>1</v>
      </c>
      <c r="P10" s="180" t="s">
        <v>812</v>
      </c>
      <c r="Q10" s="180" t="s">
        <v>674</v>
      </c>
      <c r="R10" s="151" t="s">
        <v>387</v>
      </c>
      <c r="S10" s="151" t="s">
        <v>387</v>
      </c>
      <c r="T10" s="151" t="s">
        <v>387</v>
      </c>
      <c r="U10" s="151" t="s">
        <v>387</v>
      </c>
      <c r="V10" s="151" t="s">
        <v>387</v>
      </c>
      <c r="W10" s="151" t="s">
        <v>387</v>
      </c>
      <c r="X10" s="151" t="s">
        <v>387</v>
      </c>
      <c r="Y10" s="151" t="s">
        <v>387</v>
      </c>
      <c r="Z10" s="151" t="s">
        <v>387</v>
      </c>
      <c r="AA10" s="151" t="s">
        <v>387</v>
      </c>
      <c r="AB10" s="151" t="s">
        <v>387</v>
      </c>
      <c r="AC10" s="151" t="s">
        <v>387</v>
      </c>
      <c r="AD10" s="151" t="s">
        <v>387</v>
      </c>
      <c r="AE10" s="151" t="s">
        <v>387</v>
      </c>
      <c r="AF10" s="102" t="s">
        <v>387</v>
      </c>
      <c r="AG10" s="107" t="s">
        <v>678</v>
      </c>
      <c r="AH10" s="108" t="b">
        <v>0</v>
      </c>
      <c r="AI10" s="108" t="b">
        <v>0</v>
      </c>
      <c r="AJ10" s="107" t="s">
        <v>412</v>
      </c>
      <c r="AK10" s="106"/>
      <c r="AL10" s="107" t="s">
        <v>387</v>
      </c>
      <c r="AM10" s="113" t="s">
        <v>387</v>
      </c>
      <c r="AN10" s="107" t="s">
        <v>387</v>
      </c>
      <c r="AO10" s="113" t="s">
        <v>387</v>
      </c>
      <c r="AP10" s="107" t="s">
        <v>387</v>
      </c>
      <c r="AQ10" s="113" t="s">
        <v>387</v>
      </c>
      <c r="AR10" s="107" t="s">
        <v>387</v>
      </c>
      <c r="AS10" s="113" t="s">
        <v>387</v>
      </c>
      <c r="AT10" s="107" t="s">
        <v>387</v>
      </c>
      <c r="AU10" s="113" t="s">
        <v>387</v>
      </c>
      <c r="AV10" s="107" t="s">
        <v>387</v>
      </c>
      <c r="AW10" s="113" t="s">
        <v>387</v>
      </c>
      <c r="AX10" s="107" t="s">
        <v>387</v>
      </c>
      <c r="AY10" s="113" t="s">
        <v>387</v>
      </c>
      <c r="AZ10" s="107" t="s">
        <v>588</v>
      </c>
      <c r="BA10" s="140" t="s">
        <v>861</v>
      </c>
      <c r="BB10" s="106"/>
      <c r="BC10" s="106" t="s">
        <v>483</v>
      </c>
      <c r="BD10" s="106"/>
      <c r="BE10" s="108" t="b">
        <v>1</v>
      </c>
      <c r="BF10" s="108" t="b">
        <v>1</v>
      </c>
      <c r="BG10" s="108" t="b">
        <v>1</v>
      </c>
      <c r="BH10" s="108" t="b">
        <v>1</v>
      </c>
      <c r="BI10" s="108" t="b">
        <v>1</v>
      </c>
      <c r="BJ10" s="108" t="b">
        <v>1</v>
      </c>
      <c r="BK10" s="108" t="b">
        <v>1</v>
      </c>
      <c r="BL10" s="107" t="s">
        <v>519</v>
      </c>
      <c r="BM10" s="107" t="s">
        <v>543</v>
      </c>
      <c r="BN10" s="107" t="s">
        <v>818</v>
      </c>
      <c r="BO10" s="102" t="s">
        <v>878</v>
      </c>
      <c r="BP10" s="107" t="s">
        <v>514</v>
      </c>
      <c r="BQ10" s="106"/>
      <c r="BR10" s="102" t="s">
        <v>888</v>
      </c>
      <c r="BS10" s="102" t="s">
        <v>889</v>
      </c>
      <c r="BT10" s="102" t="s">
        <v>890</v>
      </c>
      <c r="BU10" s="102" t="s">
        <v>892</v>
      </c>
      <c r="BV10" s="123">
        <v>46260.0</v>
      </c>
      <c r="BW10" s="108" t="b">
        <v>0</v>
      </c>
      <c r="BX10" s="106"/>
    </row>
    <row r="11" ht="24.75" customHeight="1">
      <c r="A11" s="89" t="s">
        <v>348</v>
      </c>
      <c r="B11" s="89" t="s">
        <v>899</v>
      </c>
      <c r="C11" s="89" t="s">
        <v>900</v>
      </c>
      <c r="D11" s="98" t="s">
        <v>901</v>
      </c>
      <c r="E11" s="140" t="s">
        <v>902</v>
      </c>
      <c r="F11" s="102" t="s">
        <v>906</v>
      </c>
      <c r="G11" s="102" t="s">
        <v>907</v>
      </c>
      <c r="H11" s="148"/>
      <c r="I11" s="175" t="s">
        <v>646</v>
      </c>
      <c r="J11" s="175" t="s">
        <v>647</v>
      </c>
      <c r="K11" s="105">
        <v>50.5793141556894</v>
      </c>
      <c r="L11" s="105">
        <v>-3.89969809324319</v>
      </c>
      <c r="M11" s="106"/>
      <c r="N11" s="151" t="s">
        <v>558</v>
      </c>
      <c r="O11" s="152" t="b">
        <v>1</v>
      </c>
      <c r="P11" s="180" t="s">
        <v>812</v>
      </c>
      <c r="Q11" s="180" t="s">
        <v>674</v>
      </c>
      <c r="R11" s="151" t="s">
        <v>387</v>
      </c>
      <c r="S11" s="151" t="s">
        <v>387</v>
      </c>
      <c r="T11" s="151" t="s">
        <v>387</v>
      </c>
      <c r="U11" s="151" t="s">
        <v>387</v>
      </c>
      <c r="V11" s="151" t="s">
        <v>387</v>
      </c>
      <c r="W11" s="151" t="s">
        <v>387</v>
      </c>
      <c r="X11" s="151" t="s">
        <v>387</v>
      </c>
      <c r="Y11" s="151" t="s">
        <v>387</v>
      </c>
      <c r="Z11" s="151" t="s">
        <v>387</v>
      </c>
      <c r="AA11" s="151" t="s">
        <v>387</v>
      </c>
      <c r="AB11" s="151" t="s">
        <v>387</v>
      </c>
      <c r="AC11" s="151" t="s">
        <v>387</v>
      </c>
      <c r="AD11" s="151" t="s">
        <v>387</v>
      </c>
      <c r="AE11" s="151" t="s">
        <v>387</v>
      </c>
      <c r="AF11" s="107" t="s">
        <v>678</v>
      </c>
      <c r="AG11" s="107" t="s">
        <v>678</v>
      </c>
      <c r="AH11" s="108" t="b">
        <v>0</v>
      </c>
      <c r="AI11" s="154" t="b">
        <v>0</v>
      </c>
      <c r="AJ11" s="107" t="s">
        <v>412</v>
      </c>
      <c r="AK11" s="155"/>
      <c r="AL11" s="102" t="s">
        <v>387</v>
      </c>
      <c r="AM11" s="157" t="s">
        <v>387</v>
      </c>
      <c r="AN11" s="157" t="s">
        <v>387</v>
      </c>
      <c r="AO11" s="157" t="s">
        <v>387</v>
      </c>
      <c r="AP11" s="157" t="s">
        <v>387</v>
      </c>
      <c r="AQ11" s="157" t="s">
        <v>387</v>
      </c>
      <c r="AR11" s="157" t="s">
        <v>387</v>
      </c>
      <c r="AS11" s="157" t="s">
        <v>387</v>
      </c>
      <c r="AT11" s="157" t="s">
        <v>387</v>
      </c>
      <c r="AU11" s="157" t="s">
        <v>387</v>
      </c>
      <c r="AV11" s="157" t="s">
        <v>387</v>
      </c>
      <c r="AW11" s="157" t="s">
        <v>387</v>
      </c>
      <c r="AX11" s="157" t="s">
        <v>387</v>
      </c>
      <c r="AY11" s="157" t="s">
        <v>387</v>
      </c>
      <c r="AZ11" s="107" t="s">
        <v>648</v>
      </c>
      <c r="BA11" s="107" t="s">
        <v>939</v>
      </c>
      <c r="BB11" s="106"/>
      <c r="BC11" s="106"/>
      <c r="BD11" s="106"/>
      <c r="BE11" s="108" t="b">
        <v>0</v>
      </c>
      <c r="BF11" s="108" t="b">
        <v>0</v>
      </c>
      <c r="BG11" s="108" t="b">
        <v>1</v>
      </c>
      <c r="BH11" s="108" t="b">
        <v>1</v>
      </c>
      <c r="BI11" s="108" t="b">
        <v>1</v>
      </c>
      <c r="BJ11" s="108" t="b">
        <v>1</v>
      </c>
      <c r="BK11" s="108" t="b">
        <v>1</v>
      </c>
      <c r="BL11" s="107" t="s">
        <v>519</v>
      </c>
      <c r="BM11" s="107" t="s">
        <v>950</v>
      </c>
      <c r="BN11" s="107" t="s">
        <v>870</v>
      </c>
      <c r="BO11" s="102" t="s">
        <v>951</v>
      </c>
      <c r="BP11" s="107" t="s">
        <v>514</v>
      </c>
      <c r="BQ11" s="107" t="s">
        <v>952</v>
      </c>
      <c r="BR11" s="107" t="s">
        <v>953</v>
      </c>
      <c r="BS11" s="107" t="s">
        <v>954</v>
      </c>
      <c r="BT11" s="102" t="s">
        <v>957</v>
      </c>
      <c r="BU11" s="102" t="s">
        <v>530</v>
      </c>
      <c r="BV11" s="123">
        <v>46260.0</v>
      </c>
      <c r="BW11" s="108" t="b">
        <v>0</v>
      </c>
      <c r="BX11" s="106"/>
    </row>
    <row r="12" ht="24.75" customHeight="1">
      <c r="A12" s="89" t="s">
        <v>348</v>
      </c>
      <c r="B12" s="89" t="s">
        <v>964</v>
      </c>
      <c r="C12" s="89" t="s">
        <v>967</v>
      </c>
      <c r="D12" s="98" t="s">
        <v>968</v>
      </c>
      <c r="E12" s="107" t="s">
        <v>337</v>
      </c>
      <c r="F12" s="102" t="s">
        <v>973</v>
      </c>
      <c r="G12" s="102" t="s">
        <v>974</v>
      </c>
      <c r="H12" s="148"/>
      <c r="I12" s="98" t="s">
        <v>831</v>
      </c>
      <c r="J12" s="98" t="s">
        <v>976</v>
      </c>
      <c r="K12" s="149">
        <v>50.7279075893445</v>
      </c>
      <c r="L12" s="149">
        <v>-3.5176832404554</v>
      </c>
      <c r="M12" s="106"/>
      <c r="N12" s="107" t="s">
        <v>558</v>
      </c>
      <c r="O12" s="108" t="b">
        <v>1</v>
      </c>
      <c r="P12" s="109">
        <v>0.0</v>
      </c>
      <c r="Q12" s="171" t="s">
        <v>674</v>
      </c>
      <c r="R12" s="151" t="s">
        <v>387</v>
      </c>
      <c r="S12" s="151" t="s">
        <v>387</v>
      </c>
      <c r="T12" s="151" t="s">
        <v>387</v>
      </c>
      <c r="U12" s="151" t="s">
        <v>387</v>
      </c>
      <c r="V12" s="151" t="s">
        <v>387</v>
      </c>
      <c r="W12" s="151" t="s">
        <v>387</v>
      </c>
      <c r="X12" s="151" t="s">
        <v>387</v>
      </c>
      <c r="Y12" s="151" t="s">
        <v>387</v>
      </c>
      <c r="Z12" s="151" t="s">
        <v>387</v>
      </c>
      <c r="AA12" s="151" t="s">
        <v>387</v>
      </c>
      <c r="AB12" s="151" t="s">
        <v>387</v>
      </c>
      <c r="AC12" s="151" t="s">
        <v>387</v>
      </c>
      <c r="AD12" s="151" t="s">
        <v>387</v>
      </c>
      <c r="AE12" s="151" t="s">
        <v>387</v>
      </c>
      <c r="AF12" s="106"/>
      <c r="AG12" s="106"/>
      <c r="AH12" s="108" t="b">
        <v>0</v>
      </c>
      <c r="AI12" s="108" t="b">
        <v>0</v>
      </c>
      <c r="AJ12" s="107" t="s">
        <v>412</v>
      </c>
      <c r="AK12" s="106"/>
      <c r="AL12" s="102" t="s">
        <v>387</v>
      </c>
      <c r="AM12" s="157" t="s">
        <v>387</v>
      </c>
      <c r="AN12" s="157" t="s">
        <v>387</v>
      </c>
      <c r="AO12" s="157" t="s">
        <v>387</v>
      </c>
      <c r="AP12" s="102" t="s">
        <v>387</v>
      </c>
      <c r="AQ12" s="157" t="s">
        <v>387</v>
      </c>
      <c r="AR12" s="102" t="s">
        <v>387</v>
      </c>
      <c r="AS12" s="157" t="s">
        <v>387</v>
      </c>
      <c r="AT12" s="157" t="s">
        <v>387</v>
      </c>
      <c r="AU12" s="157" t="s">
        <v>387</v>
      </c>
      <c r="AV12" s="102" t="s">
        <v>387</v>
      </c>
      <c r="AW12" s="157" t="s">
        <v>387</v>
      </c>
      <c r="AX12" s="102" t="s">
        <v>387</v>
      </c>
      <c r="AY12" s="157" t="s">
        <v>387</v>
      </c>
      <c r="AZ12" s="107" t="s">
        <v>1001</v>
      </c>
      <c r="BA12" s="140" t="s">
        <v>1003</v>
      </c>
      <c r="BB12" s="106"/>
      <c r="BC12" s="106"/>
      <c r="BD12" s="107" t="s">
        <v>593</v>
      </c>
      <c r="BE12" s="108" t="b">
        <v>0</v>
      </c>
      <c r="BF12" s="108" t="b">
        <v>1</v>
      </c>
      <c r="BG12" s="108" t="b">
        <v>1</v>
      </c>
      <c r="BH12" s="108" t="b">
        <v>1</v>
      </c>
      <c r="BI12" s="108" t="b">
        <v>1</v>
      </c>
      <c r="BJ12" s="108" t="b">
        <v>0</v>
      </c>
      <c r="BK12" s="108" t="b">
        <v>0</v>
      </c>
      <c r="BL12" s="107" t="s">
        <v>519</v>
      </c>
      <c r="BM12" s="107" t="s">
        <v>1011</v>
      </c>
      <c r="BN12" s="107" t="s">
        <v>851</v>
      </c>
      <c r="BO12" s="102" t="s">
        <v>1012</v>
      </c>
      <c r="BP12" s="106"/>
      <c r="BQ12" s="106"/>
      <c r="BR12" s="107" t="s">
        <v>1015</v>
      </c>
      <c r="BS12" s="106"/>
      <c r="BT12" s="102" t="s">
        <v>1016</v>
      </c>
      <c r="BU12" s="102" t="s">
        <v>530</v>
      </c>
      <c r="BV12" s="123">
        <v>46260.0</v>
      </c>
      <c r="BW12" s="108" t="b">
        <v>0</v>
      </c>
      <c r="BX12" s="106"/>
    </row>
    <row r="13" ht="24.75" customHeight="1">
      <c r="A13" s="95" t="s">
        <v>348</v>
      </c>
      <c r="B13" s="95" t="s">
        <v>1018</v>
      </c>
      <c r="C13" s="95" t="s">
        <v>1021</v>
      </c>
      <c r="D13" s="98" t="s">
        <v>1022</v>
      </c>
      <c r="E13" s="102" t="s">
        <v>1023</v>
      </c>
      <c r="F13" s="188" t="s">
        <v>1026</v>
      </c>
      <c r="G13" s="102" t="s">
        <v>1028</v>
      </c>
      <c r="H13" s="98" t="s">
        <v>814</v>
      </c>
      <c r="I13" s="98" t="s">
        <v>748</v>
      </c>
      <c r="J13" s="98" t="s">
        <v>1029</v>
      </c>
      <c r="K13" s="105">
        <v>50.6643067859318</v>
      </c>
      <c r="L13" s="105">
        <v>-3.31037084645952</v>
      </c>
      <c r="M13" s="106"/>
      <c r="N13" s="198" t="s">
        <v>558</v>
      </c>
      <c r="O13" s="199" t="b">
        <v>1</v>
      </c>
      <c r="P13" s="200">
        <v>0.4166666666666667</v>
      </c>
      <c r="Q13" s="200">
        <v>0.7083333333333334</v>
      </c>
      <c r="R13" s="198" t="s">
        <v>387</v>
      </c>
      <c r="S13" s="198" t="s">
        <v>387</v>
      </c>
      <c r="T13" s="198" t="s">
        <v>387</v>
      </c>
      <c r="U13" s="198" t="s">
        <v>387</v>
      </c>
      <c r="V13" s="198" t="s">
        <v>387</v>
      </c>
      <c r="W13" s="198" t="s">
        <v>387</v>
      </c>
      <c r="X13" s="198" t="s">
        <v>387</v>
      </c>
      <c r="Y13" s="198" t="s">
        <v>387</v>
      </c>
      <c r="Z13" s="198" t="s">
        <v>387</v>
      </c>
      <c r="AA13" s="198" t="s">
        <v>387</v>
      </c>
      <c r="AB13" s="198" t="s">
        <v>387</v>
      </c>
      <c r="AC13" s="198" t="s">
        <v>387</v>
      </c>
      <c r="AD13" s="198" t="s">
        <v>387</v>
      </c>
      <c r="AE13" s="198" t="s">
        <v>387</v>
      </c>
      <c r="AF13" s="102" t="s">
        <v>1034</v>
      </c>
      <c r="AG13" s="102" t="s">
        <v>678</v>
      </c>
      <c r="AH13" s="201" t="b">
        <v>1</v>
      </c>
      <c r="AI13" s="202" t="b">
        <v>1</v>
      </c>
      <c r="AJ13" s="102" t="s">
        <v>1036</v>
      </c>
      <c r="AK13" s="157" t="s">
        <v>1038</v>
      </c>
      <c r="AL13" s="102" t="s">
        <v>1039</v>
      </c>
      <c r="AM13" s="138">
        <v>0.0</v>
      </c>
      <c r="AN13" s="157" t="s">
        <v>1041</v>
      </c>
      <c r="AO13" s="138">
        <v>12.75</v>
      </c>
      <c r="AP13" s="157" t="s">
        <v>387</v>
      </c>
      <c r="AQ13" s="157" t="s">
        <v>387</v>
      </c>
      <c r="AR13" s="157" t="s">
        <v>387</v>
      </c>
      <c r="AS13" s="157" t="s">
        <v>387</v>
      </c>
      <c r="AT13" s="157" t="s">
        <v>596</v>
      </c>
      <c r="AU13" s="138">
        <v>19.0</v>
      </c>
      <c r="AV13" s="157" t="s">
        <v>1044</v>
      </c>
      <c r="AW13" s="138">
        <v>17.0</v>
      </c>
      <c r="AX13" s="157" t="s">
        <v>387</v>
      </c>
      <c r="AY13" s="157" t="s">
        <v>387</v>
      </c>
      <c r="AZ13" s="102" t="s">
        <v>1045</v>
      </c>
      <c r="BA13" s="189" t="s">
        <v>1046</v>
      </c>
      <c r="BB13" s="102" t="s">
        <v>1047</v>
      </c>
      <c r="BC13" s="102" t="s">
        <v>1049</v>
      </c>
      <c r="BD13" s="102" t="s">
        <v>656</v>
      </c>
      <c r="BE13" s="201" t="b">
        <v>1</v>
      </c>
      <c r="BF13" s="201" t="b">
        <v>1</v>
      </c>
      <c r="BG13" s="201" t="b">
        <v>1</v>
      </c>
      <c r="BH13" s="201" t="b">
        <v>1</v>
      </c>
      <c r="BI13" s="201" t="b">
        <v>1</v>
      </c>
      <c r="BJ13" s="201" t="b">
        <v>1</v>
      </c>
      <c r="BK13" s="201" t="b">
        <v>1</v>
      </c>
      <c r="BL13" s="107" t="s">
        <v>496</v>
      </c>
      <c r="BM13" s="102" t="s">
        <v>1052</v>
      </c>
      <c r="BN13" s="102" t="s">
        <v>613</v>
      </c>
      <c r="BO13" s="102" t="s">
        <v>1055</v>
      </c>
      <c r="BP13" s="106"/>
      <c r="BQ13" s="102" t="s">
        <v>1056</v>
      </c>
      <c r="BR13" s="102" t="s">
        <v>1059</v>
      </c>
      <c r="BS13" s="106"/>
      <c r="BT13" s="102" t="s">
        <v>1060</v>
      </c>
      <c r="BU13" s="102" t="s">
        <v>1061</v>
      </c>
      <c r="BV13" s="123">
        <v>46260.0</v>
      </c>
      <c r="BW13" s="108" t="b">
        <v>0</v>
      </c>
      <c r="BX13" s="106"/>
    </row>
    <row r="14" ht="24.75" customHeight="1">
      <c r="A14" s="89" t="s">
        <v>348</v>
      </c>
      <c r="B14" s="89" t="s">
        <v>1062</v>
      </c>
      <c r="C14" s="89" t="s">
        <v>1063</v>
      </c>
      <c r="D14" s="98" t="s">
        <v>1064</v>
      </c>
      <c r="E14" s="107" t="s">
        <v>339</v>
      </c>
      <c r="F14" s="102" t="s">
        <v>1066</v>
      </c>
      <c r="G14" s="102" t="s">
        <v>1067</v>
      </c>
      <c r="H14" s="148"/>
      <c r="I14" s="98" t="s">
        <v>437</v>
      </c>
      <c r="J14" s="98" t="s">
        <v>1070</v>
      </c>
      <c r="K14" s="149">
        <v>50.6810933430029</v>
      </c>
      <c r="L14" s="149">
        <v>-3.23841217479671</v>
      </c>
      <c r="M14" s="106"/>
      <c r="N14" s="151" t="s">
        <v>558</v>
      </c>
      <c r="O14" s="204" t="b">
        <v>1</v>
      </c>
      <c r="P14" s="180" t="s">
        <v>812</v>
      </c>
      <c r="Q14" s="180" t="s">
        <v>674</v>
      </c>
      <c r="R14" s="151" t="s">
        <v>387</v>
      </c>
      <c r="S14" s="151" t="s">
        <v>387</v>
      </c>
      <c r="T14" s="151" t="s">
        <v>387</v>
      </c>
      <c r="U14" s="151" t="s">
        <v>387</v>
      </c>
      <c r="V14" s="151" t="s">
        <v>387</v>
      </c>
      <c r="W14" s="151" t="s">
        <v>387</v>
      </c>
      <c r="X14" s="151" t="s">
        <v>387</v>
      </c>
      <c r="Y14" s="151" t="s">
        <v>387</v>
      </c>
      <c r="Z14" s="151" t="s">
        <v>387</v>
      </c>
      <c r="AA14" s="151" t="s">
        <v>387</v>
      </c>
      <c r="AB14" s="151" t="s">
        <v>387</v>
      </c>
      <c r="AC14" s="151" t="s">
        <v>387</v>
      </c>
      <c r="AD14" s="151" t="s">
        <v>387</v>
      </c>
      <c r="AE14" s="151" t="s">
        <v>387</v>
      </c>
      <c r="AF14" s="107" t="s">
        <v>387</v>
      </c>
      <c r="AG14" s="107" t="s">
        <v>678</v>
      </c>
      <c r="AH14" s="108" t="b">
        <v>0</v>
      </c>
      <c r="AI14" s="154" t="b">
        <v>0</v>
      </c>
      <c r="AJ14" s="107" t="s">
        <v>412</v>
      </c>
      <c r="AK14" s="155"/>
      <c r="AL14" s="102" t="s">
        <v>387</v>
      </c>
      <c r="AM14" s="157" t="s">
        <v>387</v>
      </c>
      <c r="AN14" s="157" t="s">
        <v>387</v>
      </c>
      <c r="AO14" s="157" t="s">
        <v>387</v>
      </c>
      <c r="AP14" s="157" t="s">
        <v>387</v>
      </c>
      <c r="AQ14" s="157" t="s">
        <v>387</v>
      </c>
      <c r="AR14" s="157" t="s">
        <v>387</v>
      </c>
      <c r="AS14" s="157" t="s">
        <v>387</v>
      </c>
      <c r="AT14" s="157" t="s">
        <v>387</v>
      </c>
      <c r="AU14" s="157" t="s">
        <v>387</v>
      </c>
      <c r="AV14" s="157" t="s">
        <v>387</v>
      </c>
      <c r="AW14" s="157" t="s">
        <v>387</v>
      </c>
      <c r="AX14" s="157" t="s">
        <v>387</v>
      </c>
      <c r="AY14" s="157" t="s">
        <v>387</v>
      </c>
      <c r="AZ14" s="107" t="s">
        <v>648</v>
      </c>
      <c r="BA14" s="107" t="s">
        <v>1083</v>
      </c>
      <c r="BB14" s="106"/>
      <c r="BC14" s="107" t="s">
        <v>483</v>
      </c>
      <c r="BD14" s="107" t="s">
        <v>593</v>
      </c>
      <c r="BE14" s="108" t="b">
        <v>0</v>
      </c>
      <c r="BF14" s="108" t="b">
        <v>1</v>
      </c>
      <c r="BG14" s="108" t="b">
        <v>1</v>
      </c>
      <c r="BH14" s="108" t="b">
        <v>1</v>
      </c>
      <c r="BI14" s="108" t="b">
        <v>0</v>
      </c>
      <c r="BJ14" s="108" t="b">
        <v>0</v>
      </c>
      <c r="BK14" s="108" t="b">
        <v>1</v>
      </c>
      <c r="BL14" s="107" t="s">
        <v>519</v>
      </c>
      <c r="BM14" s="107" t="s">
        <v>1090</v>
      </c>
      <c r="BN14" s="107" t="s">
        <v>1091</v>
      </c>
      <c r="BO14" s="102" t="s">
        <v>1092</v>
      </c>
      <c r="BP14" s="106"/>
      <c r="BQ14" s="106"/>
      <c r="BR14" s="107" t="s">
        <v>1094</v>
      </c>
      <c r="BS14" s="106"/>
      <c r="BT14" s="102" t="s">
        <v>1095</v>
      </c>
      <c r="BU14" s="102" t="s">
        <v>530</v>
      </c>
      <c r="BV14" s="123">
        <v>46260.0</v>
      </c>
      <c r="BW14" s="108" t="b">
        <v>0</v>
      </c>
      <c r="BX14" s="106"/>
    </row>
    <row r="15" ht="24.75" customHeight="1">
      <c r="A15" s="89" t="s">
        <v>348</v>
      </c>
      <c r="B15" s="89" t="s">
        <v>816</v>
      </c>
      <c r="C15" s="95" t="s">
        <v>817</v>
      </c>
      <c r="D15" s="98" t="s">
        <v>1098</v>
      </c>
      <c r="E15" s="102" t="s">
        <v>988</v>
      </c>
      <c r="F15" s="102" t="s">
        <v>1100</v>
      </c>
      <c r="G15" s="102" t="s">
        <v>1101</v>
      </c>
      <c r="H15" s="102" t="s">
        <v>1103</v>
      </c>
      <c r="I15" s="102" t="s">
        <v>831</v>
      </c>
      <c r="J15" s="95" t="s">
        <v>1104</v>
      </c>
      <c r="K15" s="105">
        <v>50.7201487849363</v>
      </c>
      <c r="L15" s="105">
        <v>-3.53786074654218</v>
      </c>
      <c r="M15" s="106"/>
      <c r="N15" s="107" t="s">
        <v>558</v>
      </c>
      <c r="O15" s="108" t="b">
        <v>0</v>
      </c>
      <c r="P15" s="151" t="s">
        <v>387</v>
      </c>
      <c r="Q15" s="151" t="s">
        <v>387</v>
      </c>
      <c r="R15" s="109">
        <v>0.4166666666666667</v>
      </c>
      <c r="S15" s="109">
        <v>0.9166666666666666</v>
      </c>
      <c r="T15" s="109">
        <v>0.4166666666666667</v>
      </c>
      <c r="U15" s="109">
        <v>0.9166666666666666</v>
      </c>
      <c r="V15" s="109">
        <v>0.4166666666666667</v>
      </c>
      <c r="W15" s="109">
        <v>0.9166666666666666</v>
      </c>
      <c r="X15" s="109">
        <v>0.4166666666666667</v>
      </c>
      <c r="Y15" s="109">
        <v>0.9166666666666666</v>
      </c>
      <c r="Z15" s="109">
        <v>0.4166666666666667</v>
      </c>
      <c r="AA15" s="109">
        <v>0.9166666666666666</v>
      </c>
      <c r="AB15" s="109">
        <v>0.375</v>
      </c>
      <c r="AC15" s="109">
        <v>0.7916666666666666</v>
      </c>
      <c r="AD15" s="109">
        <v>0.375</v>
      </c>
      <c r="AE15" s="109">
        <v>0.7916666666666666</v>
      </c>
      <c r="AF15" s="207" t="s">
        <v>1106</v>
      </c>
      <c r="AG15" s="107" t="s">
        <v>1107</v>
      </c>
      <c r="AH15" s="108" t="b">
        <v>1</v>
      </c>
      <c r="AI15" s="108" t="b">
        <v>1</v>
      </c>
      <c r="AJ15" s="107" t="s">
        <v>1108</v>
      </c>
      <c r="AK15" s="107" t="s">
        <v>574</v>
      </c>
      <c r="AL15" s="107" t="s">
        <v>387</v>
      </c>
      <c r="AM15" s="113" t="s">
        <v>387</v>
      </c>
      <c r="AN15" s="107" t="s">
        <v>1110</v>
      </c>
      <c r="AO15" s="210">
        <v>12.0</v>
      </c>
      <c r="AP15" s="107" t="s">
        <v>387</v>
      </c>
      <c r="AQ15" s="113" t="s">
        <v>387</v>
      </c>
      <c r="AR15" s="107" t="s">
        <v>387</v>
      </c>
      <c r="AS15" s="113" t="s">
        <v>387</v>
      </c>
      <c r="AT15" s="107" t="s">
        <v>596</v>
      </c>
      <c r="AU15" s="210">
        <v>14.0</v>
      </c>
      <c r="AV15" s="102" t="s">
        <v>1114</v>
      </c>
      <c r="AW15" s="210">
        <v>12.0</v>
      </c>
      <c r="AX15" s="107" t="s">
        <v>387</v>
      </c>
      <c r="AY15" s="113" t="s">
        <v>387</v>
      </c>
      <c r="AZ15" s="107" t="s">
        <v>648</v>
      </c>
      <c r="BA15" s="107" t="s">
        <v>1116</v>
      </c>
      <c r="BB15" s="106"/>
      <c r="BC15" s="107" t="s">
        <v>1117</v>
      </c>
      <c r="BD15" s="106"/>
      <c r="BE15" s="108" t="b">
        <v>0</v>
      </c>
      <c r="BF15" s="108" t="b">
        <v>0</v>
      </c>
      <c r="BG15" s="108" t="b">
        <v>0</v>
      </c>
      <c r="BH15" s="108" t="b">
        <v>1</v>
      </c>
      <c r="BI15" s="108" t="b">
        <v>1</v>
      </c>
      <c r="BJ15" s="108" t="b">
        <v>1</v>
      </c>
      <c r="BK15" s="108" t="b">
        <v>1</v>
      </c>
      <c r="BL15" s="107" t="s">
        <v>649</v>
      </c>
      <c r="BM15" s="107" t="s">
        <v>1119</v>
      </c>
      <c r="BN15" s="107" t="s">
        <v>1120</v>
      </c>
      <c r="BO15" s="102" t="s">
        <v>1121</v>
      </c>
      <c r="BP15" s="106"/>
      <c r="BQ15" s="106"/>
      <c r="BR15" s="102" t="s">
        <v>1124</v>
      </c>
      <c r="BS15" s="102" t="s">
        <v>1125</v>
      </c>
      <c r="BT15" s="102" t="s">
        <v>1127</v>
      </c>
      <c r="BU15" s="102" t="s">
        <v>530</v>
      </c>
      <c r="BV15" s="123">
        <v>46260.0</v>
      </c>
      <c r="BW15" s="108" t="b">
        <v>0</v>
      </c>
      <c r="BX15" s="106"/>
    </row>
    <row r="16" ht="24.75" customHeight="1">
      <c r="A16" s="89" t="s">
        <v>348</v>
      </c>
      <c r="B16" s="89" t="s">
        <v>772</v>
      </c>
      <c r="C16" s="89" t="s">
        <v>1134</v>
      </c>
      <c r="D16" s="98" t="s">
        <v>1135</v>
      </c>
      <c r="E16" s="107" t="s">
        <v>337</v>
      </c>
      <c r="F16" s="102" t="s">
        <v>1137</v>
      </c>
      <c r="G16" s="102" t="s">
        <v>1138</v>
      </c>
      <c r="H16" s="148"/>
      <c r="I16" s="175" t="s">
        <v>1139</v>
      </c>
      <c r="J16" s="175" t="s">
        <v>1140</v>
      </c>
      <c r="K16" s="105">
        <v>50.3979054184867</v>
      </c>
      <c r="L16" s="105">
        <v>-3.50816235338229</v>
      </c>
      <c r="M16" s="106"/>
      <c r="N16" s="107" t="s">
        <v>558</v>
      </c>
      <c r="O16" s="108" t="b">
        <v>1</v>
      </c>
      <c r="P16" s="109">
        <v>0.0</v>
      </c>
      <c r="Q16" s="171" t="s">
        <v>674</v>
      </c>
      <c r="R16" s="151" t="s">
        <v>387</v>
      </c>
      <c r="S16" s="151" t="s">
        <v>387</v>
      </c>
      <c r="T16" s="151" t="s">
        <v>387</v>
      </c>
      <c r="U16" s="151" t="s">
        <v>387</v>
      </c>
      <c r="V16" s="151" t="s">
        <v>387</v>
      </c>
      <c r="W16" s="151" t="s">
        <v>387</v>
      </c>
      <c r="X16" s="151" t="s">
        <v>387</v>
      </c>
      <c r="Y16" s="151" t="s">
        <v>387</v>
      </c>
      <c r="Z16" s="151" t="s">
        <v>387</v>
      </c>
      <c r="AA16" s="151" t="s">
        <v>387</v>
      </c>
      <c r="AB16" s="151" t="s">
        <v>387</v>
      </c>
      <c r="AC16" s="151" t="s">
        <v>387</v>
      </c>
      <c r="AD16" s="151" t="s">
        <v>387</v>
      </c>
      <c r="AE16" s="151" t="s">
        <v>387</v>
      </c>
      <c r="AF16" s="102" t="s">
        <v>387</v>
      </c>
      <c r="AG16" s="107" t="s">
        <v>678</v>
      </c>
      <c r="AH16" s="108" t="b">
        <v>0</v>
      </c>
      <c r="AI16" s="108" t="b">
        <v>0</v>
      </c>
      <c r="AJ16" s="107" t="s">
        <v>412</v>
      </c>
      <c r="AK16" s="106"/>
      <c r="AL16" s="102" t="s">
        <v>387</v>
      </c>
      <c r="AM16" s="157" t="s">
        <v>387</v>
      </c>
      <c r="AN16" s="157" t="s">
        <v>387</v>
      </c>
      <c r="AO16" s="157" t="s">
        <v>387</v>
      </c>
      <c r="AP16" s="102" t="s">
        <v>387</v>
      </c>
      <c r="AQ16" s="157" t="s">
        <v>387</v>
      </c>
      <c r="AR16" s="102" t="s">
        <v>387</v>
      </c>
      <c r="AS16" s="157" t="s">
        <v>387</v>
      </c>
      <c r="AT16" s="157" t="s">
        <v>387</v>
      </c>
      <c r="AU16" s="157" t="s">
        <v>387</v>
      </c>
      <c r="AV16" s="102" t="s">
        <v>387</v>
      </c>
      <c r="AW16" s="157" t="s">
        <v>387</v>
      </c>
      <c r="AX16" s="102" t="s">
        <v>387</v>
      </c>
      <c r="AY16" s="157" t="s">
        <v>387</v>
      </c>
      <c r="AZ16" s="107" t="s">
        <v>588</v>
      </c>
      <c r="BA16" s="140" t="s">
        <v>1153</v>
      </c>
      <c r="BB16" s="106"/>
      <c r="BC16" s="107" t="s">
        <v>1155</v>
      </c>
      <c r="BD16" s="107" t="s">
        <v>656</v>
      </c>
      <c r="BE16" s="108" t="b">
        <v>1</v>
      </c>
      <c r="BF16" s="108" t="b">
        <v>1</v>
      </c>
      <c r="BG16" s="108" t="b">
        <v>1</v>
      </c>
      <c r="BH16" s="108" t="b">
        <v>1</v>
      </c>
      <c r="BI16" s="108" t="b">
        <v>1</v>
      </c>
      <c r="BJ16" s="108" t="b">
        <v>1</v>
      </c>
      <c r="BK16" s="108" t="b">
        <v>1</v>
      </c>
      <c r="BL16" s="107" t="s">
        <v>519</v>
      </c>
      <c r="BM16" s="107" t="s">
        <v>543</v>
      </c>
      <c r="BN16" s="107" t="s">
        <v>818</v>
      </c>
      <c r="BO16" s="102" t="s">
        <v>1167</v>
      </c>
      <c r="BP16" s="106"/>
      <c r="BQ16" s="106"/>
      <c r="BR16" s="107" t="s">
        <v>1168</v>
      </c>
      <c r="BS16" s="107" t="s">
        <v>1169</v>
      </c>
      <c r="BT16" s="102" t="s">
        <v>1170</v>
      </c>
      <c r="BU16" s="102" t="s">
        <v>725</v>
      </c>
      <c r="BV16" s="123">
        <v>46260.0</v>
      </c>
      <c r="BW16" s="108" t="b">
        <v>0</v>
      </c>
      <c r="BX16" s="106"/>
    </row>
    <row r="17" ht="24.75" customHeight="1">
      <c r="A17" s="89" t="s">
        <v>348</v>
      </c>
      <c r="B17" s="89" t="s">
        <v>899</v>
      </c>
      <c r="C17" s="89" t="s">
        <v>1174</v>
      </c>
      <c r="D17" s="175" t="s">
        <v>1175</v>
      </c>
      <c r="E17" s="107" t="s">
        <v>337</v>
      </c>
      <c r="F17" s="102" t="s">
        <v>1179</v>
      </c>
      <c r="G17" s="102" t="s">
        <v>1180</v>
      </c>
      <c r="H17" s="148"/>
      <c r="I17" s="98" t="s">
        <v>1181</v>
      </c>
      <c r="J17" s="98" t="s">
        <v>1183</v>
      </c>
      <c r="K17" s="105">
        <v>50.8329323363178</v>
      </c>
      <c r="L17" s="105">
        <v>-4.55396990608116</v>
      </c>
      <c r="M17" s="106"/>
      <c r="N17" s="107" t="s">
        <v>558</v>
      </c>
      <c r="O17" s="108" t="b">
        <v>1</v>
      </c>
      <c r="P17" s="109">
        <v>0.0</v>
      </c>
      <c r="Q17" s="171" t="s">
        <v>674</v>
      </c>
      <c r="R17" s="151" t="s">
        <v>387</v>
      </c>
      <c r="S17" s="151" t="s">
        <v>387</v>
      </c>
      <c r="T17" s="151" t="s">
        <v>387</v>
      </c>
      <c r="U17" s="151" t="s">
        <v>387</v>
      </c>
      <c r="V17" s="151" t="s">
        <v>387</v>
      </c>
      <c r="W17" s="151" t="s">
        <v>387</v>
      </c>
      <c r="X17" s="151" t="s">
        <v>387</v>
      </c>
      <c r="Y17" s="151" t="s">
        <v>387</v>
      </c>
      <c r="Z17" s="151" t="s">
        <v>387</v>
      </c>
      <c r="AA17" s="151" t="s">
        <v>387</v>
      </c>
      <c r="AB17" s="151" t="s">
        <v>387</v>
      </c>
      <c r="AC17" s="151" t="s">
        <v>387</v>
      </c>
      <c r="AD17" s="151" t="s">
        <v>387</v>
      </c>
      <c r="AE17" s="151" t="s">
        <v>387</v>
      </c>
      <c r="AF17" s="102" t="s">
        <v>1188</v>
      </c>
      <c r="AG17" s="106"/>
      <c r="AH17" s="108" t="b">
        <v>0</v>
      </c>
      <c r="AI17" s="108" t="b">
        <v>0</v>
      </c>
      <c r="AJ17" s="107" t="s">
        <v>412</v>
      </c>
      <c r="AK17" s="106"/>
      <c r="AL17" s="102" t="s">
        <v>387</v>
      </c>
      <c r="AM17" s="157" t="s">
        <v>387</v>
      </c>
      <c r="AN17" s="157" t="s">
        <v>387</v>
      </c>
      <c r="AO17" s="157" t="s">
        <v>387</v>
      </c>
      <c r="AP17" s="102" t="s">
        <v>387</v>
      </c>
      <c r="AQ17" s="157" t="s">
        <v>387</v>
      </c>
      <c r="AR17" s="102" t="s">
        <v>387</v>
      </c>
      <c r="AS17" s="157" t="s">
        <v>387</v>
      </c>
      <c r="AT17" s="157" t="s">
        <v>387</v>
      </c>
      <c r="AU17" s="157" t="s">
        <v>387</v>
      </c>
      <c r="AV17" s="102" t="s">
        <v>387</v>
      </c>
      <c r="AW17" s="157" t="s">
        <v>387</v>
      </c>
      <c r="AX17" s="102" t="s">
        <v>387</v>
      </c>
      <c r="AY17" s="157" t="s">
        <v>387</v>
      </c>
      <c r="AZ17" s="107" t="s">
        <v>648</v>
      </c>
      <c r="BA17" s="140" t="s">
        <v>1207</v>
      </c>
      <c r="BB17" s="106"/>
      <c r="BC17" s="106"/>
      <c r="BD17" s="106"/>
      <c r="BE17" s="108" t="b">
        <v>0</v>
      </c>
      <c r="BF17" s="108" t="b">
        <v>0</v>
      </c>
      <c r="BG17" s="108" t="b">
        <v>0</v>
      </c>
      <c r="BH17" s="108" t="b">
        <v>1</v>
      </c>
      <c r="BI17" s="108" t="b">
        <v>1</v>
      </c>
      <c r="BJ17" s="108" t="b">
        <v>1</v>
      </c>
      <c r="BK17" s="108" t="b">
        <v>1</v>
      </c>
      <c r="BL17" s="107" t="s">
        <v>519</v>
      </c>
      <c r="BM17" s="107" t="s">
        <v>1215</v>
      </c>
      <c r="BN17" s="107" t="s">
        <v>1216</v>
      </c>
      <c r="BO17" s="102" t="s">
        <v>1217</v>
      </c>
      <c r="BP17" s="106"/>
      <c r="BQ17" s="106"/>
      <c r="BR17" s="107" t="s">
        <v>1218</v>
      </c>
      <c r="BS17" s="107" t="s">
        <v>1219</v>
      </c>
      <c r="BT17" s="102" t="s">
        <v>1220</v>
      </c>
      <c r="BU17" s="102" t="s">
        <v>725</v>
      </c>
      <c r="BV17" s="123">
        <v>46260.0</v>
      </c>
      <c r="BW17" s="108" t="b">
        <v>0</v>
      </c>
      <c r="BX17" s="106"/>
    </row>
    <row r="18" ht="24.75" customHeight="1">
      <c r="A18" s="89" t="s">
        <v>348</v>
      </c>
      <c r="B18" s="89" t="s">
        <v>772</v>
      </c>
      <c r="C18" s="95" t="s">
        <v>782</v>
      </c>
      <c r="D18" s="146" t="s">
        <v>1221</v>
      </c>
      <c r="E18" s="102" t="s">
        <v>653</v>
      </c>
      <c r="F18" s="102" t="s">
        <v>1223</v>
      </c>
      <c r="G18" s="107" t="s">
        <v>1224</v>
      </c>
      <c r="H18" s="102" t="s">
        <v>1225</v>
      </c>
      <c r="I18" s="102" t="s">
        <v>1226</v>
      </c>
      <c r="J18" s="95" t="s">
        <v>749</v>
      </c>
      <c r="K18" s="105">
        <v>50.6315874744303</v>
      </c>
      <c r="L18" s="105">
        <v>-3.3123493407783</v>
      </c>
      <c r="M18" s="106"/>
      <c r="N18" s="107" t="s">
        <v>558</v>
      </c>
      <c r="O18" s="108" t="b">
        <v>1</v>
      </c>
      <c r="P18" s="180" t="s">
        <v>812</v>
      </c>
      <c r="Q18" s="180" t="s">
        <v>674</v>
      </c>
      <c r="R18" s="216" t="s">
        <v>387</v>
      </c>
      <c r="S18" s="216" t="s">
        <v>387</v>
      </c>
      <c r="T18" s="216" t="s">
        <v>387</v>
      </c>
      <c r="U18" s="216" t="s">
        <v>387</v>
      </c>
      <c r="V18" s="216" t="s">
        <v>387</v>
      </c>
      <c r="W18" s="216" t="s">
        <v>387</v>
      </c>
      <c r="X18" s="216" t="s">
        <v>387</v>
      </c>
      <c r="Y18" s="216" t="s">
        <v>387</v>
      </c>
      <c r="Z18" s="216" t="s">
        <v>387</v>
      </c>
      <c r="AA18" s="216" t="s">
        <v>387</v>
      </c>
      <c r="AB18" s="216" t="s">
        <v>387</v>
      </c>
      <c r="AC18" s="216" t="s">
        <v>387</v>
      </c>
      <c r="AD18" s="207" t="s">
        <v>387</v>
      </c>
      <c r="AE18" s="207" t="s">
        <v>387</v>
      </c>
      <c r="AF18" s="207" t="s">
        <v>387</v>
      </c>
      <c r="AG18" s="107" t="s">
        <v>678</v>
      </c>
      <c r="AH18" s="108" t="b">
        <v>0</v>
      </c>
      <c r="AI18" s="108" t="b">
        <v>0</v>
      </c>
      <c r="AJ18" s="106" t="s">
        <v>412</v>
      </c>
      <c r="AK18" s="106"/>
      <c r="AL18" s="113" t="s">
        <v>387</v>
      </c>
      <c r="AM18" s="113" t="s">
        <v>387</v>
      </c>
      <c r="AN18" s="113" t="s">
        <v>387</v>
      </c>
      <c r="AO18" s="113" t="s">
        <v>387</v>
      </c>
      <c r="AP18" s="113" t="s">
        <v>387</v>
      </c>
      <c r="AQ18" s="113" t="s">
        <v>387</v>
      </c>
      <c r="AR18" s="113" t="s">
        <v>387</v>
      </c>
      <c r="AS18" s="113" t="s">
        <v>387</v>
      </c>
      <c r="AT18" s="113" t="s">
        <v>387</v>
      </c>
      <c r="AU18" s="113" t="s">
        <v>387</v>
      </c>
      <c r="AV18" s="113" t="s">
        <v>387</v>
      </c>
      <c r="AW18" s="113" t="s">
        <v>387</v>
      </c>
      <c r="AX18" s="113" t="s">
        <v>387</v>
      </c>
      <c r="AY18" s="113" t="s">
        <v>387</v>
      </c>
      <c r="AZ18" s="107" t="s">
        <v>648</v>
      </c>
      <c r="BA18" s="140" t="s">
        <v>1235</v>
      </c>
      <c r="BB18" s="107" t="s">
        <v>1236</v>
      </c>
      <c r="BC18" s="107" t="s">
        <v>483</v>
      </c>
      <c r="BD18" s="107" t="s">
        <v>656</v>
      </c>
      <c r="BE18" s="108" t="b">
        <v>1</v>
      </c>
      <c r="BF18" s="108" t="b">
        <v>1</v>
      </c>
      <c r="BG18" s="108" t="b">
        <v>1</v>
      </c>
      <c r="BH18" s="108" t="b">
        <v>1</v>
      </c>
      <c r="BI18" s="108" t="b">
        <v>1</v>
      </c>
      <c r="BJ18" s="108" t="b">
        <v>1</v>
      </c>
      <c r="BK18" s="108" t="b">
        <v>1</v>
      </c>
      <c r="BL18" s="107" t="s">
        <v>519</v>
      </c>
      <c r="BM18" s="107" t="s">
        <v>543</v>
      </c>
      <c r="BN18" s="107" t="s">
        <v>818</v>
      </c>
      <c r="BO18" s="102" t="s">
        <v>1237</v>
      </c>
      <c r="BP18" s="107" t="s">
        <v>1238</v>
      </c>
      <c r="BQ18" s="107" t="s">
        <v>1239</v>
      </c>
      <c r="BR18" s="102" t="s">
        <v>1240</v>
      </c>
      <c r="BS18" s="102" t="s">
        <v>774</v>
      </c>
      <c r="BT18" s="102" t="s">
        <v>1242</v>
      </c>
      <c r="BU18" s="102" t="s">
        <v>530</v>
      </c>
      <c r="BV18" s="123">
        <v>46260.0</v>
      </c>
      <c r="BW18" s="108" t="b">
        <v>0</v>
      </c>
      <c r="BX18" s="106"/>
    </row>
    <row r="19" ht="24.75" customHeight="1">
      <c r="A19" s="89" t="s">
        <v>348</v>
      </c>
      <c r="B19" s="89" t="s">
        <v>772</v>
      </c>
      <c r="C19" s="95" t="s">
        <v>782</v>
      </c>
      <c r="D19" s="146" t="s">
        <v>1245</v>
      </c>
      <c r="E19" s="102" t="s">
        <v>653</v>
      </c>
      <c r="F19" s="102" t="s">
        <v>1246</v>
      </c>
      <c r="G19" s="107" t="s">
        <v>1224</v>
      </c>
      <c r="H19" s="102" t="s">
        <v>1225</v>
      </c>
      <c r="I19" s="102" t="s">
        <v>1226</v>
      </c>
      <c r="J19" s="95" t="s">
        <v>749</v>
      </c>
      <c r="K19" s="105">
        <v>50.6298848106924</v>
      </c>
      <c r="L19" s="105">
        <v>-3.31222503974531</v>
      </c>
      <c r="M19" s="106"/>
      <c r="N19" s="107" t="s">
        <v>558</v>
      </c>
      <c r="O19" s="108" t="b">
        <v>1</v>
      </c>
      <c r="P19" s="180" t="s">
        <v>812</v>
      </c>
      <c r="Q19" s="180" t="s">
        <v>674</v>
      </c>
      <c r="R19" s="107" t="s">
        <v>387</v>
      </c>
      <c r="S19" s="107" t="s">
        <v>387</v>
      </c>
      <c r="T19" s="107" t="s">
        <v>387</v>
      </c>
      <c r="U19" s="107" t="s">
        <v>387</v>
      </c>
      <c r="V19" s="107" t="s">
        <v>387</v>
      </c>
      <c r="W19" s="107" t="s">
        <v>387</v>
      </c>
      <c r="X19" s="107" t="s">
        <v>387</v>
      </c>
      <c r="Y19" s="107" t="s">
        <v>387</v>
      </c>
      <c r="Z19" s="107" t="s">
        <v>387</v>
      </c>
      <c r="AA19" s="107" t="s">
        <v>387</v>
      </c>
      <c r="AB19" s="107" t="s">
        <v>387</v>
      </c>
      <c r="AC19" s="107" t="s">
        <v>387</v>
      </c>
      <c r="AD19" s="107" t="s">
        <v>387</v>
      </c>
      <c r="AE19" s="107" t="s">
        <v>387</v>
      </c>
      <c r="AF19" s="207" t="s">
        <v>387</v>
      </c>
      <c r="AG19" s="107" t="s">
        <v>678</v>
      </c>
      <c r="AH19" s="108" t="b">
        <v>0</v>
      </c>
      <c r="AI19" s="108" t="b">
        <v>0</v>
      </c>
      <c r="AJ19" s="107" t="s">
        <v>412</v>
      </c>
      <c r="AK19" s="106"/>
      <c r="AL19" s="107" t="s">
        <v>387</v>
      </c>
      <c r="AM19" s="113" t="s">
        <v>387</v>
      </c>
      <c r="AN19" s="107" t="s">
        <v>387</v>
      </c>
      <c r="AO19" s="113" t="s">
        <v>387</v>
      </c>
      <c r="AP19" s="107" t="s">
        <v>387</v>
      </c>
      <c r="AQ19" s="113" t="s">
        <v>387</v>
      </c>
      <c r="AR19" s="107" t="s">
        <v>387</v>
      </c>
      <c r="AS19" s="113" t="s">
        <v>387</v>
      </c>
      <c r="AT19" s="107" t="s">
        <v>387</v>
      </c>
      <c r="AU19" s="113" t="s">
        <v>387</v>
      </c>
      <c r="AV19" s="107" t="s">
        <v>387</v>
      </c>
      <c r="AW19" s="113" t="s">
        <v>387</v>
      </c>
      <c r="AX19" s="107" t="s">
        <v>387</v>
      </c>
      <c r="AY19" s="113" t="s">
        <v>387</v>
      </c>
      <c r="AZ19" s="107" t="s">
        <v>788</v>
      </c>
      <c r="BA19" s="140" t="s">
        <v>1249</v>
      </c>
      <c r="BB19" s="107" t="s">
        <v>1005</v>
      </c>
      <c r="BC19" s="107" t="s">
        <v>1250</v>
      </c>
      <c r="BD19" s="107" t="s">
        <v>593</v>
      </c>
      <c r="BE19" s="108" t="b">
        <v>1</v>
      </c>
      <c r="BF19" s="108" t="b">
        <v>1</v>
      </c>
      <c r="BG19" s="108" t="b">
        <v>1</v>
      </c>
      <c r="BH19" s="108" t="b">
        <v>1</v>
      </c>
      <c r="BI19" s="108" t="b">
        <v>1</v>
      </c>
      <c r="BJ19" s="108" t="b">
        <v>1</v>
      </c>
      <c r="BK19" s="108" t="b">
        <v>1</v>
      </c>
      <c r="BL19" s="107" t="s">
        <v>519</v>
      </c>
      <c r="BM19" s="107" t="s">
        <v>543</v>
      </c>
      <c r="BN19" s="107" t="s">
        <v>818</v>
      </c>
      <c r="BO19" s="102" t="s">
        <v>1251</v>
      </c>
      <c r="BP19" s="107" t="s">
        <v>514</v>
      </c>
      <c r="BQ19" s="107" t="s">
        <v>1239</v>
      </c>
      <c r="BR19" s="102" t="s">
        <v>1254</v>
      </c>
      <c r="BS19" s="102" t="s">
        <v>1255</v>
      </c>
      <c r="BT19" s="188" t="s">
        <v>1256</v>
      </c>
      <c r="BU19" s="102" t="s">
        <v>530</v>
      </c>
      <c r="BV19" s="123">
        <v>46260.0</v>
      </c>
      <c r="BW19" s="108" t="b">
        <v>0</v>
      </c>
      <c r="BX19" s="106"/>
    </row>
    <row r="20" ht="24.75" customHeight="1">
      <c r="A20" s="89" t="s">
        <v>348</v>
      </c>
      <c r="B20" s="89" t="s">
        <v>352</v>
      </c>
      <c r="C20" s="89" t="s">
        <v>1260</v>
      </c>
      <c r="D20" s="167" t="s">
        <v>1261</v>
      </c>
      <c r="E20" s="107" t="s">
        <v>339</v>
      </c>
      <c r="F20" s="102" t="s">
        <v>1262</v>
      </c>
      <c r="G20" s="107" t="s">
        <v>1263</v>
      </c>
      <c r="H20" s="98" t="s">
        <v>1264</v>
      </c>
      <c r="I20" s="98" t="s">
        <v>669</v>
      </c>
      <c r="J20" s="98" t="s">
        <v>1266</v>
      </c>
      <c r="K20" s="105">
        <v>50.6177415084</v>
      </c>
      <c r="L20" s="105">
        <v>-3.41477542555178</v>
      </c>
      <c r="M20" s="106"/>
      <c r="N20" s="107" t="s">
        <v>558</v>
      </c>
      <c r="O20" s="108" t="b">
        <v>1</v>
      </c>
      <c r="P20" s="109">
        <v>0.375</v>
      </c>
      <c r="Q20" s="109">
        <v>0.6666666666666666</v>
      </c>
      <c r="R20" s="151" t="s">
        <v>387</v>
      </c>
      <c r="S20" s="151" t="s">
        <v>387</v>
      </c>
      <c r="T20" s="151" t="s">
        <v>387</v>
      </c>
      <c r="U20" s="151" t="s">
        <v>387</v>
      </c>
      <c r="V20" s="151" t="s">
        <v>387</v>
      </c>
      <c r="W20" s="151" t="s">
        <v>387</v>
      </c>
      <c r="X20" s="151" t="s">
        <v>387</v>
      </c>
      <c r="Y20" s="151" t="s">
        <v>387</v>
      </c>
      <c r="Z20" s="151" t="s">
        <v>387</v>
      </c>
      <c r="AA20" s="151" t="s">
        <v>387</v>
      </c>
      <c r="AB20" s="151" t="s">
        <v>387</v>
      </c>
      <c r="AC20" s="151" t="s">
        <v>387</v>
      </c>
      <c r="AD20" s="151" t="s">
        <v>387</v>
      </c>
      <c r="AE20" s="151" t="s">
        <v>387</v>
      </c>
      <c r="AF20" s="102" t="s">
        <v>1269</v>
      </c>
      <c r="AG20" s="106"/>
      <c r="AH20" s="108" t="b">
        <v>0</v>
      </c>
      <c r="AI20" s="108" t="b">
        <v>0</v>
      </c>
      <c r="AJ20" s="107" t="s">
        <v>412</v>
      </c>
      <c r="AK20" s="106"/>
      <c r="AL20" s="102" t="s">
        <v>387</v>
      </c>
      <c r="AM20" s="157" t="s">
        <v>387</v>
      </c>
      <c r="AN20" s="157" t="s">
        <v>387</v>
      </c>
      <c r="AO20" s="157" t="s">
        <v>387</v>
      </c>
      <c r="AP20" s="102" t="s">
        <v>387</v>
      </c>
      <c r="AQ20" s="157" t="s">
        <v>387</v>
      </c>
      <c r="AR20" s="102" t="s">
        <v>387</v>
      </c>
      <c r="AS20" s="157" t="s">
        <v>387</v>
      </c>
      <c r="AT20" s="157" t="s">
        <v>387</v>
      </c>
      <c r="AU20" s="157" t="s">
        <v>387</v>
      </c>
      <c r="AV20" s="102" t="s">
        <v>387</v>
      </c>
      <c r="AW20" s="157" t="s">
        <v>387</v>
      </c>
      <c r="AX20" s="102" t="s">
        <v>387</v>
      </c>
      <c r="AY20" s="157" t="s">
        <v>387</v>
      </c>
      <c r="AZ20" s="107" t="s">
        <v>602</v>
      </c>
      <c r="BA20" s="107" t="s">
        <v>1274</v>
      </c>
      <c r="BB20" s="106"/>
      <c r="BC20" s="107" t="s">
        <v>1275</v>
      </c>
      <c r="BD20" s="107" t="s">
        <v>656</v>
      </c>
      <c r="BE20" s="108" t="b">
        <v>1</v>
      </c>
      <c r="BF20" s="108" t="b">
        <v>1</v>
      </c>
      <c r="BG20" s="108" t="b">
        <v>1</v>
      </c>
      <c r="BH20" s="108" t="b">
        <v>1</v>
      </c>
      <c r="BI20" s="108" t="b">
        <v>1</v>
      </c>
      <c r="BJ20" s="108" t="b">
        <v>1</v>
      </c>
      <c r="BK20" s="108" t="b">
        <v>1</v>
      </c>
      <c r="BL20" s="107" t="s">
        <v>649</v>
      </c>
      <c r="BM20" s="107" t="s">
        <v>1277</v>
      </c>
      <c r="BN20" s="107" t="s">
        <v>765</v>
      </c>
      <c r="BO20" s="102" t="s">
        <v>1278</v>
      </c>
      <c r="BP20" s="106"/>
      <c r="BQ20" s="106"/>
      <c r="BR20" s="107" t="s">
        <v>1279</v>
      </c>
      <c r="BS20" s="106"/>
      <c r="BT20" s="102" t="s">
        <v>1280</v>
      </c>
      <c r="BU20" s="102" t="s">
        <v>530</v>
      </c>
      <c r="BV20" s="123">
        <v>46260.0</v>
      </c>
      <c r="BW20" s="108" t="b">
        <v>0</v>
      </c>
      <c r="BX20" s="106"/>
    </row>
    <row r="21" ht="24.75" customHeight="1">
      <c r="A21" s="89" t="s">
        <v>348</v>
      </c>
      <c r="B21" s="89" t="s">
        <v>352</v>
      </c>
      <c r="C21" s="95" t="s">
        <v>1283</v>
      </c>
      <c r="D21" s="125" t="s">
        <v>1284</v>
      </c>
      <c r="E21" s="107" t="s">
        <v>339</v>
      </c>
      <c r="F21" s="102" t="s">
        <v>1286</v>
      </c>
      <c r="G21" s="106"/>
      <c r="H21" s="98" t="s">
        <v>1287</v>
      </c>
      <c r="I21" s="98" t="s">
        <v>669</v>
      </c>
      <c r="J21" s="98" t="s">
        <v>1289</v>
      </c>
      <c r="K21" s="105">
        <v>50.6074226664626</v>
      </c>
      <c r="L21" s="105">
        <v>-3.38513584460721</v>
      </c>
      <c r="M21" s="106"/>
      <c r="N21" s="107" t="s">
        <v>558</v>
      </c>
      <c r="O21" s="108" t="b">
        <v>1</v>
      </c>
      <c r="P21" s="109">
        <v>0.3333333333333333</v>
      </c>
      <c r="Q21" s="109">
        <v>0.6666666666666666</v>
      </c>
      <c r="R21" s="151" t="s">
        <v>387</v>
      </c>
      <c r="S21" s="151" t="s">
        <v>387</v>
      </c>
      <c r="T21" s="151" t="s">
        <v>387</v>
      </c>
      <c r="U21" s="151" t="s">
        <v>387</v>
      </c>
      <c r="V21" s="151" t="s">
        <v>387</v>
      </c>
      <c r="W21" s="151" t="s">
        <v>387</v>
      </c>
      <c r="X21" s="151" t="s">
        <v>387</v>
      </c>
      <c r="Y21" s="151" t="s">
        <v>387</v>
      </c>
      <c r="Z21" s="151" t="s">
        <v>387</v>
      </c>
      <c r="AA21" s="151" t="s">
        <v>387</v>
      </c>
      <c r="AB21" s="151" t="s">
        <v>387</v>
      </c>
      <c r="AC21" s="151" t="s">
        <v>387</v>
      </c>
      <c r="AD21" s="151" t="s">
        <v>387</v>
      </c>
      <c r="AE21" s="151" t="s">
        <v>387</v>
      </c>
      <c r="AF21" s="106"/>
      <c r="AG21" s="106"/>
      <c r="AH21" s="108" t="b">
        <v>0</v>
      </c>
      <c r="AI21" s="108" t="b">
        <v>0</v>
      </c>
      <c r="AJ21" s="107" t="s">
        <v>412</v>
      </c>
      <c r="AK21" s="106"/>
      <c r="AL21" s="102" t="s">
        <v>387</v>
      </c>
      <c r="AM21" s="157" t="s">
        <v>387</v>
      </c>
      <c r="AN21" s="157" t="s">
        <v>387</v>
      </c>
      <c r="AO21" s="157" t="s">
        <v>387</v>
      </c>
      <c r="AP21" s="102" t="s">
        <v>387</v>
      </c>
      <c r="AQ21" s="157" t="s">
        <v>387</v>
      </c>
      <c r="AR21" s="102" t="s">
        <v>387</v>
      </c>
      <c r="AS21" s="157" t="s">
        <v>387</v>
      </c>
      <c r="AT21" s="157" t="s">
        <v>387</v>
      </c>
      <c r="AU21" s="157" t="s">
        <v>387</v>
      </c>
      <c r="AV21" s="102" t="s">
        <v>387</v>
      </c>
      <c r="AW21" s="157" t="s">
        <v>387</v>
      </c>
      <c r="AX21" s="102" t="s">
        <v>387</v>
      </c>
      <c r="AY21" s="157" t="s">
        <v>387</v>
      </c>
      <c r="AZ21" s="107" t="s">
        <v>648</v>
      </c>
      <c r="BA21" s="106"/>
      <c r="BB21" s="107" t="s">
        <v>1005</v>
      </c>
      <c r="BC21" s="107" t="s">
        <v>1294</v>
      </c>
      <c r="BD21" s="106"/>
      <c r="BE21" s="108" t="b">
        <v>1</v>
      </c>
      <c r="BF21" s="108" t="b">
        <v>1</v>
      </c>
      <c r="BG21" s="108" t="b">
        <v>1</v>
      </c>
      <c r="BH21" s="108" t="b">
        <v>1</v>
      </c>
      <c r="BI21" s="108" t="b">
        <v>1</v>
      </c>
      <c r="BJ21" s="108" t="b">
        <v>1</v>
      </c>
      <c r="BK21" s="108" t="b">
        <v>1</v>
      </c>
      <c r="BL21" s="107" t="s">
        <v>519</v>
      </c>
      <c r="BM21" s="107" t="s">
        <v>543</v>
      </c>
      <c r="BN21" s="107" t="s">
        <v>1091</v>
      </c>
      <c r="BO21" s="102" t="s">
        <v>1295</v>
      </c>
      <c r="BP21" s="106"/>
      <c r="BQ21" s="106"/>
      <c r="BR21" s="107" t="s">
        <v>1296</v>
      </c>
      <c r="BS21" s="106"/>
      <c r="BT21" s="102" t="s">
        <v>1297</v>
      </c>
      <c r="BU21" s="102" t="s">
        <v>530</v>
      </c>
      <c r="BV21" s="123">
        <v>46260.0</v>
      </c>
      <c r="BW21" s="108" t="b">
        <v>0</v>
      </c>
      <c r="BX21" s="106"/>
    </row>
    <row r="22" ht="24.75" customHeight="1">
      <c r="A22" s="89" t="s">
        <v>348</v>
      </c>
      <c r="B22" s="89" t="s">
        <v>964</v>
      </c>
      <c r="C22" s="89" t="s">
        <v>967</v>
      </c>
      <c r="D22" s="98" t="s">
        <v>1298</v>
      </c>
      <c r="E22" s="107" t="s">
        <v>339</v>
      </c>
      <c r="F22" s="102" t="s">
        <v>1300</v>
      </c>
      <c r="G22" s="102" t="s">
        <v>1302</v>
      </c>
      <c r="H22" s="98" t="s">
        <v>1303</v>
      </c>
      <c r="I22" s="98" t="s">
        <v>831</v>
      </c>
      <c r="J22" s="98" t="s">
        <v>1304</v>
      </c>
      <c r="K22" s="149">
        <v>50.7286089588357</v>
      </c>
      <c r="L22" s="149">
        <v>-3.53656901717053</v>
      </c>
      <c r="M22" s="106"/>
      <c r="N22" s="107" t="s">
        <v>558</v>
      </c>
      <c r="O22" s="108" t="b">
        <v>1</v>
      </c>
      <c r="P22" s="109">
        <v>0.0</v>
      </c>
      <c r="Q22" s="171" t="s">
        <v>674</v>
      </c>
      <c r="R22" s="151" t="s">
        <v>387</v>
      </c>
      <c r="S22" s="151" t="s">
        <v>387</v>
      </c>
      <c r="T22" s="151" t="s">
        <v>387</v>
      </c>
      <c r="U22" s="151" t="s">
        <v>387</v>
      </c>
      <c r="V22" s="151" t="s">
        <v>387</v>
      </c>
      <c r="W22" s="151" t="s">
        <v>387</v>
      </c>
      <c r="X22" s="151" t="s">
        <v>387</v>
      </c>
      <c r="Y22" s="151" t="s">
        <v>387</v>
      </c>
      <c r="Z22" s="151" t="s">
        <v>387</v>
      </c>
      <c r="AA22" s="151" t="s">
        <v>387</v>
      </c>
      <c r="AB22" s="151" t="s">
        <v>387</v>
      </c>
      <c r="AC22" s="151" t="s">
        <v>387</v>
      </c>
      <c r="AD22" s="151" t="s">
        <v>387</v>
      </c>
      <c r="AE22" s="151" t="s">
        <v>387</v>
      </c>
      <c r="AF22" s="106"/>
      <c r="AG22" s="106"/>
      <c r="AH22" s="108" t="b">
        <v>0</v>
      </c>
      <c r="AI22" s="108" t="b">
        <v>0</v>
      </c>
      <c r="AJ22" s="107" t="s">
        <v>412</v>
      </c>
      <c r="AK22" s="106"/>
      <c r="AL22" s="102" t="s">
        <v>387</v>
      </c>
      <c r="AM22" s="157" t="s">
        <v>387</v>
      </c>
      <c r="AN22" s="157" t="s">
        <v>387</v>
      </c>
      <c r="AO22" s="157" t="s">
        <v>387</v>
      </c>
      <c r="AP22" s="102" t="s">
        <v>387</v>
      </c>
      <c r="AQ22" s="157" t="s">
        <v>387</v>
      </c>
      <c r="AR22" s="102" t="s">
        <v>387</v>
      </c>
      <c r="AS22" s="157" t="s">
        <v>387</v>
      </c>
      <c r="AT22" s="157" t="s">
        <v>387</v>
      </c>
      <c r="AU22" s="157" t="s">
        <v>387</v>
      </c>
      <c r="AV22" s="102" t="s">
        <v>387</v>
      </c>
      <c r="AW22" s="157" t="s">
        <v>387</v>
      </c>
      <c r="AX22" s="102" t="s">
        <v>387</v>
      </c>
      <c r="AY22" s="157" t="s">
        <v>387</v>
      </c>
      <c r="AZ22" s="107" t="s">
        <v>1001</v>
      </c>
      <c r="BA22" s="140" t="s">
        <v>1309</v>
      </c>
      <c r="BB22" s="106"/>
      <c r="BC22" s="107" t="s">
        <v>483</v>
      </c>
      <c r="BD22" s="107" t="s">
        <v>1310</v>
      </c>
      <c r="BE22" s="108" t="b">
        <v>0</v>
      </c>
      <c r="BF22" s="108" t="b">
        <v>1</v>
      </c>
      <c r="BG22" s="108" t="b">
        <v>1</v>
      </c>
      <c r="BH22" s="108" t="b">
        <v>1</v>
      </c>
      <c r="BI22" s="108" t="b">
        <v>0</v>
      </c>
      <c r="BJ22" s="108" t="b">
        <v>0</v>
      </c>
      <c r="BK22" s="108" t="b">
        <v>0</v>
      </c>
      <c r="BL22" s="107" t="s">
        <v>519</v>
      </c>
      <c r="BM22" s="107" t="s">
        <v>1313</v>
      </c>
      <c r="BN22" s="107" t="s">
        <v>765</v>
      </c>
      <c r="BO22" s="102" t="s">
        <v>1315</v>
      </c>
      <c r="BP22" s="106"/>
      <c r="BQ22" s="106"/>
      <c r="BR22" s="107" t="s">
        <v>1316</v>
      </c>
      <c r="BS22" s="106"/>
      <c r="BT22" s="102" t="s">
        <v>1317</v>
      </c>
      <c r="BU22" s="102" t="s">
        <v>530</v>
      </c>
      <c r="BV22" s="123">
        <v>46260.0</v>
      </c>
      <c r="BW22" s="108" t="b">
        <v>0</v>
      </c>
      <c r="BX22" s="106"/>
    </row>
    <row r="23" ht="24.75" customHeight="1">
      <c r="A23" s="89" t="s">
        <v>348</v>
      </c>
      <c r="B23" s="89" t="s">
        <v>595</v>
      </c>
      <c r="C23" s="89" t="s">
        <v>1318</v>
      </c>
      <c r="D23" s="98" t="s">
        <v>1319</v>
      </c>
      <c r="E23" s="107" t="s">
        <v>339</v>
      </c>
      <c r="F23" s="102" t="s">
        <v>1320</v>
      </c>
      <c r="G23" s="107" t="s">
        <v>1319</v>
      </c>
      <c r="H23" s="106"/>
      <c r="I23" s="107" t="s">
        <v>669</v>
      </c>
      <c r="J23" s="89" t="s">
        <v>815</v>
      </c>
      <c r="K23" s="105">
        <v>50.6505493565589</v>
      </c>
      <c r="L23" s="105">
        <v>-3.36754971623831</v>
      </c>
      <c r="M23" s="106"/>
      <c r="N23" s="107" t="s">
        <v>558</v>
      </c>
      <c r="O23" s="108" t="b">
        <v>1</v>
      </c>
      <c r="P23" s="109">
        <v>0.0</v>
      </c>
      <c r="Q23" s="171" t="s">
        <v>674</v>
      </c>
      <c r="R23" s="151" t="s">
        <v>387</v>
      </c>
      <c r="S23" s="151" t="s">
        <v>387</v>
      </c>
      <c r="T23" s="151" t="s">
        <v>387</v>
      </c>
      <c r="U23" s="151" t="s">
        <v>387</v>
      </c>
      <c r="V23" s="151" t="s">
        <v>387</v>
      </c>
      <c r="W23" s="151" t="s">
        <v>387</v>
      </c>
      <c r="X23" s="151" t="s">
        <v>387</v>
      </c>
      <c r="Y23" s="151" t="s">
        <v>387</v>
      </c>
      <c r="Z23" s="151" t="s">
        <v>387</v>
      </c>
      <c r="AA23" s="151" t="s">
        <v>387</v>
      </c>
      <c r="AB23" s="151" t="s">
        <v>387</v>
      </c>
      <c r="AC23" s="151" t="s">
        <v>387</v>
      </c>
      <c r="AD23" s="151" t="s">
        <v>387</v>
      </c>
      <c r="AE23" s="151" t="s">
        <v>387</v>
      </c>
      <c r="AF23" s="102" t="s">
        <v>387</v>
      </c>
      <c r="AG23" s="107" t="s">
        <v>678</v>
      </c>
      <c r="AH23" s="108" t="b">
        <v>0</v>
      </c>
      <c r="AI23" s="108" t="b">
        <v>0</v>
      </c>
      <c r="AJ23" s="107" t="s">
        <v>412</v>
      </c>
      <c r="AK23" s="106"/>
      <c r="AL23" s="102" t="s">
        <v>387</v>
      </c>
      <c r="AM23" s="157" t="s">
        <v>387</v>
      </c>
      <c r="AN23" s="102" t="s">
        <v>387</v>
      </c>
      <c r="AO23" s="157" t="s">
        <v>387</v>
      </c>
      <c r="AP23" s="102" t="s">
        <v>387</v>
      </c>
      <c r="AQ23" s="157" t="s">
        <v>387</v>
      </c>
      <c r="AR23" s="102" t="s">
        <v>387</v>
      </c>
      <c r="AS23" s="157" t="s">
        <v>387</v>
      </c>
      <c r="AT23" s="102" t="s">
        <v>387</v>
      </c>
      <c r="AU23" s="157" t="s">
        <v>387</v>
      </c>
      <c r="AV23" s="102" t="s">
        <v>387</v>
      </c>
      <c r="AW23" s="157" t="s">
        <v>387</v>
      </c>
      <c r="AX23" s="102" t="s">
        <v>387</v>
      </c>
      <c r="AY23" s="157" t="s">
        <v>387</v>
      </c>
      <c r="AZ23" s="107" t="s">
        <v>433</v>
      </c>
      <c r="BA23" s="140" t="s">
        <v>685</v>
      </c>
      <c r="BB23" s="106"/>
      <c r="BC23" s="107" t="s">
        <v>483</v>
      </c>
      <c r="BD23" s="107" t="s">
        <v>656</v>
      </c>
      <c r="BE23" s="108" t="b">
        <v>1</v>
      </c>
      <c r="BF23" s="108" t="b">
        <v>1</v>
      </c>
      <c r="BG23" s="108" t="b">
        <v>1</v>
      </c>
      <c r="BH23" s="108" t="b">
        <v>1</v>
      </c>
      <c r="BI23" s="108" t="b">
        <v>1</v>
      </c>
      <c r="BJ23" s="108" t="b">
        <v>1</v>
      </c>
      <c r="BK23" s="108" t="b">
        <v>1</v>
      </c>
      <c r="BL23" s="107" t="s">
        <v>519</v>
      </c>
      <c r="BM23" s="107" t="s">
        <v>543</v>
      </c>
      <c r="BN23" s="107" t="s">
        <v>851</v>
      </c>
      <c r="BO23" s="102" t="s">
        <v>1328</v>
      </c>
      <c r="BP23" s="106"/>
      <c r="BQ23" s="106"/>
      <c r="BR23" s="102" t="s">
        <v>1330</v>
      </c>
      <c r="BS23" s="102" t="s">
        <v>527</v>
      </c>
      <c r="BT23" s="102" t="s">
        <v>1331</v>
      </c>
      <c r="BU23" s="102" t="s">
        <v>725</v>
      </c>
      <c r="BV23" s="123">
        <v>46260.0</v>
      </c>
      <c r="BW23" s="108" t="b">
        <v>0</v>
      </c>
      <c r="BX23" s="106"/>
    </row>
    <row r="24" ht="24.75" customHeight="1">
      <c r="A24" s="89" t="s">
        <v>348</v>
      </c>
      <c r="B24" s="89" t="s">
        <v>964</v>
      </c>
      <c r="C24" s="95" t="s">
        <v>967</v>
      </c>
      <c r="D24" s="102" t="s">
        <v>1332</v>
      </c>
      <c r="E24" s="102" t="s">
        <v>1333</v>
      </c>
      <c r="F24" s="188" t="s">
        <v>1334</v>
      </c>
      <c r="G24" s="102" t="s">
        <v>1335</v>
      </c>
      <c r="H24" s="102" t="s">
        <v>1336</v>
      </c>
      <c r="I24" s="102" t="s">
        <v>1042</v>
      </c>
      <c r="J24" s="102" t="s">
        <v>1337</v>
      </c>
      <c r="K24" s="188">
        <v>50.6505915636768</v>
      </c>
      <c r="L24" s="188">
        <v>-3.42805592102153</v>
      </c>
      <c r="M24" s="106"/>
      <c r="N24" s="107" t="s">
        <v>558</v>
      </c>
      <c r="O24" s="108" t="b">
        <v>1</v>
      </c>
      <c r="P24" s="180" t="s">
        <v>812</v>
      </c>
      <c r="Q24" s="180" t="s">
        <v>674</v>
      </c>
      <c r="R24" s="107" t="s">
        <v>387</v>
      </c>
      <c r="S24" s="107" t="s">
        <v>387</v>
      </c>
      <c r="T24" s="107" t="s">
        <v>387</v>
      </c>
      <c r="U24" s="107" t="s">
        <v>387</v>
      </c>
      <c r="V24" s="107" t="s">
        <v>387</v>
      </c>
      <c r="W24" s="107" t="s">
        <v>387</v>
      </c>
      <c r="X24" s="107" t="s">
        <v>387</v>
      </c>
      <c r="Y24" s="107" t="s">
        <v>387</v>
      </c>
      <c r="Z24" s="107" t="s">
        <v>387</v>
      </c>
      <c r="AA24" s="107" t="s">
        <v>387</v>
      </c>
      <c r="AB24" s="107" t="s">
        <v>387</v>
      </c>
      <c r="AC24" s="107" t="s">
        <v>387</v>
      </c>
      <c r="AD24" s="107" t="s">
        <v>387</v>
      </c>
      <c r="AE24" s="107" t="s">
        <v>387</v>
      </c>
      <c r="AF24" s="207" t="s">
        <v>387</v>
      </c>
      <c r="AG24" s="106"/>
      <c r="AH24" s="108" t="b">
        <v>0</v>
      </c>
      <c r="AI24" s="108" t="b">
        <v>0</v>
      </c>
      <c r="AJ24" s="107" t="s">
        <v>412</v>
      </c>
      <c r="AK24" s="106"/>
      <c r="AL24" s="107" t="s">
        <v>387</v>
      </c>
      <c r="AM24" s="113" t="s">
        <v>387</v>
      </c>
      <c r="AN24" s="107" t="s">
        <v>387</v>
      </c>
      <c r="AO24" s="113" t="s">
        <v>387</v>
      </c>
      <c r="AP24" s="107" t="s">
        <v>387</v>
      </c>
      <c r="AQ24" s="113" t="s">
        <v>387</v>
      </c>
      <c r="AR24" s="107" t="s">
        <v>387</v>
      </c>
      <c r="AS24" s="113" t="s">
        <v>387</v>
      </c>
      <c r="AT24" s="107" t="s">
        <v>387</v>
      </c>
      <c r="AU24" s="113" t="s">
        <v>387</v>
      </c>
      <c r="AV24" s="107" t="s">
        <v>387</v>
      </c>
      <c r="AW24" s="113" t="s">
        <v>387</v>
      </c>
      <c r="AX24" s="107" t="s">
        <v>387</v>
      </c>
      <c r="AY24" s="113" t="s">
        <v>387</v>
      </c>
      <c r="AZ24" s="107" t="s">
        <v>588</v>
      </c>
      <c r="BA24" s="140" t="s">
        <v>1344</v>
      </c>
      <c r="BB24" s="107" t="s">
        <v>1345</v>
      </c>
      <c r="BC24" s="107" t="s">
        <v>483</v>
      </c>
      <c r="BD24" s="106"/>
      <c r="BE24" s="108" t="b">
        <v>0</v>
      </c>
      <c r="BF24" s="108" t="b">
        <v>1</v>
      </c>
      <c r="BG24" s="108" t="b">
        <v>1</v>
      </c>
      <c r="BH24" s="108" t="b">
        <v>1</v>
      </c>
      <c r="BI24" s="108" t="b">
        <v>0</v>
      </c>
      <c r="BJ24" s="108" t="b">
        <v>0</v>
      </c>
      <c r="BK24" s="108" t="b">
        <v>0</v>
      </c>
      <c r="BL24" s="107" t="s">
        <v>519</v>
      </c>
      <c r="BM24" s="107" t="s">
        <v>543</v>
      </c>
      <c r="BN24" s="107" t="s">
        <v>1091</v>
      </c>
      <c r="BO24" s="102" t="s">
        <v>1352</v>
      </c>
      <c r="BP24" s="106"/>
      <c r="BQ24" s="106"/>
      <c r="BR24" s="102" t="s">
        <v>1353</v>
      </c>
      <c r="BS24" s="106"/>
      <c r="BT24" s="102" t="s">
        <v>1354</v>
      </c>
      <c r="BU24" s="102" t="s">
        <v>530</v>
      </c>
      <c r="BV24" s="123">
        <v>46260.0</v>
      </c>
      <c r="BW24" s="108" t="b">
        <v>0</v>
      </c>
      <c r="BX24" s="217"/>
    </row>
    <row r="25" ht="24.75" customHeight="1">
      <c r="A25" s="89" t="s">
        <v>348</v>
      </c>
      <c r="B25" s="89" t="s">
        <v>707</v>
      </c>
      <c r="C25" s="95" t="s">
        <v>1357</v>
      </c>
      <c r="D25" s="125" t="s">
        <v>1358</v>
      </c>
      <c r="E25" s="102" t="s">
        <v>341</v>
      </c>
      <c r="F25" s="102" t="s">
        <v>1359</v>
      </c>
      <c r="G25" s="102" t="s">
        <v>1358</v>
      </c>
      <c r="H25" s="98" t="s">
        <v>1361</v>
      </c>
      <c r="I25" s="98" t="s">
        <v>831</v>
      </c>
      <c r="J25" s="98" t="s">
        <v>1362</v>
      </c>
      <c r="K25" s="105">
        <v>50.6313708064151</v>
      </c>
      <c r="L25" s="105">
        <v>-3.64761353120612</v>
      </c>
      <c r="M25" s="106"/>
      <c r="N25" s="107" t="s">
        <v>558</v>
      </c>
      <c r="O25" s="108" t="b">
        <v>1</v>
      </c>
      <c r="P25" s="109">
        <v>0.4166666666666667</v>
      </c>
      <c r="Q25" s="109">
        <v>0.6666666666666666</v>
      </c>
      <c r="R25" s="151" t="s">
        <v>387</v>
      </c>
      <c r="S25" s="151" t="s">
        <v>387</v>
      </c>
      <c r="T25" s="151" t="s">
        <v>387</v>
      </c>
      <c r="U25" s="151" t="s">
        <v>387</v>
      </c>
      <c r="V25" s="151" t="s">
        <v>387</v>
      </c>
      <c r="W25" s="151" t="s">
        <v>387</v>
      </c>
      <c r="X25" s="151" t="s">
        <v>387</v>
      </c>
      <c r="Y25" s="151" t="s">
        <v>387</v>
      </c>
      <c r="Z25" s="151" t="s">
        <v>387</v>
      </c>
      <c r="AA25" s="151" t="s">
        <v>387</v>
      </c>
      <c r="AB25" s="151" t="s">
        <v>387</v>
      </c>
      <c r="AC25" s="151" t="s">
        <v>387</v>
      </c>
      <c r="AD25" s="151" t="s">
        <v>387</v>
      </c>
      <c r="AE25" s="151" t="s">
        <v>387</v>
      </c>
      <c r="AF25" s="102" t="s">
        <v>1365</v>
      </c>
      <c r="AG25" s="107" t="s">
        <v>678</v>
      </c>
      <c r="AH25" s="108" t="b">
        <v>1</v>
      </c>
      <c r="AI25" s="108" t="b">
        <v>1</v>
      </c>
      <c r="AJ25" s="107" t="s">
        <v>1366</v>
      </c>
      <c r="AK25" s="107" t="s">
        <v>1367</v>
      </c>
      <c r="AL25" s="102" t="s">
        <v>735</v>
      </c>
      <c r="AM25" s="138">
        <v>0.0</v>
      </c>
      <c r="AN25" s="102" t="s">
        <v>736</v>
      </c>
      <c r="AO25" s="138">
        <v>7.65</v>
      </c>
      <c r="AP25" s="157" t="s">
        <v>387</v>
      </c>
      <c r="AQ25" s="157" t="s">
        <v>387</v>
      </c>
      <c r="AR25" s="102" t="s">
        <v>387</v>
      </c>
      <c r="AS25" s="157" t="s">
        <v>387</v>
      </c>
      <c r="AT25" s="102" t="s">
        <v>583</v>
      </c>
      <c r="AU25" s="138">
        <v>14.55</v>
      </c>
      <c r="AV25" s="102" t="s">
        <v>741</v>
      </c>
      <c r="AW25" s="138">
        <v>13.55</v>
      </c>
      <c r="AX25" s="102" t="s">
        <v>742</v>
      </c>
      <c r="AY25" s="138">
        <v>42.45</v>
      </c>
      <c r="AZ25" s="107" t="s">
        <v>433</v>
      </c>
      <c r="BA25" s="140" t="s">
        <v>1368</v>
      </c>
      <c r="BB25" s="107" t="s">
        <v>1369</v>
      </c>
      <c r="BC25" s="107" t="s">
        <v>1370</v>
      </c>
      <c r="BD25" s="107" t="s">
        <v>656</v>
      </c>
      <c r="BE25" s="108" t="b">
        <v>1</v>
      </c>
      <c r="BF25" s="108" t="b">
        <v>1</v>
      </c>
      <c r="BG25" s="108" t="b">
        <v>1</v>
      </c>
      <c r="BH25" s="108" t="b">
        <v>1</v>
      </c>
      <c r="BI25" s="108" t="b">
        <v>1</v>
      </c>
      <c r="BJ25" s="108" t="b">
        <v>1</v>
      </c>
      <c r="BK25" s="108" t="b">
        <v>1</v>
      </c>
      <c r="BL25" s="107" t="s">
        <v>496</v>
      </c>
      <c r="BM25" s="107" t="s">
        <v>1373</v>
      </c>
      <c r="BN25" s="107" t="s">
        <v>1374</v>
      </c>
      <c r="BO25" s="102" t="s">
        <v>1375</v>
      </c>
      <c r="BP25" s="107" t="s">
        <v>1376</v>
      </c>
      <c r="BQ25" s="107" t="s">
        <v>1378</v>
      </c>
      <c r="BR25" s="102" t="s">
        <v>1379</v>
      </c>
      <c r="BS25" s="102" t="s">
        <v>1380</v>
      </c>
      <c r="BT25" s="102" t="s">
        <v>1381</v>
      </c>
      <c r="BU25" s="102" t="s">
        <v>607</v>
      </c>
      <c r="BV25" s="123">
        <v>46260.0</v>
      </c>
      <c r="BW25" s="108" t="b">
        <v>0</v>
      </c>
      <c r="BX25" s="106"/>
    </row>
    <row r="26" ht="24.75" customHeight="1">
      <c r="A26" s="89" t="s">
        <v>348</v>
      </c>
      <c r="B26" s="89" t="s">
        <v>964</v>
      </c>
      <c r="C26" s="95" t="s">
        <v>967</v>
      </c>
      <c r="D26" s="98" t="s">
        <v>1384</v>
      </c>
      <c r="E26" s="107" t="s">
        <v>1000</v>
      </c>
      <c r="F26" s="102" t="s">
        <v>1385</v>
      </c>
      <c r="G26" s="102" t="s">
        <v>1386</v>
      </c>
      <c r="H26" s="107" t="s">
        <v>1387</v>
      </c>
      <c r="I26" s="107" t="s">
        <v>669</v>
      </c>
      <c r="J26" s="89" t="s">
        <v>1389</v>
      </c>
      <c r="K26" s="105">
        <v>50.627609190298</v>
      </c>
      <c r="L26" s="105">
        <v>-3.41421001771135</v>
      </c>
      <c r="M26" s="106"/>
      <c r="N26" s="107" t="s">
        <v>558</v>
      </c>
      <c r="O26" s="108" t="b">
        <v>1</v>
      </c>
      <c r="P26" s="109">
        <v>0.0</v>
      </c>
      <c r="Q26" s="171" t="s">
        <v>674</v>
      </c>
      <c r="R26" s="151" t="s">
        <v>387</v>
      </c>
      <c r="S26" s="151" t="s">
        <v>387</v>
      </c>
      <c r="T26" s="151" t="s">
        <v>387</v>
      </c>
      <c r="U26" s="151" t="s">
        <v>387</v>
      </c>
      <c r="V26" s="151" t="s">
        <v>387</v>
      </c>
      <c r="W26" s="151" t="s">
        <v>387</v>
      </c>
      <c r="X26" s="151" t="s">
        <v>387</v>
      </c>
      <c r="Y26" s="151" t="s">
        <v>387</v>
      </c>
      <c r="Z26" s="151" t="s">
        <v>387</v>
      </c>
      <c r="AA26" s="151" t="s">
        <v>387</v>
      </c>
      <c r="AB26" s="151" t="s">
        <v>387</v>
      </c>
      <c r="AC26" s="151" t="s">
        <v>387</v>
      </c>
      <c r="AD26" s="151" t="s">
        <v>387</v>
      </c>
      <c r="AE26" s="151" t="s">
        <v>387</v>
      </c>
      <c r="AF26" s="102" t="s">
        <v>387</v>
      </c>
      <c r="AG26" s="107" t="s">
        <v>678</v>
      </c>
      <c r="AH26" s="108" t="b">
        <v>0</v>
      </c>
      <c r="AI26" s="108" t="b">
        <v>0</v>
      </c>
      <c r="AJ26" s="107" t="s">
        <v>412</v>
      </c>
      <c r="AK26" s="106"/>
      <c r="AL26" s="102" t="s">
        <v>387</v>
      </c>
      <c r="AM26" s="157" t="s">
        <v>387</v>
      </c>
      <c r="AN26" s="102" t="s">
        <v>387</v>
      </c>
      <c r="AO26" s="157" t="s">
        <v>387</v>
      </c>
      <c r="AP26" s="102" t="s">
        <v>387</v>
      </c>
      <c r="AQ26" s="157" t="s">
        <v>387</v>
      </c>
      <c r="AR26" s="102" t="s">
        <v>387</v>
      </c>
      <c r="AS26" s="157" t="s">
        <v>387</v>
      </c>
      <c r="AT26" s="102" t="s">
        <v>387</v>
      </c>
      <c r="AU26" s="157" t="s">
        <v>387</v>
      </c>
      <c r="AV26" s="102" t="s">
        <v>387</v>
      </c>
      <c r="AW26" s="157" t="s">
        <v>387</v>
      </c>
      <c r="AX26" s="102" t="s">
        <v>387</v>
      </c>
      <c r="AY26" s="157" t="s">
        <v>387</v>
      </c>
      <c r="AZ26" s="107" t="s">
        <v>588</v>
      </c>
      <c r="BA26" s="140" t="s">
        <v>1394</v>
      </c>
      <c r="BB26" s="107" t="s">
        <v>925</v>
      </c>
      <c r="BC26" s="107" t="s">
        <v>483</v>
      </c>
      <c r="BD26" s="107" t="s">
        <v>593</v>
      </c>
      <c r="BE26" s="108" t="b">
        <v>0</v>
      </c>
      <c r="BF26" s="108" t="b">
        <v>1</v>
      </c>
      <c r="BG26" s="108" t="b">
        <v>1</v>
      </c>
      <c r="BH26" s="108" t="b">
        <v>1</v>
      </c>
      <c r="BI26" s="108" t="b">
        <v>0</v>
      </c>
      <c r="BJ26" s="108" t="b">
        <v>0</v>
      </c>
      <c r="BK26" s="108" t="b">
        <v>0</v>
      </c>
      <c r="BL26" s="107" t="s">
        <v>519</v>
      </c>
      <c r="BM26" s="107" t="s">
        <v>721</v>
      </c>
      <c r="BN26" s="107" t="s">
        <v>851</v>
      </c>
      <c r="BO26" s="102" t="s">
        <v>1398</v>
      </c>
      <c r="BP26" s="106"/>
      <c r="BQ26" s="106"/>
      <c r="BR26" s="140" t="s">
        <v>1401</v>
      </c>
      <c r="BS26" s="106"/>
      <c r="BT26" s="102" t="s">
        <v>1403</v>
      </c>
      <c r="BU26" s="102" t="s">
        <v>530</v>
      </c>
      <c r="BV26" s="123">
        <v>46260.0</v>
      </c>
      <c r="BW26" s="108" t="b">
        <v>0</v>
      </c>
      <c r="BX26" s="106"/>
    </row>
    <row r="27" ht="24.75" customHeight="1">
      <c r="A27" s="89" t="s">
        <v>348</v>
      </c>
      <c r="B27" s="89" t="s">
        <v>1018</v>
      </c>
      <c r="C27" s="95" t="s">
        <v>1406</v>
      </c>
      <c r="D27" s="188" t="s">
        <v>1408</v>
      </c>
      <c r="E27" s="102" t="s">
        <v>337</v>
      </c>
      <c r="F27" s="188" t="s">
        <v>1409</v>
      </c>
      <c r="G27" s="102" t="s">
        <v>1410</v>
      </c>
      <c r="H27" s="102" t="s">
        <v>1411</v>
      </c>
      <c r="I27" s="102" t="s">
        <v>831</v>
      </c>
      <c r="J27" s="102" t="s">
        <v>1412</v>
      </c>
      <c r="K27" s="188">
        <v>50.6977696302876</v>
      </c>
      <c r="L27" s="188">
        <v>-3.80720543825319</v>
      </c>
      <c r="M27" s="106"/>
      <c r="N27" s="107" t="s">
        <v>1413</v>
      </c>
      <c r="O27" s="108" t="b">
        <v>1</v>
      </c>
      <c r="P27" s="109">
        <v>0.4166666666666667</v>
      </c>
      <c r="Q27" s="109">
        <v>0.7083333333333334</v>
      </c>
      <c r="R27" s="107" t="s">
        <v>387</v>
      </c>
      <c r="S27" s="107" t="s">
        <v>387</v>
      </c>
      <c r="T27" s="107" t="s">
        <v>387</v>
      </c>
      <c r="U27" s="107" t="s">
        <v>387</v>
      </c>
      <c r="V27" s="107" t="s">
        <v>387</v>
      </c>
      <c r="W27" s="107" t="s">
        <v>387</v>
      </c>
      <c r="X27" s="107" t="s">
        <v>387</v>
      </c>
      <c r="Y27" s="107" t="s">
        <v>387</v>
      </c>
      <c r="Z27" s="107" t="s">
        <v>387</v>
      </c>
      <c r="AA27" s="107" t="s">
        <v>387</v>
      </c>
      <c r="AB27" s="107" t="s">
        <v>387</v>
      </c>
      <c r="AC27" s="107" t="s">
        <v>387</v>
      </c>
      <c r="AD27" s="107" t="s">
        <v>387</v>
      </c>
      <c r="AE27" s="107" t="s">
        <v>387</v>
      </c>
      <c r="AF27" s="106"/>
      <c r="AG27" s="106"/>
      <c r="AH27" s="108" t="b">
        <v>1</v>
      </c>
      <c r="AI27" s="108" t="b">
        <v>1</v>
      </c>
      <c r="AJ27" s="107" t="s">
        <v>1417</v>
      </c>
      <c r="AK27" s="107" t="s">
        <v>1418</v>
      </c>
      <c r="AL27" s="107" t="s">
        <v>1419</v>
      </c>
      <c r="AM27" s="210">
        <v>0.0</v>
      </c>
      <c r="AN27" s="107" t="s">
        <v>1420</v>
      </c>
      <c r="AO27" s="210">
        <v>9.0</v>
      </c>
      <c r="AP27" s="107" t="s">
        <v>387</v>
      </c>
      <c r="AQ27" s="113" t="s">
        <v>387</v>
      </c>
      <c r="AR27" s="107" t="s">
        <v>387</v>
      </c>
      <c r="AS27" s="113" t="s">
        <v>387</v>
      </c>
      <c r="AT27" s="107" t="s">
        <v>596</v>
      </c>
      <c r="AU27" s="210">
        <v>18.0</v>
      </c>
      <c r="AV27" s="102" t="s">
        <v>1423</v>
      </c>
      <c r="AW27" s="210">
        <v>27.0</v>
      </c>
      <c r="AX27" s="188" t="s">
        <v>1424</v>
      </c>
      <c r="AY27" s="210">
        <v>45.0</v>
      </c>
      <c r="AZ27" s="107" t="s">
        <v>602</v>
      </c>
      <c r="BA27" s="140" t="s">
        <v>1425</v>
      </c>
      <c r="BB27" s="107" t="s">
        <v>1426</v>
      </c>
      <c r="BC27" s="107" t="s">
        <v>1427</v>
      </c>
      <c r="BD27" s="106"/>
      <c r="BE27" s="108" t="b">
        <v>1</v>
      </c>
      <c r="BF27" s="108" t="b">
        <v>1</v>
      </c>
      <c r="BG27" s="108" t="b">
        <v>1</v>
      </c>
      <c r="BH27" s="108" t="b">
        <v>1</v>
      </c>
      <c r="BI27" s="108" t="b">
        <v>1</v>
      </c>
      <c r="BJ27" s="108" t="b">
        <v>1</v>
      </c>
      <c r="BK27" s="108" t="b">
        <v>1</v>
      </c>
      <c r="BL27" s="107" t="s">
        <v>519</v>
      </c>
      <c r="BM27" s="107" t="s">
        <v>543</v>
      </c>
      <c r="BN27" s="107" t="s">
        <v>870</v>
      </c>
      <c r="BO27" s="102" t="s">
        <v>1431</v>
      </c>
      <c r="BP27" s="107" t="s">
        <v>737</v>
      </c>
      <c r="BQ27" s="107" t="s">
        <v>1253</v>
      </c>
      <c r="BR27" s="102" t="s">
        <v>1434</v>
      </c>
      <c r="BS27" s="107" t="s">
        <v>527</v>
      </c>
      <c r="BT27" s="102" t="s">
        <v>1435</v>
      </c>
      <c r="BU27" s="102" t="s">
        <v>530</v>
      </c>
      <c r="BV27" s="123">
        <v>46260.0</v>
      </c>
      <c r="BW27" s="108" t="b">
        <v>0</v>
      </c>
      <c r="BX27" s="217"/>
    </row>
    <row r="28" ht="24.75" customHeight="1">
      <c r="A28" s="89" t="s">
        <v>348</v>
      </c>
      <c r="B28" s="89" t="s">
        <v>1438</v>
      </c>
      <c r="C28" s="95" t="s">
        <v>1439</v>
      </c>
      <c r="D28" s="98" t="s">
        <v>1441</v>
      </c>
      <c r="E28" s="102" t="s">
        <v>1442</v>
      </c>
      <c r="F28" s="102" t="s">
        <v>1443</v>
      </c>
      <c r="G28" s="102" t="s">
        <v>1410</v>
      </c>
      <c r="H28" s="98" t="s">
        <v>1411</v>
      </c>
      <c r="I28" s="98" t="s">
        <v>831</v>
      </c>
      <c r="J28" s="98" t="s">
        <v>1412</v>
      </c>
      <c r="K28" s="149">
        <v>50.6958910014378</v>
      </c>
      <c r="L28" s="149">
        <v>-3.81124908554008</v>
      </c>
      <c r="M28" s="106"/>
      <c r="N28" s="107" t="s">
        <v>1446</v>
      </c>
      <c r="O28" s="108" t="b">
        <v>1</v>
      </c>
      <c r="P28" s="109">
        <v>0.4375</v>
      </c>
      <c r="Q28" s="109">
        <v>0.6875</v>
      </c>
      <c r="R28" s="151" t="s">
        <v>387</v>
      </c>
      <c r="S28" s="151" t="s">
        <v>387</v>
      </c>
      <c r="T28" s="151" t="s">
        <v>387</v>
      </c>
      <c r="U28" s="151" t="s">
        <v>387</v>
      </c>
      <c r="V28" s="151" t="s">
        <v>387</v>
      </c>
      <c r="W28" s="151" t="s">
        <v>387</v>
      </c>
      <c r="X28" s="151" t="s">
        <v>387</v>
      </c>
      <c r="Y28" s="151" t="s">
        <v>387</v>
      </c>
      <c r="Z28" s="151" t="s">
        <v>387</v>
      </c>
      <c r="AA28" s="151" t="s">
        <v>387</v>
      </c>
      <c r="AB28" s="151" t="s">
        <v>387</v>
      </c>
      <c r="AC28" s="151" t="s">
        <v>387</v>
      </c>
      <c r="AD28" s="151" t="s">
        <v>387</v>
      </c>
      <c r="AE28" s="151" t="s">
        <v>387</v>
      </c>
      <c r="AF28" s="207" t="s">
        <v>387</v>
      </c>
      <c r="AG28" s="107" t="s">
        <v>387</v>
      </c>
      <c r="AH28" s="108" t="b">
        <v>1</v>
      </c>
      <c r="AI28" s="108" t="b">
        <v>1</v>
      </c>
      <c r="AJ28" s="107" t="s">
        <v>1036</v>
      </c>
      <c r="AK28" s="107" t="s">
        <v>1418</v>
      </c>
      <c r="AL28" s="102" t="s">
        <v>1419</v>
      </c>
      <c r="AM28" s="138">
        <v>0.0</v>
      </c>
      <c r="AN28" s="157" t="s">
        <v>1420</v>
      </c>
      <c r="AO28" s="138">
        <v>9.0</v>
      </c>
      <c r="AP28" s="102" t="s">
        <v>387</v>
      </c>
      <c r="AQ28" s="157" t="s">
        <v>387</v>
      </c>
      <c r="AR28" s="102" t="s">
        <v>387</v>
      </c>
      <c r="AS28" s="157" t="s">
        <v>387</v>
      </c>
      <c r="AT28" s="157" t="s">
        <v>596</v>
      </c>
      <c r="AU28" s="138">
        <v>18.0</v>
      </c>
      <c r="AV28" s="102" t="s">
        <v>387</v>
      </c>
      <c r="AW28" s="138" t="s">
        <v>387</v>
      </c>
      <c r="AX28" s="102" t="s">
        <v>1424</v>
      </c>
      <c r="AY28" s="138">
        <v>45.0</v>
      </c>
      <c r="AZ28" s="107" t="s">
        <v>602</v>
      </c>
      <c r="BA28" s="107" t="s">
        <v>1452</v>
      </c>
      <c r="BB28" s="107" t="s">
        <v>1236</v>
      </c>
      <c r="BC28" s="107" t="s">
        <v>1454</v>
      </c>
      <c r="BD28" s="107" t="s">
        <v>656</v>
      </c>
      <c r="BE28" s="108" t="b">
        <v>0</v>
      </c>
      <c r="BF28" s="108" t="b">
        <v>0</v>
      </c>
      <c r="BG28" s="108" t="b">
        <v>0</v>
      </c>
      <c r="BH28" s="108" t="b">
        <v>1</v>
      </c>
      <c r="BI28" s="108" t="b">
        <v>1</v>
      </c>
      <c r="BJ28" s="108" t="b">
        <v>1</v>
      </c>
      <c r="BK28" s="108" t="b">
        <v>1</v>
      </c>
      <c r="BL28" s="107" t="s">
        <v>649</v>
      </c>
      <c r="BM28" s="107" t="s">
        <v>1456</v>
      </c>
      <c r="BN28" s="107" t="s">
        <v>1457</v>
      </c>
      <c r="BO28" s="102" t="s">
        <v>1458</v>
      </c>
      <c r="BP28" s="106"/>
      <c r="BQ28" s="107" t="s">
        <v>927</v>
      </c>
      <c r="BR28" s="102" t="s">
        <v>1460</v>
      </c>
      <c r="BS28" s="106"/>
      <c r="BT28" s="102" t="s">
        <v>1461</v>
      </c>
      <c r="BU28" s="102" t="s">
        <v>530</v>
      </c>
      <c r="BV28" s="123">
        <v>46260.0</v>
      </c>
      <c r="BW28" s="108" t="b">
        <v>0</v>
      </c>
      <c r="BX28" s="106"/>
    </row>
    <row r="29" ht="24.75" customHeight="1">
      <c r="A29" s="89" t="s">
        <v>348</v>
      </c>
      <c r="B29" s="89" t="s">
        <v>595</v>
      </c>
      <c r="C29" s="95" t="s">
        <v>1318</v>
      </c>
      <c r="D29" s="146" t="s">
        <v>1465</v>
      </c>
      <c r="E29" s="102" t="s">
        <v>339</v>
      </c>
      <c r="F29" s="102" t="s">
        <v>1466</v>
      </c>
      <c r="G29" s="98" t="s">
        <v>1467</v>
      </c>
      <c r="H29" s="98" t="s">
        <v>1468</v>
      </c>
      <c r="I29" s="98" t="s">
        <v>624</v>
      </c>
      <c r="J29" s="98" t="s">
        <v>1469</v>
      </c>
      <c r="K29" s="149">
        <v>50.8793213023235</v>
      </c>
      <c r="L29" s="149">
        <v>-2.94400582441118</v>
      </c>
      <c r="M29" s="106"/>
      <c r="N29" s="151" t="s">
        <v>558</v>
      </c>
      <c r="O29" s="152" t="b">
        <v>1</v>
      </c>
      <c r="P29" s="180" t="s">
        <v>812</v>
      </c>
      <c r="Q29" s="180" t="s">
        <v>674</v>
      </c>
      <c r="R29" s="151" t="s">
        <v>387</v>
      </c>
      <c r="S29" s="151" t="s">
        <v>387</v>
      </c>
      <c r="T29" s="151" t="s">
        <v>387</v>
      </c>
      <c r="U29" s="151" t="s">
        <v>387</v>
      </c>
      <c r="V29" s="151" t="s">
        <v>387</v>
      </c>
      <c r="W29" s="151" t="s">
        <v>387</v>
      </c>
      <c r="X29" s="151" t="s">
        <v>387</v>
      </c>
      <c r="Y29" s="151" t="s">
        <v>387</v>
      </c>
      <c r="Z29" s="151" t="s">
        <v>387</v>
      </c>
      <c r="AA29" s="151" t="s">
        <v>387</v>
      </c>
      <c r="AB29" s="151" t="s">
        <v>387</v>
      </c>
      <c r="AC29" s="151" t="s">
        <v>387</v>
      </c>
      <c r="AD29" s="151" t="s">
        <v>387</v>
      </c>
      <c r="AE29" s="151" t="s">
        <v>387</v>
      </c>
      <c r="AF29" s="106"/>
      <c r="AG29" s="107" t="s">
        <v>678</v>
      </c>
      <c r="AH29" s="108" t="b">
        <v>0</v>
      </c>
      <c r="AI29" s="154" t="b">
        <v>0</v>
      </c>
      <c r="AJ29" s="107" t="s">
        <v>412</v>
      </c>
      <c r="AK29" s="155"/>
      <c r="AL29" s="102" t="s">
        <v>387</v>
      </c>
      <c r="AM29" s="157" t="s">
        <v>387</v>
      </c>
      <c r="AN29" s="157" t="s">
        <v>387</v>
      </c>
      <c r="AO29" s="157" t="s">
        <v>387</v>
      </c>
      <c r="AP29" s="157" t="s">
        <v>387</v>
      </c>
      <c r="AQ29" s="157" t="s">
        <v>387</v>
      </c>
      <c r="AR29" s="157" t="s">
        <v>387</v>
      </c>
      <c r="AS29" s="157" t="s">
        <v>387</v>
      </c>
      <c r="AT29" s="157" t="s">
        <v>387</v>
      </c>
      <c r="AU29" s="157" t="s">
        <v>387</v>
      </c>
      <c r="AV29" s="157" t="s">
        <v>387</v>
      </c>
      <c r="AW29" s="157" t="s">
        <v>387</v>
      </c>
      <c r="AX29" s="157" t="s">
        <v>387</v>
      </c>
      <c r="AY29" s="157" t="s">
        <v>387</v>
      </c>
      <c r="AZ29" s="107" t="s">
        <v>433</v>
      </c>
      <c r="BA29" s="107" t="s">
        <v>1479</v>
      </c>
      <c r="BB29" s="107" t="s">
        <v>1480</v>
      </c>
      <c r="BC29" s="107" t="s">
        <v>483</v>
      </c>
      <c r="BD29" s="106"/>
      <c r="BE29" s="108" t="b">
        <v>1</v>
      </c>
      <c r="BF29" s="108" t="b">
        <v>1</v>
      </c>
      <c r="BG29" s="108" t="b">
        <v>1</v>
      </c>
      <c r="BH29" s="108" t="b">
        <v>1</v>
      </c>
      <c r="BI29" s="108" t="b">
        <v>1</v>
      </c>
      <c r="BJ29" s="108" t="b">
        <v>1</v>
      </c>
      <c r="BK29" s="108" t="b">
        <v>1</v>
      </c>
      <c r="BL29" s="107" t="s">
        <v>519</v>
      </c>
      <c r="BM29" s="107" t="s">
        <v>543</v>
      </c>
      <c r="BN29" s="107" t="s">
        <v>533</v>
      </c>
      <c r="BO29" s="102" t="s">
        <v>1484</v>
      </c>
      <c r="BP29" s="106"/>
      <c r="BQ29" s="107" t="s">
        <v>1486</v>
      </c>
      <c r="BR29" s="102" t="s">
        <v>1487</v>
      </c>
      <c r="BS29" s="107" t="s">
        <v>1488</v>
      </c>
      <c r="BT29" s="102" t="s">
        <v>1489</v>
      </c>
      <c r="BU29" s="102" t="s">
        <v>530</v>
      </c>
      <c r="BV29" s="123">
        <v>46260.0</v>
      </c>
      <c r="BW29" s="108" t="b">
        <v>0</v>
      </c>
      <c r="BX29" s="106"/>
    </row>
    <row r="30" ht="24.75" customHeight="1">
      <c r="A30" s="89" t="s">
        <v>348</v>
      </c>
      <c r="B30" s="89" t="s">
        <v>964</v>
      </c>
      <c r="C30" s="95" t="s">
        <v>967</v>
      </c>
      <c r="D30" s="175" t="s">
        <v>1490</v>
      </c>
      <c r="E30" s="102" t="s">
        <v>653</v>
      </c>
      <c r="F30" s="102" t="s">
        <v>1491</v>
      </c>
      <c r="G30" s="102" t="s">
        <v>1492</v>
      </c>
      <c r="H30" s="102" t="s">
        <v>1493</v>
      </c>
      <c r="I30" s="102" t="s">
        <v>382</v>
      </c>
      <c r="J30" s="95" t="s">
        <v>1496</v>
      </c>
      <c r="K30" s="105">
        <v>50.6043886138218</v>
      </c>
      <c r="L30" s="105">
        <v>-3.59397210496908</v>
      </c>
      <c r="M30" s="106"/>
      <c r="N30" s="107" t="s">
        <v>558</v>
      </c>
      <c r="O30" s="108" t="b">
        <v>1</v>
      </c>
      <c r="P30" s="180" t="s">
        <v>812</v>
      </c>
      <c r="Q30" s="180" t="s">
        <v>674</v>
      </c>
      <c r="R30" s="107" t="s">
        <v>387</v>
      </c>
      <c r="S30" s="107" t="s">
        <v>387</v>
      </c>
      <c r="T30" s="107" t="s">
        <v>387</v>
      </c>
      <c r="U30" s="107" t="s">
        <v>387</v>
      </c>
      <c r="V30" s="107" t="s">
        <v>387</v>
      </c>
      <c r="W30" s="107" t="s">
        <v>387</v>
      </c>
      <c r="X30" s="107" t="s">
        <v>387</v>
      </c>
      <c r="Y30" s="107" t="s">
        <v>387</v>
      </c>
      <c r="Z30" s="107" t="s">
        <v>387</v>
      </c>
      <c r="AA30" s="107" t="s">
        <v>387</v>
      </c>
      <c r="AB30" s="107" t="s">
        <v>387</v>
      </c>
      <c r="AC30" s="107" t="s">
        <v>387</v>
      </c>
      <c r="AD30" s="107" t="s">
        <v>387</v>
      </c>
      <c r="AE30" s="107" t="s">
        <v>387</v>
      </c>
      <c r="AF30" s="207" t="s">
        <v>387</v>
      </c>
      <c r="AG30" s="106"/>
      <c r="AH30" s="108" t="b">
        <v>0</v>
      </c>
      <c r="AI30" s="108" t="b">
        <v>0</v>
      </c>
      <c r="AJ30" s="107" t="s">
        <v>412</v>
      </c>
      <c r="AK30" s="106"/>
      <c r="AL30" s="107" t="s">
        <v>387</v>
      </c>
      <c r="AM30" s="113" t="s">
        <v>387</v>
      </c>
      <c r="AN30" s="107" t="s">
        <v>387</v>
      </c>
      <c r="AO30" s="113" t="s">
        <v>387</v>
      </c>
      <c r="AP30" s="107" t="s">
        <v>387</v>
      </c>
      <c r="AQ30" s="113" t="s">
        <v>387</v>
      </c>
      <c r="AR30" s="107" t="s">
        <v>387</v>
      </c>
      <c r="AS30" s="113" t="s">
        <v>387</v>
      </c>
      <c r="AT30" s="107" t="s">
        <v>387</v>
      </c>
      <c r="AU30" s="113" t="s">
        <v>387</v>
      </c>
      <c r="AV30" s="107" t="s">
        <v>387</v>
      </c>
      <c r="AW30" s="113" t="s">
        <v>387</v>
      </c>
      <c r="AX30" s="107" t="s">
        <v>387</v>
      </c>
      <c r="AY30" s="113" t="s">
        <v>387</v>
      </c>
      <c r="AZ30" s="107" t="s">
        <v>588</v>
      </c>
      <c r="BA30" s="140" t="s">
        <v>1003</v>
      </c>
      <c r="BB30" s="107" t="s">
        <v>1505</v>
      </c>
      <c r="BC30" s="107" t="s">
        <v>483</v>
      </c>
      <c r="BD30" s="107" t="s">
        <v>656</v>
      </c>
      <c r="BE30" s="108" t="b">
        <v>0</v>
      </c>
      <c r="BF30" s="108" t="b">
        <v>0</v>
      </c>
      <c r="BG30" s="108" t="b">
        <v>1</v>
      </c>
      <c r="BH30" s="108" t="b">
        <v>1</v>
      </c>
      <c r="BI30" s="108" t="b">
        <v>0</v>
      </c>
      <c r="BJ30" s="108" t="b">
        <v>0</v>
      </c>
      <c r="BK30" s="108" t="b">
        <v>1</v>
      </c>
      <c r="BL30" s="107" t="s">
        <v>519</v>
      </c>
      <c r="BM30" s="107" t="s">
        <v>1508</v>
      </c>
      <c r="BN30" s="107" t="s">
        <v>851</v>
      </c>
      <c r="BO30" s="102" t="s">
        <v>1512</v>
      </c>
      <c r="BP30" s="106"/>
      <c r="BQ30" s="106"/>
      <c r="BR30" s="140" t="s">
        <v>1518</v>
      </c>
      <c r="BS30" s="106"/>
      <c r="BT30" s="102" t="s">
        <v>1519</v>
      </c>
      <c r="BU30" s="102" t="s">
        <v>530</v>
      </c>
      <c r="BV30" s="123">
        <v>46260.0</v>
      </c>
      <c r="BW30" s="108" t="b">
        <v>0</v>
      </c>
      <c r="BX30" s="106"/>
    </row>
    <row r="31" ht="24.75" customHeight="1">
      <c r="A31" s="89" t="s">
        <v>348</v>
      </c>
      <c r="B31" s="89" t="s">
        <v>776</v>
      </c>
      <c r="C31" s="95" t="s">
        <v>1234</v>
      </c>
      <c r="D31" s="175" t="s">
        <v>1520</v>
      </c>
      <c r="E31" s="102" t="s">
        <v>873</v>
      </c>
      <c r="F31" s="102" t="s">
        <v>1521</v>
      </c>
      <c r="G31" s="102" t="s">
        <v>1492</v>
      </c>
      <c r="H31" s="102" t="s">
        <v>1493</v>
      </c>
      <c r="I31" s="102" t="s">
        <v>382</v>
      </c>
      <c r="J31" s="95" t="s">
        <v>1496</v>
      </c>
      <c r="K31" s="105">
        <v>50.6043886138218</v>
      </c>
      <c r="L31" s="105">
        <v>-3.59397210496908</v>
      </c>
      <c r="M31" s="106"/>
      <c r="N31" s="107" t="s">
        <v>558</v>
      </c>
      <c r="O31" s="108" t="b">
        <v>1</v>
      </c>
      <c r="P31" s="180" t="s">
        <v>812</v>
      </c>
      <c r="Q31" s="180" t="s">
        <v>674</v>
      </c>
      <c r="R31" s="107" t="s">
        <v>387</v>
      </c>
      <c r="S31" s="107" t="s">
        <v>387</v>
      </c>
      <c r="T31" s="107" t="s">
        <v>387</v>
      </c>
      <c r="U31" s="107" t="s">
        <v>387</v>
      </c>
      <c r="V31" s="107" t="s">
        <v>387</v>
      </c>
      <c r="W31" s="107" t="s">
        <v>387</v>
      </c>
      <c r="X31" s="107" t="s">
        <v>387</v>
      </c>
      <c r="Y31" s="107" t="s">
        <v>387</v>
      </c>
      <c r="Z31" s="107" t="s">
        <v>387</v>
      </c>
      <c r="AA31" s="107" t="s">
        <v>387</v>
      </c>
      <c r="AB31" s="107" t="s">
        <v>387</v>
      </c>
      <c r="AC31" s="107" t="s">
        <v>387</v>
      </c>
      <c r="AD31" s="107" t="s">
        <v>387</v>
      </c>
      <c r="AE31" s="107" t="s">
        <v>387</v>
      </c>
      <c r="AF31" s="102" t="s">
        <v>387</v>
      </c>
      <c r="AG31" s="107" t="s">
        <v>678</v>
      </c>
      <c r="AH31" s="108" t="b">
        <v>0</v>
      </c>
      <c r="AI31" s="108" t="b">
        <v>0</v>
      </c>
      <c r="AJ31" s="107" t="s">
        <v>412</v>
      </c>
      <c r="AK31" s="106"/>
      <c r="AL31" s="107" t="s">
        <v>387</v>
      </c>
      <c r="AM31" s="113" t="s">
        <v>387</v>
      </c>
      <c r="AN31" s="107" t="s">
        <v>387</v>
      </c>
      <c r="AO31" s="113" t="s">
        <v>387</v>
      </c>
      <c r="AP31" s="107" t="s">
        <v>387</v>
      </c>
      <c r="AQ31" s="113" t="s">
        <v>387</v>
      </c>
      <c r="AR31" s="107" t="s">
        <v>387</v>
      </c>
      <c r="AS31" s="113" t="s">
        <v>387</v>
      </c>
      <c r="AT31" s="107" t="s">
        <v>387</v>
      </c>
      <c r="AU31" s="113" t="s">
        <v>387</v>
      </c>
      <c r="AV31" s="107" t="s">
        <v>387</v>
      </c>
      <c r="AW31" s="113" t="s">
        <v>387</v>
      </c>
      <c r="AX31" s="107" t="s">
        <v>387</v>
      </c>
      <c r="AY31" s="113" t="s">
        <v>387</v>
      </c>
      <c r="AZ31" s="107" t="s">
        <v>588</v>
      </c>
      <c r="BA31" s="140" t="s">
        <v>1003</v>
      </c>
      <c r="BB31" s="106"/>
      <c r="BC31" s="107" t="s">
        <v>483</v>
      </c>
      <c r="BD31" s="107" t="s">
        <v>593</v>
      </c>
      <c r="BE31" s="108" t="b">
        <v>0</v>
      </c>
      <c r="BF31" s="108" t="b">
        <v>0</v>
      </c>
      <c r="BG31" s="108" t="b">
        <v>1</v>
      </c>
      <c r="BH31" s="108" t="b">
        <v>1</v>
      </c>
      <c r="BI31" s="108" t="b">
        <v>1</v>
      </c>
      <c r="BJ31" s="108" t="b">
        <v>1</v>
      </c>
      <c r="BK31" s="108" t="b">
        <v>1</v>
      </c>
      <c r="BL31" s="107" t="s">
        <v>519</v>
      </c>
      <c r="BM31" s="107" t="s">
        <v>1551</v>
      </c>
      <c r="BN31" s="107" t="s">
        <v>818</v>
      </c>
      <c r="BO31" s="102" t="s">
        <v>1552</v>
      </c>
      <c r="BP31" s="106"/>
      <c r="BQ31" s="106"/>
      <c r="BR31" s="102" t="s">
        <v>1557</v>
      </c>
      <c r="BS31" s="106"/>
      <c r="BT31" s="102" t="s">
        <v>1561</v>
      </c>
      <c r="BU31" s="102" t="s">
        <v>530</v>
      </c>
      <c r="BV31" s="123">
        <v>46260.0</v>
      </c>
      <c r="BW31" s="108" t="b">
        <v>0</v>
      </c>
      <c r="BX31" s="106"/>
    </row>
    <row r="32" ht="24.75" customHeight="1">
      <c r="A32" s="89" t="s">
        <v>348</v>
      </c>
      <c r="B32" s="89" t="s">
        <v>964</v>
      </c>
      <c r="C32" s="95" t="s">
        <v>1556</v>
      </c>
      <c r="D32" s="175" t="s">
        <v>1565</v>
      </c>
      <c r="E32" s="102" t="s">
        <v>873</v>
      </c>
      <c r="F32" s="102" t="s">
        <v>1566</v>
      </c>
      <c r="G32" s="102" t="s">
        <v>1492</v>
      </c>
      <c r="H32" s="102" t="s">
        <v>1493</v>
      </c>
      <c r="I32" s="102" t="s">
        <v>382</v>
      </c>
      <c r="J32" s="95" t="s">
        <v>1496</v>
      </c>
      <c r="K32" s="105">
        <v>50.6043886138218</v>
      </c>
      <c r="L32" s="105">
        <v>-3.59397210496908</v>
      </c>
      <c r="M32" s="106"/>
      <c r="N32" s="107" t="s">
        <v>558</v>
      </c>
      <c r="O32" s="108" t="b">
        <v>1</v>
      </c>
      <c r="P32" s="180" t="s">
        <v>812</v>
      </c>
      <c r="Q32" s="180" t="s">
        <v>674</v>
      </c>
      <c r="R32" s="107" t="s">
        <v>387</v>
      </c>
      <c r="S32" s="107" t="s">
        <v>387</v>
      </c>
      <c r="T32" s="107" t="s">
        <v>387</v>
      </c>
      <c r="U32" s="107" t="s">
        <v>387</v>
      </c>
      <c r="V32" s="107" t="s">
        <v>387</v>
      </c>
      <c r="W32" s="107" t="s">
        <v>387</v>
      </c>
      <c r="X32" s="107" t="s">
        <v>387</v>
      </c>
      <c r="Y32" s="107" t="s">
        <v>387</v>
      </c>
      <c r="Z32" s="107" t="s">
        <v>387</v>
      </c>
      <c r="AA32" s="107" t="s">
        <v>387</v>
      </c>
      <c r="AB32" s="107" t="s">
        <v>387</v>
      </c>
      <c r="AC32" s="107" t="s">
        <v>387</v>
      </c>
      <c r="AD32" s="107" t="s">
        <v>387</v>
      </c>
      <c r="AE32" s="107" t="s">
        <v>387</v>
      </c>
      <c r="AF32" s="102" t="s">
        <v>387</v>
      </c>
      <c r="AG32" s="107" t="s">
        <v>678</v>
      </c>
      <c r="AH32" s="108" t="b">
        <v>0</v>
      </c>
      <c r="AI32" s="108" t="b">
        <v>0</v>
      </c>
      <c r="AJ32" s="107" t="s">
        <v>412</v>
      </c>
      <c r="AK32" s="106"/>
      <c r="AL32" s="107" t="s">
        <v>387</v>
      </c>
      <c r="AM32" s="113" t="s">
        <v>387</v>
      </c>
      <c r="AN32" s="107" t="s">
        <v>387</v>
      </c>
      <c r="AO32" s="113" t="s">
        <v>387</v>
      </c>
      <c r="AP32" s="107" t="s">
        <v>387</v>
      </c>
      <c r="AQ32" s="113" t="s">
        <v>387</v>
      </c>
      <c r="AR32" s="107" t="s">
        <v>387</v>
      </c>
      <c r="AS32" s="113" t="s">
        <v>387</v>
      </c>
      <c r="AT32" s="107" t="s">
        <v>387</v>
      </c>
      <c r="AU32" s="113" t="s">
        <v>387</v>
      </c>
      <c r="AV32" s="107" t="s">
        <v>387</v>
      </c>
      <c r="AW32" s="113" t="s">
        <v>387</v>
      </c>
      <c r="AX32" s="107" t="s">
        <v>387</v>
      </c>
      <c r="AY32" s="113" t="s">
        <v>387</v>
      </c>
      <c r="AZ32" s="107" t="s">
        <v>588</v>
      </c>
      <c r="BA32" s="140" t="s">
        <v>1235</v>
      </c>
      <c r="BB32" s="106"/>
      <c r="BC32" s="107" t="s">
        <v>483</v>
      </c>
      <c r="BD32" s="107" t="s">
        <v>1310</v>
      </c>
      <c r="BE32" s="108" t="b">
        <v>0</v>
      </c>
      <c r="BF32" s="108" t="b">
        <v>0</v>
      </c>
      <c r="BG32" s="108" t="b">
        <v>0</v>
      </c>
      <c r="BH32" s="108" t="b">
        <v>0</v>
      </c>
      <c r="BI32" s="108" t="b">
        <v>1</v>
      </c>
      <c r="BJ32" s="108" t="b">
        <v>1</v>
      </c>
      <c r="BK32" s="108" t="b">
        <v>1</v>
      </c>
      <c r="BL32" s="107" t="s">
        <v>519</v>
      </c>
      <c r="BM32" s="107" t="s">
        <v>1592</v>
      </c>
      <c r="BN32" s="107" t="s">
        <v>818</v>
      </c>
      <c r="BO32" s="102" t="s">
        <v>1593</v>
      </c>
      <c r="BP32" s="106"/>
      <c r="BQ32" s="106"/>
      <c r="BR32" s="102" t="s">
        <v>1594</v>
      </c>
      <c r="BS32" s="106"/>
      <c r="BT32" s="102" t="s">
        <v>1595</v>
      </c>
      <c r="BU32" s="102" t="s">
        <v>530</v>
      </c>
      <c r="BV32" s="123">
        <v>46260.0</v>
      </c>
      <c r="BW32" s="108" t="b">
        <v>0</v>
      </c>
      <c r="BX32" s="106"/>
    </row>
    <row r="33" ht="24.75" customHeight="1">
      <c r="A33" s="89" t="s">
        <v>348</v>
      </c>
      <c r="B33" s="89" t="s">
        <v>899</v>
      </c>
      <c r="C33" s="89" t="s">
        <v>900</v>
      </c>
      <c r="D33" s="98" t="s">
        <v>1600</v>
      </c>
      <c r="E33" s="107" t="s">
        <v>339</v>
      </c>
      <c r="F33" s="102" t="s">
        <v>1602</v>
      </c>
      <c r="G33" s="102" t="s">
        <v>1603</v>
      </c>
      <c r="H33" s="175" t="s">
        <v>1604</v>
      </c>
      <c r="I33" s="175" t="s">
        <v>646</v>
      </c>
      <c r="J33" s="175" t="s">
        <v>1607</v>
      </c>
      <c r="K33" s="105">
        <v>50.5942600297887</v>
      </c>
      <c r="L33" s="105">
        <v>-3.91116127342462</v>
      </c>
      <c r="M33" s="106"/>
      <c r="N33" s="151" t="s">
        <v>558</v>
      </c>
      <c r="O33" s="152" t="b">
        <v>1</v>
      </c>
      <c r="P33" s="180" t="s">
        <v>812</v>
      </c>
      <c r="Q33" s="180" t="s">
        <v>674</v>
      </c>
      <c r="R33" s="151" t="s">
        <v>387</v>
      </c>
      <c r="S33" s="151" t="s">
        <v>387</v>
      </c>
      <c r="T33" s="151" t="s">
        <v>387</v>
      </c>
      <c r="U33" s="151" t="s">
        <v>387</v>
      </c>
      <c r="V33" s="151" t="s">
        <v>387</v>
      </c>
      <c r="W33" s="151" t="s">
        <v>387</v>
      </c>
      <c r="X33" s="151" t="s">
        <v>387</v>
      </c>
      <c r="Y33" s="151" t="s">
        <v>387</v>
      </c>
      <c r="Z33" s="151" t="s">
        <v>387</v>
      </c>
      <c r="AA33" s="151" t="s">
        <v>387</v>
      </c>
      <c r="AB33" s="151" t="s">
        <v>387</v>
      </c>
      <c r="AC33" s="151" t="s">
        <v>387</v>
      </c>
      <c r="AD33" s="151" t="s">
        <v>387</v>
      </c>
      <c r="AE33" s="151" t="s">
        <v>387</v>
      </c>
      <c r="AF33" s="107" t="s">
        <v>678</v>
      </c>
      <c r="AG33" s="107" t="s">
        <v>678</v>
      </c>
      <c r="AH33" s="108" t="b">
        <v>0</v>
      </c>
      <c r="AI33" s="154" t="b">
        <v>0</v>
      </c>
      <c r="AJ33" s="107" t="s">
        <v>412</v>
      </c>
      <c r="AK33" s="155"/>
      <c r="AL33" s="102" t="s">
        <v>387</v>
      </c>
      <c r="AM33" s="157" t="s">
        <v>387</v>
      </c>
      <c r="AN33" s="157" t="s">
        <v>387</v>
      </c>
      <c r="AO33" s="157" t="s">
        <v>387</v>
      </c>
      <c r="AP33" s="157" t="s">
        <v>387</v>
      </c>
      <c r="AQ33" s="157" t="s">
        <v>387</v>
      </c>
      <c r="AR33" s="157" t="s">
        <v>387</v>
      </c>
      <c r="AS33" s="157" t="s">
        <v>387</v>
      </c>
      <c r="AT33" s="157" t="s">
        <v>387</v>
      </c>
      <c r="AU33" s="157" t="s">
        <v>387</v>
      </c>
      <c r="AV33" s="157" t="s">
        <v>387</v>
      </c>
      <c r="AW33" s="157" t="s">
        <v>387</v>
      </c>
      <c r="AX33" s="157" t="s">
        <v>387</v>
      </c>
      <c r="AY33" s="157" t="s">
        <v>387</v>
      </c>
      <c r="AZ33" s="107" t="s">
        <v>648</v>
      </c>
      <c r="BA33" s="107" t="s">
        <v>1611</v>
      </c>
      <c r="BB33" s="106"/>
      <c r="BC33" s="106"/>
      <c r="BD33" s="106"/>
      <c r="BE33" s="108" t="b">
        <v>0</v>
      </c>
      <c r="BF33" s="108" t="b">
        <v>0</v>
      </c>
      <c r="BG33" s="108" t="b">
        <v>0</v>
      </c>
      <c r="BH33" s="108" t="b">
        <v>1</v>
      </c>
      <c r="BI33" s="108" t="b">
        <v>1</v>
      </c>
      <c r="BJ33" s="108" t="b">
        <v>1</v>
      </c>
      <c r="BK33" s="108" t="b">
        <v>1</v>
      </c>
      <c r="BL33" s="107" t="s">
        <v>519</v>
      </c>
      <c r="BM33" s="107" t="s">
        <v>950</v>
      </c>
      <c r="BN33" s="107" t="s">
        <v>1321</v>
      </c>
      <c r="BO33" s="102" t="s">
        <v>1615</v>
      </c>
      <c r="BP33" s="107" t="s">
        <v>514</v>
      </c>
      <c r="BQ33" s="106"/>
      <c r="BR33" s="107" t="s">
        <v>1616</v>
      </c>
      <c r="BS33" s="221" t="s">
        <v>954</v>
      </c>
      <c r="BT33" s="102" t="s">
        <v>1617</v>
      </c>
      <c r="BU33" s="102" t="s">
        <v>530</v>
      </c>
      <c r="BV33" s="123">
        <v>46260.0</v>
      </c>
      <c r="BW33" s="108" t="b">
        <v>0</v>
      </c>
      <c r="BX33" s="106"/>
    </row>
    <row r="34" ht="24.75" customHeight="1">
      <c r="A34" s="89" t="s">
        <v>348</v>
      </c>
      <c r="B34" s="89" t="s">
        <v>1062</v>
      </c>
      <c r="C34" s="89" t="s">
        <v>1580</v>
      </c>
      <c r="D34" s="98" t="s">
        <v>1618</v>
      </c>
      <c r="E34" s="107" t="s">
        <v>339</v>
      </c>
      <c r="F34" s="102" t="s">
        <v>1621</v>
      </c>
      <c r="G34" s="102" t="s">
        <v>1622</v>
      </c>
      <c r="H34" s="98" t="s">
        <v>1042</v>
      </c>
      <c r="I34" s="98" t="s">
        <v>669</v>
      </c>
      <c r="J34" s="98" t="s">
        <v>1624</v>
      </c>
      <c r="K34" s="149">
        <v>50.6493459748207</v>
      </c>
      <c r="L34" s="149">
        <v>-3.43284567268244</v>
      </c>
      <c r="M34" s="106"/>
      <c r="N34" s="151" t="s">
        <v>558</v>
      </c>
      <c r="O34" s="152" t="b">
        <v>1</v>
      </c>
      <c r="P34" s="180" t="s">
        <v>812</v>
      </c>
      <c r="Q34" s="180" t="s">
        <v>674</v>
      </c>
      <c r="R34" s="151" t="s">
        <v>387</v>
      </c>
      <c r="S34" s="151" t="s">
        <v>387</v>
      </c>
      <c r="T34" s="151" t="s">
        <v>387</v>
      </c>
      <c r="U34" s="151" t="s">
        <v>387</v>
      </c>
      <c r="V34" s="151" t="s">
        <v>387</v>
      </c>
      <c r="W34" s="151" t="s">
        <v>387</v>
      </c>
      <c r="X34" s="151" t="s">
        <v>387</v>
      </c>
      <c r="Y34" s="151" t="s">
        <v>387</v>
      </c>
      <c r="Z34" s="151" t="s">
        <v>387</v>
      </c>
      <c r="AA34" s="151" t="s">
        <v>387</v>
      </c>
      <c r="AB34" s="151" t="s">
        <v>387</v>
      </c>
      <c r="AC34" s="151" t="s">
        <v>387</v>
      </c>
      <c r="AD34" s="151" t="s">
        <v>387</v>
      </c>
      <c r="AE34" s="151" t="s">
        <v>387</v>
      </c>
      <c r="AF34" s="107" t="s">
        <v>387</v>
      </c>
      <c r="AG34" s="107" t="s">
        <v>678</v>
      </c>
      <c r="AH34" s="108" t="b">
        <v>0</v>
      </c>
      <c r="AI34" s="154" t="b">
        <v>0</v>
      </c>
      <c r="AJ34" s="107" t="s">
        <v>412</v>
      </c>
      <c r="AK34" s="155"/>
      <c r="AL34" s="102" t="s">
        <v>387</v>
      </c>
      <c r="AM34" s="157" t="s">
        <v>387</v>
      </c>
      <c r="AN34" s="157" t="s">
        <v>387</v>
      </c>
      <c r="AO34" s="157" t="s">
        <v>387</v>
      </c>
      <c r="AP34" s="157" t="s">
        <v>387</v>
      </c>
      <c r="AQ34" s="157" t="s">
        <v>387</v>
      </c>
      <c r="AR34" s="157" t="s">
        <v>387</v>
      </c>
      <c r="AS34" s="157" t="s">
        <v>387</v>
      </c>
      <c r="AT34" s="157" t="s">
        <v>387</v>
      </c>
      <c r="AU34" s="157" t="s">
        <v>387</v>
      </c>
      <c r="AV34" s="157" t="s">
        <v>387</v>
      </c>
      <c r="AW34" s="157" t="s">
        <v>387</v>
      </c>
      <c r="AX34" s="157" t="s">
        <v>387</v>
      </c>
      <c r="AY34" s="157" t="s">
        <v>387</v>
      </c>
      <c r="AZ34" s="107" t="s">
        <v>1627</v>
      </c>
      <c r="BA34" s="107" t="s">
        <v>1630</v>
      </c>
      <c r="BB34" s="106"/>
      <c r="BC34" s="106"/>
      <c r="BD34" s="107" t="s">
        <v>490</v>
      </c>
      <c r="BE34" s="108" t="b">
        <v>0</v>
      </c>
      <c r="BF34" s="108" t="b">
        <v>0</v>
      </c>
      <c r="BG34" s="108" t="b">
        <v>0</v>
      </c>
      <c r="BH34" s="108" t="b">
        <v>1</v>
      </c>
      <c r="BI34" s="108" t="b">
        <v>1</v>
      </c>
      <c r="BJ34" s="108" t="b">
        <v>1</v>
      </c>
      <c r="BK34" s="108" t="b">
        <v>1</v>
      </c>
      <c r="BL34" s="107" t="s">
        <v>519</v>
      </c>
      <c r="BM34" s="107" t="s">
        <v>1313</v>
      </c>
      <c r="BN34" s="107" t="s">
        <v>851</v>
      </c>
      <c r="BO34" s="102" t="s">
        <v>1632</v>
      </c>
      <c r="BP34" s="106"/>
      <c r="BQ34" s="106"/>
      <c r="BR34" s="107" t="s">
        <v>1633</v>
      </c>
      <c r="BS34" s="106"/>
      <c r="BT34" s="102" t="s">
        <v>1634</v>
      </c>
      <c r="BU34" s="102" t="s">
        <v>530</v>
      </c>
      <c r="BV34" s="123">
        <v>46260.0</v>
      </c>
      <c r="BW34" s="108" t="b">
        <v>0</v>
      </c>
      <c r="BX34" s="106"/>
    </row>
    <row r="35" ht="24.75" customHeight="1">
      <c r="A35" s="89" t="s">
        <v>348</v>
      </c>
      <c r="B35" s="89" t="s">
        <v>816</v>
      </c>
      <c r="C35" s="95" t="s">
        <v>817</v>
      </c>
      <c r="D35" s="167" t="s">
        <v>1635</v>
      </c>
      <c r="E35" s="102" t="s">
        <v>988</v>
      </c>
      <c r="F35" s="102" t="s">
        <v>1636</v>
      </c>
      <c r="G35" s="102" t="s">
        <v>830</v>
      </c>
      <c r="H35" s="106"/>
      <c r="I35" s="102" t="s">
        <v>831</v>
      </c>
      <c r="J35" s="95" t="s">
        <v>833</v>
      </c>
      <c r="K35" s="105">
        <v>50.7168470539643</v>
      </c>
      <c r="L35" s="105">
        <v>-3.53089497927834</v>
      </c>
      <c r="M35" s="106"/>
      <c r="N35" s="107" t="s">
        <v>558</v>
      </c>
      <c r="O35" s="108" t="b">
        <v>0</v>
      </c>
      <c r="P35" s="223"/>
      <c r="Q35" s="223"/>
      <c r="R35" s="109">
        <v>0.4166666666666667</v>
      </c>
      <c r="S35" s="109">
        <v>0.9166666666666666</v>
      </c>
      <c r="T35" s="109">
        <v>0.4166666666666667</v>
      </c>
      <c r="U35" s="109">
        <v>0.9166666666666666</v>
      </c>
      <c r="V35" s="109">
        <v>0.4166666666666667</v>
      </c>
      <c r="W35" s="109">
        <v>0.9166666666666666</v>
      </c>
      <c r="X35" s="109">
        <v>0.4166666666666667</v>
      </c>
      <c r="Y35" s="109">
        <v>0.9166666666666666</v>
      </c>
      <c r="Z35" s="109">
        <v>0.4166666666666667</v>
      </c>
      <c r="AA35" s="109">
        <v>0.9166666666666666</v>
      </c>
      <c r="AB35" s="109">
        <v>0.375</v>
      </c>
      <c r="AC35" s="109">
        <v>0.8333333333333334</v>
      </c>
      <c r="AD35" s="109">
        <v>0.375</v>
      </c>
      <c r="AE35" s="109">
        <v>0.8333333333333334</v>
      </c>
      <c r="AF35" s="207" t="s">
        <v>1106</v>
      </c>
      <c r="AG35" s="107" t="s">
        <v>1637</v>
      </c>
      <c r="AH35" s="108" t="b">
        <v>1</v>
      </c>
      <c r="AI35" s="108" t="b">
        <v>1</v>
      </c>
      <c r="AJ35" s="107" t="s">
        <v>1638</v>
      </c>
      <c r="AK35" s="107" t="s">
        <v>574</v>
      </c>
      <c r="AL35" s="107" t="s">
        <v>387</v>
      </c>
      <c r="AM35" s="113" t="s">
        <v>387</v>
      </c>
      <c r="AN35" s="107" t="s">
        <v>1420</v>
      </c>
      <c r="AO35" s="113" t="s">
        <v>1639</v>
      </c>
      <c r="AP35" s="107" t="s">
        <v>387</v>
      </c>
      <c r="AQ35" s="113" t="s">
        <v>387</v>
      </c>
      <c r="AR35" s="107" t="s">
        <v>387</v>
      </c>
      <c r="AS35" s="113" t="s">
        <v>387</v>
      </c>
      <c r="AT35" s="107" t="s">
        <v>596</v>
      </c>
      <c r="AU35" s="113" t="s">
        <v>1640</v>
      </c>
      <c r="AV35" s="106"/>
      <c r="AW35" s="113" t="s">
        <v>1641</v>
      </c>
      <c r="AX35" s="107" t="s">
        <v>387</v>
      </c>
      <c r="AY35" s="113" t="s">
        <v>387</v>
      </c>
      <c r="AZ35" s="107" t="s">
        <v>648</v>
      </c>
      <c r="BA35" s="107" t="s">
        <v>1642</v>
      </c>
      <c r="BB35" s="106"/>
      <c r="BC35" s="107" t="s">
        <v>1643</v>
      </c>
      <c r="BD35" s="106"/>
      <c r="BE35" s="108" t="b">
        <v>0</v>
      </c>
      <c r="BF35" s="108" t="b">
        <v>0</v>
      </c>
      <c r="BG35" s="108" t="b">
        <v>0</v>
      </c>
      <c r="BH35" s="108" t="b">
        <v>1</v>
      </c>
      <c r="BI35" s="108" t="b">
        <v>1</v>
      </c>
      <c r="BJ35" s="108" t="b">
        <v>1</v>
      </c>
      <c r="BK35" s="108" t="b">
        <v>1</v>
      </c>
      <c r="BL35" s="107" t="s">
        <v>649</v>
      </c>
      <c r="BM35" s="107" t="s">
        <v>1119</v>
      </c>
      <c r="BN35" s="107" t="s">
        <v>870</v>
      </c>
      <c r="BO35" s="102" t="s">
        <v>1644</v>
      </c>
      <c r="BP35" s="106"/>
      <c r="BQ35" s="106"/>
      <c r="BR35" s="102" t="s">
        <v>1124</v>
      </c>
      <c r="BS35" s="102" t="s">
        <v>1125</v>
      </c>
      <c r="BT35" s="102" t="s">
        <v>1645</v>
      </c>
      <c r="BU35" s="102" t="s">
        <v>530</v>
      </c>
      <c r="BV35" s="123">
        <v>46260.0</v>
      </c>
      <c r="BW35" s="108" t="b">
        <v>0</v>
      </c>
      <c r="BX35" s="106"/>
    </row>
    <row r="36" ht="24.75" customHeight="1">
      <c r="A36" s="89" t="s">
        <v>348</v>
      </c>
      <c r="B36" s="89" t="s">
        <v>816</v>
      </c>
      <c r="C36" s="95" t="s">
        <v>817</v>
      </c>
      <c r="D36" s="146" t="s">
        <v>1646</v>
      </c>
      <c r="E36" s="102" t="s">
        <v>337</v>
      </c>
      <c r="F36" s="102" t="s">
        <v>1647</v>
      </c>
      <c r="G36" s="102" t="s">
        <v>830</v>
      </c>
      <c r="H36" s="106"/>
      <c r="I36" s="102" t="s">
        <v>831</v>
      </c>
      <c r="J36" s="95" t="s">
        <v>833</v>
      </c>
      <c r="K36" s="105">
        <v>50.7168470539643</v>
      </c>
      <c r="L36" s="105">
        <v>-3.53089497927834</v>
      </c>
      <c r="M36" s="106"/>
      <c r="N36" s="107" t="s">
        <v>558</v>
      </c>
      <c r="O36" s="108" t="b">
        <v>1</v>
      </c>
      <c r="P36" s="109">
        <v>0.3958333333333333</v>
      </c>
      <c r="Q36" s="109">
        <v>0.7916666666666666</v>
      </c>
      <c r="R36" s="107" t="s">
        <v>387</v>
      </c>
      <c r="S36" s="107" t="s">
        <v>387</v>
      </c>
      <c r="T36" s="107" t="s">
        <v>387</v>
      </c>
      <c r="U36" s="107" t="s">
        <v>387</v>
      </c>
      <c r="V36" s="107" t="s">
        <v>387</v>
      </c>
      <c r="W36" s="107" t="s">
        <v>387</v>
      </c>
      <c r="X36" s="107" t="s">
        <v>387</v>
      </c>
      <c r="Y36" s="107" t="s">
        <v>387</v>
      </c>
      <c r="Z36" s="107" t="s">
        <v>387</v>
      </c>
      <c r="AA36" s="107" t="s">
        <v>387</v>
      </c>
      <c r="AB36" s="107" t="s">
        <v>387</v>
      </c>
      <c r="AC36" s="107" t="s">
        <v>387</v>
      </c>
      <c r="AD36" s="107" t="s">
        <v>387</v>
      </c>
      <c r="AE36" s="107" t="s">
        <v>387</v>
      </c>
      <c r="AF36" s="102" t="s">
        <v>1106</v>
      </c>
      <c r="AG36" s="107" t="s">
        <v>678</v>
      </c>
      <c r="AH36" s="108" t="b">
        <v>1</v>
      </c>
      <c r="AI36" s="108" t="b">
        <v>1</v>
      </c>
      <c r="AJ36" s="107" t="s">
        <v>1648</v>
      </c>
      <c r="AK36" s="107" t="s">
        <v>590</v>
      </c>
      <c r="AL36" s="107" t="s">
        <v>387</v>
      </c>
      <c r="AM36" s="113" t="s">
        <v>387</v>
      </c>
      <c r="AN36" s="107" t="s">
        <v>1649</v>
      </c>
      <c r="AO36" s="210">
        <v>16.95</v>
      </c>
      <c r="AP36" s="107" t="s">
        <v>387</v>
      </c>
      <c r="AQ36" s="113" t="s">
        <v>387</v>
      </c>
      <c r="AR36" s="107" t="s">
        <v>387</v>
      </c>
      <c r="AS36" s="113" t="s">
        <v>387</v>
      </c>
      <c r="AT36" s="107" t="s">
        <v>387</v>
      </c>
      <c r="AU36" s="113" t="s">
        <v>387</v>
      </c>
      <c r="AV36" s="107" t="s">
        <v>387</v>
      </c>
      <c r="AW36" s="113" t="s">
        <v>387</v>
      </c>
      <c r="AX36" s="107" t="s">
        <v>387</v>
      </c>
      <c r="AY36" s="113" t="s">
        <v>387</v>
      </c>
      <c r="AZ36" s="107" t="s">
        <v>788</v>
      </c>
      <c r="BA36" s="107" t="s">
        <v>868</v>
      </c>
      <c r="BB36" s="106"/>
      <c r="BC36" s="107" t="s">
        <v>1650</v>
      </c>
      <c r="BD36" s="106"/>
      <c r="BE36" s="108" t="b">
        <v>0</v>
      </c>
      <c r="BF36" s="108" t="b">
        <v>0</v>
      </c>
      <c r="BG36" s="108" t="b">
        <v>0</v>
      </c>
      <c r="BH36" s="108" t="b">
        <v>1</v>
      </c>
      <c r="BI36" s="108" t="b">
        <v>1</v>
      </c>
      <c r="BJ36" s="108" t="b">
        <v>1</v>
      </c>
      <c r="BK36" s="108" t="b">
        <v>1</v>
      </c>
      <c r="BL36" s="107" t="s">
        <v>649</v>
      </c>
      <c r="BM36" s="107" t="s">
        <v>1119</v>
      </c>
      <c r="BN36" s="107" t="s">
        <v>1355</v>
      </c>
      <c r="BO36" s="102" t="s">
        <v>1651</v>
      </c>
      <c r="BP36" s="106"/>
      <c r="BQ36" s="106"/>
      <c r="BR36" s="102" t="s">
        <v>1652</v>
      </c>
      <c r="BS36" s="106"/>
      <c r="BT36" s="102" t="s">
        <v>1653</v>
      </c>
      <c r="BU36" s="102" t="s">
        <v>530</v>
      </c>
      <c r="BV36" s="123">
        <v>46260.0</v>
      </c>
      <c r="BW36" s="108" t="b">
        <v>0</v>
      </c>
      <c r="BX36" s="106"/>
    </row>
    <row r="37" ht="24.75" customHeight="1">
      <c r="A37" s="89" t="s">
        <v>348</v>
      </c>
      <c r="B37" s="89" t="s">
        <v>610</v>
      </c>
      <c r="C37" s="95" t="s">
        <v>612</v>
      </c>
      <c r="D37" s="98" t="s">
        <v>1654</v>
      </c>
      <c r="E37" s="102" t="s">
        <v>371</v>
      </c>
      <c r="F37" s="102" t="s">
        <v>1655</v>
      </c>
      <c r="G37" s="102" t="s">
        <v>1656</v>
      </c>
      <c r="H37" s="102" t="s">
        <v>1657</v>
      </c>
      <c r="I37" s="102" t="s">
        <v>1658</v>
      </c>
      <c r="J37" s="95" t="s">
        <v>1659</v>
      </c>
      <c r="K37" s="105">
        <v>50.7481398914107</v>
      </c>
      <c r="L37" s="105">
        <v>-3.25760188887087</v>
      </c>
      <c r="M37" s="106"/>
      <c r="N37" s="107" t="s">
        <v>1446</v>
      </c>
      <c r="O37" s="108" t="b">
        <v>1</v>
      </c>
      <c r="P37" s="109">
        <v>0.375</v>
      </c>
      <c r="Q37" s="109">
        <v>0.6666666666666666</v>
      </c>
      <c r="R37" s="107" t="s">
        <v>387</v>
      </c>
      <c r="S37" s="107" t="s">
        <v>387</v>
      </c>
      <c r="T37" s="107" t="s">
        <v>387</v>
      </c>
      <c r="U37" s="107" t="s">
        <v>387</v>
      </c>
      <c r="V37" s="107" t="s">
        <v>387</v>
      </c>
      <c r="W37" s="107" t="s">
        <v>387</v>
      </c>
      <c r="X37" s="107" t="s">
        <v>387</v>
      </c>
      <c r="Y37" s="107" t="s">
        <v>387</v>
      </c>
      <c r="Z37" s="107" t="s">
        <v>387</v>
      </c>
      <c r="AA37" s="107" t="s">
        <v>387</v>
      </c>
      <c r="AB37" s="107" t="s">
        <v>387</v>
      </c>
      <c r="AC37" s="107" t="s">
        <v>387</v>
      </c>
      <c r="AD37" s="107" t="s">
        <v>387</v>
      </c>
      <c r="AE37" s="107" t="s">
        <v>387</v>
      </c>
      <c r="AF37" s="106"/>
      <c r="AG37" s="106"/>
      <c r="AH37" s="108" t="b">
        <v>0</v>
      </c>
      <c r="AI37" s="108" t="b">
        <v>0</v>
      </c>
      <c r="AJ37" s="107" t="s">
        <v>412</v>
      </c>
      <c r="AK37" s="106"/>
      <c r="AL37" s="107" t="s">
        <v>387</v>
      </c>
      <c r="AM37" s="113" t="s">
        <v>387</v>
      </c>
      <c r="AN37" s="107" t="s">
        <v>387</v>
      </c>
      <c r="AO37" s="113" t="s">
        <v>387</v>
      </c>
      <c r="AP37" s="107" t="s">
        <v>387</v>
      </c>
      <c r="AQ37" s="113" t="s">
        <v>387</v>
      </c>
      <c r="AR37" s="107" t="s">
        <v>387</v>
      </c>
      <c r="AS37" s="113" t="s">
        <v>387</v>
      </c>
      <c r="AT37" s="107" t="s">
        <v>387</v>
      </c>
      <c r="AU37" s="113" t="s">
        <v>387</v>
      </c>
      <c r="AV37" s="107" t="s">
        <v>387</v>
      </c>
      <c r="AW37" s="113" t="s">
        <v>387</v>
      </c>
      <c r="AX37" s="107" t="s">
        <v>387</v>
      </c>
      <c r="AY37" s="113" t="s">
        <v>387</v>
      </c>
      <c r="AZ37" s="107" t="s">
        <v>433</v>
      </c>
      <c r="BA37" s="107" t="s">
        <v>1660</v>
      </c>
      <c r="BB37" s="106"/>
      <c r="BC37" s="107" t="s">
        <v>1661</v>
      </c>
      <c r="BD37" s="106"/>
      <c r="BE37" s="108" t="b">
        <v>1</v>
      </c>
      <c r="BF37" s="108" t="b">
        <v>1</v>
      </c>
      <c r="BG37" s="108" t="b">
        <v>1</v>
      </c>
      <c r="BH37" s="108" t="b">
        <v>1</v>
      </c>
      <c r="BI37" s="108" t="b">
        <v>1</v>
      </c>
      <c r="BJ37" s="108" t="b">
        <v>1</v>
      </c>
      <c r="BK37" s="108" t="b">
        <v>1</v>
      </c>
      <c r="BL37" s="107" t="s">
        <v>649</v>
      </c>
      <c r="BM37" s="107" t="s">
        <v>502</v>
      </c>
      <c r="BN37" s="107" t="s">
        <v>507</v>
      </c>
      <c r="BO37" s="102" t="s">
        <v>1662</v>
      </c>
      <c r="BP37" s="106"/>
      <c r="BQ37" s="107" t="s">
        <v>1663</v>
      </c>
      <c r="BR37" s="102" t="s">
        <v>1664</v>
      </c>
      <c r="BS37" s="102" t="s">
        <v>1665</v>
      </c>
      <c r="BT37" s="102" t="s">
        <v>1666</v>
      </c>
      <c r="BU37" s="102" t="s">
        <v>530</v>
      </c>
      <c r="BV37" s="123">
        <v>46260.0</v>
      </c>
      <c r="BW37" s="108" t="b">
        <v>0</v>
      </c>
      <c r="BX37" s="106"/>
    </row>
    <row r="38" ht="24.75" customHeight="1">
      <c r="A38" s="89" t="s">
        <v>348</v>
      </c>
      <c r="B38" s="89" t="s">
        <v>595</v>
      </c>
      <c r="C38" s="89" t="s">
        <v>1073</v>
      </c>
      <c r="D38" s="98" t="s">
        <v>1667</v>
      </c>
      <c r="E38" s="107" t="s">
        <v>1668</v>
      </c>
      <c r="F38" s="102" t="s">
        <v>1669</v>
      </c>
      <c r="G38" s="102" t="s">
        <v>1667</v>
      </c>
      <c r="H38" s="148"/>
      <c r="I38" s="175" t="s">
        <v>646</v>
      </c>
      <c r="J38" s="175" t="s">
        <v>1670</v>
      </c>
      <c r="K38" s="105">
        <v>50.5317786593827</v>
      </c>
      <c r="L38" s="105">
        <v>-3.87723872941173</v>
      </c>
      <c r="M38" s="106"/>
      <c r="N38" s="151" t="s">
        <v>558</v>
      </c>
      <c r="O38" s="152" t="b">
        <v>1</v>
      </c>
      <c r="P38" s="180" t="s">
        <v>812</v>
      </c>
      <c r="Q38" s="180" t="s">
        <v>674</v>
      </c>
      <c r="R38" s="151" t="s">
        <v>387</v>
      </c>
      <c r="S38" s="151" t="s">
        <v>387</v>
      </c>
      <c r="T38" s="151" t="s">
        <v>387</v>
      </c>
      <c r="U38" s="151" t="s">
        <v>387</v>
      </c>
      <c r="V38" s="151" t="s">
        <v>387</v>
      </c>
      <c r="W38" s="151" t="s">
        <v>387</v>
      </c>
      <c r="X38" s="151" t="s">
        <v>387</v>
      </c>
      <c r="Y38" s="151" t="s">
        <v>387</v>
      </c>
      <c r="Z38" s="151" t="s">
        <v>387</v>
      </c>
      <c r="AA38" s="151" t="s">
        <v>387</v>
      </c>
      <c r="AB38" s="151" t="s">
        <v>387</v>
      </c>
      <c r="AC38" s="151" t="s">
        <v>387</v>
      </c>
      <c r="AD38" s="151" t="s">
        <v>387</v>
      </c>
      <c r="AE38" s="151" t="s">
        <v>387</v>
      </c>
      <c r="AF38" s="107" t="s">
        <v>678</v>
      </c>
      <c r="AG38" s="107" t="s">
        <v>678</v>
      </c>
      <c r="AH38" s="108" t="b">
        <v>0</v>
      </c>
      <c r="AI38" s="154" t="b">
        <v>0</v>
      </c>
      <c r="AJ38" s="107" t="s">
        <v>412</v>
      </c>
      <c r="AK38" s="155"/>
      <c r="AL38" s="102" t="s">
        <v>387</v>
      </c>
      <c r="AM38" s="157" t="s">
        <v>387</v>
      </c>
      <c r="AN38" s="157" t="s">
        <v>387</v>
      </c>
      <c r="AO38" s="157" t="s">
        <v>387</v>
      </c>
      <c r="AP38" s="157" t="s">
        <v>387</v>
      </c>
      <c r="AQ38" s="157" t="s">
        <v>387</v>
      </c>
      <c r="AR38" s="157" t="s">
        <v>387</v>
      </c>
      <c r="AS38" s="157" t="s">
        <v>387</v>
      </c>
      <c r="AT38" s="157" t="s">
        <v>387</v>
      </c>
      <c r="AU38" s="157" t="s">
        <v>387</v>
      </c>
      <c r="AV38" s="157" t="s">
        <v>387</v>
      </c>
      <c r="AW38" s="157" t="s">
        <v>387</v>
      </c>
      <c r="AX38" s="157" t="s">
        <v>387</v>
      </c>
      <c r="AY38" s="157" t="s">
        <v>387</v>
      </c>
      <c r="AZ38" s="107" t="s">
        <v>433</v>
      </c>
      <c r="BA38" s="107" t="s">
        <v>685</v>
      </c>
      <c r="BB38" s="106"/>
      <c r="BC38" s="106"/>
      <c r="BD38" s="106"/>
      <c r="BE38" s="108" t="b">
        <v>0</v>
      </c>
      <c r="BF38" s="108" t="b">
        <v>0</v>
      </c>
      <c r="BG38" s="108" t="b">
        <v>0</v>
      </c>
      <c r="BH38" s="108" t="b">
        <v>1</v>
      </c>
      <c r="BI38" s="108" t="b">
        <v>1</v>
      </c>
      <c r="BJ38" s="108" t="b">
        <v>1</v>
      </c>
      <c r="BK38" s="108" t="b">
        <v>1</v>
      </c>
      <c r="BL38" s="107" t="s">
        <v>519</v>
      </c>
      <c r="BM38" s="107" t="s">
        <v>950</v>
      </c>
      <c r="BN38" s="107" t="s">
        <v>654</v>
      </c>
      <c r="BO38" s="102" t="s">
        <v>1675</v>
      </c>
      <c r="BP38" s="106"/>
      <c r="BQ38" s="106"/>
      <c r="BR38" s="107" t="s">
        <v>1676</v>
      </c>
      <c r="BS38" s="107" t="s">
        <v>1679</v>
      </c>
      <c r="BT38" s="102" t="s">
        <v>1681</v>
      </c>
      <c r="BU38" s="102" t="s">
        <v>530</v>
      </c>
      <c r="BV38" s="123">
        <v>46260.0</v>
      </c>
      <c r="BW38" s="108" t="b">
        <v>0</v>
      </c>
      <c r="BX38" s="106"/>
    </row>
    <row r="39" ht="24.75" customHeight="1">
      <c r="A39" s="89" t="s">
        <v>348</v>
      </c>
      <c r="B39" s="89" t="s">
        <v>1062</v>
      </c>
      <c r="C39" s="95" t="s">
        <v>1682</v>
      </c>
      <c r="D39" s="175" t="s">
        <v>1683</v>
      </c>
      <c r="E39" s="102" t="s">
        <v>734</v>
      </c>
      <c r="F39" s="102" t="s">
        <v>1684</v>
      </c>
      <c r="G39" s="102" t="s">
        <v>1685</v>
      </c>
      <c r="H39" s="102" t="s">
        <v>1686</v>
      </c>
      <c r="I39" s="102" t="s">
        <v>831</v>
      </c>
      <c r="J39" s="95" t="s">
        <v>1687</v>
      </c>
      <c r="K39" s="105">
        <v>50.7511850139966</v>
      </c>
      <c r="L39" s="105">
        <v>-3.41023920120691</v>
      </c>
      <c r="M39" s="106"/>
      <c r="N39" s="107" t="s">
        <v>558</v>
      </c>
      <c r="O39" s="108" t="b">
        <v>1</v>
      </c>
      <c r="P39" s="109">
        <v>0.0</v>
      </c>
      <c r="Q39" s="180" t="s">
        <v>674</v>
      </c>
      <c r="R39" s="151" t="s">
        <v>387</v>
      </c>
      <c r="S39" s="151" t="s">
        <v>387</v>
      </c>
      <c r="T39" s="151" t="s">
        <v>387</v>
      </c>
      <c r="U39" s="151" t="s">
        <v>387</v>
      </c>
      <c r="V39" s="151" t="s">
        <v>387</v>
      </c>
      <c r="W39" s="151" t="s">
        <v>387</v>
      </c>
      <c r="X39" s="151" t="s">
        <v>387</v>
      </c>
      <c r="Y39" s="151" t="s">
        <v>387</v>
      </c>
      <c r="Z39" s="151" t="s">
        <v>387</v>
      </c>
      <c r="AA39" s="151" t="s">
        <v>387</v>
      </c>
      <c r="AB39" s="151" t="s">
        <v>387</v>
      </c>
      <c r="AC39" s="151" t="s">
        <v>387</v>
      </c>
      <c r="AD39" s="151" t="s">
        <v>387</v>
      </c>
      <c r="AE39" s="151" t="s">
        <v>387</v>
      </c>
      <c r="AF39" s="207" t="s">
        <v>387</v>
      </c>
      <c r="AG39" s="107" t="s">
        <v>678</v>
      </c>
      <c r="AH39" s="108" t="b">
        <v>0</v>
      </c>
      <c r="AI39" s="108" t="b">
        <v>0</v>
      </c>
      <c r="AJ39" s="107" t="s">
        <v>412</v>
      </c>
      <c r="AK39" s="106"/>
      <c r="AL39" s="107" t="s">
        <v>387</v>
      </c>
      <c r="AM39" s="113" t="s">
        <v>387</v>
      </c>
      <c r="AN39" s="107" t="s">
        <v>387</v>
      </c>
      <c r="AO39" s="113" t="s">
        <v>387</v>
      </c>
      <c r="AP39" s="107" t="s">
        <v>387</v>
      </c>
      <c r="AQ39" s="113" t="s">
        <v>387</v>
      </c>
      <c r="AR39" s="107" t="s">
        <v>387</v>
      </c>
      <c r="AS39" s="113" t="s">
        <v>387</v>
      </c>
      <c r="AT39" s="107" t="s">
        <v>387</v>
      </c>
      <c r="AU39" s="113" t="s">
        <v>387</v>
      </c>
      <c r="AV39" s="107" t="s">
        <v>387</v>
      </c>
      <c r="AW39" s="113" t="s">
        <v>387</v>
      </c>
      <c r="AX39" s="107" t="s">
        <v>387</v>
      </c>
      <c r="AY39" s="113" t="s">
        <v>387</v>
      </c>
      <c r="AZ39" s="107" t="s">
        <v>1688</v>
      </c>
      <c r="BA39" s="140" t="s">
        <v>1689</v>
      </c>
      <c r="BB39" s="106"/>
      <c r="BC39" s="107" t="s">
        <v>483</v>
      </c>
      <c r="BD39" s="140" t="s">
        <v>490</v>
      </c>
      <c r="BE39" s="108" t="b">
        <v>1</v>
      </c>
      <c r="BF39" s="108" t="b">
        <v>1</v>
      </c>
      <c r="BG39" s="108" t="b">
        <v>1</v>
      </c>
      <c r="BH39" s="108" t="b">
        <v>1</v>
      </c>
      <c r="BI39" s="108" t="b">
        <v>1</v>
      </c>
      <c r="BJ39" s="108" t="b">
        <v>1</v>
      </c>
      <c r="BK39" s="108" t="b">
        <v>1</v>
      </c>
      <c r="BL39" s="107" t="s">
        <v>519</v>
      </c>
      <c r="BM39" s="107" t="s">
        <v>1690</v>
      </c>
      <c r="BN39" s="107" t="s">
        <v>654</v>
      </c>
      <c r="BO39" s="102" t="s">
        <v>1691</v>
      </c>
      <c r="BP39" s="107" t="s">
        <v>514</v>
      </c>
      <c r="BQ39" s="107" t="s">
        <v>1692</v>
      </c>
      <c r="BR39" s="102" t="s">
        <v>1693</v>
      </c>
      <c r="BS39" s="102" t="s">
        <v>1694</v>
      </c>
      <c r="BT39" s="102" t="s">
        <v>1695</v>
      </c>
      <c r="BU39" s="102" t="s">
        <v>530</v>
      </c>
      <c r="BV39" s="123">
        <v>46260.0</v>
      </c>
      <c r="BW39" s="108" t="b">
        <v>0</v>
      </c>
      <c r="BX39" s="106"/>
    </row>
    <row r="40" ht="24.75" customHeight="1">
      <c r="A40" s="89" t="s">
        <v>348</v>
      </c>
      <c r="B40" s="89" t="s">
        <v>776</v>
      </c>
      <c r="C40" s="95" t="s">
        <v>1234</v>
      </c>
      <c r="D40" s="175" t="s">
        <v>1696</v>
      </c>
      <c r="E40" s="102" t="s">
        <v>1697</v>
      </c>
      <c r="F40" s="102" t="s">
        <v>1698</v>
      </c>
      <c r="G40" s="102" t="s">
        <v>1699</v>
      </c>
      <c r="H40" s="106"/>
      <c r="I40" s="102" t="s">
        <v>1686</v>
      </c>
      <c r="J40" s="95" t="s">
        <v>1700</v>
      </c>
      <c r="K40" s="105">
        <v>50.7529284577136</v>
      </c>
      <c r="L40" s="105">
        <v>-3.40331573948386</v>
      </c>
      <c r="M40" s="106"/>
      <c r="N40" s="107" t="s">
        <v>558</v>
      </c>
      <c r="O40" s="108" t="b">
        <v>1</v>
      </c>
      <c r="P40" s="180" t="s">
        <v>812</v>
      </c>
      <c r="Q40" s="180" t="s">
        <v>674</v>
      </c>
      <c r="R40" s="151" t="s">
        <v>387</v>
      </c>
      <c r="S40" s="151" t="s">
        <v>387</v>
      </c>
      <c r="T40" s="151" t="s">
        <v>387</v>
      </c>
      <c r="U40" s="151" t="s">
        <v>387</v>
      </c>
      <c r="V40" s="151" t="s">
        <v>387</v>
      </c>
      <c r="W40" s="151" t="s">
        <v>387</v>
      </c>
      <c r="X40" s="151" t="s">
        <v>387</v>
      </c>
      <c r="Y40" s="151" t="s">
        <v>387</v>
      </c>
      <c r="Z40" s="151" t="s">
        <v>387</v>
      </c>
      <c r="AA40" s="151" t="s">
        <v>387</v>
      </c>
      <c r="AB40" s="151" t="s">
        <v>387</v>
      </c>
      <c r="AC40" s="151" t="s">
        <v>387</v>
      </c>
      <c r="AD40" s="107" t="s">
        <v>387</v>
      </c>
      <c r="AE40" s="107" t="s">
        <v>387</v>
      </c>
      <c r="AF40" s="102" t="s">
        <v>387</v>
      </c>
      <c r="AG40" s="107" t="s">
        <v>678</v>
      </c>
      <c r="AH40" s="108" t="b">
        <v>0</v>
      </c>
      <c r="AI40" s="108" t="b">
        <v>0</v>
      </c>
      <c r="AJ40" s="107" t="s">
        <v>412</v>
      </c>
      <c r="AK40" s="106"/>
      <c r="AL40" s="107" t="s">
        <v>387</v>
      </c>
      <c r="AM40" s="113" t="s">
        <v>387</v>
      </c>
      <c r="AN40" s="107" t="s">
        <v>387</v>
      </c>
      <c r="AO40" s="113" t="s">
        <v>387</v>
      </c>
      <c r="AP40" s="107" t="s">
        <v>387</v>
      </c>
      <c r="AQ40" s="113" t="s">
        <v>387</v>
      </c>
      <c r="AR40" s="107" t="s">
        <v>387</v>
      </c>
      <c r="AS40" s="113" t="s">
        <v>387</v>
      </c>
      <c r="AT40" s="107" t="s">
        <v>387</v>
      </c>
      <c r="AU40" s="113" t="s">
        <v>387</v>
      </c>
      <c r="AV40" s="107" t="s">
        <v>387</v>
      </c>
      <c r="AW40" s="113" t="s">
        <v>387</v>
      </c>
      <c r="AX40" s="107" t="s">
        <v>387</v>
      </c>
      <c r="AY40" s="113" t="s">
        <v>387</v>
      </c>
      <c r="AZ40" s="107" t="s">
        <v>588</v>
      </c>
      <c r="BA40" s="140" t="s">
        <v>685</v>
      </c>
      <c r="BB40" s="106"/>
      <c r="BC40" s="107" t="s">
        <v>483</v>
      </c>
      <c r="BD40" s="106"/>
      <c r="BE40" s="108" t="b">
        <v>0</v>
      </c>
      <c r="BF40" s="108" t="b">
        <v>0</v>
      </c>
      <c r="BG40" s="108" t="b">
        <v>1</v>
      </c>
      <c r="BH40" s="108" t="b">
        <v>1</v>
      </c>
      <c r="BI40" s="108" t="b">
        <v>1</v>
      </c>
      <c r="BJ40" s="108" t="b">
        <v>1</v>
      </c>
      <c r="BK40" s="108" t="b">
        <v>1</v>
      </c>
      <c r="BL40" s="107" t="s">
        <v>519</v>
      </c>
      <c r="BM40" s="107" t="s">
        <v>1701</v>
      </c>
      <c r="BN40" s="107" t="s">
        <v>765</v>
      </c>
      <c r="BO40" s="102" t="s">
        <v>1702</v>
      </c>
      <c r="BP40" s="106"/>
      <c r="BQ40" s="106"/>
      <c r="BR40" s="102" t="s">
        <v>1703</v>
      </c>
      <c r="BS40" s="106"/>
      <c r="BT40" s="102" t="s">
        <v>1704</v>
      </c>
      <c r="BU40" s="102" t="s">
        <v>530</v>
      </c>
      <c r="BV40" s="123">
        <v>46260.0</v>
      </c>
      <c r="BW40" s="108" t="b">
        <v>0</v>
      </c>
      <c r="BX40" s="106"/>
    </row>
    <row r="41" ht="24.75" customHeight="1">
      <c r="A41" s="89" t="s">
        <v>348</v>
      </c>
      <c r="B41" s="89" t="s">
        <v>1018</v>
      </c>
      <c r="C41" s="95" t="s">
        <v>1406</v>
      </c>
      <c r="D41" s="98" t="s">
        <v>1705</v>
      </c>
      <c r="E41" s="102" t="s">
        <v>734</v>
      </c>
      <c r="F41" s="188" t="s">
        <v>1706</v>
      </c>
      <c r="G41" s="102" t="s">
        <v>1707</v>
      </c>
      <c r="H41" s="106"/>
      <c r="I41" s="102" t="s">
        <v>1708</v>
      </c>
      <c r="J41" s="95" t="s">
        <v>1709</v>
      </c>
      <c r="K41" s="105">
        <v>50.4523110726412</v>
      </c>
      <c r="L41" s="105">
        <v>-3.6935000630531</v>
      </c>
      <c r="M41" s="106"/>
      <c r="N41" s="107" t="s">
        <v>1446</v>
      </c>
      <c r="O41" s="108" t="b">
        <v>1</v>
      </c>
      <c r="P41" s="109">
        <v>0.375</v>
      </c>
      <c r="Q41" s="109">
        <v>0.7083333333333334</v>
      </c>
      <c r="R41" s="107" t="s">
        <v>387</v>
      </c>
      <c r="S41" s="107" t="s">
        <v>387</v>
      </c>
      <c r="T41" s="107" t="s">
        <v>387</v>
      </c>
      <c r="U41" s="107" t="s">
        <v>387</v>
      </c>
      <c r="V41" s="107" t="s">
        <v>387</v>
      </c>
      <c r="W41" s="107" t="s">
        <v>387</v>
      </c>
      <c r="X41" s="107" t="s">
        <v>387</v>
      </c>
      <c r="Y41" s="107" t="s">
        <v>387</v>
      </c>
      <c r="Z41" s="107" t="s">
        <v>387</v>
      </c>
      <c r="AA41" s="107" t="s">
        <v>387</v>
      </c>
      <c r="AB41" s="107" t="s">
        <v>387</v>
      </c>
      <c r="AC41" s="107" t="s">
        <v>387</v>
      </c>
      <c r="AD41" s="107" t="s">
        <v>387</v>
      </c>
      <c r="AE41" s="107" t="s">
        <v>387</v>
      </c>
      <c r="AF41" s="106"/>
      <c r="AG41" s="106"/>
      <c r="AH41" s="108" t="b">
        <v>1</v>
      </c>
      <c r="AI41" s="108" t="b">
        <v>1</v>
      </c>
      <c r="AJ41" s="107" t="s">
        <v>1710</v>
      </c>
      <c r="AK41" s="107" t="s">
        <v>1711</v>
      </c>
      <c r="AL41" s="107" t="s">
        <v>387</v>
      </c>
      <c r="AM41" s="210">
        <v>0.0</v>
      </c>
      <c r="AN41" s="107" t="s">
        <v>387</v>
      </c>
      <c r="AO41" s="210">
        <v>0.0</v>
      </c>
      <c r="AP41" s="107" t="s">
        <v>1712</v>
      </c>
      <c r="AQ41" s="210">
        <v>0.0</v>
      </c>
      <c r="AR41" s="107" t="s">
        <v>1420</v>
      </c>
      <c r="AS41" s="210">
        <v>2.0</v>
      </c>
      <c r="AT41" s="107" t="s">
        <v>596</v>
      </c>
      <c r="AU41" s="210">
        <v>7.0</v>
      </c>
      <c r="AV41" s="107" t="s">
        <v>387</v>
      </c>
      <c r="AW41" s="210">
        <v>0.0</v>
      </c>
      <c r="AX41" s="102" t="s">
        <v>1713</v>
      </c>
      <c r="AY41" s="210">
        <v>10.0</v>
      </c>
      <c r="AZ41" s="107" t="s">
        <v>648</v>
      </c>
      <c r="BA41" s="140" t="s">
        <v>1714</v>
      </c>
      <c r="BB41" s="107" t="s">
        <v>1426</v>
      </c>
      <c r="BC41" s="107" t="s">
        <v>1715</v>
      </c>
      <c r="BD41" s="106"/>
      <c r="BE41" s="108" t="b">
        <v>1</v>
      </c>
      <c r="BF41" s="108" t="b">
        <v>1</v>
      </c>
      <c r="BG41" s="108" t="b">
        <v>1</v>
      </c>
      <c r="BH41" s="108" t="b">
        <v>1</v>
      </c>
      <c r="BI41" s="108" t="b">
        <v>1</v>
      </c>
      <c r="BJ41" s="108" t="b">
        <v>1</v>
      </c>
      <c r="BK41" s="108" t="b">
        <v>1</v>
      </c>
      <c r="BL41" s="107" t="s">
        <v>519</v>
      </c>
      <c r="BM41" s="107" t="s">
        <v>543</v>
      </c>
      <c r="BN41" s="107" t="s">
        <v>870</v>
      </c>
      <c r="BO41" s="102" t="s">
        <v>1717</v>
      </c>
      <c r="BP41" s="140" t="s">
        <v>1719</v>
      </c>
      <c r="BQ41" s="107" t="s">
        <v>1721</v>
      </c>
      <c r="BR41" s="102" t="s">
        <v>1725</v>
      </c>
      <c r="BS41" s="102" t="s">
        <v>527</v>
      </c>
      <c r="BT41" s="102" t="s">
        <v>1728</v>
      </c>
      <c r="BU41" s="102" t="s">
        <v>530</v>
      </c>
      <c r="BV41" s="123">
        <v>46260.0</v>
      </c>
      <c r="BW41" s="108" t="b">
        <v>0</v>
      </c>
      <c r="BX41" s="106"/>
    </row>
    <row r="42" ht="24.75" customHeight="1">
      <c r="A42" s="89" t="s">
        <v>348</v>
      </c>
      <c r="B42" s="89" t="s">
        <v>595</v>
      </c>
      <c r="C42" s="89" t="s">
        <v>661</v>
      </c>
      <c r="D42" s="98" t="s">
        <v>1737</v>
      </c>
      <c r="E42" s="107" t="s">
        <v>1442</v>
      </c>
      <c r="F42" s="102" t="s">
        <v>1740</v>
      </c>
      <c r="G42" s="102" t="s">
        <v>1741</v>
      </c>
      <c r="H42" s="175" t="s">
        <v>1604</v>
      </c>
      <c r="I42" s="175" t="s">
        <v>646</v>
      </c>
      <c r="J42" s="175" t="s">
        <v>1607</v>
      </c>
      <c r="K42" s="105">
        <v>50.5946134370411</v>
      </c>
      <c r="L42" s="105">
        <v>-3.91328036555785</v>
      </c>
      <c r="M42" s="106"/>
      <c r="N42" s="151" t="s">
        <v>558</v>
      </c>
      <c r="O42" s="152" t="b">
        <v>1</v>
      </c>
      <c r="P42" s="109">
        <v>0.4166666666666667</v>
      </c>
      <c r="Q42" s="109">
        <v>0.6666666666666666</v>
      </c>
      <c r="R42" s="151" t="s">
        <v>387</v>
      </c>
      <c r="S42" s="151" t="s">
        <v>387</v>
      </c>
      <c r="T42" s="151" t="s">
        <v>387</v>
      </c>
      <c r="U42" s="151" t="s">
        <v>387</v>
      </c>
      <c r="V42" s="151" t="s">
        <v>387</v>
      </c>
      <c r="W42" s="151" t="s">
        <v>387</v>
      </c>
      <c r="X42" s="151" t="s">
        <v>387</v>
      </c>
      <c r="Y42" s="151" t="s">
        <v>387</v>
      </c>
      <c r="Z42" s="151" t="s">
        <v>387</v>
      </c>
      <c r="AA42" s="151" t="s">
        <v>387</v>
      </c>
      <c r="AB42" s="151" t="s">
        <v>387</v>
      </c>
      <c r="AC42" s="151" t="s">
        <v>387</v>
      </c>
      <c r="AD42" s="151" t="s">
        <v>387</v>
      </c>
      <c r="AE42" s="151" t="s">
        <v>387</v>
      </c>
      <c r="AF42" s="107" t="s">
        <v>1742</v>
      </c>
      <c r="AG42" s="107" t="s">
        <v>678</v>
      </c>
      <c r="AH42" s="108" t="b">
        <v>0</v>
      </c>
      <c r="AI42" s="154" t="b">
        <v>0</v>
      </c>
      <c r="AJ42" s="107" t="s">
        <v>412</v>
      </c>
      <c r="AK42" s="155"/>
      <c r="AL42" s="102" t="s">
        <v>387</v>
      </c>
      <c r="AM42" s="157" t="s">
        <v>387</v>
      </c>
      <c r="AN42" s="157" t="s">
        <v>387</v>
      </c>
      <c r="AO42" s="157" t="s">
        <v>387</v>
      </c>
      <c r="AP42" s="157" t="s">
        <v>387</v>
      </c>
      <c r="AQ42" s="157" t="s">
        <v>387</v>
      </c>
      <c r="AR42" s="157" t="s">
        <v>387</v>
      </c>
      <c r="AS42" s="157" t="s">
        <v>387</v>
      </c>
      <c r="AT42" s="157" t="s">
        <v>387</v>
      </c>
      <c r="AU42" s="157" t="s">
        <v>387</v>
      </c>
      <c r="AV42" s="157" t="s">
        <v>387</v>
      </c>
      <c r="AW42" s="157" t="s">
        <v>387</v>
      </c>
      <c r="AX42" s="157" t="s">
        <v>387</v>
      </c>
      <c r="AY42" s="157" t="s">
        <v>387</v>
      </c>
      <c r="AZ42" s="107" t="s">
        <v>648</v>
      </c>
      <c r="BA42" s="107" t="s">
        <v>1748</v>
      </c>
      <c r="BB42" s="107" t="s">
        <v>1749</v>
      </c>
      <c r="BC42" s="107" t="s">
        <v>1750</v>
      </c>
      <c r="BD42" s="106"/>
      <c r="BE42" s="108" t="b">
        <v>0</v>
      </c>
      <c r="BF42" s="108" t="b">
        <v>0</v>
      </c>
      <c r="BG42" s="108" t="b">
        <v>0</v>
      </c>
      <c r="BH42" s="108" t="b">
        <v>1</v>
      </c>
      <c r="BI42" s="108" t="b">
        <v>1</v>
      </c>
      <c r="BJ42" s="108" t="b">
        <v>1</v>
      </c>
      <c r="BK42" s="108" t="b">
        <v>1</v>
      </c>
      <c r="BL42" s="106" t="s">
        <v>649</v>
      </c>
      <c r="BM42" s="107" t="s">
        <v>1751</v>
      </c>
      <c r="BN42" s="107" t="s">
        <v>1321</v>
      </c>
      <c r="BO42" s="102" t="s">
        <v>1752</v>
      </c>
      <c r="BP42" s="106"/>
      <c r="BQ42" s="106"/>
      <c r="BR42" s="107" t="s">
        <v>1753</v>
      </c>
      <c r="BS42" s="106"/>
      <c r="BT42" s="102" t="s">
        <v>1754</v>
      </c>
      <c r="BU42" s="102" t="s">
        <v>530</v>
      </c>
      <c r="BV42" s="123">
        <v>46260.0</v>
      </c>
      <c r="BW42" s="108" t="b">
        <v>0</v>
      </c>
      <c r="BX42" s="106"/>
    </row>
    <row r="43" ht="24.75" customHeight="1">
      <c r="A43" s="89" t="s">
        <v>348</v>
      </c>
      <c r="B43" s="89" t="s">
        <v>498</v>
      </c>
      <c r="C43" s="95" t="s">
        <v>1672</v>
      </c>
      <c r="D43" s="125" t="s">
        <v>1755</v>
      </c>
      <c r="E43" s="102" t="s">
        <v>341</v>
      </c>
      <c r="F43" s="102" t="s">
        <v>1756</v>
      </c>
      <c r="G43" s="102" t="s">
        <v>1755</v>
      </c>
      <c r="H43" s="98" t="s">
        <v>1757</v>
      </c>
      <c r="I43" s="98" t="s">
        <v>1758</v>
      </c>
      <c r="J43" s="98" t="s">
        <v>1759</v>
      </c>
      <c r="K43" s="105">
        <v>50.4096227203623</v>
      </c>
      <c r="L43" s="105">
        <v>-3.99883395996141</v>
      </c>
      <c r="M43" s="106"/>
      <c r="N43" s="107" t="s">
        <v>558</v>
      </c>
      <c r="O43" s="108" t="b">
        <v>1</v>
      </c>
      <c r="P43" s="109">
        <v>0.4166666666666667</v>
      </c>
      <c r="Q43" s="109">
        <v>0.6666666666666666</v>
      </c>
      <c r="R43" s="151" t="s">
        <v>387</v>
      </c>
      <c r="S43" s="151" t="s">
        <v>387</v>
      </c>
      <c r="T43" s="151" t="s">
        <v>387</v>
      </c>
      <c r="U43" s="151" t="s">
        <v>387</v>
      </c>
      <c r="V43" s="151" t="s">
        <v>387</v>
      </c>
      <c r="W43" s="151" t="s">
        <v>387</v>
      </c>
      <c r="X43" s="151" t="s">
        <v>387</v>
      </c>
      <c r="Y43" s="151" t="s">
        <v>387</v>
      </c>
      <c r="Z43" s="151" t="s">
        <v>387</v>
      </c>
      <c r="AA43" s="151" t="s">
        <v>387</v>
      </c>
      <c r="AB43" s="151" t="s">
        <v>387</v>
      </c>
      <c r="AC43" s="151" t="s">
        <v>387</v>
      </c>
      <c r="AD43" s="151" t="s">
        <v>387</v>
      </c>
      <c r="AE43" s="151" t="s">
        <v>387</v>
      </c>
      <c r="AF43" s="106"/>
      <c r="AG43" s="106"/>
      <c r="AH43" s="108" t="b">
        <v>1</v>
      </c>
      <c r="AI43" s="108" t="b">
        <v>1</v>
      </c>
      <c r="AJ43" s="107" t="s">
        <v>1787</v>
      </c>
      <c r="AK43" s="107" t="s">
        <v>1367</v>
      </c>
      <c r="AL43" s="102" t="s">
        <v>1791</v>
      </c>
      <c r="AM43" s="138">
        <v>0.0</v>
      </c>
      <c r="AN43" s="102" t="s">
        <v>580</v>
      </c>
      <c r="AO43" s="138">
        <v>16.95</v>
      </c>
      <c r="AP43" s="135" t="s">
        <v>387</v>
      </c>
      <c r="AQ43" s="135" t="s">
        <v>387</v>
      </c>
      <c r="AR43" s="135" t="s">
        <v>387</v>
      </c>
      <c r="AS43" s="135" t="s">
        <v>387</v>
      </c>
      <c r="AT43" s="102" t="s">
        <v>583</v>
      </c>
      <c r="AU43" s="138">
        <v>22.95</v>
      </c>
      <c r="AV43" s="102" t="s">
        <v>1792</v>
      </c>
      <c r="AW43" s="138">
        <v>20.95</v>
      </c>
      <c r="AX43" s="102" t="s">
        <v>1793</v>
      </c>
      <c r="AY43" s="138">
        <v>67.95</v>
      </c>
      <c r="AZ43" s="107" t="s">
        <v>433</v>
      </c>
      <c r="BA43" s="140" t="s">
        <v>1794</v>
      </c>
      <c r="BB43" s="107" t="s">
        <v>1345</v>
      </c>
      <c r="BC43" s="107" t="s">
        <v>1795</v>
      </c>
      <c r="BD43" s="106"/>
      <c r="BE43" s="108" t="b">
        <v>1</v>
      </c>
      <c r="BF43" s="108" t="b">
        <v>1</v>
      </c>
      <c r="BG43" s="108" t="b">
        <v>1</v>
      </c>
      <c r="BH43" s="108" t="b">
        <v>1</v>
      </c>
      <c r="BI43" s="108" t="b">
        <v>1</v>
      </c>
      <c r="BJ43" s="108" t="b">
        <v>1</v>
      </c>
      <c r="BK43" s="108" t="b">
        <v>1</v>
      </c>
      <c r="BL43" s="107" t="s">
        <v>519</v>
      </c>
      <c r="BM43" s="107" t="s">
        <v>597</v>
      </c>
      <c r="BN43" s="107" t="s">
        <v>613</v>
      </c>
      <c r="BO43" s="102" t="s">
        <v>1796</v>
      </c>
      <c r="BP43" s="106"/>
      <c r="BQ43" s="106"/>
      <c r="BR43" s="107" t="s">
        <v>1797</v>
      </c>
      <c r="BS43" s="106"/>
      <c r="BT43" s="102" t="s">
        <v>1798</v>
      </c>
      <c r="BU43" s="102" t="s">
        <v>607</v>
      </c>
      <c r="BV43" s="123">
        <v>46260.0</v>
      </c>
      <c r="BW43" s="108" t="b">
        <v>0</v>
      </c>
      <c r="BX43" s="106"/>
    </row>
    <row r="44" ht="24.75" customHeight="1">
      <c r="A44" s="89" t="s">
        <v>348</v>
      </c>
      <c r="B44" s="89" t="s">
        <v>772</v>
      </c>
      <c r="C44" s="89" t="s">
        <v>1134</v>
      </c>
      <c r="D44" s="98" t="s">
        <v>1799</v>
      </c>
      <c r="E44" s="107" t="s">
        <v>1442</v>
      </c>
      <c r="F44" s="102" t="s">
        <v>1800</v>
      </c>
      <c r="G44" s="102" t="s">
        <v>1801</v>
      </c>
      <c r="H44" s="98" t="s">
        <v>1802</v>
      </c>
      <c r="I44" s="148"/>
      <c r="J44" s="98" t="s">
        <v>1803</v>
      </c>
      <c r="K44" s="149">
        <v>50.3528698623492</v>
      </c>
      <c r="L44" s="149">
        <v>-3.57781498118495</v>
      </c>
      <c r="M44" s="106"/>
      <c r="N44" s="151" t="s">
        <v>558</v>
      </c>
      <c r="O44" s="204" t="b">
        <v>1</v>
      </c>
      <c r="P44" s="180" t="s">
        <v>812</v>
      </c>
      <c r="Q44" s="180" t="s">
        <v>674</v>
      </c>
      <c r="R44" s="151" t="s">
        <v>387</v>
      </c>
      <c r="S44" s="151" t="s">
        <v>387</v>
      </c>
      <c r="T44" s="151" t="s">
        <v>387</v>
      </c>
      <c r="U44" s="151" t="s">
        <v>387</v>
      </c>
      <c r="V44" s="151" t="s">
        <v>387</v>
      </c>
      <c r="W44" s="151" t="s">
        <v>387</v>
      </c>
      <c r="X44" s="151" t="s">
        <v>387</v>
      </c>
      <c r="Y44" s="151" t="s">
        <v>387</v>
      </c>
      <c r="Z44" s="151" t="s">
        <v>387</v>
      </c>
      <c r="AA44" s="151" t="s">
        <v>387</v>
      </c>
      <c r="AB44" s="151" t="s">
        <v>387</v>
      </c>
      <c r="AC44" s="151" t="s">
        <v>387</v>
      </c>
      <c r="AD44" s="151" t="s">
        <v>387</v>
      </c>
      <c r="AE44" s="151" t="s">
        <v>387</v>
      </c>
      <c r="AF44" s="107" t="s">
        <v>387</v>
      </c>
      <c r="AG44" s="107" t="s">
        <v>678</v>
      </c>
      <c r="AH44" s="108" t="b">
        <v>0</v>
      </c>
      <c r="AI44" s="154" t="b">
        <v>0</v>
      </c>
      <c r="AJ44" s="107" t="s">
        <v>412</v>
      </c>
      <c r="AK44" s="155"/>
      <c r="AL44" s="102" t="s">
        <v>387</v>
      </c>
      <c r="AM44" s="157" t="s">
        <v>387</v>
      </c>
      <c r="AN44" s="157" t="s">
        <v>387</v>
      </c>
      <c r="AO44" s="157" t="s">
        <v>387</v>
      </c>
      <c r="AP44" s="157" t="s">
        <v>387</v>
      </c>
      <c r="AQ44" s="157" t="s">
        <v>387</v>
      </c>
      <c r="AR44" s="157" t="s">
        <v>387</v>
      </c>
      <c r="AS44" s="157" t="s">
        <v>387</v>
      </c>
      <c r="AT44" s="157" t="s">
        <v>387</v>
      </c>
      <c r="AU44" s="157" t="s">
        <v>387</v>
      </c>
      <c r="AV44" s="157" t="s">
        <v>387</v>
      </c>
      <c r="AW44" s="157" t="s">
        <v>387</v>
      </c>
      <c r="AX44" s="157" t="s">
        <v>387</v>
      </c>
      <c r="AY44" s="157" t="s">
        <v>387</v>
      </c>
      <c r="AZ44" s="107" t="s">
        <v>648</v>
      </c>
      <c r="BA44" s="140" t="s">
        <v>685</v>
      </c>
      <c r="BB44" s="107" t="s">
        <v>1005</v>
      </c>
      <c r="BC44" s="107" t="s">
        <v>1804</v>
      </c>
      <c r="BD44" s="107" t="s">
        <v>593</v>
      </c>
      <c r="BE44" s="108" t="b">
        <v>0</v>
      </c>
      <c r="BF44" s="108" t="b">
        <v>0</v>
      </c>
      <c r="BG44" s="108" t="b">
        <v>1</v>
      </c>
      <c r="BH44" s="108" t="b">
        <v>1</v>
      </c>
      <c r="BI44" s="108" t="b">
        <v>1</v>
      </c>
      <c r="BJ44" s="108" t="b">
        <v>1</v>
      </c>
      <c r="BK44" s="108" t="b">
        <v>1</v>
      </c>
      <c r="BL44" s="107" t="s">
        <v>519</v>
      </c>
      <c r="BM44" s="107" t="s">
        <v>950</v>
      </c>
      <c r="BN44" s="107" t="s">
        <v>1355</v>
      </c>
      <c r="BO44" s="102" t="s">
        <v>1805</v>
      </c>
      <c r="BP44" s="107" t="s">
        <v>514</v>
      </c>
      <c r="BQ44" s="106"/>
      <c r="BR44" s="107" t="s">
        <v>1806</v>
      </c>
      <c r="BS44" s="107" t="s">
        <v>1807</v>
      </c>
      <c r="BT44" s="102" t="s">
        <v>1808</v>
      </c>
      <c r="BU44" s="102" t="s">
        <v>1809</v>
      </c>
      <c r="BV44" s="123">
        <v>46260.0</v>
      </c>
      <c r="BW44" s="108" t="b">
        <v>0</v>
      </c>
      <c r="BX44" s="106"/>
    </row>
    <row r="45" ht="24.75" customHeight="1">
      <c r="A45" s="89" t="s">
        <v>348</v>
      </c>
      <c r="B45" s="89" t="s">
        <v>352</v>
      </c>
      <c r="C45" s="95" t="s">
        <v>1810</v>
      </c>
      <c r="D45" s="98" t="s">
        <v>1811</v>
      </c>
      <c r="E45" s="102" t="s">
        <v>381</v>
      </c>
      <c r="F45" s="102" t="s">
        <v>1812</v>
      </c>
      <c r="G45" s="102" t="s">
        <v>1813</v>
      </c>
      <c r="H45" s="102" t="s">
        <v>1590</v>
      </c>
      <c r="I45" s="102" t="s">
        <v>1814</v>
      </c>
      <c r="J45" s="95" t="s">
        <v>1815</v>
      </c>
      <c r="K45" s="105">
        <v>50.6856901260321</v>
      </c>
      <c r="L45" s="105">
        <v>-3.44901573431447</v>
      </c>
      <c r="M45" s="106"/>
      <c r="N45" s="107" t="s">
        <v>558</v>
      </c>
      <c r="O45" s="108" t="b">
        <v>1</v>
      </c>
      <c r="P45" s="180" t="s">
        <v>812</v>
      </c>
      <c r="Q45" s="180" t="s">
        <v>674</v>
      </c>
      <c r="R45" s="151" t="s">
        <v>387</v>
      </c>
      <c r="S45" s="151" t="s">
        <v>387</v>
      </c>
      <c r="T45" s="151" t="s">
        <v>387</v>
      </c>
      <c r="U45" s="151" t="s">
        <v>387</v>
      </c>
      <c r="V45" s="151" t="s">
        <v>387</v>
      </c>
      <c r="W45" s="151" t="s">
        <v>387</v>
      </c>
      <c r="X45" s="151" t="s">
        <v>387</v>
      </c>
      <c r="Y45" s="151" t="s">
        <v>387</v>
      </c>
      <c r="Z45" s="151" t="s">
        <v>387</v>
      </c>
      <c r="AA45" s="151" t="s">
        <v>387</v>
      </c>
      <c r="AB45" s="151" t="s">
        <v>387</v>
      </c>
      <c r="AC45" s="151" t="s">
        <v>387</v>
      </c>
      <c r="AD45" s="107" t="s">
        <v>387</v>
      </c>
      <c r="AE45" s="107" t="s">
        <v>387</v>
      </c>
      <c r="AF45" s="102" t="s">
        <v>387</v>
      </c>
      <c r="AG45" s="107" t="s">
        <v>678</v>
      </c>
      <c r="AH45" s="108" t="b">
        <v>0</v>
      </c>
      <c r="AI45" s="108" t="b">
        <v>0</v>
      </c>
      <c r="AJ45" s="107" t="s">
        <v>412</v>
      </c>
      <c r="AK45" s="106"/>
      <c r="AL45" s="107" t="s">
        <v>387</v>
      </c>
      <c r="AM45" s="113" t="s">
        <v>387</v>
      </c>
      <c r="AN45" s="107" t="s">
        <v>387</v>
      </c>
      <c r="AO45" s="113" t="s">
        <v>387</v>
      </c>
      <c r="AP45" s="107" t="s">
        <v>387</v>
      </c>
      <c r="AQ45" s="113" t="s">
        <v>387</v>
      </c>
      <c r="AR45" s="107" t="s">
        <v>387</v>
      </c>
      <c r="AS45" s="113" t="s">
        <v>387</v>
      </c>
      <c r="AT45" s="107" t="s">
        <v>387</v>
      </c>
      <c r="AU45" s="113" t="s">
        <v>387</v>
      </c>
      <c r="AV45" s="107" t="s">
        <v>387</v>
      </c>
      <c r="AW45" s="113" t="s">
        <v>387</v>
      </c>
      <c r="AX45" s="107" t="s">
        <v>387</v>
      </c>
      <c r="AY45" s="113" t="s">
        <v>387</v>
      </c>
      <c r="AZ45" s="107" t="s">
        <v>433</v>
      </c>
      <c r="BA45" s="140" t="s">
        <v>1816</v>
      </c>
      <c r="BB45" s="107" t="s">
        <v>1817</v>
      </c>
      <c r="BC45" s="107" t="s">
        <v>1818</v>
      </c>
      <c r="BD45" s="107" t="s">
        <v>656</v>
      </c>
      <c r="BE45" s="108" t="b">
        <v>1</v>
      </c>
      <c r="BF45" s="108" t="b">
        <v>1</v>
      </c>
      <c r="BG45" s="108" t="b">
        <v>1</v>
      </c>
      <c r="BH45" s="108" t="b">
        <v>1</v>
      </c>
      <c r="BI45" s="108" t="b">
        <v>1</v>
      </c>
      <c r="BJ45" s="108" t="b">
        <v>1</v>
      </c>
      <c r="BK45" s="108" t="b">
        <v>1</v>
      </c>
      <c r="BL45" s="107" t="s">
        <v>496</v>
      </c>
      <c r="BM45" s="107" t="s">
        <v>502</v>
      </c>
      <c r="BN45" s="107" t="s">
        <v>765</v>
      </c>
      <c r="BO45" s="102" t="s">
        <v>1819</v>
      </c>
      <c r="BP45" s="107" t="s">
        <v>1820</v>
      </c>
      <c r="BQ45" s="107" t="s">
        <v>1821</v>
      </c>
      <c r="BR45" s="102" t="s">
        <v>1822</v>
      </c>
      <c r="BS45" s="106"/>
      <c r="BT45" s="102" t="s">
        <v>1823</v>
      </c>
      <c r="BU45" s="102" t="s">
        <v>530</v>
      </c>
      <c r="BV45" s="123">
        <v>46260.0</v>
      </c>
      <c r="BW45" s="108" t="b">
        <v>0</v>
      </c>
      <c r="BX45" s="106"/>
    </row>
    <row r="46" ht="24.75" customHeight="1">
      <c r="A46" s="89" t="s">
        <v>348</v>
      </c>
      <c r="B46" s="89" t="s">
        <v>1062</v>
      </c>
      <c r="C46" s="89" t="s">
        <v>1682</v>
      </c>
      <c r="D46" s="98" t="s">
        <v>916</v>
      </c>
      <c r="E46" s="107" t="s">
        <v>734</v>
      </c>
      <c r="F46" s="102" t="s">
        <v>1824</v>
      </c>
      <c r="G46" s="102" t="s">
        <v>922</v>
      </c>
      <c r="H46" s="148"/>
      <c r="I46" s="98" t="s">
        <v>382</v>
      </c>
      <c r="J46" s="98" t="s">
        <v>923</v>
      </c>
      <c r="K46" s="149">
        <v>50.5211527633346</v>
      </c>
      <c r="L46" s="149">
        <v>-3.60015160801253</v>
      </c>
      <c r="M46" s="106"/>
      <c r="N46" s="107" t="s">
        <v>1825</v>
      </c>
      <c r="O46" s="108" t="b">
        <v>0</v>
      </c>
      <c r="P46" s="151" t="s">
        <v>387</v>
      </c>
      <c r="Q46" s="224" t="s">
        <v>387</v>
      </c>
      <c r="R46" s="109">
        <v>0.375</v>
      </c>
      <c r="S46" s="109">
        <v>0.75</v>
      </c>
      <c r="T46" s="109">
        <v>0.375</v>
      </c>
      <c r="U46" s="109">
        <v>0.75</v>
      </c>
      <c r="V46" s="109">
        <v>0.375</v>
      </c>
      <c r="W46" s="109">
        <v>0.75</v>
      </c>
      <c r="X46" s="109">
        <v>0.375</v>
      </c>
      <c r="Y46" s="109">
        <v>0.75</v>
      </c>
      <c r="Z46" s="109">
        <v>0.375</v>
      </c>
      <c r="AA46" s="109">
        <v>0.75</v>
      </c>
      <c r="AB46" s="109">
        <v>0.4166666666666667</v>
      </c>
      <c r="AC46" s="109">
        <v>0.6666666666666666</v>
      </c>
      <c r="AD46" s="109">
        <v>0.4166666666666667</v>
      </c>
      <c r="AE46" s="109">
        <v>0.6666666666666666</v>
      </c>
      <c r="AF46" s="106"/>
      <c r="AG46" s="106"/>
      <c r="AH46" s="108" t="b">
        <v>0</v>
      </c>
      <c r="AI46" s="108" t="b">
        <v>0</v>
      </c>
      <c r="AJ46" s="107" t="s">
        <v>412</v>
      </c>
      <c r="AK46" s="106"/>
      <c r="AL46" s="102" t="s">
        <v>387</v>
      </c>
      <c r="AM46" s="157" t="s">
        <v>387</v>
      </c>
      <c r="AN46" s="157" t="s">
        <v>387</v>
      </c>
      <c r="AO46" s="157" t="s">
        <v>387</v>
      </c>
      <c r="AP46" s="102" t="s">
        <v>387</v>
      </c>
      <c r="AQ46" s="157" t="s">
        <v>387</v>
      </c>
      <c r="AR46" s="102" t="s">
        <v>387</v>
      </c>
      <c r="AS46" s="157" t="s">
        <v>387</v>
      </c>
      <c r="AT46" s="157" t="s">
        <v>387</v>
      </c>
      <c r="AU46" s="157" t="s">
        <v>387</v>
      </c>
      <c r="AV46" s="102" t="s">
        <v>387</v>
      </c>
      <c r="AW46" s="157" t="s">
        <v>387</v>
      </c>
      <c r="AX46" s="102" t="s">
        <v>387</v>
      </c>
      <c r="AY46" s="157" t="s">
        <v>387</v>
      </c>
      <c r="AZ46" s="107" t="s">
        <v>1826</v>
      </c>
      <c r="BA46" s="140" t="s">
        <v>1827</v>
      </c>
      <c r="BB46" s="107" t="s">
        <v>1828</v>
      </c>
      <c r="BC46" s="107" t="s">
        <v>1275</v>
      </c>
      <c r="BD46" s="107" t="s">
        <v>1310</v>
      </c>
      <c r="BE46" s="108" t="b">
        <v>1</v>
      </c>
      <c r="BF46" s="108" t="b">
        <v>1</v>
      </c>
      <c r="BG46" s="108" t="b">
        <v>1</v>
      </c>
      <c r="BH46" s="108" t="b">
        <v>1</v>
      </c>
      <c r="BI46" s="108" t="b">
        <v>1</v>
      </c>
      <c r="BJ46" s="108" t="b">
        <v>1</v>
      </c>
      <c r="BK46" s="108" t="b">
        <v>1</v>
      </c>
      <c r="BL46" s="107" t="s">
        <v>519</v>
      </c>
      <c r="BM46" s="107" t="s">
        <v>1829</v>
      </c>
      <c r="BN46" s="107" t="s">
        <v>699</v>
      </c>
      <c r="BO46" s="102" t="s">
        <v>1830</v>
      </c>
      <c r="BP46" s="107" t="s">
        <v>514</v>
      </c>
      <c r="BQ46" s="107" t="s">
        <v>1836</v>
      </c>
      <c r="BR46" s="107" t="s">
        <v>1838</v>
      </c>
      <c r="BS46" s="107" t="s">
        <v>1839</v>
      </c>
      <c r="BT46" s="102" t="s">
        <v>1840</v>
      </c>
      <c r="BU46" s="102" t="s">
        <v>530</v>
      </c>
      <c r="BV46" s="123">
        <v>46260.0</v>
      </c>
      <c r="BW46" s="108" t="b">
        <v>0</v>
      </c>
      <c r="BX46" s="106"/>
    </row>
    <row r="47" ht="24.75" customHeight="1">
      <c r="A47" s="89" t="s">
        <v>348</v>
      </c>
      <c r="B47" s="89" t="s">
        <v>899</v>
      </c>
      <c r="C47" s="89" t="s">
        <v>1541</v>
      </c>
      <c r="D47" s="98" t="s">
        <v>1841</v>
      </c>
      <c r="E47" s="107" t="s">
        <v>808</v>
      </c>
      <c r="F47" s="102" t="s">
        <v>1842</v>
      </c>
      <c r="G47" s="102" t="s">
        <v>1843</v>
      </c>
      <c r="H47" s="175" t="s">
        <v>1844</v>
      </c>
      <c r="I47" s="175" t="s">
        <v>382</v>
      </c>
      <c r="J47" s="175" t="s">
        <v>1845</v>
      </c>
      <c r="K47" s="105">
        <v>50.5212005125646</v>
      </c>
      <c r="L47" s="105">
        <v>-3.60011942118345</v>
      </c>
      <c r="M47" s="106"/>
      <c r="N47" s="107" t="s">
        <v>558</v>
      </c>
      <c r="O47" s="106"/>
      <c r="P47" s="107" t="s">
        <v>387</v>
      </c>
      <c r="Q47" s="107" t="s">
        <v>387</v>
      </c>
      <c r="R47" s="109">
        <v>0.375</v>
      </c>
      <c r="S47" s="109">
        <v>0.75</v>
      </c>
      <c r="T47" s="109">
        <v>0.375</v>
      </c>
      <c r="U47" s="109">
        <v>0.75</v>
      </c>
      <c r="V47" s="109">
        <v>0.375</v>
      </c>
      <c r="W47" s="109">
        <v>0.75</v>
      </c>
      <c r="X47" s="109">
        <v>0.375</v>
      </c>
      <c r="Y47" s="109">
        <v>0.75</v>
      </c>
      <c r="Z47" s="109">
        <v>0.375</v>
      </c>
      <c r="AA47" s="109">
        <v>0.75</v>
      </c>
      <c r="AB47" s="109">
        <v>0.375</v>
      </c>
      <c r="AC47" s="109">
        <v>0.75</v>
      </c>
      <c r="AD47" s="109">
        <v>0.4166666666666667</v>
      </c>
      <c r="AE47" s="109">
        <v>0.6666666666666666</v>
      </c>
      <c r="AF47" s="106"/>
      <c r="AG47" s="106"/>
      <c r="AH47" s="108" t="b">
        <v>0</v>
      </c>
      <c r="AI47" s="108" t="b">
        <v>0</v>
      </c>
      <c r="AJ47" s="107" t="s">
        <v>412</v>
      </c>
      <c r="AK47" s="106"/>
      <c r="AL47" s="102" t="s">
        <v>387</v>
      </c>
      <c r="AM47" s="157" t="s">
        <v>387</v>
      </c>
      <c r="AN47" s="157" t="s">
        <v>387</v>
      </c>
      <c r="AO47" s="157" t="s">
        <v>387</v>
      </c>
      <c r="AP47" s="102" t="s">
        <v>387</v>
      </c>
      <c r="AQ47" s="157" t="s">
        <v>387</v>
      </c>
      <c r="AR47" s="102" t="s">
        <v>387</v>
      </c>
      <c r="AS47" s="157" t="s">
        <v>387</v>
      </c>
      <c r="AT47" s="157" t="s">
        <v>387</v>
      </c>
      <c r="AU47" s="157" t="s">
        <v>387</v>
      </c>
      <c r="AV47" s="102" t="s">
        <v>387</v>
      </c>
      <c r="AW47" s="157" t="s">
        <v>387</v>
      </c>
      <c r="AX47" s="102" t="s">
        <v>387</v>
      </c>
      <c r="AY47" s="157" t="s">
        <v>387</v>
      </c>
      <c r="AZ47" s="107" t="s">
        <v>1826</v>
      </c>
      <c r="BA47" s="140" t="s">
        <v>1846</v>
      </c>
      <c r="BB47" s="107" t="s">
        <v>925</v>
      </c>
      <c r="BC47" s="107" t="s">
        <v>483</v>
      </c>
      <c r="BD47" s="107" t="s">
        <v>593</v>
      </c>
      <c r="BE47" s="108" t="b">
        <v>1</v>
      </c>
      <c r="BF47" s="108" t="b">
        <v>1</v>
      </c>
      <c r="BG47" s="108" t="b">
        <v>1</v>
      </c>
      <c r="BH47" s="108" t="b">
        <v>1</v>
      </c>
      <c r="BI47" s="108" t="b">
        <v>1</v>
      </c>
      <c r="BJ47" s="108" t="b">
        <v>0</v>
      </c>
      <c r="BK47" s="108" t="b">
        <v>1</v>
      </c>
      <c r="BL47" s="107" t="s">
        <v>519</v>
      </c>
      <c r="BM47" s="107" t="s">
        <v>1847</v>
      </c>
      <c r="BN47" s="107" t="s">
        <v>1848</v>
      </c>
      <c r="BO47" s="102" t="s">
        <v>1830</v>
      </c>
      <c r="BP47" s="106"/>
      <c r="BQ47" s="106"/>
      <c r="BR47" s="107" t="s">
        <v>1849</v>
      </c>
      <c r="BS47" s="107" t="s">
        <v>1850</v>
      </c>
      <c r="BT47" s="102" t="s">
        <v>1851</v>
      </c>
      <c r="BU47" s="102" t="s">
        <v>725</v>
      </c>
      <c r="BV47" s="123">
        <v>46260.0</v>
      </c>
      <c r="BW47" s="108" t="b">
        <v>0</v>
      </c>
      <c r="BX47" s="106"/>
    </row>
    <row r="48" ht="24.75" customHeight="1">
      <c r="A48" s="89" t="s">
        <v>348</v>
      </c>
      <c r="B48" s="89" t="s">
        <v>498</v>
      </c>
      <c r="C48" s="95" t="s">
        <v>1673</v>
      </c>
      <c r="D48" s="98" t="s">
        <v>1852</v>
      </c>
      <c r="E48" s="102" t="s">
        <v>1853</v>
      </c>
      <c r="F48" s="188" t="s">
        <v>1854</v>
      </c>
      <c r="G48" s="102" t="s">
        <v>1855</v>
      </c>
      <c r="H48" s="102" t="s">
        <v>1856</v>
      </c>
      <c r="I48" s="102" t="s">
        <v>437</v>
      </c>
      <c r="J48" s="95" t="s">
        <v>1857</v>
      </c>
      <c r="K48" s="105">
        <v>50.6973607640649</v>
      </c>
      <c r="L48" s="105">
        <v>-3.19075303284485</v>
      </c>
      <c r="M48" s="106"/>
      <c r="N48" s="107" t="s">
        <v>558</v>
      </c>
      <c r="O48" s="108" t="b">
        <v>1</v>
      </c>
      <c r="P48" s="109">
        <v>0.375</v>
      </c>
      <c r="Q48" s="109">
        <v>0.7083333333333334</v>
      </c>
      <c r="R48" s="107" t="s">
        <v>387</v>
      </c>
      <c r="S48" s="107" t="s">
        <v>387</v>
      </c>
      <c r="T48" s="107" t="s">
        <v>387</v>
      </c>
      <c r="U48" s="107" t="s">
        <v>387</v>
      </c>
      <c r="V48" s="107" t="s">
        <v>387</v>
      </c>
      <c r="W48" s="107" t="s">
        <v>387</v>
      </c>
      <c r="X48" s="107" t="s">
        <v>387</v>
      </c>
      <c r="Y48" s="107" t="s">
        <v>387</v>
      </c>
      <c r="Z48" s="107" t="s">
        <v>387</v>
      </c>
      <c r="AA48" s="107" t="s">
        <v>387</v>
      </c>
      <c r="AB48" s="107" t="s">
        <v>387</v>
      </c>
      <c r="AC48" s="107" t="s">
        <v>387</v>
      </c>
      <c r="AD48" s="107" t="s">
        <v>387</v>
      </c>
      <c r="AE48" s="107" t="s">
        <v>387</v>
      </c>
      <c r="AF48" s="102" t="s">
        <v>1858</v>
      </c>
      <c r="AG48" s="107" t="s">
        <v>678</v>
      </c>
      <c r="AH48" s="108" t="b">
        <v>0</v>
      </c>
      <c r="AI48" s="108" t="b">
        <v>0</v>
      </c>
      <c r="AJ48" s="107" t="s">
        <v>412</v>
      </c>
      <c r="AK48" s="106"/>
      <c r="AL48" s="107" t="s">
        <v>387</v>
      </c>
      <c r="AM48" s="113" t="s">
        <v>387</v>
      </c>
      <c r="AN48" s="107" t="s">
        <v>387</v>
      </c>
      <c r="AO48" s="113" t="s">
        <v>387</v>
      </c>
      <c r="AP48" s="107" t="s">
        <v>387</v>
      </c>
      <c r="AQ48" s="113" t="s">
        <v>387</v>
      </c>
      <c r="AR48" s="107" t="s">
        <v>387</v>
      </c>
      <c r="AS48" s="113" t="s">
        <v>387</v>
      </c>
      <c r="AT48" s="107" t="s">
        <v>387</v>
      </c>
      <c r="AU48" s="113" t="s">
        <v>387</v>
      </c>
      <c r="AV48" s="107" t="s">
        <v>387</v>
      </c>
      <c r="AW48" s="113" t="s">
        <v>387</v>
      </c>
      <c r="AX48" s="107" t="s">
        <v>387</v>
      </c>
      <c r="AY48" s="113" t="s">
        <v>387</v>
      </c>
      <c r="AZ48" s="107" t="s">
        <v>1859</v>
      </c>
      <c r="BA48" s="140" t="s">
        <v>1860</v>
      </c>
      <c r="BB48" s="107" t="s">
        <v>1861</v>
      </c>
      <c r="BC48" s="107" t="s">
        <v>1862</v>
      </c>
      <c r="BD48" s="107" t="s">
        <v>656</v>
      </c>
      <c r="BE48" s="108" t="b">
        <v>1</v>
      </c>
      <c r="BF48" s="108" t="b">
        <v>1</v>
      </c>
      <c r="BG48" s="108" t="b">
        <v>1</v>
      </c>
      <c r="BH48" s="108" t="b">
        <v>1</v>
      </c>
      <c r="BI48" s="108" t="b">
        <v>1</v>
      </c>
      <c r="BJ48" s="108" t="b">
        <v>1</v>
      </c>
      <c r="BK48" s="108" t="b">
        <v>1</v>
      </c>
      <c r="BL48" s="107" t="s">
        <v>519</v>
      </c>
      <c r="BM48" s="107" t="s">
        <v>1863</v>
      </c>
      <c r="BN48" s="107" t="s">
        <v>1864</v>
      </c>
      <c r="BO48" s="102" t="s">
        <v>1865</v>
      </c>
      <c r="BP48" s="107" t="s">
        <v>1376</v>
      </c>
      <c r="BQ48" s="106"/>
      <c r="BR48" s="102" t="s">
        <v>1866</v>
      </c>
      <c r="BS48" s="102" t="s">
        <v>1867</v>
      </c>
      <c r="BT48" s="102" t="s">
        <v>1868</v>
      </c>
      <c r="BU48" s="102" t="s">
        <v>530</v>
      </c>
      <c r="BV48" s="123">
        <v>46260.0</v>
      </c>
      <c r="BW48" s="108" t="b">
        <v>0</v>
      </c>
      <c r="BX48" s="106"/>
    </row>
    <row r="49" ht="24.75" customHeight="1">
      <c r="A49" s="89" t="s">
        <v>348</v>
      </c>
      <c r="B49" s="89" t="s">
        <v>964</v>
      </c>
      <c r="C49" s="89" t="s">
        <v>1556</v>
      </c>
      <c r="D49" s="98" t="s">
        <v>1869</v>
      </c>
      <c r="E49" s="107" t="s">
        <v>734</v>
      </c>
      <c r="F49" s="102" t="s">
        <v>1870</v>
      </c>
      <c r="G49" s="102" t="s">
        <v>1871</v>
      </c>
      <c r="H49" s="98" t="s">
        <v>1872</v>
      </c>
      <c r="I49" s="98" t="s">
        <v>831</v>
      </c>
      <c r="J49" s="98" t="s">
        <v>1873</v>
      </c>
      <c r="K49" s="149">
        <v>50.7369174637269</v>
      </c>
      <c r="L49" s="149">
        <v>-3.49114166003939</v>
      </c>
      <c r="M49" s="106"/>
      <c r="N49" s="107" t="s">
        <v>558</v>
      </c>
      <c r="O49" s="108" t="b">
        <v>0</v>
      </c>
      <c r="P49" s="151" t="s">
        <v>387</v>
      </c>
      <c r="Q49" s="224" t="s">
        <v>387</v>
      </c>
      <c r="R49" s="109">
        <v>0.375</v>
      </c>
      <c r="S49" s="109">
        <v>0.875</v>
      </c>
      <c r="T49" s="109">
        <v>0.375</v>
      </c>
      <c r="U49" s="109">
        <v>0.875</v>
      </c>
      <c r="V49" s="109">
        <v>0.375</v>
      </c>
      <c r="W49" s="109">
        <v>0.875</v>
      </c>
      <c r="X49" s="109">
        <v>0.375</v>
      </c>
      <c r="Y49" s="109">
        <v>0.875</v>
      </c>
      <c r="Z49" s="109">
        <v>0.375</v>
      </c>
      <c r="AA49" s="109">
        <v>0.875</v>
      </c>
      <c r="AB49" s="109">
        <v>0.375</v>
      </c>
      <c r="AC49" s="109">
        <v>0.5416666666666666</v>
      </c>
      <c r="AD49" s="151" t="s">
        <v>1874</v>
      </c>
      <c r="AE49" s="109">
        <v>0.5416666666666666</v>
      </c>
      <c r="AF49" s="106"/>
      <c r="AG49" s="106"/>
      <c r="AH49" s="108" t="b">
        <v>0</v>
      </c>
      <c r="AI49" s="108" t="b">
        <v>0</v>
      </c>
      <c r="AJ49" s="107" t="s">
        <v>412</v>
      </c>
      <c r="AK49" s="106"/>
      <c r="AL49" s="102" t="s">
        <v>387</v>
      </c>
      <c r="AM49" s="157" t="s">
        <v>387</v>
      </c>
      <c r="AN49" s="157" t="s">
        <v>387</v>
      </c>
      <c r="AO49" s="157" t="s">
        <v>387</v>
      </c>
      <c r="AP49" s="102" t="s">
        <v>387</v>
      </c>
      <c r="AQ49" s="157" t="s">
        <v>387</v>
      </c>
      <c r="AR49" s="102" t="s">
        <v>387</v>
      </c>
      <c r="AS49" s="157" t="s">
        <v>387</v>
      </c>
      <c r="AT49" s="157" t="s">
        <v>387</v>
      </c>
      <c r="AU49" s="157" t="s">
        <v>387</v>
      </c>
      <c r="AV49" s="102" t="s">
        <v>387</v>
      </c>
      <c r="AW49" s="157" t="s">
        <v>387</v>
      </c>
      <c r="AX49" s="102" t="s">
        <v>387</v>
      </c>
      <c r="AY49" s="157" t="s">
        <v>387</v>
      </c>
      <c r="AZ49" s="107" t="s">
        <v>1875</v>
      </c>
      <c r="BA49" s="140" t="s">
        <v>1876</v>
      </c>
      <c r="BB49" s="106"/>
      <c r="BC49" s="106"/>
      <c r="BD49" s="106"/>
      <c r="BE49" s="108" t="b">
        <v>0</v>
      </c>
      <c r="BF49" s="108" t="b">
        <v>0</v>
      </c>
      <c r="BG49" s="108" t="b">
        <v>0</v>
      </c>
      <c r="BH49" s="108" t="b">
        <v>1</v>
      </c>
      <c r="BI49" s="108" t="b">
        <v>1</v>
      </c>
      <c r="BJ49" s="108" t="b">
        <v>1</v>
      </c>
      <c r="BK49" s="108" t="b">
        <v>1</v>
      </c>
      <c r="BL49" s="107" t="s">
        <v>519</v>
      </c>
      <c r="BM49" s="107" t="s">
        <v>1888</v>
      </c>
      <c r="BN49" s="107" t="s">
        <v>818</v>
      </c>
      <c r="BO49" s="102" t="s">
        <v>1891</v>
      </c>
      <c r="BP49" s="106"/>
      <c r="BQ49" s="106"/>
      <c r="BR49" s="107" t="s">
        <v>1895</v>
      </c>
      <c r="BS49" s="106"/>
      <c r="BT49" s="102" t="s">
        <v>1896</v>
      </c>
      <c r="BU49" s="102" t="s">
        <v>530</v>
      </c>
      <c r="BV49" s="123">
        <v>46260.0</v>
      </c>
      <c r="BW49" s="108" t="b">
        <v>0</v>
      </c>
      <c r="BX49" s="106"/>
    </row>
    <row r="50" ht="24.75" customHeight="1">
      <c r="A50" s="89" t="s">
        <v>348</v>
      </c>
      <c r="B50" s="89" t="s">
        <v>816</v>
      </c>
      <c r="C50" s="89" t="s">
        <v>1203</v>
      </c>
      <c r="D50" s="98" t="s">
        <v>1897</v>
      </c>
      <c r="E50" s="102" t="s">
        <v>769</v>
      </c>
      <c r="F50" s="102" t="s">
        <v>1898</v>
      </c>
      <c r="G50" s="107" t="s">
        <v>1899</v>
      </c>
      <c r="H50" s="98" t="s">
        <v>1900</v>
      </c>
      <c r="I50" s="175" t="s">
        <v>831</v>
      </c>
      <c r="J50" s="175" t="s">
        <v>1901</v>
      </c>
      <c r="K50" s="149">
        <v>50.6755269406486</v>
      </c>
      <c r="L50" s="149">
        <v>-3.52307501771351</v>
      </c>
      <c r="M50" s="106"/>
      <c r="N50" s="151" t="s">
        <v>1902</v>
      </c>
      <c r="O50" s="152" t="b">
        <v>0</v>
      </c>
      <c r="P50" s="198" t="s">
        <v>387</v>
      </c>
      <c r="Q50" s="151" t="s">
        <v>387</v>
      </c>
      <c r="R50" s="151" t="s">
        <v>387</v>
      </c>
      <c r="S50" s="151" t="s">
        <v>387</v>
      </c>
      <c r="T50" s="109">
        <v>0.5</v>
      </c>
      <c r="U50" s="109">
        <v>0.8333333333333334</v>
      </c>
      <c r="V50" s="152" t="s">
        <v>387</v>
      </c>
      <c r="W50" s="152" t="s">
        <v>387</v>
      </c>
      <c r="X50" s="152" t="s">
        <v>387</v>
      </c>
      <c r="Y50" s="152" t="s">
        <v>387</v>
      </c>
      <c r="Z50" s="152">
        <v>0.4166666666666667</v>
      </c>
      <c r="AA50" s="152">
        <v>0.7083333333333334</v>
      </c>
      <c r="AB50" s="152">
        <v>0.4166666666666667</v>
      </c>
      <c r="AC50" s="152">
        <v>0.7083333333333334</v>
      </c>
      <c r="AD50" s="152">
        <v>0.4166666666666667</v>
      </c>
      <c r="AE50" s="152">
        <v>0.7083333333333334</v>
      </c>
      <c r="AF50" s="102" t="s">
        <v>1903</v>
      </c>
      <c r="AG50" s="107" t="s">
        <v>678</v>
      </c>
      <c r="AH50" s="108" t="b">
        <v>1</v>
      </c>
      <c r="AI50" s="154" t="b">
        <v>1</v>
      </c>
      <c r="AJ50" s="107" t="s">
        <v>587</v>
      </c>
      <c r="AK50" s="113" t="s">
        <v>780</v>
      </c>
      <c r="AL50" s="107" t="s">
        <v>387</v>
      </c>
      <c r="AM50" s="113" t="s">
        <v>387</v>
      </c>
      <c r="AN50" s="113" t="s">
        <v>387</v>
      </c>
      <c r="AO50" s="113" t="s">
        <v>387</v>
      </c>
      <c r="AP50" s="113" t="s">
        <v>387</v>
      </c>
      <c r="AQ50" s="113" t="s">
        <v>387</v>
      </c>
      <c r="AR50" s="113" t="s">
        <v>1904</v>
      </c>
      <c r="AS50" s="210">
        <v>10.0</v>
      </c>
      <c r="AT50" s="113" t="s">
        <v>596</v>
      </c>
      <c r="AU50" s="210">
        <v>10.0</v>
      </c>
      <c r="AV50" s="113" t="s">
        <v>387</v>
      </c>
      <c r="AW50" s="157" t="s">
        <v>387</v>
      </c>
      <c r="AX50" s="157" t="s">
        <v>387</v>
      </c>
      <c r="AY50" s="157" t="s">
        <v>387</v>
      </c>
      <c r="AZ50" s="107" t="s">
        <v>433</v>
      </c>
      <c r="BA50" s="140" t="s">
        <v>1905</v>
      </c>
      <c r="BB50" s="106"/>
      <c r="BC50" s="107" t="s">
        <v>1906</v>
      </c>
      <c r="BD50" s="106"/>
      <c r="BE50" s="108" t="b">
        <v>0</v>
      </c>
      <c r="BF50" s="108" t="b">
        <v>0</v>
      </c>
      <c r="BG50" s="108" t="b">
        <v>0</v>
      </c>
      <c r="BH50" s="108" t="b">
        <v>0</v>
      </c>
      <c r="BI50" s="108" t="b">
        <v>1</v>
      </c>
      <c r="BJ50" s="108" t="b">
        <v>1</v>
      </c>
      <c r="BK50" s="108" t="b">
        <v>1</v>
      </c>
      <c r="BL50" s="107" t="s">
        <v>519</v>
      </c>
      <c r="BM50" s="107" t="s">
        <v>1096</v>
      </c>
      <c r="BN50" s="107" t="s">
        <v>1355</v>
      </c>
      <c r="BO50" s="102" t="s">
        <v>1907</v>
      </c>
      <c r="BP50" s="107" t="s">
        <v>1908</v>
      </c>
      <c r="BQ50" s="107" t="s">
        <v>1821</v>
      </c>
      <c r="BR50" s="107" t="s">
        <v>1909</v>
      </c>
      <c r="BS50" s="106"/>
      <c r="BT50" s="102" t="s">
        <v>1910</v>
      </c>
      <c r="BU50" s="102" t="s">
        <v>1911</v>
      </c>
      <c r="BV50" s="123">
        <v>46260.0</v>
      </c>
      <c r="BW50" s="108" t="b">
        <v>0</v>
      </c>
      <c r="BX50" s="106"/>
    </row>
    <row r="51" ht="24.75" customHeight="1">
      <c r="A51" s="89" t="s">
        <v>348</v>
      </c>
      <c r="B51" s="89" t="s">
        <v>816</v>
      </c>
      <c r="C51" s="95" t="s">
        <v>1198</v>
      </c>
      <c r="D51" s="125" t="s">
        <v>1912</v>
      </c>
      <c r="E51" s="102" t="s">
        <v>988</v>
      </c>
      <c r="F51" s="102" t="s">
        <v>1913</v>
      </c>
      <c r="G51" s="102" t="s">
        <v>1914</v>
      </c>
      <c r="H51" s="148"/>
      <c r="I51" s="98" t="s">
        <v>831</v>
      </c>
      <c r="J51" s="98" t="s">
        <v>1915</v>
      </c>
      <c r="K51" s="105">
        <v>50.6711348639013</v>
      </c>
      <c r="L51" s="105">
        <v>-3.49374447344085</v>
      </c>
      <c r="M51" s="106"/>
      <c r="N51" s="107" t="s">
        <v>558</v>
      </c>
      <c r="O51" s="108" t="b">
        <v>0</v>
      </c>
      <c r="P51" s="107" t="s">
        <v>387</v>
      </c>
      <c r="Q51" s="107" t="s">
        <v>387</v>
      </c>
      <c r="R51" s="109">
        <v>0.3333333333333333</v>
      </c>
      <c r="S51" s="109">
        <v>0.875</v>
      </c>
      <c r="T51" s="109">
        <v>0.3333333333333333</v>
      </c>
      <c r="U51" s="109">
        <v>0.875</v>
      </c>
      <c r="V51" s="109">
        <v>0.3333333333333333</v>
      </c>
      <c r="W51" s="109">
        <v>0.875</v>
      </c>
      <c r="X51" s="109">
        <v>0.3333333333333333</v>
      </c>
      <c r="Y51" s="109">
        <v>0.875</v>
      </c>
      <c r="Z51" s="109">
        <v>0.3333333333333333</v>
      </c>
      <c r="AA51" s="109">
        <v>0.875</v>
      </c>
      <c r="AB51" s="109">
        <v>0.3333333333333333</v>
      </c>
      <c r="AC51" s="109">
        <v>0.75</v>
      </c>
      <c r="AD51" s="109">
        <v>0.3333333333333333</v>
      </c>
      <c r="AE51" s="109">
        <v>0.75</v>
      </c>
      <c r="AF51" s="106"/>
      <c r="AG51" s="106"/>
      <c r="AH51" s="108" t="b">
        <v>1</v>
      </c>
      <c r="AI51" s="108" t="b">
        <v>0</v>
      </c>
      <c r="AJ51" s="107" t="s">
        <v>731</v>
      </c>
      <c r="AK51" s="107" t="s">
        <v>1916</v>
      </c>
      <c r="AL51" s="135" t="s">
        <v>387</v>
      </c>
      <c r="AM51" s="137" t="s">
        <v>387</v>
      </c>
      <c r="AN51" s="157" t="s">
        <v>1420</v>
      </c>
      <c r="AO51" s="157" t="s">
        <v>1917</v>
      </c>
      <c r="AP51" s="135" t="s">
        <v>387</v>
      </c>
      <c r="AQ51" s="137" t="s">
        <v>387</v>
      </c>
      <c r="AR51" s="135" t="s">
        <v>387</v>
      </c>
      <c r="AS51" s="137" t="s">
        <v>387</v>
      </c>
      <c r="AT51" s="157" t="s">
        <v>596</v>
      </c>
      <c r="AU51" s="157" t="s">
        <v>1917</v>
      </c>
      <c r="AV51" s="135" t="s">
        <v>387</v>
      </c>
      <c r="AW51" s="137" t="s">
        <v>387</v>
      </c>
      <c r="AX51" s="135" t="s">
        <v>387</v>
      </c>
      <c r="AY51" s="137" t="s">
        <v>387</v>
      </c>
      <c r="AZ51" s="107" t="s">
        <v>433</v>
      </c>
      <c r="BA51" s="107" t="s">
        <v>1918</v>
      </c>
      <c r="BB51" s="106"/>
      <c r="BC51" s="107" t="s">
        <v>1920</v>
      </c>
      <c r="BD51" s="106"/>
      <c r="BE51" s="108" t="b">
        <v>0</v>
      </c>
      <c r="BF51" s="108" t="b">
        <v>0</v>
      </c>
      <c r="BG51" s="108" t="b">
        <v>0</v>
      </c>
      <c r="BH51" s="108" t="b">
        <v>1</v>
      </c>
      <c r="BI51" s="108" t="b">
        <v>1</v>
      </c>
      <c r="BJ51" s="108" t="b">
        <v>1</v>
      </c>
      <c r="BK51" s="108" t="b">
        <v>1</v>
      </c>
      <c r="BL51" s="107" t="s">
        <v>649</v>
      </c>
      <c r="BM51" s="107" t="s">
        <v>1936</v>
      </c>
      <c r="BN51" s="107" t="s">
        <v>507</v>
      </c>
      <c r="BO51" s="102" t="s">
        <v>1938</v>
      </c>
      <c r="BP51" s="106"/>
      <c r="BQ51" s="106"/>
      <c r="BR51" s="107" t="s">
        <v>1939</v>
      </c>
      <c r="BS51" s="106"/>
      <c r="BT51" s="145" t="s">
        <v>1940</v>
      </c>
      <c r="BU51" s="102" t="s">
        <v>607</v>
      </c>
      <c r="BV51" s="123">
        <v>46260.0</v>
      </c>
      <c r="BW51" s="108" t="b">
        <v>0</v>
      </c>
      <c r="BX51" s="106"/>
    </row>
    <row r="52" ht="24.75" customHeight="1">
      <c r="A52" s="89" t="s">
        <v>348</v>
      </c>
      <c r="B52" s="89" t="s">
        <v>772</v>
      </c>
      <c r="C52" s="95" t="s">
        <v>1941</v>
      </c>
      <c r="D52" s="107" t="s">
        <v>1942</v>
      </c>
      <c r="E52" s="102" t="s">
        <v>635</v>
      </c>
      <c r="F52" s="167" t="s">
        <v>1943</v>
      </c>
      <c r="G52" s="102" t="s">
        <v>1944</v>
      </c>
      <c r="H52" s="106"/>
      <c r="I52" s="102" t="s">
        <v>669</v>
      </c>
      <c r="J52" s="95" t="s">
        <v>1113</v>
      </c>
      <c r="K52" s="105">
        <v>50.611461337039</v>
      </c>
      <c r="L52" s="105">
        <v>-3.39957315819696</v>
      </c>
      <c r="M52" s="106"/>
      <c r="N52" s="107" t="s">
        <v>558</v>
      </c>
      <c r="O52" s="108" t="b">
        <v>1</v>
      </c>
      <c r="P52" s="180" t="s">
        <v>812</v>
      </c>
      <c r="Q52" s="180" t="s">
        <v>674</v>
      </c>
      <c r="R52" s="107" t="s">
        <v>387</v>
      </c>
      <c r="S52" s="107" t="s">
        <v>387</v>
      </c>
      <c r="T52" s="107" t="s">
        <v>387</v>
      </c>
      <c r="U52" s="107" t="s">
        <v>387</v>
      </c>
      <c r="V52" s="107" t="s">
        <v>387</v>
      </c>
      <c r="W52" s="107" t="s">
        <v>387</v>
      </c>
      <c r="X52" s="107" t="s">
        <v>387</v>
      </c>
      <c r="Y52" s="107" t="s">
        <v>387</v>
      </c>
      <c r="Z52" s="107" t="s">
        <v>387</v>
      </c>
      <c r="AA52" s="107" t="s">
        <v>387</v>
      </c>
      <c r="AB52" s="107" t="s">
        <v>387</v>
      </c>
      <c r="AC52" s="107" t="s">
        <v>387</v>
      </c>
      <c r="AD52" s="107" t="s">
        <v>387</v>
      </c>
      <c r="AE52" s="107" t="s">
        <v>387</v>
      </c>
      <c r="AF52" s="102" t="s">
        <v>387</v>
      </c>
      <c r="AG52" s="107" t="s">
        <v>678</v>
      </c>
      <c r="AH52" s="108" t="b">
        <v>0</v>
      </c>
      <c r="AI52" s="108" t="b">
        <v>0</v>
      </c>
      <c r="AJ52" s="107" t="s">
        <v>412</v>
      </c>
      <c r="AK52" s="106"/>
      <c r="AL52" s="107" t="s">
        <v>387</v>
      </c>
      <c r="AM52" s="113" t="s">
        <v>387</v>
      </c>
      <c r="AN52" s="107" t="s">
        <v>387</v>
      </c>
      <c r="AO52" s="113" t="s">
        <v>387</v>
      </c>
      <c r="AP52" s="107" t="s">
        <v>387</v>
      </c>
      <c r="AQ52" s="113" t="s">
        <v>387</v>
      </c>
      <c r="AR52" s="107" t="s">
        <v>387</v>
      </c>
      <c r="AS52" s="113" t="s">
        <v>387</v>
      </c>
      <c r="AT52" s="107" t="s">
        <v>387</v>
      </c>
      <c r="AU52" s="113" t="s">
        <v>387</v>
      </c>
      <c r="AV52" s="107" t="s">
        <v>387</v>
      </c>
      <c r="AW52" s="113" t="s">
        <v>387</v>
      </c>
      <c r="AX52" s="107" t="s">
        <v>387</v>
      </c>
      <c r="AY52" s="113" t="s">
        <v>387</v>
      </c>
      <c r="AZ52" s="107" t="s">
        <v>602</v>
      </c>
      <c r="BA52" s="140" t="s">
        <v>1945</v>
      </c>
      <c r="BB52" s="107" t="s">
        <v>1005</v>
      </c>
      <c r="BC52" s="107" t="s">
        <v>1946</v>
      </c>
      <c r="BD52" s="107" t="s">
        <v>593</v>
      </c>
      <c r="BE52" s="108" t="b">
        <v>1</v>
      </c>
      <c r="BF52" s="108" t="b">
        <v>1</v>
      </c>
      <c r="BG52" s="108" t="b">
        <v>1</v>
      </c>
      <c r="BH52" s="108" t="b">
        <v>1</v>
      </c>
      <c r="BI52" s="108" t="b">
        <v>1</v>
      </c>
      <c r="BJ52" s="108" t="b">
        <v>1</v>
      </c>
      <c r="BK52" s="108" t="b">
        <v>1</v>
      </c>
      <c r="BL52" s="107" t="s">
        <v>519</v>
      </c>
      <c r="BM52" s="107" t="s">
        <v>1947</v>
      </c>
      <c r="BN52" s="107" t="s">
        <v>1948</v>
      </c>
      <c r="BO52" s="102" t="s">
        <v>1949</v>
      </c>
      <c r="BP52" s="107" t="s">
        <v>514</v>
      </c>
      <c r="BQ52" s="106"/>
      <c r="BR52" s="102" t="s">
        <v>1950</v>
      </c>
      <c r="BS52" s="106"/>
      <c r="BT52" s="102" t="s">
        <v>1951</v>
      </c>
      <c r="BU52" s="102" t="s">
        <v>725</v>
      </c>
      <c r="BV52" s="123">
        <v>46260.0</v>
      </c>
      <c r="BW52" s="108" t="b">
        <v>0</v>
      </c>
      <c r="BX52" s="106"/>
    </row>
    <row r="53" ht="24.75" customHeight="1">
      <c r="A53" s="89" t="s">
        <v>348</v>
      </c>
      <c r="B53" s="89" t="s">
        <v>352</v>
      </c>
      <c r="C53" s="89" t="s">
        <v>1952</v>
      </c>
      <c r="D53" s="98" t="s">
        <v>1953</v>
      </c>
      <c r="E53" s="107" t="s">
        <v>1955</v>
      </c>
      <c r="F53" s="102" t="s">
        <v>1958</v>
      </c>
      <c r="G53" s="102" t="s">
        <v>1960</v>
      </c>
      <c r="H53" s="102" t="s">
        <v>669</v>
      </c>
      <c r="I53" s="102" t="s">
        <v>531</v>
      </c>
      <c r="J53" s="95" t="s">
        <v>1963</v>
      </c>
      <c r="K53" s="105">
        <v>50.6219204932337</v>
      </c>
      <c r="L53" s="105">
        <v>-3.41091171586652</v>
      </c>
      <c r="M53" s="106"/>
      <c r="N53" s="107" t="s">
        <v>1965</v>
      </c>
      <c r="O53" s="108" t="b">
        <v>0</v>
      </c>
      <c r="P53" s="151" t="s">
        <v>387</v>
      </c>
      <c r="Q53" s="151" t="s">
        <v>387</v>
      </c>
      <c r="R53" s="109">
        <v>0.375</v>
      </c>
      <c r="S53" s="109">
        <v>0.7083333333333334</v>
      </c>
      <c r="T53" s="109">
        <v>0.375</v>
      </c>
      <c r="U53" s="109">
        <v>0.7083333333333334</v>
      </c>
      <c r="V53" s="151" t="s">
        <v>387</v>
      </c>
      <c r="W53" s="151" t="s">
        <v>387</v>
      </c>
      <c r="X53" s="109">
        <v>0.375</v>
      </c>
      <c r="Y53" s="109">
        <v>0.7083333333333334</v>
      </c>
      <c r="Z53" s="109">
        <v>0.375</v>
      </c>
      <c r="AA53" s="109">
        <v>0.7083333333333334</v>
      </c>
      <c r="AB53" s="109">
        <v>0.375</v>
      </c>
      <c r="AC53" s="109">
        <v>0.5416666666666666</v>
      </c>
      <c r="AD53" s="151" t="s">
        <v>387</v>
      </c>
      <c r="AE53" s="151" t="s">
        <v>387</v>
      </c>
      <c r="AF53" s="102" t="s">
        <v>1967</v>
      </c>
      <c r="AG53" s="107" t="s">
        <v>1968</v>
      </c>
      <c r="AH53" s="108" t="b">
        <v>0</v>
      </c>
      <c r="AI53" s="108" t="b">
        <v>0</v>
      </c>
      <c r="AJ53" s="107" t="s">
        <v>412</v>
      </c>
      <c r="AK53" s="106"/>
      <c r="AL53" s="102" t="s">
        <v>387</v>
      </c>
      <c r="AM53" s="157" t="s">
        <v>387</v>
      </c>
      <c r="AN53" s="102" t="s">
        <v>387</v>
      </c>
      <c r="AO53" s="157" t="s">
        <v>387</v>
      </c>
      <c r="AP53" s="102" t="s">
        <v>387</v>
      </c>
      <c r="AQ53" s="157" t="s">
        <v>387</v>
      </c>
      <c r="AR53" s="102" t="s">
        <v>387</v>
      </c>
      <c r="AS53" s="157" t="s">
        <v>387</v>
      </c>
      <c r="AT53" s="102" t="s">
        <v>387</v>
      </c>
      <c r="AU53" s="157" t="s">
        <v>387</v>
      </c>
      <c r="AV53" s="102" t="s">
        <v>387</v>
      </c>
      <c r="AW53" s="157" t="s">
        <v>387</v>
      </c>
      <c r="AX53" s="102" t="s">
        <v>387</v>
      </c>
      <c r="AY53" s="157" t="s">
        <v>387</v>
      </c>
      <c r="AZ53" s="107" t="s">
        <v>1969</v>
      </c>
      <c r="BA53" s="107" t="s">
        <v>983</v>
      </c>
      <c r="BB53" s="107" t="s">
        <v>1970</v>
      </c>
      <c r="BC53" s="107" t="s">
        <v>1971</v>
      </c>
      <c r="BD53" s="106"/>
      <c r="BE53" s="108" t="b">
        <v>0</v>
      </c>
      <c r="BF53" s="108" t="b">
        <v>1</v>
      </c>
      <c r="BG53" s="108" t="b">
        <v>1</v>
      </c>
      <c r="BH53" s="108" t="b">
        <v>1</v>
      </c>
      <c r="BI53" s="108" t="b">
        <v>1</v>
      </c>
      <c r="BJ53" s="108" t="b">
        <v>1</v>
      </c>
      <c r="BK53" s="108" t="b">
        <v>1</v>
      </c>
      <c r="BL53" s="107" t="s">
        <v>649</v>
      </c>
      <c r="BM53" s="107" t="s">
        <v>1972</v>
      </c>
      <c r="BN53" s="107" t="s">
        <v>818</v>
      </c>
      <c r="BO53" s="102" t="s">
        <v>1973</v>
      </c>
      <c r="BP53" s="106"/>
      <c r="BQ53" s="106"/>
      <c r="BR53" s="102" t="s">
        <v>1974</v>
      </c>
      <c r="BS53" s="106"/>
      <c r="BT53" s="102" t="s">
        <v>1975</v>
      </c>
      <c r="BU53" s="102" t="s">
        <v>530</v>
      </c>
      <c r="BV53" s="123">
        <v>46260.0</v>
      </c>
      <c r="BW53" s="108" t="b">
        <v>0</v>
      </c>
      <c r="BX53" s="106"/>
    </row>
    <row r="54" ht="24.75" customHeight="1">
      <c r="A54" s="89" t="s">
        <v>348</v>
      </c>
      <c r="B54" s="89" t="s">
        <v>964</v>
      </c>
      <c r="C54" s="95" t="s">
        <v>967</v>
      </c>
      <c r="D54" s="188" t="s">
        <v>1976</v>
      </c>
      <c r="E54" s="102" t="s">
        <v>1333</v>
      </c>
      <c r="F54" s="102" t="s">
        <v>1977</v>
      </c>
      <c r="G54" s="102" t="s">
        <v>1978</v>
      </c>
      <c r="H54" s="102" t="s">
        <v>1608</v>
      </c>
      <c r="I54" s="102" t="s">
        <v>1030</v>
      </c>
      <c r="J54" s="102" t="s">
        <v>1979</v>
      </c>
      <c r="K54" s="188">
        <v>50.6677903635679</v>
      </c>
      <c r="L54" s="188">
        <v>-3.44163111284308</v>
      </c>
      <c r="M54" s="106"/>
      <c r="N54" s="107" t="s">
        <v>558</v>
      </c>
      <c r="O54" s="108" t="b">
        <v>1</v>
      </c>
      <c r="P54" s="180" t="s">
        <v>812</v>
      </c>
      <c r="Q54" s="180" t="s">
        <v>674</v>
      </c>
      <c r="R54" s="107" t="s">
        <v>387</v>
      </c>
      <c r="S54" s="107" t="s">
        <v>387</v>
      </c>
      <c r="T54" s="107" t="s">
        <v>387</v>
      </c>
      <c r="U54" s="107" t="s">
        <v>387</v>
      </c>
      <c r="V54" s="107" t="s">
        <v>387</v>
      </c>
      <c r="W54" s="107" t="s">
        <v>387</v>
      </c>
      <c r="X54" s="107" t="s">
        <v>387</v>
      </c>
      <c r="Y54" s="107" t="s">
        <v>387</v>
      </c>
      <c r="Z54" s="107" t="s">
        <v>387</v>
      </c>
      <c r="AA54" s="107" t="s">
        <v>387</v>
      </c>
      <c r="AB54" s="107" t="s">
        <v>387</v>
      </c>
      <c r="AC54" s="107" t="s">
        <v>387</v>
      </c>
      <c r="AD54" s="107" t="s">
        <v>387</v>
      </c>
      <c r="AE54" s="107" t="s">
        <v>387</v>
      </c>
      <c r="AF54" s="207" t="s">
        <v>387</v>
      </c>
      <c r="AG54" s="106"/>
      <c r="AH54" s="108" t="b">
        <v>0</v>
      </c>
      <c r="AI54" s="108" t="b">
        <v>0</v>
      </c>
      <c r="AJ54" s="107" t="s">
        <v>412</v>
      </c>
      <c r="AK54" s="106"/>
      <c r="AL54" s="107" t="s">
        <v>387</v>
      </c>
      <c r="AM54" s="113" t="s">
        <v>387</v>
      </c>
      <c r="AN54" s="107" t="s">
        <v>387</v>
      </c>
      <c r="AO54" s="113" t="s">
        <v>387</v>
      </c>
      <c r="AP54" s="107" t="s">
        <v>387</v>
      </c>
      <c r="AQ54" s="113" t="s">
        <v>387</v>
      </c>
      <c r="AR54" s="107" t="s">
        <v>387</v>
      </c>
      <c r="AS54" s="113" t="s">
        <v>387</v>
      </c>
      <c r="AT54" s="107" t="s">
        <v>387</v>
      </c>
      <c r="AU54" s="113" t="s">
        <v>387</v>
      </c>
      <c r="AV54" s="107" t="s">
        <v>387</v>
      </c>
      <c r="AW54" s="113" t="s">
        <v>387</v>
      </c>
      <c r="AX54" s="107" t="s">
        <v>387</v>
      </c>
      <c r="AY54" s="113" t="s">
        <v>387</v>
      </c>
      <c r="AZ54" s="107" t="s">
        <v>588</v>
      </c>
      <c r="BA54" s="140" t="s">
        <v>1344</v>
      </c>
      <c r="BB54" s="107" t="s">
        <v>1994</v>
      </c>
      <c r="BC54" s="107" t="s">
        <v>483</v>
      </c>
      <c r="BD54" s="106"/>
      <c r="BE54" s="108" t="b">
        <v>0</v>
      </c>
      <c r="BF54" s="108" t="b">
        <v>1</v>
      </c>
      <c r="BG54" s="108" t="b">
        <v>1</v>
      </c>
      <c r="BH54" s="108" t="b">
        <v>1</v>
      </c>
      <c r="BI54" s="108" t="b">
        <v>1</v>
      </c>
      <c r="BJ54" s="108" t="b">
        <v>0</v>
      </c>
      <c r="BK54" s="108" t="b">
        <v>0</v>
      </c>
      <c r="BL54" s="107" t="s">
        <v>519</v>
      </c>
      <c r="BM54" s="107" t="s">
        <v>543</v>
      </c>
      <c r="BN54" s="107" t="s">
        <v>1321</v>
      </c>
      <c r="BO54" s="102" t="s">
        <v>1995</v>
      </c>
      <c r="BP54" s="106"/>
      <c r="BQ54" s="107" t="s">
        <v>1996</v>
      </c>
      <c r="BR54" s="102" t="s">
        <v>1997</v>
      </c>
      <c r="BS54" s="106"/>
      <c r="BT54" s="102" t="s">
        <v>1998</v>
      </c>
      <c r="BU54" s="102" t="s">
        <v>530</v>
      </c>
      <c r="BV54" s="123">
        <v>46260.0</v>
      </c>
      <c r="BW54" s="108" t="b">
        <v>0</v>
      </c>
      <c r="BX54" s="217"/>
    </row>
    <row r="55" ht="24.75" customHeight="1">
      <c r="A55" s="89" t="s">
        <v>348</v>
      </c>
      <c r="B55" s="89" t="s">
        <v>498</v>
      </c>
      <c r="C55" s="95" t="s">
        <v>1999</v>
      </c>
      <c r="D55" s="175" t="s">
        <v>2000</v>
      </c>
      <c r="E55" s="102" t="s">
        <v>653</v>
      </c>
      <c r="F55" s="102" t="s">
        <v>2008</v>
      </c>
      <c r="G55" s="102" t="s">
        <v>2000</v>
      </c>
      <c r="H55" s="98" t="s">
        <v>2010</v>
      </c>
      <c r="I55" s="98" t="s">
        <v>624</v>
      </c>
      <c r="J55" s="98" t="s">
        <v>2011</v>
      </c>
      <c r="K55" s="149">
        <v>50.8638288184394</v>
      </c>
      <c r="L55" s="149">
        <v>-3.03039134457685</v>
      </c>
      <c r="M55" s="106"/>
      <c r="N55" s="151" t="s">
        <v>558</v>
      </c>
      <c r="O55" s="152" t="b">
        <v>1</v>
      </c>
      <c r="P55" s="109">
        <v>0.4166666666666667</v>
      </c>
      <c r="Q55" s="109">
        <v>0.6666666666666666</v>
      </c>
      <c r="R55" s="151" t="s">
        <v>387</v>
      </c>
      <c r="S55" s="151" t="s">
        <v>387</v>
      </c>
      <c r="T55" s="151" t="s">
        <v>387</v>
      </c>
      <c r="U55" s="151" t="s">
        <v>387</v>
      </c>
      <c r="V55" s="151" t="s">
        <v>387</v>
      </c>
      <c r="W55" s="151" t="s">
        <v>387</v>
      </c>
      <c r="X55" s="151" t="s">
        <v>387</v>
      </c>
      <c r="Y55" s="151" t="s">
        <v>387</v>
      </c>
      <c r="Z55" s="151" t="s">
        <v>387</v>
      </c>
      <c r="AA55" s="151" t="s">
        <v>387</v>
      </c>
      <c r="AB55" s="151" t="s">
        <v>387</v>
      </c>
      <c r="AC55" s="151" t="s">
        <v>387</v>
      </c>
      <c r="AD55" s="151" t="s">
        <v>387</v>
      </c>
      <c r="AE55" s="151" t="s">
        <v>387</v>
      </c>
      <c r="AF55" s="102" t="s">
        <v>2012</v>
      </c>
      <c r="AG55" s="107" t="s">
        <v>678</v>
      </c>
      <c r="AH55" s="108" t="b">
        <v>1</v>
      </c>
      <c r="AI55" s="154" t="b">
        <v>1</v>
      </c>
      <c r="AJ55" s="107" t="s">
        <v>1036</v>
      </c>
      <c r="AK55" s="113" t="s">
        <v>2013</v>
      </c>
      <c r="AL55" s="102" t="s">
        <v>1712</v>
      </c>
      <c r="AM55" s="138">
        <v>0.0</v>
      </c>
      <c r="AN55" s="157" t="s">
        <v>2014</v>
      </c>
      <c r="AO55" s="138">
        <v>4.5</v>
      </c>
      <c r="AP55" s="157" t="s">
        <v>387</v>
      </c>
      <c r="AQ55" s="157" t="s">
        <v>387</v>
      </c>
      <c r="AR55" s="157" t="s">
        <v>387</v>
      </c>
      <c r="AS55" s="157" t="s">
        <v>387</v>
      </c>
      <c r="AT55" s="157" t="s">
        <v>2015</v>
      </c>
      <c r="AU55" s="138">
        <v>6.95</v>
      </c>
      <c r="AV55" s="157" t="s">
        <v>387</v>
      </c>
      <c r="AW55" s="157" t="s">
        <v>387</v>
      </c>
      <c r="AX55" s="157" t="s">
        <v>1424</v>
      </c>
      <c r="AY55" s="138">
        <v>21.0</v>
      </c>
      <c r="AZ55" s="107" t="s">
        <v>433</v>
      </c>
      <c r="BA55" s="107" t="s">
        <v>2016</v>
      </c>
      <c r="BB55" s="107" t="s">
        <v>2017</v>
      </c>
      <c r="BC55" s="107" t="s">
        <v>2018</v>
      </c>
      <c r="BD55" s="107" t="s">
        <v>593</v>
      </c>
      <c r="BE55" s="108" t="b">
        <v>1</v>
      </c>
      <c r="BF55" s="108" t="b">
        <v>1</v>
      </c>
      <c r="BG55" s="108" t="b">
        <v>1</v>
      </c>
      <c r="BH55" s="108" t="b">
        <v>1</v>
      </c>
      <c r="BI55" s="108" t="b">
        <v>1</v>
      </c>
      <c r="BJ55" s="108" t="b">
        <v>0</v>
      </c>
      <c r="BK55" s="108" t="b">
        <v>1</v>
      </c>
      <c r="BL55" s="107" t="s">
        <v>519</v>
      </c>
      <c r="BM55" s="107" t="s">
        <v>1096</v>
      </c>
      <c r="BN55" s="107" t="s">
        <v>870</v>
      </c>
      <c r="BO55" s="102" t="s">
        <v>2019</v>
      </c>
      <c r="BP55" s="106"/>
      <c r="BQ55" s="107" t="s">
        <v>2020</v>
      </c>
      <c r="BR55" s="102" t="s">
        <v>2021</v>
      </c>
      <c r="BS55" s="106"/>
      <c r="BT55" s="102" t="s">
        <v>2022</v>
      </c>
      <c r="BU55" s="102" t="s">
        <v>530</v>
      </c>
      <c r="BV55" s="123">
        <v>46260.0</v>
      </c>
      <c r="BW55" s="108" t="b">
        <v>0</v>
      </c>
      <c r="BX55" s="106"/>
    </row>
    <row r="56" ht="24.75" customHeight="1">
      <c r="A56" s="89" t="s">
        <v>348</v>
      </c>
      <c r="B56" s="89" t="s">
        <v>899</v>
      </c>
      <c r="C56" s="89" t="s">
        <v>1196</v>
      </c>
      <c r="D56" s="98" t="s">
        <v>2023</v>
      </c>
      <c r="E56" s="107" t="s">
        <v>769</v>
      </c>
      <c r="F56" s="188" t="s">
        <v>2024</v>
      </c>
      <c r="G56" s="102" t="s">
        <v>2025</v>
      </c>
      <c r="H56" s="98" t="s">
        <v>2026</v>
      </c>
      <c r="I56" s="98" t="s">
        <v>1493</v>
      </c>
      <c r="J56" s="98" t="s">
        <v>2027</v>
      </c>
      <c r="K56" s="149">
        <v>50.5975546772869</v>
      </c>
      <c r="L56" s="149">
        <v>-3.62756348703077</v>
      </c>
      <c r="M56" s="106"/>
      <c r="N56" s="107" t="s">
        <v>558</v>
      </c>
      <c r="O56" s="108" t="b">
        <v>1</v>
      </c>
      <c r="P56" s="109">
        <v>0.3541666666666667</v>
      </c>
      <c r="Q56" s="109">
        <v>0.7916666666666666</v>
      </c>
      <c r="R56" s="151" t="s">
        <v>387</v>
      </c>
      <c r="S56" s="151" t="s">
        <v>387</v>
      </c>
      <c r="T56" s="151" t="s">
        <v>387</v>
      </c>
      <c r="U56" s="151" t="s">
        <v>387</v>
      </c>
      <c r="V56" s="151" t="s">
        <v>387</v>
      </c>
      <c r="W56" s="151" t="s">
        <v>387</v>
      </c>
      <c r="X56" s="151" t="s">
        <v>387</v>
      </c>
      <c r="Y56" s="151" t="s">
        <v>387</v>
      </c>
      <c r="Z56" s="151" t="s">
        <v>387</v>
      </c>
      <c r="AA56" s="151" t="s">
        <v>387</v>
      </c>
      <c r="AB56" s="151" t="s">
        <v>387</v>
      </c>
      <c r="AC56" s="151" t="s">
        <v>387</v>
      </c>
      <c r="AD56" s="151" t="s">
        <v>387</v>
      </c>
      <c r="AE56" s="151" t="s">
        <v>387</v>
      </c>
      <c r="AF56" s="106"/>
      <c r="AG56" s="106"/>
      <c r="AH56" s="108" t="b">
        <v>1</v>
      </c>
      <c r="AI56" s="108" t="b">
        <v>1</v>
      </c>
      <c r="AJ56" s="107" t="s">
        <v>2042</v>
      </c>
      <c r="AK56" s="107" t="s">
        <v>2043</v>
      </c>
      <c r="AL56" s="102" t="s">
        <v>1791</v>
      </c>
      <c r="AM56" s="138">
        <v>0.0</v>
      </c>
      <c r="AN56" s="157" t="s">
        <v>580</v>
      </c>
      <c r="AO56" s="138">
        <v>8.0</v>
      </c>
      <c r="AP56" s="102" t="s">
        <v>387</v>
      </c>
      <c r="AQ56" s="157" t="s">
        <v>387</v>
      </c>
      <c r="AR56" s="102" t="s">
        <v>387</v>
      </c>
      <c r="AS56" s="157" t="s">
        <v>387</v>
      </c>
      <c r="AT56" s="157" t="s">
        <v>583</v>
      </c>
      <c r="AU56" s="138">
        <v>10.0</v>
      </c>
      <c r="AV56" s="102" t="s">
        <v>387</v>
      </c>
      <c r="AW56" s="157" t="s">
        <v>387</v>
      </c>
      <c r="AX56" s="102" t="s">
        <v>387</v>
      </c>
      <c r="AY56" s="157" t="s">
        <v>387</v>
      </c>
      <c r="AZ56" s="107" t="s">
        <v>433</v>
      </c>
      <c r="BA56" s="107" t="s">
        <v>2044</v>
      </c>
      <c r="BB56" s="106"/>
      <c r="BC56" s="107" t="s">
        <v>2045</v>
      </c>
      <c r="BD56" s="106"/>
      <c r="BE56" s="108" t="b">
        <v>0</v>
      </c>
      <c r="BF56" s="108" t="b">
        <v>0</v>
      </c>
      <c r="BG56" s="108" t="b">
        <v>0</v>
      </c>
      <c r="BH56" s="108" t="b">
        <v>1</v>
      </c>
      <c r="BI56" s="108" t="b">
        <v>1</v>
      </c>
      <c r="BJ56" s="108" t="b">
        <v>1</v>
      </c>
      <c r="BK56" s="108" t="b">
        <v>1</v>
      </c>
      <c r="BL56" s="107" t="s">
        <v>496</v>
      </c>
      <c r="BM56" s="107" t="s">
        <v>1119</v>
      </c>
      <c r="BN56" s="107" t="s">
        <v>1355</v>
      </c>
      <c r="BO56" s="102" t="s">
        <v>2046</v>
      </c>
      <c r="BP56" s="107" t="s">
        <v>1415</v>
      </c>
      <c r="BQ56" s="107" t="s">
        <v>2047</v>
      </c>
      <c r="BR56" s="107" t="s">
        <v>2049</v>
      </c>
      <c r="BS56" s="106"/>
      <c r="BT56" s="102" t="s">
        <v>2052</v>
      </c>
      <c r="BU56" s="102" t="s">
        <v>607</v>
      </c>
      <c r="BV56" s="123">
        <v>46260.0</v>
      </c>
      <c r="BW56" s="108" t="b">
        <v>0</v>
      </c>
      <c r="BX56" s="106"/>
    </row>
    <row r="57" ht="24.75" customHeight="1">
      <c r="A57" s="89" t="s">
        <v>348</v>
      </c>
      <c r="B57" s="89" t="s">
        <v>899</v>
      </c>
      <c r="C57" s="89" t="s">
        <v>1196</v>
      </c>
      <c r="D57" s="167" t="s">
        <v>2064</v>
      </c>
      <c r="E57" s="107" t="s">
        <v>337</v>
      </c>
      <c r="F57" s="188" t="s">
        <v>2069</v>
      </c>
      <c r="G57" s="102" t="s">
        <v>2025</v>
      </c>
      <c r="H57" s="98" t="s">
        <v>2026</v>
      </c>
      <c r="I57" s="98" t="s">
        <v>1493</v>
      </c>
      <c r="J57" s="98" t="s">
        <v>2027</v>
      </c>
      <c r="K57" s="149">
        <v>50.5975546772869</v>
      </c>
      <c r="L57" s="149">
        <v>-3.62756348703077</v>
      </c>
      <c r="M57" s="106"/>
      <c r="N57" s="107" t="s">
        <v>558</v>
      </c>
      <c r="O57" s="108" t="b">
        <v>1</v>
      </c>
      <c r="P57" s="109">
        <v>0.4166666666666667</v>
      </c>
      <c r="Q57" s="109">
        <v>0.75</v>
      </c>
      <c r="R57" s="151" t="s">
        <v>387</v>
      </c>
      <c r="S57" s="151" t="s">
        <v>387</v>
      </c>
      <c r="T57" s="151" t="s">
        <v>387</v>
      </c>
      <c r="U57" s="151" t="s">
        <v>387</v>
      </c>
      <c r="V57" s="151" t="s">
        <v>387</v>
      </c>
      <c r="W57" s="151" t="s">
        <v>387</v>
      </c>
      <c r="X57" s="151" t="s">
        <v>387</v>
      </c>
      <c r="Y57" s="151" t="s">
        <v>387</v>
      </c>
      <c r="Z57" s="151" t="s">
        <v>387</v>
      </c>
      <c r="AA57" s="151" t="s">
        <v>387</v>
      </c>
      <c r="AB57" s="151" t="s">
        <v>387</v>
      </c>
      <c r="AC57" s="151" t="s">
        <v>387</v>
      </c>
      <c r="AD57" s="151" t="s">
        <v>387</v>
      </c>
      <c r="AE57" s="151" t="s">
        <v>387</v>
      </c>
      <c r="AF57" s="106"/>
      <c r="AG57" s="106"/>
      <c r="AH57" s="108" t="b">
        <v>1</v>
      </c>
      <c r="AI57" s="108" t="b">
        <v>1</v>
      </c>
      <c r="AJ57" s="107" t="s">
        <v>2042</v>
      </c>
      <c r="AK57" s="107" t="s">
        <v>2043</v>
      </c>
      <c r="AL57" s="102" t="s">
        <v>1791</v>
      </c>
      <c r="AM57" s="138">
        <v>0.0</v>
      </c>
      <c r="AN57" s="157" t="s">
        <v>580</v>
      </c>
      <c r="AO57" s="138">
        <v>8.0</v>
      </c>
      <c r="AP57" s="102" t="s">
        <v>387</v>
      </c>
      <c r="AQ57" s="157" t="s">
        <v>387</v>
      </c>
      <c r="AR57" s="102" t="s">
        <v>387</v>
      </c>
      <c r="AS57" s="157" t="s">
        <v>387</v>
      </c>
      <c r="AT57" s="157" t="s">
        <v>583</v>
      </c>
      <c r="AU57" s="138">
        <v>10.0</v>
      </c>
      <c r="AV57" s="102" t="s">
        <v>387</v>
      </c>
      <c r="AW57" s="157" t="s">
        <v>387</v>
      </c>
      <c r="AX57" s="102" t="s">
        <v>387</v>
      </c>
      <c r="AY57" s="157" t="s">
        <v>387</v>
      </c>
      <c r="AZ57" s="107" t="s">
        <v>433</v>
      </c>
      <c r="BA57" s="107" t="s">
        <v>2044</v>
      </c>
      <c r="BB57" s="106"/>
      <c r="BC57" s="107" t="s">
        <v>2045</v>
      </c>
      <c r="BD57" s="106"/>
      <c r="BE57" s="108" t="b">
        <v>1</v>
      </c>
      <c r="BF57" s="108" t="b">
        <v>1</v>
      </c>
      <c r="BG57" s="108" t="b">
        <v>1</v>
      </c>
      <c r="BH57" s="108" t="b">
        <v>1</v>
      </c>
      <c r="BI57" s="108" t="b">
        <v>1</v>
      </c>
      <c r="BJ57" s="108" t="b">
        <v>1</v>
      </c>
      <c r="BK57" s="108" t="b">
        <v>1</v>
      </c>
      <c r="BL57" s="107" t="s">
        <v>496</v>
      </c>
      <c r="BM57" s="107" t="s">
        <v>1119</v>
      </c>
      <c r="BN57" s="107" t="s">
        <v>1355</v>
      </c>
      <c r="BO57" s="102" t="s">
        <v>2046</v>
      </c>
      <c r="BP57" s="107" t="s">
        <v>1415</v>
      </c>
      <c r="BQ57" s="107" t="s">
        <v>2047</v>
      </c>
      <c r="BR57" s="107" t="s">
        <v>2085</v>
      </c>
      <c r="BS57" s="106"/>
      <c r="BT57" s="102" t="s">
        <v>2052</v>
      </c>
      <c r="BU57" s="102" t="s">
        <v>607</v>
      </c>
      <c r="BV57" s="123">
        <v>46260.0</v>
      </c>
      <c r="BW57" s="108" t="b">
        <v>0</v>
      </c>
      <c r="BX57" s="106"/>
    </row>
    <row r="58" ht="24.75" customHeight="1">
      <c r="A58" s="89" t="s">
        <v>348</v>
      </c>
      <c r="B58" s="89" t="s">
        <v>707</v>
      </c>
      <c r="C58" s="95" t="s">
        <v>1497</v>
      </c>
      <c r="D58" s="125" t="s">
        <v>2099</v>
      </c>
      <c r="E58" s="102" t="s">
        <v>2100</v>
      </c>
      <c r="F58" s="102" t="s">
        <v>2101</v>
      </c>
      <c r="G58" s="102" t="s">
        <v>2103</v>
      </c>
      <c r="H58" s="148"/>
      <c r="I58" s="98" t="s">
        <v>2107</v>
      </c>
      <c r="J58" s="98" t="s">
        <v>2109</v>
      </c>
      <c r="K58" s="105">
        <v>50.5975125349946</v>
      </c>
      <c r="L58" s="105">
        <v>-3.4431484133363</v>
      </c>
      <c r="M58" s="106"/>
      <c r="N58" s="107" t="s">
        <v>558</v>
      </c>
      <c r="O58" s="108" t="b">
        <v>1</v>
      </c>
      <c r="P58" s="109">
        <v>0.4166666666666667</v>
      </c>
      <c r="Q58" s="109">
        <v>0.8333333333333334</v>
      </c>
      <c r="R58" s="151" t="s">
        <v>387</v>
      </c>
      <c r="S58" s="151" t="s">
        <v>387</v>
      </c>
      <c r="T58" s="151" t="s">
        <v>387</v>
      </c>
      <c r="U58" s="151" t="s">
        <v>387</v>
      </c>
      <c r="V58" s="151" t="s">
        <v>387</v>
      </c>
      <c r="W58" s="151" t="s">
        <v>387</v>
      </c>
      <c r="X58" s="151" t="s">
        <v>387</v>
      </c>
      <c r="Y58" s="151" t="s">
        <v>387</v>
      </c>
      <c r="Z58" s="151" t="s">
        <v>387</v>
      </c>
      <c r="AA58" s="151" t="s">
        <v>387</v>
      </c>
      <c r="AB58" s="151" t="s">
        <v>387</v>
      </c>
      <c r="AC58" s="151" t="s">
        <v>387</v>
      </c>
      <c r="AD58" s="151" t="s">
        <v>387</v>
      </c>
      <c r="AE58" s="151" t="s">
        <v>387</v>
      </c>
      <c r="AF58" s="106"/>
      <c r="AG58" s="106"/>
      <c r="AH58" s="108" t="b">
        <v>0</v>
      </c>
      <c r="AI58" s="108" t="b">
        <v>0</v>
      </c>
      <c r="AJ58" s="107" t="s">
        <v>412</v>
      </c>
      <c r="AK58" s="106"/>
      <c r="AL58" s="102" t="s">
        <v>387</v>
      </c>
      <c r="AM58" s="157" t="s">
        <v>387</v>
      </c>
      <c r="AN58" s="102" t="s">
        <v>387</v>
      </c>
      <c r="AO58" s="157" t="s">
        <v>387</v>
      </c>
      <c r="AP58" s="102" t="s">
        <v>387</v>
      </c>
      <c r="AQ58" s="157" t="s">
        <v>387</v>
      </c>
      <c r="AR58" s="102" t="s">
        <v>387</v>
      </c>
      <c r="AS58" s="157" t="s">
        <v>387</v>
      </c>
      <c r="AT58" s="102" t="s">
        <v>387</v>
      </c>
      <c r="AU58" s="157" t="s">
        <v>387</v>
      </c>
      <c r="AV58" s="102" t="s">
        <v>387</v>
      </c>
      <c r="AW58" s="157" t="s">
        <v>387</v>
      </c>
      <c r="AX58" s="102" t="s">
        <v>387</v>
      </c>
      <c r="AY58" s="157" t="s">
        <v>387</v>
      </c>
      <c r="AZ58" s="140" t="s">
        <v>602</v>
      </c>
      <c r="BA58" s="140" t="s">
        <v>1235</v>
      </c>
      <c r="BB58" s="140" t="s">
        <v>2114</v>
      </c>
      <c r="BC58" s="140" t="s">
        <v>2115</v>
      </c>
      <c r="BD58" s="106"/>
      <c r="BE58" s="108" t="b">
        <v>0</v>
      </c>
      <c r="BF58" s="108" t="b">
        <v>0</v>
      </c>
      <c r="BG58" s="108" t="b">
        <v>1</v>
      </c>
      <c r="BH58" s="108" t="b">
        <v>1</v>
      </c>
      <c r="BI58" s="108" t="b">
        <v>1</v>
      </c>
      <c r="BJ58" s="108" t="b">
        <v>0</v>
      </c>
      <c r="BK58" s="108" t="b">
        <v>0</v>
      </c>
      <c r="BL58" s="107" t="s">
        <v>519</v>
      </c>
      <c r="BM58" s="107" t="s">
        <v>543</v>
      </c>
      <c r="BN58" s="107" t="s">
        <v>1457</v>
      </c>
      <c r="BO58" s="102" t="s">
        <v>2116</v>
      </c>
      <c r="BP58" s="107" t="s">
        <v>514</v>
      </c>
      <c r="BQ58" s="106"/>
      <c r="BR58" s="102" t="s">
        <v>2122</v>
      </c>
      <c r="BS58" s="106"/>
      <c r="BT58" s="188" t="s">
        <v>2126</v>
      </c>
      <c r="BU58" s="102" t="s">
        <v>607</v>
      </c>
      <c r="BV58" s="123">
        <v>46260.0</v>
      </c>
      <c r="BW58" s="108" t="b">
        <v>0</v>
      </c>
      <c r="BX58" s="106"/>
    </row>
    <row r="59" ht="24.75" customHeight="1">
      <c r="A59" s="89" t="s">
        <v>348</v>
      </c>
      <c r="B59" s="89" t="s">
        <v>964</v>
      </c>
      <c r="C59" s="95" t="s">
        <v>967</v>
      </c>
      <c r="D59" s="125" t="s">
        <v>2141</v>
      </c>
      <c r="E59" s="102" t="s">
        <v>734</v>
      </c>
      <c r="F59" s="102" t="s">
        <v>2147</v>
      </c>
      <c r="G59" s="102" t="s">
        <v>2149</v>
      </c>
      <c r="H59" s="148"/>
      <c r="I59" s="98" t="s">
        <v>2153</v>
      </c>
      <c r="J59" s="98" t="s">
        <v>2155</v>
      </c>
      <c r="K59" s="105">
        <v>50.4361235932893</v>
      </c>
      <c r="L59" s="105">
        <v>-3.55981661829936</v>
      </c>
      <c r="M59" s="106"/>
      <c r="N59" s="107" t="s">
        <v>558</v>
      </c>
      <c r="O59" s="108" t="b">
        <v>1</v>
      </c>
      <c r="P59" s="109">
        <v>0.0</v>
      </c>
      <c r="Q59" s="171" t="s">
        <v>674</v>
      </c>
      <c r="R59" s="223" t="s">
        <v>387</v>
      </c>
      <c r="S59" s="223" t="s">
        <v>387</v>
      </c>
      <c r="T59" s="223" t="s">
        <v>387</v>
      </c>
      <c r="U59" s="223" t="s">
        <v>387</v>
      </c>
      <c r="V59" s="223" t="s">
        <v>387</v>
      </c>
      <c r="W59" s="223" t="s">
        <v>387</v>
      </c>
      <c r="X59" s="223" t="s">
        <v>387</v>
      </c>
      <c r="Y59" s="223" t="s">
        <v>387</v>
      </c>
      <c r="Z59" s="223" t="s">
        <v>387</v>
      </c>
      <c r="AA59" s="223" t="s">
        <v>387</v>
      </c>
      <c r="AB59" s="223" t="s">
        <v>387</v>
      </c>
      <c r="AC59" s="223" t="s">
        <v>387</v>
      </c>
      <c r="AD59" s="223" t="s">
        <v>387</v>
      </c>
      <c r="AE59" s="223" t="s">
        <v>387</v>
      </c>
      <c r="AF59" s="102" t="s">
        <v>387</v>
      </c>
      <c r="AG59" s="107" t="s">
        <v>678</v>
      </c>
      <c r="AH59" s="108" t="b">
        <v>0</v>
      </c>
      <c r="AI59" s="108" t="b">
        <v>0</v>
      </c>
      <c r="AJ59" s="107" t="s">
        <v>412</v>
      </c>
      <c r="AK59" s="106"/>
      <c r="AL59" s="102" t="s">
        <v>387</v>
      </c>
      <c r="AM59" s="157" t="s">
        <v>387</v>
      </c>
      <c r="AN59" s="102" t="s">
        <v>387</v>
      </c>
      <c r="AO59" s="157" t="s">
        <v>387</v>
      </c>
      <c r="AP59" s="102" t="s">
        <v>387</v>
      </c>
      <c r="AQ59" s="157" t="s">
        <v>387</v>
      </c>
      <c r="AR59" s="102" t="s">
        <v>387</v>
      </c>
      <c r="AS59" s="157" t="s">
        <v>387</v>
      </c>
      <c r="AT59" s="102" t="s">
        <v>387</v>
      </c>
      <c r="AU59" s="157" t="s">
        <v>387</v>
      </c>
      <c r="AV59" s="102" t="s">
        <v>387</v>
      </c>
      <c r="AW59" s="157" t="s">
        <v>387</v>
      </c>
      <c r="AX59" s="102" t="s">
        <v>387</v>
      </c>
      <c r="AY59" s="157" t="s">
        <v>387</v>
      </c>
      <c r="AZ59" s="107" t="s">
        <v>1826</v>
      </c>
      <c r="BA59" s="140" t="s">
        <v>2168</v>
      </c>
      <c r="BB59" s="106"/>
      <c r="BC59" s="107" t="s">
        <v>1250</v>
      </c>
      <c r="BD59" s="107" t="s">
        <v>656</v>
      </c>
      <c r="BE59" s="108" t="b">
        <v>1</v>
      </c>
      <c r="BF59" s="108" t="b">
        <v>1</v>
      </c>
      <c r="BG59" s="108" t="b">
        <v>1</v>
      </c>
      <c r="BH59" s="108" t="b">
        <v>1</v>
      </c>
      <c r="BI59" s="108" t="b">
        <v>1</v>
      </c>
      <c r="BJ59" s="108" t="b">
        <v>0</v>
      </c>
      <c r="BK59" s="108" t="b">
        <v>0</v>
      </c>
      <c r="BL59" s="106" t="s">
        <v>519</v>
      </c>
      <c r="BM59" s="107" t="s">
        <v>721</v>
      </c>
      <c r="BN59" s="107" t="s">
        <v>533</v>
      </c>
      <c r="BO59" s="102" t="s">
        <v>2188</v>
      </c>
      <c r="BP59" s="106"/>
      <c r="BQ59" s="106"/>
      <c r="BR59" s="140" t="s">
        <v>2189</v>
      </c>
      <c r="BS59" s="106"/>
      <c r="BT59" s="188" t="s">
        <v>2190</v>
      </c>
      <c r="BU59" s="102" t="s">
        <v>607</v>
      </c>
      <c r="BV59" s="123">
        <v>46260.0</v>
      </c>
      <c r="BW59" s="108" t="b">
        <v>0</v>
      </c>
      <c r="BX59" s="106"/>
    </row>
    <row r="60" ht="24.75" customHeight="1">
      <c r="A60" s="89" t="s">
        <v>348</v>
      </c>
      <c r="B60" s="89" t="s">
        <v>498</v>
      </c>
      <c r="C60" s="95" t="s">
        <v>2191</v>
      </c>
      <c r="D60" s="98" t="s">
        <v>2192</v>
      </c>
      <c r="E60" s="102" t="s">
        <v>802</v>
      </c>
      <c r="F60" s="102" t="s">
        <v>2193</v>
      </c>
      <c r="G60" s="102" t="s">
        <v>2194</v>
      </c>
      <c r="H60" s="102" t="s">
        <v>2195</v>
      </c>
      <c r="I60" s="102" t="s">
        <v>2196</v>
      </c>
      <c r="J60" s="95" t="s">
        <v>2197</v>
      </c>
      <c r="K60" s="105">
        <v>50.7042384219873</v>
      </c>
      <c r="L60" s="105">
        <v>-3.39862966003786</v>
      </c>
      <c r="M60" s="106"/>
      <c r="N60" s="107" t="s">
        <v>558</v>
      </c>
      <c r="O60" s="108" t="b">
        <v>1</v>
      </c>
      <c r="P60" s="180" t="s">
        <v>812</v>
      </c>
      <c r="Q60" s="180" t="s">
        <v>674</v>
      </c>
      <c r="R60" s="151" t="s">
        <v>387</v>
      </c>
      <c r="S60" s="151" t="s">
        <v>387</v>
      </c>
      <c r="T60" s="151" t="s">
        <v>387</v>
      </c>
      <c r="U60" s="151" t="s">
        <v>387</v>
      </c>
      <c r="V60" s="151" t="s">
        <v>387</v>
      </c>
      <c r="W60" s="151" t="s">
        <v>387</v>
      </c>
      <c r="X60" s="151" t="s">
        <v>387</v>
      </c>
      <c r="Y60" s="151" t="s">
        <v>387</v>
      </c>
      <c r="Z60" s="151" t="s">
        <v>387</v>
      </c>
      <c r="AA60" s="151" t="s">
        <v>387</v>
      </c>
      <c r="AB60" s="151" t="s">
        <v>387</v>
      </c>
      <c r="AC60" s="151" t="s">
        <v>387</v>
      </c>
      <c r="AD60" s="107" t="s">
        <v>387</v>
      </c>
      <c r="AE60" s="107" t="s">
        <v>387</v>
      </c>
      <c r="AF60" s="102" t="s">
        <v>387</v>
      </c>
      <c r="AG60" s="107" t="s">
        <v>678</v>
      </c>
      <c r="AH60" s="108" t="b">
        <v>0</v>
      </c>
      <c r="AI60" s="108" t="b">
        <v>0</v>
      </c>
      <c r="AJ60" s="107" t="s">
        <v>412</v>
      </c>
      <c r="AK60" s="106"/>
      <c r="AL60" s="107" t="s">
        <v>387</v>
      </c>
      <c r="AM60" s="113" t="s">
        <v>387</v>
      </c>
      <c r="AN60" s="107" t="s">
        <v>387</v>
      </c>
      <c r="AO60" s="113" t="s">
        <v>387</v>
      </c>
      <c r="AP60" s="107" t="s">
        <v>387</v>
      </c>
      <c r="AQ60" s="113" t="s">
        <v>387</v>
      </c>
      <c r="AR60" s="107" t="s">
        <v>387</v>
      </c>
      <c r="AS60" s="113" t="s">
        <v>387</v>
      </c>
      <c r="AT60" s="107" t="s">
        <v>387</v>
      </c>
      <c r="AU60" s="113" t="s">
        <v>387</v>
      </c>
      <c r="AV60" s="107" t="s">
        <v>387</v>
      </c>
      <c r="AW60" s="113" t="s">
        <v>387</v>
      </c>
      <c r="AX60" s="107" t="s">
        <v>387</v>
      </c>
      <c r="AY60" s="113" t="s">
        <v>387</v>
      </c>
      <c r="AZ60" s="107" t="s">
        <v>433</v>
      </c>
      <c r="BA60" s="140" t="s">
        <v>2209</v>
      </c>
      <c r="BB60" s="107" t="s">
        <v>2210</v>
      </c>
      <c r="BC60" s="107" t="s">
        <v>2211</v>
      </c>
      <c r="BD60" s="107" t="s">
        <v>656</v>
      </c>
      <c r="BE60" s="108" t="b">
        <v>1</v>
      </c>
      <c r="BF60" s="108" t="b">
        <v>1</v>
      </c>
      <c r="BG60" s="108" t="b">
        <v>1</v>
      </c>
      <c r="BH60" s="108" t="b">
        <v>1</v>
      </c>
      <c r="BI60" s="108" t="b">
        <v>1</v>
      </c>
      <c r="BJ60" s="108" t="b">
        <v>0</v>
      </c>
      <c r="BK60" s="108" t="b">
        <v>1</v>
      </c>
      <c r="BL60" s="107" t="s">
        <v>496</v>
      </c>
      <c r="BM60" s="107" t="s">
        <v>502</v>
      </c>
      <c r="BN60" s="107" t="s">
        <v>765</v>
      </c>
      <c r="BO60" s="102" t="s">
        <v>2212</v>
      </c>
      <c r="BP60" s="107" t="s">
        <v>1820</v>
      </c>
      <c r="BQ60" s="107" t="s">
        <v>1821</v>
      </c>
      <c r="BR60" s="102" t="s">
        <v>2213</v>
      </c>
      <c r="BS60" s="102" t="s">
        <v>1665</v>
      </c>
      <c r="BT60" s="102" t="s">
        <v>2214</v>
      </c>
      <c r="BU60" s="102" t="s">
        <v>530</v>
      </c>
      <c r="BV60" s="123">
        <v>46260.0</v>
      </c>
      <c r="BW60" s="108" t="b">
        <v>0</v>
      </c>
      <c r="BX60" s="106"/>
    </row>
    <row r="61" ht="24.75" customHeight="1">
      <c r="A61" s="89" t="s">
        <v>348</v>
      </c>
      <c r="B61" s="89" t="s">
        <v>610</v>
      </c>
      <c r="C61" s="89" t="s">
        <v>612</v>
      </c>
      <c r="D61" s="98" t="s">
        <v>2215</v>
      </c>
      <c r="E61" s="107" t="s">
        <v>371</v>
      </c>
      <c r="F61" s="102" t="s">
        <v>2216</v>
      </c>
      <c r="G61" s="98" t="s">
        <v>2195</v>
      </c>
      <c r="H61" s="98" t="s">
        <v>2196</v>
      </c>
      <c r="I61" s="98" t="s">
        <v>831</v>
      </c>
      <c r="J61" s="98" t="s">
        <v>2197</v>
      </c>
      <c r="K61" s="149">
        <v>50.7040790493516</v>
      </c>
      <c r="L61" s="149">
        <v>-3.39861408060222</v>
      </c>
      <c r="M61" s="106"/>
      <c r="N61" s="151" t="s">
        <v>558</v>
      </c>
      <c r="O61" s="152" t="b">
        <v>0</v>
      </c>
      <c r="P61" s="223" t="s">
        <v>387</v>
      </c>
      <c r="Q61" s="223" t="s">
        <v>387</v>
      </c>
      <c r="R61" s="109">
        <v>0.3333333333333333</v>
      </c>
      <c r="S61" s="109">
        <v>0.6666666666666666</v>
      </c>
      <c r="T61" s="109">
        <v>0.3333333333333333</v>
      </c>
      <c r="U61" s="109">
        <v>0.9166666666666666</v>
      </c>
      <c r="V61" s="109">
        <v>0.3333333333333333</v>
      </c>
      <c r="W61" s="109">
        <v>0.9166666666666666</v>
      </c>
      <c r="X61" s="109">
        <v>0.3333333333333333</v>
      </c>
      <c r="Y61" s="109">
        <v>0.9166666666666666</v>
      </c>
      <c r="Z61" s="109">
        <v>0.3333333333333333</v>
      </c>
      <c r="AA61" s="109">
        <v>0.9166666666666666</v>
      </c>
      <c r="AB61" s="109">
        <v>0.3333333333333333</v>
      </c>
      <c r="AC61" s="109">
        <v>0.9166666666666666</v>
      </c>
      <c r="AD61" s="109">
        <v>0.3333333333333333</v>
      </c>
      <c r="AE61" s="109">
        <v>0.6666666666666666</v>
      </c>
      <c r="AF61" s="107" t="s">
        <v>2217</v>
      </c>
      <c r="AG61" s="106" t="s">
        <v>678</v>
      </c>
      <c r="AH61" s="108" t="b">
        <v>0</v>
      </c>
      <c r="AI61" s="154" t="b">
        <v>0</v>
      </c>
      <c r="AJ61" s="107" t="s">
        <v>412</v>
      </c>
      <c r="AK61" s="155"/>
      <c r="AL61" s="102" t="s">
        <v>387</v>
      </c>
      <c r="AM61" s="157" t="s">
        <v>387</v>
      </c>
      <c r="AN61" s="157" t="s">
        <v>387</v>
      </c>
      <c r="AO61" s="157" t="s">
        <v>387</v>
      </c>
      <c r="AP61" s="157" t="s">
        <v>387</v>
      </c>
      <c r="AQ61" s="157" t="s">
        <v>387</v>
      </c>
      <c r="AR61" s="157" t="s">
        <v>387</v>
      </c>
      <c r="AS61" s="157" t="s">
        <v>387</v>
      </c>
      <c r="AT61" s="157" t="s">
        <v>387</v>
      </c>
      <c r="AU61" s="157" t="s">
        <v>387</v>
      </c>
      <c r="AV61" s="157" t="s">
        <v>387</v>
      </c>
      <c r="AW61" s="157" t="s">
        <v>387</v>
      </c>
      <c r="AX61" s="157" t="s">
        <v>387</v>
      </c>
      <c r="AY61" s="157" t="s">
        <v>387</v>
      </c>
      <c r="AZ61" s="107" t="s">
        <v>433</v>
      </c>
      <c r="BA61" s="107" t="s">
        <v>2218</v>
      </c>
      <c r="BB61" s="107" t="s">
        <v>2219</v>
      </c>
      <c r="BC61" s="107" t="s">
        <v>2220</v>
      </c>
      <c r="BD61" s="107" t="s">
        <v>656</v>
      </c>
      <c r="BE61" s="108" t="b">
        <v>0</v>
      </c>
      <c r="BF61" s="108" t="b">
        <v>0</v>
      </c>
      <c r="BG61" s="108" t="b">
        <v>1</v>
      </c>
      <c r="BH61" s="108" t="b">
        <v>1</v>
      </c>
      <c r="BI61" s="108" t="b">
        <v>1</v>
      </c>
      <c r="BJ61" s="108" t="b">
        <v>1</v>
      </c>
      <c r="BK61" s="108" t="b">
        <v>1</v>
      </c>
      <c r="BL61" s="107" t="s">
        <v>519</v>
      </c>
      <c r="BM61" s="107" t="s">
        <v>2221</v>
      </c>
      <c r="BN61" s="107" t="s">
        <v>507</v>
      </c>
      <c r="BO61" s="102" t="s">
        <v>2222</v>
      </c>
      <c r="BP61" s="106"/>
      <c r="BQ61" s="106"/>
      <c r="BR61" s="107" t="s">
        <v>2223</v>
      </c>
      <c r="BS61" s="106"/>
      <c r="BT61" s="102" t="s">
        <v>2224</v>
      </c>
      <c r="BU61" s="102" t="s">
        <v>530</v>
      </c>
      <c r="BV61" s="123">
        <v>46260.0</v>
      </c>
      <c r="BW61" s="108" t="b">
        <v>0</v>
      </c>
      <c r="BX61" s="106"/>
    </row>
    <row r="62" ht="24.75" customHeight="1">
      <c r="A62" s="89" t="s">
        <v>348</v>
      </c>
      <c r="B62" s="89" t="s">
        <v>1018</v>
      </c>
      <c r="C62" s="89" t="s">
        <v>1406</v>
      </c>
      <c r="D62" s="167" t="s">
        <v>2225</v>
      </c>
      <c r="E62" s="107" t="s">
        <v>341</v>
      </c>
      <c r="F62" s="102" t="s">
        <v>2226</v>
      </c>
      <c r="G62" s="102" t="s">
        <v>2227</v>
      </c>
      <c r="H62" s="98" t="s">
        <v>2228</v>
      </c>
      <c r="I62" s="98" t="s">
        <v>1139</v>
      </c>
      <c r="J62" s="98" t="s">
        <v>2229</v>
      </c>
      <c r="K62" s="149">
        <v>50.3846422778231</v>
      </c>
      <c r="L62" s="149">
        <v>-3.58479968992941</v>
      </c>
      <c r="M62" s="106"/>
      <c r="N62" s="107" t="s">
        <v>558</v>
      </c>
      <c r="O62" s="108" t="b">
        <v>1</v>
      </c>
      <c r="P62" s="109">
        <v>0.4375</v>
      </c>
      <c r="Q62" s="109">
        <v>0.7083333333333334</v>
      </c>
      <c r="R62" s="151" t="s">
        <v>387</v>
      </c>
      <c r="S62" s="151" t="s">
        <v>387</v>
      </c>
      <c r="T62" s="151" t="s">
        <v>387</v>
      </c>
      <c r="U62" s="151" t="s">
        <v>387</v>
      </c>
      <c r="V62" s="151" t="s">
        <v>387</v>
      </c>
      <c r="W62" s="151" t="s">
        <v>387</v>
      </c>
      <c r="X62" s="151" t="s">
        <v>387</v>
      </c>
      <c r="Y62" s="151" t="s">
        <v>387</v>
      </c>
      <c r="Z62" s="151" t="s">
        <v>387</v>
      </c>
      <c r="AA62" s="151" t="s">
        <v>387</v>
      </c>
      <c r="AB62" s="151" t="s">
        <v>387</v>
      </c>
      <c r="AC62" s="151" t="s">
        <v>387</v>
      </c>
      <c r="AD62" s="151" t="s">
        <v>387</v>
      </c>
      <c r="AE62" s="151" t="s">
        <v>387</v>
      </c>
      <c r="AF62" s="102" t="s">
        <v>2230</v>
      </c>
      <c r="AG62" s="106"/>
      <c r="AH62" s="108" t="b">
        <v>1</v>
      </c>
      <c r="AI62" s="108" t="b">
        <v>1</v>
      </c>
      <c r="AJ62" s="107" t="s">
        <v>1366</v>
      </c>
      <c r="AK62" s="107" t="s">
        <v>2231</v>
      </c>
      <c r="AL62" s="102" t="s">
        <v>387</v>
      </c>
      <c r="AM62" s="157" t="s">
        <v>387</v>
      </c>
      <c r="AN62" s="102" t="s">
        <v>1420</v>
      </c>
      <c r="AO62" s="138">
        <v>9.0</v>
      </c>
      <c r="AP62" s="102" t="s">
        <v>387</v>
      </c>
      <c r="AQ62" s="157" t="s">
        <v>387</v>
      </c>
      <c r="AR62" s="102" t="s">
        <v>387</v>
      </c>
      <c r="AS62" s="157" t="s">
        <v>387</v>
      </c>
      <c r="AT62" s="157" t="s">
        <v>596</v>
      </c>
      <c r="AU62" s="138">
        <v>18.0</v>
      </c>
      <c r="AV62" s="102" t="s">
        <v>387</v>
      </c>
      <c r="AW62" s="157" t="s">
        <v>387</v>
      </c>
      <c r="AX62" s="102" t="s">
        <v>1424</v>
      </c>
      <c r="AY62" s="138">
        <v>45.0</v>
      </c>
      <c r="AZ62" s="107" t="s">
        <v>2232</v>
      </c>
      <c r="BA62" s="140" t="s">
        <v>2233</v>
      </c>
      <c r="BB62" s="107" t="s">
        <v>2234</v>
      </c>
      <c r="BC62" s="107" t="s">
        <v>2235</v>
      </c>
      <c r="BD62" s="106"/>
      <c r="BE62" s="108" t="b">
        <v>1</v>
      </c>
      <c r="BF62" s="108" t="b">
        <v>1</v>
      </c>
      <c r="BG62" s="108" t="b">
        <v>1</v>
      </c>
      <c r="BH62" s="108" t="b">
        <v>1</v>
      </c>
      <c r="BI62" s="108" t="b">
        <v>1</v>
      </c>
      <c r="BJ62" s="108" t="b">
        <v>1</v>
      </c>
      <c r="BK62" s="108" t="b">
        <v>1</v>
      </c>
      <c r="BL62" s="107" t="s">
        <v>496</v>
      </c>
      <c r="BM62" s="107" t="s">
        <v>543</v>
      </c>
      <c r="BN62" s="107" t="s">
        <v>870</v>
      </c>
      <c r="BO62" s="102" t="s">
        <v>2236</v>
      </c>
      <c r="BP62" s="107" t="s">
        <v>2237</v>
      </c>
      <c r="BQ62" s="107" t="s">
        <v>2238</v>
      </c>
      <c r="BR62" s="107" t="s">
        <v>2239</v>
      </c>
      <c r="BS62" s="106"/>
      <c r="BT62" s="102" t="s">
        <v>2240</v>
      </c>
      <c r="BU62" s="102" t="s">
        <v>913</v>
      </c>
      <c r="BV62" s="123">
        <v>46260.0</v>
      </c>
      <c r="BW62" s="108" t="b">
        <v>0</v>
      </c>
      <c r="BX62" s="106"/>
    </row>
    <row r="63" ht="24.75" customHeight="1">
      <c r="A63" s="89" t="s">
        <v>348</v>
      </c>
      <c r="B63" s="89" t="s">
        <v>352</v>
      </c>
      <c r="C63" s="89" t="s">
        <v>2241</v>
      </c>
      <c r="D63" s="98" t="s">
        <v>2242</v>
      </c>
      <c r="E63" s="107" t="s">
        <v>339</v>
      </c>
      <c r="F63" s="102" t="s">
        <v>2243</v>
      </c>
      <c r="G63" s="102" t="s">
        <v>2244</v>
      </c>
      <c r="H63" s="98" t="s">
        <v>1944</v>
      </c>
      <c r="I63" s="98" t="s">
        <v>669</v>
      </c>
      <c r="J63" s="98" t="s">
        <v>670</v>
      </c>
      <c r="K63" s="149">
        <v>50.6119894945047</v>
      </c>
      <c r="L63" s="149">
        <v>-3.40703288878898</v>
      </c>
      <c r="M63" s="106"/>
      <c r="N63" s="107" t="s">
        <v>558</v>
      </c>
      <c r="O63" s="108" t="b">
        <v>1</v>
      </c>
      <c r="P63" s="109">
        <v>0.3333333333333333</v>
      </c>
      <c r="Q63" s="109">
        <v>0.7083333333333334</v>
      </c>
      <c r="R63" s="151" t="s">
        <v>387</v>
      </c>
      <c r="S63" s="151" t="s">
        <v>387</v>
      </c>
      <c r="T63" s="151" t="s">
        <v>387</v>
      </c>
      <c r="U63" s="151" t="s">
        <v>387</v>
      </c>
      <c r="V63" s="151" t="s">
        <v>387</v>
      </c>
      <c r="W63" s="151" t="s">
        <v>387</v>
      </c>
      <c r="X63" s="151" t="s">
        <v>387</v>
      </c>
      <c r="Y63" s="151" t="s">
        <v>387</v>
      </c>
      <c r="Z63" s="151" t="s">
        <v>387</v>
      </c>
      <c r="AA63" s="151" t="s">
        <v>387</v>
      </c>
      <c r="AB63" s="151" t="s">
        <v>387</v>
      </c>
      <c r="AC63" s="151" t="s">
        <v>387</v>
      </c>
      <c r="AD63" s="151" t="s">
        <v>387</v>
      </c>
      <c r="AE63" s="151" t="s">
        <v>387</v>
      </c>
      <c r="AF63" s="106"/>
      <c r="AG63" s="106"/>
      <c r="AH63" s="106"/>
      <c r="AI63" s="106"/>
      <c r="AJ63" s="107" t="s">
        <v>412</v>
      </c>
      <c r="AK63" s="106"/>
      <c r="AL63" s="102" t="s">
        <v>387</v>
      </c>
      <c r="AM63" s="157" t="s">
        <v>387</v>
      </c>
      <c r="AN63" s="157" t="s">
        <v>387</v>
      </c>
      <c r="AO63" s="157" t="s">
        <v>387</v>
      </c>
      <c r="AP63" s="102" t="s">
        <v>387</v>
      </c>
      <c r="AQ63" s="157" t="s">
        <v>387</v>
      </c>
      <c r="AR63" s="102" t="s">
        <v>387</v>
      </c>
      <c r="AS63" s="157" t="s">
        <v>387</v>
      </c>
      <c r="AT63" s="157" t="s">
        <v>387</v>
      </c>
      <c r="AU63" s="157" t="s">
        <v>387</v>
      </c>
      <c r="AV63" s="102" t="s">
        <v>387</v>
      </c>
      <c r="AW63" s="157" t="s">
        <v>387</v>
      </c>
      <c r="AX63" s="102" t="s">
        <v>387</v>
      </c>
      <c r="AY63" s="157" t="s">
        <v>387</v>
      </c>
      <c r="AZ63" s="107" t="s">
        <v>648</v>
      </c>
      <c r="BA63" s="107" t="s">
        <v>2245</v>
      </c>
      <c r="BB63" s="107" t="s">
        <v>1005</v>
      </c>
      <c r="BC63" s="107" t="s">
        <v>2246</v>
      </c>
      <c r="BD63" s="107" t="s">
        <v>1310</v>
      </c>
      <c r="BE63" s="108" t="b">
        <v>1</v>
      </c>
      <c r="BF63" s="108" t="b">
        <v>1</v>
      </c>
      <c r="BG63" s="108" t="b">
        <v>1</v>
      </c>
      <c r="BH63" s="108" t="b">
        <v>1</v>
      </c>
      <c r="BI63" s="108" t="b">
        <v>1</v>
      </c>
      <c r="BJ63" s="108" t="b">
        <v>1</v>
      </c>
      <c r="BK63" s="108" t="b">
        <v>1</v>
      </c>
      <c r="BL63" s="107" t="s">
        <v>519</v>
      </c>
      <c r="BM63" s="107" t="s">
        <v>543</v>
      </c>
      <c r="BN63" s="107" t="s">
        <v>851</v>
      </c>
      <c r="BO63" s="102" t="s">
        <v>2247</v>
      </c>
      <c r="BP63" s="106"/>
      <c r="BQ63" s="106"/>
      <c r="BR63" s="107" t="s">
        <v>2248</v>
      </c>
      <c r="BS63" s="106"/>
      <c r="BT63" s="102" t="s">
        <v>2249</v>
      </c>
      <c r="BU63" s="102" t="s">
        <v>530</v>
      </c>
      <c r="BV63" s="123">
        <v>46260.0</v>
      </c>
      <c r="BW63" s="108" t="b">
        <v>0</v>
      </c>
      <c r="BX63" s="106"/>
    </row>
    <row r="64" ht="24.75" customHeight="1">
      <c r="A64" s="89" t="s">
        <v>348</v>
      </c>
      <c r="B64" s="89" t="s">
        <v>964</v>
      </c>
      <c r="C64" s="89" t="s">
        <v>967</v>
      </c>
      <c r="D64" s="98" t="s">
        <v>2250</v>
      </c>
      <c r="E64" s="107" t="s">
        <v>734</v>
      </c>
      <c r="F64" s="102" t="s">
        <v>2251</v>
      </c>
      <c r="G64" s="102" t="s">
        <v>2252</v>
      </c>
      <c r="H64" s="98" t="s">
        <v>2253</v>
      </c>
      <c r="I64" s="98" t="s">
        <v>831</v>
      </c>
      <c r="J64" s="98" t="s">
        <v>2254</v>
      </c>
      <c r="K64" s="149">
        <v>50.7223169310588</v>
      </c>
      <c r="L64" s="149">
        <v>-3.50092249015164</v>
      </c>
      <c r="M64" s="106"/>
      <c r="N64" s="107" t="s">
        <v>558</v>
      </c>
      <c r="O64" s="108" t="b">
        <v>1</v>
      </c>
      <c r="P64" s="109">
        <v>0.0</v>
      </c>
      <c r="Q64" s="171" t="s">
        <v>674</v>
      </c>
      <c r="R64" s="151" t="s">
        <v>387</v>
      </c>
      <c r="S64" s="151" t="s">
        <v>387</v>
      </c>
      <c r="T64" s="151" t="s">
        <v>387</v>
      </c>
      <c r="U64" s="151" t="s">
        <v>387</v>
      </c>
      <c r="V64" s="151" t="s">
        <v>387</v>
      </c>
      <c r="W64" s="151" t="s">
        <v>387</v>
      </c>
      <c r="X64" s="151" t="s">
        <v>387</v>
      </c>
      <c r="Y64" s="151" t="s">
        <v>387</v>
      </c>
      <c r="Z64" s="151" t="s">
        <v>387</v>
      </c>
      <c r="AA64" s="151" t="s">
        <v>387</v>
      </c>
      <c r="AB64" s="151" t="s">
        <v>387</v>
      </c>
      <c r="AC64" s="151" t="s">
        <v>387</v>
      </c>
      <c r="AD64" s="151" t="s">
        <v>387</v>
      </c>
      <c r="AE64" s="151" t="s">
        <v>387</v>
      </c>
      <c r="AF64" s="106"/>
      <c r="AG64" s="106"/>
      <c r="AH64" s="108" t="b">
        <v>0</v>
      </c>
      <c r="AI64" s="108" t="b">
        <v>0</v>
      </c>
      <c r="AJ64" s="107" t="s">
        <v>412</v>
      </c>
      <c r="AK64" s="106"/>
      <c r="AL64" s="102" t="s">
        <v>387</v>
      </c>
      <c r="AM64" s="157" t="s">
        <v>387</v>
      </c>
      <c r="AN64" s="157" t="s">
        <v>387</v>
      </c>
      <c r="AO64" s="157" t="s">
        <v>387</v>
      </c>
      <c r="AP64" s="102" t="s">
        <v>387</v>
      </c>
      <c r="AQ64" s="157" t="s">
        <v>387</v>
      </c>
      <c r="AR64" s="102" t="s">
        <v>387</v>
      </c>
      <c r="AS64" s="157" t="s">
        <v>387</v>
      </c>
      <c r="AT64" s="157" t="s">
        <v>387</v>
      </c>
      <c r="AU64" s="157" t="s">
        <v>387</v>
      </c>
      <c r="AV64" s="102" t="s">
        <v>387</v>
      </c>
      <c r="AW64" s="157" t="s">
        <v>387</v>
      </c>
      <c r="AX64" s="102" t="s">
        <v>387</v>
      </c>
      <c r="AY64" s="157" t="s">
        <v>387</v>
      </c>
      <c r="AZ64" s="107" t="s">
        <v>588</v>
      </c>
      <c r="BA64" s="140" t="s">
        <v>2255</v>
      </c>
      <c r="BB64" s="106"/>
      <c r="BC64" s="107" t="s">
        <v>2256</v>
      </c>
      <c r="BD64" s="107" t="s">
        <v>593</v>
      </c>
      <c r="BE64" s="108" t="b">
        <v>0</v>
      </c>
      <c r="BF64" s="108" t="b">
        <v>1</v>
      </c>
      <c r="BG64" s="108" t="b">
        <v>1</v>
      </c>
      <c r="BH64" s="108" t="b">
        <v>1</v>
      </c>
      <c r="BI64" s="108" t="b">
        <v>1</v>
      </c>
      <c r="BJ64" s="108" t="b">
        <v>0</v>
      </c>
      <c r="BK64" s="108" t="b">
        <v>0</v>
      </c>
      <c r="BL64" s="107" t="s">
        <v>519</v>
      </c>
      <c r="BM64" s="107" t="s">
        <v>2257</v>
      </c>
      <c r="BN64" s="107" t="s">
        <v>699</v>
      </c>
      <c r="BO64" s="102" t="s">
        <v>2258</v>
      </c>
      <c r="BP64" s="107" t="s">
        <v>514</v>
      </c>
      <c r="BQ64" s="107" t="s">
        <v>2259</v>
      </c>
      <c r="BR64" s="107" t="s">
        <v>2260</v>
      </c>
      <c r="BS64" s="107" t="s">
        <v>1219</v>
      </c>
      <c r="BT64" s="102" t="s">
        <v>2261</v>
      </c>
      <c r="BU64" s="102" t="s">
        <v>530</v>
      </c>
      <c r="BV64" s="123">
        <v>46260.0</v>
      </c>
      <c r="BW64" s="108" t="b">
        <v>0</v>
      </c>
      <c r="BX64" s="106"/>
    </row>
    <row r="65" ht="24.75" customHeight="1">
      <c r="A65" s="89" t="s">
        <v>348</v>
      </c>
      <c r="B65" s="89" t="s">
        <v>610</v>
      </c>
      <c r="C65" s="95" t="s">
        <v>612</v>
      </c>
      <c r="D65" s="175" t="s">
        <v>2262</v>
      </c>
      <c r="E65" s="102" t="s">
        <v>802</v>
      </c>
      <c r="F65" s="102" t="s">
        <v>2263</v>
      </c>
      <c r="G65" s="102" t="s">
        <v>2264</v>
      </c>
      <c r="H65" s="102" t="s">
        <v>1856</v>
      </c>
      <c r="I65" s="102" t="s">
        <v>2265</v>
      </c>
      <c r="J65" s="95" t="s">
        <v>2266</v>
      </c>
      <c r="K65" s="105">
        <v>50.7964503565158</v>
      </c>
      <c r="L65" s="105">
        <v>-3.2179991483838</v>
      </c>
      <c r="M65" s="106"/>
      <c r="N65" s="107" t="s">
        <v>2267</v>
      </c>
      <c r="O65" s="108" t="b">
        <v>1</v>
      </c>
      <c r="P65" s="109">
        <v>0.375</v>
      </c>
      <c r="Q65" s="109">
        <v>0.6666666666666666</v>
      </c>
      <c r="R65" s="151" t="s">
        <v>387</v>
      </c>
      <c r="S65" s="151" t="s">
        <v>387</v>
      </c>
      <c r="T65" s="151" t="s">
        <v>387</v>
      </c>
      <c r="U65" s="151" t="s">
        <v>387</v>
      </c>
      <c r="V65" s="151" t="s">
        <v>387</v>
      </c>
      <c r="W65" s="151" t="s">
        <v>387</v>
      </c>
      <c r="X65" s="151" t="s">
        <v>387</v>
      </c>
      <c r="Y65" s="151" t="s">
        <v>387</v>
      </c>
      <c r="Z65" s="151" t="s">
        <v>387</v>
      </c>
      <c r="AA65" s="151" t="s">
        <v>387</v>
      </c>
      <c r="AB65" s="151" t="s">
        <v>387</v>
      </c>
      <c r="AC65" s="151" t="s">
        <v>387</v>
      </c>
      <c r="AD65" s="151" t="s">
        <v>387</v>
      </c>
      <c r="AE65" s="151" t="s">
        <v>387</v>
      </c>
      <c r="AF65" s="207" t="s">
        <v>387</v>
      </c>
      <c r="AG65" s="107" t="s">
        <v>678</v>
      </c>
      <c r="AH65" s="108" t="b">
        <v>0</v>
      </c>
      <c r="AI65" s="108" t="b">
        <v>0</v>
      </c>
      <c r="AJ65" s="107" t="s">
        <v>412</v>
      </c>
      <c r="AK65" s="106"/>
      <c r="AL65" s="107" t="s">
        <v>387</v>
      </c>
      <c r="AM65" s="113" t="s">
        <v>387</v>
      </c>
      <c r="AN65" s="107" t="s">
        <v>387</v>
      </c>
      <c r="AO65" s="113" t="s">
        <v>387</v>
      </c>
      <c r="AP65" s="107" t="s">
        <v>387</v>
      </c>
      <c r="AQ65" s="113" t="s">
        <v>387</v>
      </c>
      <c r="AR65" s="107" t="s">
        <v>387</v>
      </c>
      <c r="AS65" s="113" t="s">
        <v>387</v>
      </c>
      <c r="AT65" s="107" t="s">
        <v>387</v>
      </c>
      <c r="AU65" s="113" t="s">
        <v>387</v>
      </c>
      <c r="AV65" s="107" t="s">
        <v>387</v>
      </c>
      <c r="AW65" s="113" t="s">
        <v>387</v>
      </c>
      <c r="AX65" s="107" t="s">
        <v>387</v>
      </c>
      <c r="AY65" s="113" t="s">
        <v>387</v>
      </c>
      <c r="AZ65" s="107" t="s">
        <v>433</v>
      </c>
      <c r="BA65" s="107" t="s">
        <v>2268</v>
      </c>
      <c r="BB65" s="107" t="s">
        <v>2269</v>
      </c>
      <c r="BC65" s="107" t="s">
        <v>2220</v>
      </c>
      <c r="BD65" s="107" t="s">
        <v>656</v>
      </c>
      <c r="BE65" s="108" t="b">
        <v>1</v>
      </c>
      <c r="BF65" s="108" t="b">
        <v>1</v>
      </c>
      <c r="BG65" s="108" t="b">
        <v>1</v>
      </c>
      <c r="BH65" s="108" t="b">
        <v>1</v>
      </c>
      <c r="BI65" s="108" t="b">
        <v>1</v>
      </c>
      <c r="BJ65" s="108" t="b">
        <v>1</v>
      </c>
      <c r="BK65" s="108" t="b">
        <v>1</v>
      </c>
      <c r="BL65" s="107" t="s">
        <v>496</v>
      </c>
      <c r="BM65" s="107" t="s">
        <v>2270</v>
      </c>
      <c r="BN65" s="107" t="s">
        <v>654</v>
      </c>
      <c r="BO65" s="102" t="s">
        <v>2271</v>
      </c>
      <c r="BP65" s="106"/>
      <c r="BQ65" s="106"/>
      <c r="BR65" s="102" t="s">
        <v>2272</v>
      </c>
      <c r="BS65" s="106"/>
      <c r="BT65" s="102" t="s">
        <v>2273</v>
      </c>
      <c r="BU65" s="102" t="s">
        <v>530</v>
      </c>
      <c r="BV65" s="123">
        <v>46260.0</v>
      </c>
      <c r="BW65" s="108" t="b">
        <v>0</v>
      </c>
      <c r="BX65" s="106"/>
    </row>
    <row r="66" ht="24.75" customHeight="1">
      <c r="A66" s="89" t="s">
        <v>348</v>
      </c>
      <c r="B66" s="89" t="s">
        <v>610</v>
      </c>
      <c r="C66" s="89" t="s">
        <v>2274</v>
      </c>
      <c r="D66" s="98" t="s">
        <v>2275</v>
      </c>
      <c r="E66" s="107" t="s">
        <v>339</v>
      </c>
      <c r="F66" s="102" t="s">
        <v>2276</v>
      </c>
      <c r="G66" s="102" t="s">
        <v>667</v>
      </c>
      <c r="H66" s="175" t="s">
        <v>2277</v>
      </c>
      <c r="I66" s="98" t="s">
        <v>669</v>
      </c>
      <c r="J66" s="98" t="s">
        <v>670</v>
      </c>
      <c r="K66" s="105">
        <v>50.6122280756837</v>
      </c>
      <c r="L66" s="105">
        <v>-3.40785770227986</v>
      </c>
      <c r="M66" s="106"/>
      <c r="N66" s="107" t="s">
        <v>558</v>
      </c>
      <c r="O66" s="108" t="b">
        <v>1</v>
      </c>
      <c r="P66" s="109">
        <v>0.375</v>
      </c>
      <c r="Q66" s="109">
        <v>0.9166666666666666</v>
      </c>
      <c r="R66" s="223"/>
      <c r="S66" s="223"/>
      <c r="T66" s="223"/>
      <c r="U66" s="223"/>
      <c r="V66" s="223"/>
      <c r="W66" s="223"/>
      <c r="X66" s="223"/>
      <c r="Y66" s="223"/>
      <c r="Z66" s="223"/>
      <c r="AA66" s="223"/>
      <c r="AB66" s="223"/>
      <c r="AC66" s="223"/>
      <c r="AD66" s="223"/>
      <c r="AE66" s="223"/>
      <c r="AF66" s="106"/>
      <c r="AG66" s="106"/>
      <c r="AH66" s="108" t="b">
        <v>0</v>
      </c>
      <c r="AI66" s="108" t="b">
        <v>0</v>
      </c>
      <c r="AJ66" s="107" t="s">
        <v>412</v>
      </c>
      <c r="AK66" s="106"/>
      <c r="AL66" s="102" t="s">
        <v>387</v>
      </c>
      <c r="AM66" s="157" t="s">
        <v>387</v>
      </c>
      <c r="AN66" s="157" t="s">
        <v>387</v>
      </c>
      <c r="AO66" s="157" t="s">
        <v>387</v>
      </c>
      <c r="AP66" s="102" t="s">
        <v>387</v>
      </c>
      <c r="AQ66" s="157" t="s">
        <v>387</v>
      </c>
      <c r="AR66" s="102" t="s">
        <v>387</v>
      </c>
      <c r="AS66" s="157" t="s">
        <v>387</v>
      </c>
      <c r="AT66" s="157" t="s">
        <v>387</v>
      </c>
      <c r="AU66" s="157" t="s">
        <v>387</v>
      </c>
      <c r="AV66" s="102" t="s">
        <v>387</v>
      </c>
      <c r="AW66" s="157" t="s">
        <v>387</v>
      </c>
      <c r="AX66" s="102" t="s">
        <v>387</v>
      </c>
      <c r="AY66" s="157" t="s">
        <v>387</v>
      </c>
      <c r="AZ66" s="107" t="s">
        <v>648</v>
      </c>
      <c r="BA66" s="107" t="s">
        <v>2278</v>
      </c>
      <c r="BB66" s="107" t="s">
        <v>2279</v>
      </c>
      <c r="BC66" s="107" t="s">
        <v>2280</v>
      </c>
      <c r="BD66" s="106"/>
      <c r="BE66" s="108" t="b">
        <v>1</v>
      </c>
      <c r="BF66" s="108" t="b">
        <v>1</v>
      </c>
      <c r="BG66" s="108" t="b">
        <v>1</v>
      </c>
      <c r="BH66" s="108" t="b">
        <v>1</v>
      </c>
      <c r="BI66" s="108" t="b">
        <v>1</v>
      </c>
      <c r="BJ66" s="108" t="b">
        <v>1</v>
      </c>
      <c r="BK66" s="108" t="b">
        <v>1</v>
      </c>
      <c r="BL66" s="107" t="s">
        <v>519</v>
      </c>
      <c r="BM66" s="107" t="s">
        <v>2281</v>
      </c>
      <c r="BN66" s="107" t="s">
        <v>870</v>
      </c>
      <c r="BO66" s="102" t="s">
        <v>2282</v>
      </c>
      <c r="BP66" s="106"/>
      <c r="BQ66" s="106"/>
      <c r="BR66" s="107" t="s">
        <v>2283</v>
      </c>
      <c r="BS66" s="106"/>
      <c r="BT66" s="107" t="s">
        <v>2284</v>
      </c>
      <c r="BU66" s="102" t="s">
        <v>530</v>
      </c>
      <c r="BV66" s="123">
        <v>46260.0</v>
      </c>
      <c r="BW66" s="108" t="b">
        <v>0</v>
      </c>
      <c r="BX66" s="106"/>
    </row>
    <row r="67" ht="24.75" customHeight="1">
      <c r="A67" s="89" t="s">
        <v>348</v>
      </c>
      <c r="B67" s="89" t="s">
        <v>352</v>
      </c>
      <c r="C67" s="95" t="s">
        <v>2285</v>
      </c>
      <c r="D67" s="175" t="s">
        <v>2286</v>
      </c>
      <c r="E67" s="102" t="s">
        <v>339</v>
      </c>
      <c r="F67" s="102" t="s">
        <v>2287</v>
      </c>
      <c r="G67" s="107" t="s">
        <v>2288</v>
      </c>
      <c r="H67" s="102" t="s">
        <v>1057</v>
      </c>
      <c r="I67" s="102" t="s">
        <v>1042</v>
      </c>
      <c r="J67" s="95" t="s">
        <v>2289</v>
      </c>
      <c r="K67" s="105">
        <v>50.6476555322578</v>
      </c>
      <c r="L67" s="105">
        <v>-3.43161567353537</v>
      </c>
      <c r="M67" s="106"/>
      <c r="N67" s="107" t="s">
        <v>2290</v>
      </c>
      <c r="O67" s="108" t="b">
        <v>0</v>
      </c>
      <c r="P67" s="151" t="s">
        <v>387</v>
      </c>
      <c r="Q67" s="151" t="s">
        <v>387</v>
      </c>
      <c r="R67" s="151" t="s">
        <v>387</v>
      </c>
      <c r="S67" s="151" t="s">
        <v>387</v>
      </c>
      <c r="T67" s="109">
        <v>0.4166666666666667</v>
      </c>
      <c r="U67" s="109">
        <v>0.7083333333333334</v>
      </c>
      <c r="V67" s="109">
        <v>0.375</v>
      </c>
      <c r="W67" s="109">
        <v>0.7083333333333334</v>
      </c>
      <c r="X67" s="109">
        <v>0.375</v>
      </c>
      <c r="Y67" s="109">
        <v>0.7083333333333334</v>
      </c>
      <c r="Z67" s="109">
        <v>0.375</v>
      </c>
      <c r="AA67" s="109">
        <v>0.7083333333333334</v>
      </c>
      <c r="AB67" s="109">
        <v>0.375</v>
      </c>
      <c r="AC67" s="109">
        <v>0.7083333333333334</v>
      </c>
      <c r="AD67" s="109">
        <v>0.4166666666666667</v>
      </c>
      <c r="AE67" s="109">
        <v>0.6666666666666666</v>
      </c>
      <c r="AF67" s="207" t="s">
        <v>2291</v>
      </c>
      <c r="AG67" s="106"/>
      <c r="AH67" s="108" t="b">
        <v>0</v>
      </c>
      <c r="AI67" s="108" t="b">
        <v>0</v>
      </c>
      <c r="AJ67" s="107" t="s">
        <v>412</v>
      </c>
      <c r="AK67" s="106"/>
      <c r="AL67" s="102" t="s">
        <v>387</v>
      </c>
      <c r="AM67" s="157" t="s">
        <v>387</v>
      </c>
      <c r="AN67" s="102" t="s">
        <v>387</v>
      </c>
      <c r="AO67" s="157" t="s">
        <v>387</v>
      </c>
      <c r="AP67" s="102" t="s">
        <v>387</v>
      </c>
      <c r="AQ67" s="157" t="s">
        <v>387</v>
      </c>
      <c r="AR67" s="102" t="s">
        <v>387</v>
      </c>
      <c r="AS67" s="157" t="s">
        <v>387</v>
      </c>
      <c r="AT67" s="102" t="s">
        <v>387</v>
      </c>
      <c r="AU67" s="157" t="s">
        <v>387</v>
      </c>
      <c r="AV67" s="102" t="s">
        <v>387</v>
      </c>
      <c r="AW67" s="157" t="s">
        <v>387</v>
      </c>
      <c r="AX67" s="102" t="s">
        <v>387</v>
      </c>
      <c r="AY67" s="157" t="s">
        <v>387</v>
      </c>
      <c r="AZ67" s="107" t="s">
        <v>2292</v>
      </c>
      <c r="BA67" s="107" t="s">
        <v>2293</v>
      </c>
      <c r="BB67" s="107" t="s">
        <v>2294</v>
      </c>
      <c r="BC67" s="107" t="s">
        <v>2295</v>
      </c>
      <c r="BD67" s="107" t="s">
        <v>656</v>
      </c>
      <c r="BE67" s="108" t="b">
        <v>1</v>
      </c>
      <c r="BF67" s="108" t="b">
        <v>1</v>
      </c>
      <c r="BG67" s="108" t="b">
        <v>1</v>
      </c>
      <c r="BH67" s="108" t="b">
        <v>1</v>
      </c>
      <c r="BI67" s="108" t="b">
        <v>1</v>
      </c>
      <c r="BJ67" s="108" t="b">
        <v>1</v>
      </c>
      <c r="BK67" s="108" t="b">
        <v>1</v>
      </c>
      <c r="BL67" s="107" t="s">
        <v>649</v>
      </c>
      <c r="BM67" s="107" t="s">
        <v>1119</v>
      </c>
      <c r="BN67" s="107" t="s">
        <v>818</v>
      </c>
      <c r="BO67" s="102" t="s">
        <v>2296</v>
      </c>
      <c r="BP67" s="106"/>
      <c r="BQ67" s="106"/>
      <c r="BR67" s="102" t="s">
        <v>2297</v>
      </c>
      <c r="BS67" s="106"/>
      <c r="BT67" s="102" t="s">
        <v>2298</v>
      </c>
      <c r="BU67" s="102" t="s">
        <v>530</v>
      </c>
      <c r="BV67" s="123">
        <v>46260.0</v>
      </c>
      <c r="BW67" s="108" t="b">
        <v>0</v>
      </c>
      <c r="BX67" s="106"/>
    </row>
    <row r="68" ht="24.75" customHeight="1">
      <c r="A68" s="89" t="s">
        <v>348</v>
      </c>
      <c r="B68" s="89" t="s">
        <v>706</v>
      </c>
      <c r="C68" s="95" t="s">
        <v>708</v>
      </c>
      <c r="D68" s="175" t="s">
        <v>2299</v>
      </c>
      <c r="E68" s="102" t="s">
        <v>1955</v>
      </c>
      <c r="F68" s="102" t="s">
        <v>2300</v>
      </c>
      <c r="G68" s="107" t="s">
        <v>2288</v>
      </c>
      <c r="H68" s="102" t="s">
        <v>1057</v>
      </c>
      <c r="I68" s="102" t="s">
        <v>1042</v>
      </c>
      <c r="J68" s="95" t="s">
        <v>2289</v>
      </c>
      <c r="K68" s="105">
        <v>50.6476555322578</v>
      </c>
      <c r="L68" s="105">
        <v>-3.43161567353537</v>
      </c>
      <c r="M68" s="106"/>
      <c r="N68" s="107" t="s">
        <v>2290</v>
      </c>
      <c r="O68" s="108" t="b">
        <v>0</v>
      </c>
      <c r="P68" s="151" t="s">
        <v>387</v>
      </c>
      <c r="Q68" s="151" t="s">
        <v>387</v>
      </c>
      <c r="R68" s="151" t="s">
        <v>387</v>
      </c>
      <c r="S68" s="151" t="s">
        <v>387</v>
      </c>
      <c r="T68" s="109">
        <v>0.4166666666666667</v>
      </c>
      <c r="U68" s="109">
        <v>0.7083333333333334</v>
      </c>
      <c r="V68" s="109">
        <v>0.375</v>
      </c>
      <c r="W68" s="109">
        <v>0.7083333333333334</v>
      </c>
      <c r="X68" s="109">
        <v>0.375</v>
      </c>
      <c r="Y68" s="109">
        <v>0.7083333333333334</v>
      </c>
      <c r="Z68" s="109">
        <v>0.375</v>
      </c>
      <c r="AA68" s="109">
        <v>0.7083333333333334</v>
      </c>
      <c r="AB68" s="109">
        <v>0.375</v>
      </c>
      <c r="AC68" s="109">
        <v>0.7083333333333334</v>
      </c>
      <c r="AD68" s="109">
        <v>0.4166666666666667</v>
      </c>
      <c r="AE68" s="109">
        <v>0.6666666666666666</v>
      </c>
      <c r="AF68" s="207" t="s">
        <v>2291</v>
      </c>
      <c r="AG68" s="106"/>
      <c r="AH68" s="108" t="b">
        <v>1</v>
      </c>
      <c r="AI68" s="108" t="b">
        <v>0</v>
      </c>
      <c r="AJ68" s="107" t="s">
        <v>571</v>
      </c>
      <c r="AK68" s="107" t="s">
        <v>1916</v>
      </c>
      <c r="AL68" s="107" t="s">
        <v>387</v>
      </c>
      <c r="AM68" s="113" t="s">
        <v>387</v>
      </c>
      <c r="AN68" s="107" t="s">
        <v>2301</v>
      </c>
      <c r="AO68" s="210">
        <v>9.5</v>
      </c>
      <c r="AP68" s="107" t="s">
        <v>387</v>
      </c>
      <c r="AQ68" s="113" t="s">
        <v>387</v>
      </c>
      <c r="AR68" s="107" t="s">
        <v>387</v>
      </c>
      <c r="AS68" s="113" t="s">
        <v>387</v>
      </c>
      <c r="AT68" s="107" t="s">
        <v>387</v>
      </c>
      <c r="AU68" s="113" t="s">
        <v>387</v>
      </c>
      <c r="AV68" s="107" t="s">
        <v>387</v>
      </c>
      <c r="AW68" s="113" t="s">
        <v>387</v>
      </c>
      <c r="AX68" s="107" t="s">
        <v>387</v>
      </c>
      <c r="AY68" s="113" t="s">
        <v>387</v>
      </c>
      <c r="AZ68" s="107" t="s">
        <v>2292</v>
      </c>
      <c r="BA68" s="107" t="s">
        <v>2293</v>
      </c>
      <c r="BB68" s="107" t="s">
        <v>2302</v>
      </c>
      <c r="BC68" s="107" t="s">
        <v>750</v>
      </c>
      <c r="BD68" s="106"/>
      <c r="BE68" s="108" t="b">
        <v>0</v>
      </c>
      <c r="BF68" s="108" t="b">
        <v>0</v>
      </c>
      <c r="BG68" s="108" t="b">
        <v>0</v>
      </c>
      <c r="BH68" s="108" t="b">
        <v>1</v>
      </c>
      <c r="BI68" s="108" t="b">
        <v>1</v>
      </c>
      <c r="BJ68" s="108" t="b">
        <v>1</v>
      </c>
      <c r="BK68" s="108" t="b">
        <v>1</v>
      </c>
      <c r="BL68" s="107" t="s">
        <v>649</v>
      </c>
      <c r="BM68" s="107" t="s">
        <v>2303</v>
      </c>
      <c r="BN68" s="107" t="s">
        <v>507</v>
      </c>
      <c r="BO68" s="102" t="s">
        <v>2304</v>
      </c>
      <c r="BP68" s="106"/>
      <c r="BQ68" s="106"/>
      <c r="BR68" s="102" t="s">
        <v>2305</v>
      </c>
      <c r="BS68" s="106"/>
      <c r="BT68" s="102" t="s">
        <v>2306</v>
      </c>
      <c r="BU68" s="102" t="s">
        <v>530</v>
      </c>
      <c r="BV68" s="123">
        <v>46260.0</v>
      </c>
      <c r="BW68" s="108" t="b">
        <v>0</v>
      </c>
      <c r="BX68" s="106"/>
    </row>
    <row r="69" ht="24.75" customHeight="1">
      <c r="A69" s="89" t="s">
        <v>348</v>
      </c>
      <c r="B69" s="89" t="s">
        <v>352</v>
      </c>
      <c r="C69" s="89" t="s">
        <v>1260</v>
      </c>
      <c r="D69" s="167" t="s">
        <v>2307</v>
      </c>
      <c r="E69" s="107" t="s">
        <v>339</v>
      </c>
      <c r="F69" s="102" t="s">
        <v>2308</v>
      </c>
      <c r="G69" s="102" t="s">
        <v>1402</v>
      </c>
      <c r="H69" s="98" t="s">
        <v>2309</v>
      </c>
      <c r="I69" s="98" t="s">
        <v>382</v>
      </c>
      <c r="J69" s="98" t="s">
        <v>1404</v>
      </c>
      <c r="K69" s="149">
        <v>50.5950654075402</v>
      </c>
      <c r="L69" s="149">
        <v>-3.68888440185028</v>
      </c>
      <c r="M69" s="106"/>
      <c r="N69" s="151" t="s">
        <v>558</v>
      </c>
      <c r="O69" s="152" t="b">
        <v>1</v>
      </c>
      <c r="P69" s="109">
        <v>0.4166666666666667</v>
      </c>
      <c r="Q69" s="109">
        <v>0.6666666666666666</v>
      </c>
      <c r="R69" s="151" t="s">
        <v>387</v>
      </c>
      <c r="S69" s="151" t="s">
        <v>387</v>
      </c>
      <c r="T69" s="151" t="s">
        <v>387</v>
      </c>
      <c r="U69" s="151" t="s">
        <v>387</v>
      </c>
      <c r="V69" s="151" t="s">
        <v>387</v>
      </c>
      <c r="W69" s="151" t="s">
        <v>387</v>
      </c>
      <c r="X69" s="151" t="s">
        <v>387</v>
      </c>
      <c r="Y69" s="151" t="s">
        <v>387</v>
      </c>
      <c r="Z69" s="151" t="s">
        <v>387</v>
      </c>
      <c r="AA69" s="151" t="s">
        <v>387</v>
      </c>
      <c r="AB69" s="151" t="s">
        <v>387</v>
      </c>
      <c r="AC69" s="151" t="s">
        <v>387</v>
      </c>
      <c r="AD69" s="151" t="s">
        <v>387</v>
      </c>
      <c r="AE69" s="151" t="s">
        <v>387</v>
      </c>
      <c r="AF69" s="107" t="s">
        <v>387</v>
      </c>
      <c r="AG69" s="107" t="s">
        <v>678</v>
      </c>
      <c r="AH69" s="108" t="b">
        <v>0</v>
      </c>
      <c r="AI69" s="154" t="b">
        <v>0</v>
      </c>
      <c r="AJ69" s="107" t="s">
        <v>412</v>
      </c>
      <c r="AK69" s="155"/>
      <c r="AL69" s="107" t="s">
        <v>387</v>
      </c>
      <c r="AM69" s="113" t="s">
        <v>387</v>
      </c>
      <c r="AN69" s="113" t="s">
        <v>387</v>
      </c>
      <c r="AO69" s="113" t="s">
        <v>387</v>
      </c>
      <c r="AP69" s="113" t="s">
        <v>387</v>
      </c>
      <c r="AQ69" s="113" t="s">
        <v>387</v>
      </c>
      <c r="AR69" s="113" t="s">
        <v>387</v>
      </c>
      <c r="AS69" s="113" t="s">
        <v>387</v>
      </c>
      <c r="AT69" s="113" t="s">
        <v>387</v>
      </c>
      <c r="AU69" s="113" t="s">
        <v>387</v>
      </c>
      <c r="AV69" s="113" t="s">
        <v>387</v>
      </c>
      <c r="AW69" s="113" t="s">
        <v>387</v>
      </c>
      <c r="AX69" s="113" t="s">
        <v>387</v>
      </c>
      <c r="AY69" s="113" t="s">
        <v>387</v>
      </c>
      <c r="AZ69" s="107" t="s">
        <v>2310</v>
      </c>
      <c r="BA69" s="107" t="s">
        <v>2311</v>
      </c>
      <c r="BB69" s="107" t="s">
        <v>1005</v>
      </c>
      <c r="BC69" s="107" t="s">
        <v>2256</v>
      </c>
      <c r="BD69" s="107" t="s">
        <v>1310</v>
      </c>
      <c r="BE69" s="108" t="b">
        <v>1</v>
      </c>
      <c r="BF69" s="108" t="b">
        <v>1</v>
      </c>
      <c r="BG69" s="108" t="b">
        <v>1</v>
      </c>
      <c r="BH69" s="108" t="b">
        <v>1</v>
      </c>
      <c r="BI69" s="108" t="b">
        <v>1</v>
      </c>
      <c r="BJ69" s="108" t="b">
        <v>1</v>
      </c>
      <c r="BK69" s="108" t="b">
        <v>1</v>
      </c>
      <c r="BL69" s="107" t="s">
        <v>496</v>
      </c>
      <c r="BM69" s="107" t="s">
        <v>543</v>
      </c>
      <c r="BN69" s="107" t="s">
        <v>851</v>
      </c>
      <c r="BO69" s="102" t="s">
        <v>2312</v>
      </c>
      <c r="BP69" s="106"/>
      <c r="BQ69" s="106"/>
      <c r="BR69" s="107" t="s">
        <v>2313</v>
      </c>
      <c r="BS69" s="106"/>
      <c r="BT69" s="102" t="s">
        <v>2314</v>
      </c>
      <c r="BU69" s="102" t="s">
        <v>530</v>
      </c>
      <c r="BV69" s="123">
        <v>46260.0</v>
      </c>
      <c r="BW69" s="108" t="b">
        <v>0</v>
      </c>
      <c r="BX69" s="106"/>
    </row>
    <row r="70" ht="24.75" customHeight="1">
      <c r="A70" s="89" t="s">
        <v>348</v>
      </c>
      <c r="B70" s="89" t="s">
        <v>772</v>
      </c>
      <c r="C70" s="89" t="s">
        <v>2315</v>
      </c>
      <c r="D70" s="167" t="s">
        <v>2316</v>
      </c>
      <c r="E70" s="107" t="s">
        <v>1000</v>
      </c>
      <c r="F70" s="102" t="s">
        <v>2317</v>
      </c>
      <c r="G70" s="188" t="s">
        <v>2316</v>
      </c>
      <c r="H70" s="148"/>
      <c r="I70" s="148"/>
      <c r="J70" s="98" t="s">
        <v>2318</v>
      </c>
      <c r="K70" s="149">
        <v>50.2463236910614</v>
      </c>
      <c r="L70" s="149">
        <v>-3.85896381588136</v>
      </c>
      <c r="M70" s="106"/>
      <c r="N70" s="107" t="s">
        <v>558</v>
      </c>
      <c r="O70" s="108" t="b">
        <v>1</v>
      </c>
      <c r="P70" s="109">
        <v>0.0</v>
      </c>
      <c r="Q70" s="171" t="s">
        <v>674</v>
      </c>
      <c r="R70" s="151" t="s">
        <v>387</v>
      </c>
      <c r="S70" s="151" t="s">
        <v>387</v>
      </c>
      <c r="T70" s="151" t="s">
        <v>387</v>
      </c>
      <c r="U70" s="151" t="s">
        <v>387</v>
      </c>
      <c r="V70" s="151" t="s">
        <v>387</v>
      </c>
      <c r="W70" s="151" t="s">
        <v>387</v>
      </c>
      <c r="X70" s="151" t="s">
        <v>387</v>
      </c>
      <c r="Y70" s="151" t="s">
        <v>387</v>
      </c>
      <c r="Z70" s="151" t="s">
        <v>387</v>
      </c>
      <c r="AA70" s="151" t="s">
        <v>387</v>
      </c>
      <c r="AB70" s="151" t="s">
        <v>387</v>
      </c>
      <c r="AC70" s="151" t="s">
        <v>387</v>
      </c>
      <c r="AD70" s="151" t="s">
        <v>387</v>
      </c>
      <c r="AE70" s="151" t="s">
        <v>387</v>
      </c>
      <c r="AF70" s="106"/>
      <c r="AG70" s="106"/>
      <c r="AH70" s="108" t="b">
        <v>0</v>
      </c>
      <c r="AI70" s="108" t="b">
        <v>0</v>
      </c>
      <c r="AJ70" s="107" t="s">
        <v>412</v>
      </c>
      <c r="AK70" s="106"/>
      <c r="AL70" s="102" t="s">
        <v>387</v>
      </c>
      <c r="AM70" s="157" t="s">
        <v>387</v>
      </c>
      <c r="AN70" s="157" t="s">
        <v>387</v>
      </c>
      <c r="AO70" s="157" t="s">
        <v>387</v>
      </c>
      <c r="AP70" s="102" t="s">
        <v>387</v>
      </c>
      <c r="AQ70" s="157" t="s">
        <v>387</v>
      </c>
      <c r="AR70" s="102" t="s">
        <v>387</v>
      </c>
      <c r="AS70" s="157" t="s">
        <v>387</v>
      </c>
      <c r="AT70" s="157" t="s">
        <v>387</v>
      </c>
      <c r="AU70" s="157" t="s">
        <v>387</v>
      </c>
      <c r="AV70" s="102" t="s">
        <v>387</v>
      </c>
      <c r="AW70" s="157" t="s">
        <v>387</v>
      </c>
      <c r="AX70" s="102" t="s">
        <v>387</v>
      </c>
      <c r="AY70" s="157" t="s">
        <v>387</v>
      </c>
      <c r="AZ70" s="107" t="s">
        <v>788</v>
      </c>
      <c r="BA70" s="140" t="s">
        <v>2319</v>
      </c>
      <c r="BB70" s="107" t="s">
        <v>1005</v>
      </c>
      <c r="BC70" s="107" t="s">
        <v>2320</v>
      </c>
      <c r="BD70" s="106"/>
      <c r="BE70" s="108" t="b">
        <v>1</v>
      </c>
      <c r="BF70" s="108" t="b">
        <v>1</v>
      </c>
      <c r="BG70" s="108" t="b">
        <v>1</v>
      </c>
      <c r="BH70" s="108" t="b">
        <v>1</v>
      </c>
      <c r="BI70" s="108" t="b">
        <v>1</v>
      </c>
      <c r="BJ70" s="108" t="b">
        <v>1</v>
      </c>
      <c r="BK70" s="108" t="b">
        <v>1</v>
      </c>
      <c r="BL70" s="107" t="s">
        <v>519</v>
      </c>
      <c r="BM70" s="107" t="s">
        <v>1313</v>
      </c>
      <c r="BN70" s="107" t="s">
        <v>2321</v>
      </c>
      <c r="BO70" s="102" t="s">
        <v>2322</v>
      </c>
      <c r="BP70" s="107" t="s">
        <v>514</v>
      </c>
      <c r="BQ70" s="107" t="s">
        <v>2323</v>
      </c>
      <c r="BR70" s="107" t="s">
        <v>2324</v>
      </c>
      <c r="BS70" s="106"/>
      <c r="BT70" s="102" t="s">
        <v>2325</v>
      </c>
      <c r="BU70" s="102" t="s">
        <v>913</v>
      </c>
      <c r="BV70" s="123">
        <v>46260.0</v>
      </c>
      <c r="BW70" s="108" t="b">
        <v>0</v>
      </c>
      <c r="BX70" s="106"/>
    </row>
    <row r="71" ht="24.75" customHeight="1">
      <c r="A71" s="89" t="s">
        <v>348</v>
      </c>
      <c r="B71" s="89" t="s">
        <v>2326</v>
      </c>
      <c r="C71" s="95" t="s">
        <v>2327</v>
      </c>
      <c r="D71" s="125" t="s">
        <v>2328</v>
      </c>
      <c r="E71" s="102" t="s">
        <v>653</v>
      </c>
      <c r="F71" s="102" t="s">
        <v>2329</v>
      </c>
      <c r="G71" s="98" t="s">
        <v>2330</v>
      </c>
      <c r="H71" s="102" t="s">
        <v>2331</v>
      </c>
      <c r="I71" s="98" t="s">
        <v>2309</v>
      </c>
      <c r="J71" s="98" t="s">
        <v>2332</v>
      </c>
      <c r="K71" s="105">
        <v>50.5821947216077</v>
      </c>
      <c r="L71" s="105">
        <v>-3.67457756004337</v>
      </c>
      <c r="M71" s="106"/>
      <c r="N71" s="107" t="s">
        <v>558</v>
      </c>
      <c r="O71" s="108" t="b">
        <v>0</v>
      </c>
      <c r="P71" s="151" t="s">
        <v>387</v>
      </c>
      <c r="Q71" s="151" t="s">
        <v>387</v>
      </c>
      <c r="R71" s="109">
        <v>0.375</v>
      </c>
      <c r="S71" s="109">
        <v>0.7083333333333334</v>
      </c>
      <c r="T71" s="109">
        <v>0.375</v>
      </c>
      <c r="U71" s="109">
        <v>0.7083333333333334</v>
      </c>
      <c r="V71" s="109">
        <v>0.375</v>
      </c>
      <c r="W71" s="109">
        <v>0.7083333333333334</v>
      </c>
      <c r="X71" s="109">
        <v>0.375</v>
      </c>
      <c r="Y71" s="109">
        <v>0.7083333333333334</v>
      </c>
      <c r="Z71" s="109">
        <v>0.375</v>
      </c>
      <c r="AA71" s="109">
        <v>0.7083333333333334</v>
      </c>
      <c r="AB71" s="109">
        <v>0.375</v>
      </c>
      <c r="AC71" s="109">
        <v>0.7083333333333334</v>
      </c>
      <c r="AD71" s="109">
        <v>0.4166666666666667</v>
      </c>
      <c r="AE71" s="109">
        <v>0.7083333333333334</v>
      </c>
      <c r="AF71" s="102" t="s">
        <v>2333</v>
      </c>
      <c r="AG71" s="107" t="s">
        <v>2334</v>
      </c>
      <c r="AH71" s="108" t="b">
        <v>0</v>
      </c>
      <c r="AI71" s="108" t="b">
        <v>0</v>
      </c>
      <c r="AJ71" s="107" t="s">
        <v>412</v>
      </c>
      <c r="AK71" s="106"/>
      <c r="AL71" s="102" t="s">
        <v>387</v>
      </c>
      <c r="AM71" s="157" t="s">
        <v>387</v>
      </c>
      <c r="AN71" s="102" t="s">
        <v>387</v>
      </c>
      <c r="AO71" s="157" t="s">
        <v>387</v>
      </c>
      <c r="AP71" s="102" t="s">
        <v>387</v>
      </c>
      <c r="AQ71" s="157" t="s">
        <v>387</v>
      </c>
      <c r="AR71" s="102" t="s">
        <v>387</v>
      </c>
      <c r="AS71" s="157" t="s">
        <v>387</v>
      </c>
      <c r="AT71" s="102" t="s">
        <v>387</v>
      </c>
      <c r="AU71" s="157" t="s">
        <v>387</v>
      </c>
      <c r="AV71" s="102" t="s">
        <v>387</v>
      </c>
      <c r="AW71" s="157" t="s">
        <v>387</v>
      </c>
      <c r="AX71" s="102" t="s">
        <v>387</v>
      </c>
      <c r="AY71" s="157" t="s">
        <v>387</v>
      </c>
      <c r="AZ71" s="107" t="s">
        <v>433</v>
      </c>
      <c r="BA71" s="107" t="s">
        <v>2335</v>
      </c>
      <c r="BB71" s="107" t="s">
        <v>2336</v>
      </c>
      <c r="BC71" s="107" t="s">
        <v>1795</v>
      </c>
      <c r="BD71" s="106"/>
      <c r="BE71" s="108" t="b">
        <v>0</v>
      </c>
      <c r="BF71" s="108" t="b">
        <v>0</v>
      </c>
      <c r="BG71" s="108" t="b">
        <v>1</v>
      </c>
      <c r="BH71" s="108" t="b">
        <v>1</v>
      </c>
      <c r="BI71" s="108" t="b">
        <v>1</v>
      </c>
      <c r="BJ71" s="108" t="b">
        <v>0</v>
      </c>
      <c r="BK71" s="108" t="b">
        <v>1</v>
      </c>
      <c r="BL71" s="107" t="s">
        <v>649</v>
      </c>
      <c r="BM71" s="107" t="s">
        <v>1119</v>
      </c>
      <c r="BN71" s="107" t="s">
        <v>1596</v>
      </c>
      <c r="BO71" s="102" t="s">
        <v>2339</v>
      </c>
      <c r="BP71" s="106"/>
      <c r="BQ71" s="106"/>
      <c r="BR71" s="102" t="s">
        <v>2344</v>
      </c>
      <c r="BS71" s="106"/>
      <c r="BT71" s="102" t="s">
        <v>2346</v>
      </c>
      <c r="BU71" s="102" t="s">
        <v>607</v>
      </c>
      <c r="BV71" s="123">
        <v>46260.0</v>
      </c>
      <c r="BW71" s="108" t="b">
        <v>0</v>
      </c>
      <c r="BX71" s="106"/>
    </row>
    <row r="72" ht="24.75" customHeight="1">
      <c r="A72" s="89" t="s">
        <v>348</v>
      </c>
      <c r="B72" s="89" t="s">
        <v>2351</v>
      </c>
      <c r="C72" s="89" t="s">
        <v>2354</v>
      </c>
      <c r="D72" s="167" t="s">
        <v>2356</v>
      </c>
      <c r="E72" s="107" t="s">
        <v>337</v>
      </c>
      <c r="F72" s="102" t="s">
        <v>2360</v>
      </c>
      <c r="G72" s="102" t="s">
        <v>2362</v>
      </c>
      <c r="H72" s="98" t="s">
        <v>2364</v>
      </c>
      <c r="I72" s="98" t="s">
        <v>831</v>
      </c>
      <c r="J72" s="98" t="s">
        <v>2366</v>
      </c>
      <c r="K72" s="105">
        <v>50.7063512622231</v>
      </c>
      <c r="L72" s="105">
        <v>-3.52967975994854</v>
      </c>
      <c r="M72" s="106"/>
      <c r="N72" s="107" t="s">
        <v>1825</v>
      </c>
      <c r="O72" s="106"/>
      <c r="P72" s="107" t="s">
        <v>387</v>
      </c>
      <c r="Q72" s="107" t="s">
        <v>387</v>
      </c>
      <c r="R72" s="109">
        <v>0.375</v>
      </c>
      <c r="S72" s="109">
        <v>0.75</v>
      </c>
      <c r="T72" s="109">
        <v>0.375</v>
      </c>
      <c r="U72" s="109">
        <v>0.75</v>
      </c>
      <c r="V72" s="109">
        <v>0.375</v>
      </c>
      <c r="W72" s="109">
        <v>0.75</v>
      </c>
      <c r="X72" s="109">
        <v>0.375</v>
      </c>
      <c r="Y72" s="109">
        <v>0.75</v>
      </c>
      <c r="Z72" s="109">
        <v>0.375</v>
      </c>
      <c r="AA72" s="109">
        <v>0.7916666666666666</v>
      </c>
      <c r="AB72" s="109">
        <v>0.375</v>
      </c>
      <c r="AC72" s="109">
        <v>0.7916666666666666</v>
      </c>
      <c r="AD72" s="109">
        <v>0.375</v>
      </c>
      <c r="AE72" s="109">
        <v>0.7083333333333334</v>
      </c>
      <c r="AF72" s="106"/>
      <c r="AG72" s="106"/>
      <c r="AH72" s="108" t="b">
        <v>1</v>
      </c>
      <c r="AI72" s="108" t="b">
        <v>1</v>
      </c>
      <c r="AJ72" s="107" t="s">
        <v>2367</v>
      </c>
      <c r="AK72" s="107" t="s">
        <v>2368</v>
      </c>
      <c r="AL72" s="135" t="s">
        <v>387</v>
      </c>
      <c r="AM72" s="137" t="s">
        <v>387</v>
      </c>
      <c r="AN72" s="137" t="s">
        <v>387</v>
      </c>
      <c r="AO72" s="137" t="s">
        <v>387</v>
      </c>
      <c r="AP72" s="102" t="s">
        <v>1712</v>
      </c>
      <c r="AQ72" s="138">
        <v>5.95</v>
      </c>
      <c r="AR72" s="102" t="s">
        <v>1420</v>
      </c>
      <c r="AS72" s="138">
        <v>12.95</v>
      </c>
      <c r="AT72" s="157" t="s">
        <v>596</v>
      </c>
      <c r="AU72" s="138">
        <v>12.95</v>
      </c>
      <c r="AV72" s="102" t="s">
        <v>387</v>
      </c>
      <c r="AW72" s="157" t="s">
        <v>387</v>
      </c>
      <c r="AX72" s="102" t="s">
        <v>387</v>
      </c>
      <c r="AY72" s="157" t="s">
        <v>387</v>
      </c>
      <c r="AZ72" s="107" t="s">
        <v>433</v>
      </c>
      <c r="BA72" s="107" t="s">
        <v>1918</v>
      </c>
      <c r="BB72" s="107" t="s">
        <v>2369</v>
      </c>
      <c r="BC72" s="107" t="s">
        <v>1795</v>
      </c>
      <c r="BD72" s="106"/>
      <c r="BE72" s="108" t="b">
        <v>0</v>
      </c>
      <c r="BF72" s="108" t="b">
        <v>0</v>
      </c>
      <c r="BG72" s="108" t="b">
        <v>0</v>
      </c>
      <c r="BH72" s="108" t="b">
        <v>1</v>
      </c>
      <c r="BI72" s="108" t="b">
        <v>1</v>
      </c>
      <c r="BJ72" s="108" t="b">
        <v>1</v>
      </c>
      <c r="BK72" s="106"/>
      <c r="BL72" s="107" t="s">
        <v>649</v>
      </c>
      <c r="BM72" s="107" t="s">
        <v>2370</v>
      </c>
      <c r="BN72" s="107" t="s">
        <v>507</v>
      </c>
      <c r="BO72" s="102" t="s">
        <v>2371</v>
      </c>
      <c r="BP72" s="106"/>
      <c r="BQ72" s="106"/>
      <c r="BR72" s="107" t="s">
        <v>2372</v>
      </c>
      <c r="BS72" s="107" t="s">
        <v>2373</v>
      </c>
      <c r="BT72" s="102" t="s">
        <v>2374</v>
      </c>
      <c r="BU72" s="102" t="s">
        <v>2375</v>
      </c>
      <c r="BV72" s="123">
        <v>46260.0</v>
      </c>
      <c r="BW72" s="108" t="b">
        <v>0</v>
      </c>
      <c r="BX72" s="106"/>
    </row>
    <row r="73" ht="24.75" customHeight="1">
      <c r="A73" s="89" t="s">
        <v>348</v>
      </c>
      <c r="B73" s="89" t="s">
        <v>536</v>
      </c>
      <c r="C73" s="95" t="s">
        <v>2376</v>
      </c>
      <c r="D73" s="98" t="s">
        <v>2377</v>
      </c>
      <c r="E73" s="102" t="s">
        <v>2378</v>
      </c>
      <c r="F73" s="102" t="s">
        <v>2379</v>
      </c>
      <c r="G73" s="102" t="s">
        <v>2380</v>
      </c>
      <c r="H73" s="98" t="s">
        <v>2381</v>
      </c>
      <c r="I73" s="98" t="s">
        <v>2382</v>
      </c>
      <c r="J73" s="98" t="s">
        <v>2383</v>
      </c>
      <c r="K73" s="149">
        <v>51.0622887707142</v>
      </c>
      <c r="L73" s="149">
        <v>-4.08785261504454</v>
      </c>
      <c r="M73" s="106"/>
      <c r="N73" s="107" t="s">
        <v>2384</v>
      </c>
      <c r="O73" s="108" t="b">
        <v>1</v>
      </c>
      <c r="P73" s="109">
        <v>0.3958333333333333</v>
      </c>
      <c r="Q73" s="109">
        <v>0.5833333333333334</v>
      </c>
      <c r="R73" s="107" t="s">
        <v>387</v>
      </c>
      <c r="S73" s="107" t="s">
        <v>387</v>
      </c>
      <c r="T73" s="107" t="s">
        <v>387</v>
      </c>
      <c r="U73" s="107" t="s">
        <v>387</v>
      </c>
      <c r="V73" s="107" t="s">
        <v>387</v>
      </c>
      <c r="W73" s="151" t="s">
        <v>387</v>
      </c>
      <c r="X73" s="151" t="s">
        <v>387</v>
      </c>
      <c r="Y73" s="151" t="s">
        <v>387</v>
      </c>
      <c r="Z73" s="151" t="s">
        <v>387</v>
      </c>
      <c r="AA73" s="151" t="s">
        <v>387</v>
      </c>
      <c r="AB73" s="151" t="s">
        <v>387</v>
      </c>
      <c r="AC73" s="151" t="s">
        <v>387</v>
      </c>
      <c r="AD73" s="151" t="s">
        <v>387</v>
      </c>
      <c r="AE73" s="151" t="s">
        <v>387</v>
      </c>
      <c r="AF73" s="106"/>
      <c r="AG73" s="106"/>
      <c r="AH73" s="108" t="b">
        <v>1</v>
      </c>
      <c r="AI73" s="108" t="b">
        <v>1</v>
      </c>
      <c r="AJ73" s="107" t="s">
        <v>1366</v>
      </c>
      <c r="AK73" s="107" t="s">
        <v>2385</v>
      </c>
      <c r="AL73" s="102" t="s">
        <v>2386</v>
      </c>
      <c r="AM73" s="138">
        <v>0.0</v>
      </c>
      <c r="AN73" s="157" t="s">
        <v>387</v>
      </c>
      <c r="AO73" s="138" t="s">
        <v>387</v>
      </c>
      <c r="AP73" s="102" t="s">
        <v>2387</v>
      </c>
      <c r="AQ73" s="138">
        <v>6.0</v>
      </c>
      <c r="AR73" s="225">
        <v>46204.0</v>
      </c>
      <c r="AS73" s="138">
        <v>9.0</v>
      </c>
      <c r="AT73" s="157" t="s">
        <v>596</v>
      </c>
      <c r="AU73" s="138">
        <v>1.0</v>
      </c>
      <c r="AV73" s="102" t="s">
        <v>387</v>
      </c>
      <c r="AW73" s="138" t="s">
        <v>387</v>
      </c>
      <c r="AX73" s="102" t="s">
        <v>387</v>
      </c>
      <c r="AY73" s="138" t="s">
        <v>387</v>
      </c>
      <c r="AZ73" s="107" t="s">
        <v>2401</v>
      </c>
      <c r="BA73" s="107" t="s">
        <v>2403</v>
      </c>
      <c r="BB73" s="107" t="s">
        <v>2369</v>
      </c>
      <c r="BC73" s="107" t="s">
        <v>2407</v>
      </c>
      <c r="BD73" s="106"/>
      <c r="BE73" s="108" t="b">
        <v>1</v>
      </c>
      <c r="BF73" s="108" t="b">
        <v>1</v>
      </c>
      <c r="BG73" s="108" t="b">
        <v>1</v>
      </c>
      <c r="BH73" s="108" t="b">
        <v>1</v>
      </c>
      <c r="BI73" s="108" t="b">
        <v>0</v>
      </c>
      <c r="BJ73" s="108" t="b">
        <v>0</v>
      </c>
      <c r="BK73" s="108" t="b">
        <v>0</v>
      </c>
      <c r="BL73" s="107" t="s">
        <v>649</v>
      </c>
      <c r="BM73" s="107" t="s">
        <v>2417</v>
      </c>
      <c r="BN73" s="107" t="s">
        <v>654</v>
      </c>
      <c r="BO73" s="102" t="s">
        <v>2421</v>
      </c>
      <c r="BP73" s="106"/>
      <c r="BQ73" s="106"/>
      <c r="BR73" s="102" t="s">
        <v>2426</v>
      </c>
      <c r="BS73" s="106"/>
      <c r="BT73" s="188" t="s">
        <v>2429</v>
      </c>
      <c r="BU73" s="102" t="s">
        <v>2431</v>
      </c>
      <c r="BV73" s="123">
        <v>46260.0</v>
      </c>
      <c r="BW73" s="108" t="b">
        <v>0</v>
      </c>
      <c r="BX73" s="106"/>
    </row>
    <row r="74" ht="24.75" customHeight="1">
      <c r="A74" s="89" t="s">
        <v>348</v>
      </c>
      <c r="B74" s="89" t="s">
        <v>2351</v>
      </c>
      <c r="C74" s="95" t="s">
        <v>2436</v>
      </c>
      <c r="D74" s="125" t="s">
        <v>2437</v>
      </c>
      <c r="E74" s="102" t="s">
        <v>988</v>
      </c>
      <c r="F74" s="102" t="s">
        <v>2438</v>
      </c>
      <c r="G74" s="102" t="s">
        <v>2362</v>
      </c>
      <c r="H74" s="98" t="s">
        <v>2439</v>
      </c>
      <c r="I74" s="98" t="s">
        <v>831</v>
      </c>
      <c r="J74" s="98" t="s">
        <v>2366</v>
      </c>
      <c r="K74" s="149">
        <v>50.7063078350863</v>
      </c>
      <c r="L74" s="149">
        <v>-3.52967427353343</v>
      </c>
      <c r="M74" s="106"/>
      <c r="N74" s="107" t="s">
        <v>558</v>
      </c>
      <c r="O74" s="108" t="b">
        <v>1</v>
      </c>
      <c r="P74" s="109">
        <v>0.375</v>
      </c>
      <c r="Q74" s="109">
        <v>0.7083333333333334</v>
      </c>
      <c r="R74" s="151" t="s">
        <v>387</v>
      </c>
      <c r="S74" s="151" t="s">
        <v>387</v>
      </c>
      <c r="T74" s="151" t="s">
        <v>387</v>
      </c>
      <c r="U74" s="151" t="s">
        <v>387</v>
      </c>
      <c r="V74" s="151" t="s">
        <v>387</v>
      </c>
      <c r="W74" s="151" t="s">
        <v>387</v>
      </c>
      <c r="X74" s="151" t="s">
        <v>387</v>
      </c>
      <c r="Y74" s="151" t="s">
        <v>387</v>
      </c>
      <c r="Z74" s="151" t="s">
        <v>387</v>
      </c>
      <c r="AA74" s="151" t="s">
        <v>387</v>
      </c>
      <c r="AB74" s="151" t="s">
        <v>387</v>
      </c>
      <c r="AC74" s="151" t="s">
        <v>387</v>
      </c>
      <c r="AD74" s="151" t="s">
        <v>387</v>
      </c>
      <c r="AE74" s="151" t="s">
        <v>387</v>
      </c>
      <c r="AF74" s="106"/>
      <c r="AG74" s="106"/>
      <c r="AH74" s="108" t="b">
        <v>1</v>
      </c>
      <c r="AI74" s="108" t="b">
        <v>1</v>
      </c>
      <c r="AJ74" s="107" t="s">
        <v>2440</v>
      </c>
      <c r="AK74" s="107" t="s">
        <v>2043</v>
      </c>
      <c r="AL74" s="188" t="s">
        <v>2441</v>
      </c>
      <c r="AM74" s="138">
        <v>0.0</v>
      </c>
      <c r="AN74" s="225">
        <v>46204.0</v>
      </c>
      <c r="AO74" s="138">
        <v>7.45</v>
      </c>
      <c r="AP74" s="102" t="s">
        <v>387</v>
      </c>
      <c r="AQ74" s="157" t="s">
        <v>387</v>
      </c>
      <c r="AR74" s="102" t="s">
        <v>387</v>
      </c>
      <c r="AS74" s="157" t="s">
        <v>387</v>
      </c>
      <c r="AT74" s="157" t="s">
        <v>596</v>
      </c>
      <c r="AU74" s="138">
        <v>2.0</v>
      </c>
      <c r="AV74" s="102" t="s">
        <v>387</v>
      </c>
      <c r="AW74" s="157" t="s">
        <v>387</v>
      </c>
      <c r="AX74" s="102" t="s">
        <v>387</v>
      </c>
      <c r="AY74" s="157" t="s">
        <v>387</v>
      </c>
      <c r="AZ74" s="107" t="s">
        <v>433</v>
      </c>
      <c r="BA74" s="107" t="s">
        <v>2442</v>
      </c>
      <c r="BB74" s="107" t="s">
        <v>2443</v>
      </c>
      <c r="BC74" s="107" t="s">
        <v>2444</v>
      </c>
      <c r="BD74" s="106"/>
      <c r="BE74" s="108" t="b">
        <v>0</v>
      </c>
      <c r="BF74" s="108" t="b">
        <v>1</v>
      </c>
      <c r="BG74" s="108" t="b">
        <v>1</v>
      </c>
      <c r="BH74" s="108" t="b">
        <v>1</v>
      </c>
      <c r="BI74" s="108" t="b">
        <v>0</v>
      </c>
      <c r="BJ74" s="108" t="b">
        <v>0</v>
      </c>
      <c r="BK74" s="108" t="b">
        <v>0</v>
      </c>
      <c r="BL74" s="107" t="s">
        <v>649</v>
      </c>
      <c r="BM74" s="107" t="s">
        <v>2445</v>
      </c>
      <c r="BN74" s="107" t="s">
        <v>1120</v>
      </c>
      <c r="BO74" s="102" t="s">
        <v>2446</v>
      </c>
      <c r="BP74" s="106"/>
      <c r="BQ74" s="106"/>
      <c r="BR74" s="107" t="s">
        <v>2447</v>
      </c>
      <c r="BS74" s="106"/>
      <c r="BT74" s="188" t="s">
        <v>2448</v>
      </c>
      <c r="BU74" s="102" t="s">
        <v>530</v>
      </c>
      <c r="BV74" s="123">
        <v>46260.0</v>
      </c>
      <c r="BW74" s="108" t="b">
        <v>0</v>
      </c>
      <c r="BX74" s="106"/>
    </row>
    <row r="75" ht="24.75" customHeight="1">
      <c r="A75" s="89" t="s">
        <v>348</v>
      </c>
      <c r="B75" s="89" t="s">
        <v>772</v>
      </c>
      <c r="C75" s="95" t="s">
        <v>2449</v>
      </c>
      <c r="D75" s="175" t="s">
        <v>2450</v>
      </c>
      <c r="E75" s="102" t="s">
        <v>653</v>
      </c>
      <c r="F75" s="102" t="s">
        <v>2451</v>
      </c>
      <c r="G75" s="102" t="s">
        <v>2452</v>
      </c>
      <c r="H75" s="102" t="s">
        <v>2453</v>
      </c>
      <c r="I75" s="102" t="s">
        <v>437</v>
      </c>
      <c r="J75" s="95" t="s">
        <v>2454</v>
      </c>
      <c r="K75" s="105">
        <v>50.6767156445924</v>
      </c>
      <c r="L75" s="105">
        <v>-3.24638148702904</v>
      </c>
      <c r="M75" s="106"/>
      <c r="N75" s="107" t="s">
        <v>558</v>
      </c>
      <c r="O75" s="108" t="b">
        <v>1</v>
      </c>
      <c r="P75" s="180" t="s">
        <v>812</v>
      </c>
      <c r="Q75" s="180" t="s">
        <v>674</v>
      </c>
      <c r="R75" s="107" t="s">
        <v>387</v>
      </c>
      <c r="S75" s="107" t="s">
        <v>387</v>
      </c>
      <c r="T75" s="107" t="s">
        <v>387</v>
      </c>
      <c r="U75" s="107" t="s">
        <v>387</v>
      </c>
      <c r="V75" s="107" t="s">
        <v>387</v>
      </c>
      <c r="W75" s="107" t="s">
        <v>387</v>
      </c>
      <c r="X75" s="107" t="s">
        <v>387</v>
      </c>
      <c r="Y75" s="107" t="s">
        <v>387</v>
      </c>
      <c r="Z75" s="107" t="s">
        <v>387</v>
      </c>
      <c r="AA75" s="107" t="s">
        <v>387</v>
      </c>
      <c r="AB75" s="107" t="s">
        <v>387</v>
      </c>
      <c r="AC75" s="107" t="s">
        <v>387</v>
      </c>
      <c r="AD75" s="107" t="s">
        <v>387</v>
      </c>
      <c r="AE75" s="107" t="s">
        <v>387</v>
      </c>
      <c r="AF75" s="102" t="s">
        <v>387</v>
      </c>
      <c r="AG75" s="107" t="s">
        <v>678</v>
      </c>
      <c r="AH75" s="108" t="b">
        <v>0</v>
      </c>
      <c r="AI75" s="108" t="b">
        <v>0</v>
      </c>
      <c r="AJ75" s="107" t="s">
        <v>412</v>
      </c>
      <c r="AK75" s="106"/>
      <c r="AL75" s="107" t="s">
        <v>387</v>
      </c>
      <c r="AM75" s="113" t="s">
        <v>387</v>
      </c>
      <c r="AN75" s="107" t="s">
        <v>387</v>
      </c>
      <c r="AO75" s="113" t="s">
        <v>387</v>
      </c>
      <c r="AP75" s="107" t="s">
        <v>387</v>
      </c>
      <c r="AQ75" s="113" t="s">
        <v>387</v>
      </c>
      <c r="AR75" s="107" t="s">
        <v>387</v>
      </c>
      <c r="AS75" s="113" t="s">
        <v>387</v>
      </c>
      <c r="AT75" s="107" t="s">
        <v>387</v>
      </c>
      <c r="AU75" s="113" t="s">
        <v>387</v>
      </c>
      <c r="AV75" s="107" t="s">
        <v>387</v>
      </c>
      <c r="AW75" s="113" t="s">
        <v>387</v>
      </c>
      <c r="AX75" s="107" t="s">
        <v>387</v>
      </c>
      <c r="AY75" s="113" t="s">
        <v>387</v>
      </c>
      <c r="AZ75" s="107" t="s">
        <v>788</v>
      </c>
      <c r="BA75" s="140" t="s">
        <v>1945</v>
      </c>
      <c r="BB75" s="106"/>
      <c r="BC75" s="107" t="s">
        <v>2455</v>
      </c>
      <c r="BD75" s="107" t="s">
        <v>656</v>
      </c>
      <c r="BE75" s="108" t="b">
        <v>1</v>
      </c>
      <c r="BF75" s="108" t="b">
        <v>1</v>
      </c>
      <c r="BG75" s="108" t="b">
        <v>1</v>
      </c>
      <c r="BH75" s="108" t="b">
        <v>1</v>
      </c>
      <c r="BI75" s="108" t="b">
        <v>1</v>
      </c>
      <c r="BJ75" s="108" t="b">
        <v>1</v>
      </c>
      <c r="BK75" s="108" t="b">
        <v>1</v>
      </c>
      <c r="BL75" s="107" t="s">
        <v>519</v>
      </c>
      <c r="BM75" s="107" t="s">
        <v>543</v>
      </c>
      <c r="BN75" s="107" t="s">
        <v>818</v>
      </c>
      <c r="BO75" s="102" t="s">
        <v>2456</v>
      </c>
      <c r="BP75" s="107" t="s">
        <v>514</v>
      </c>
      <c r="BQ75" s="106"/>
      <c r="BR75" s="102" t="s">
        <v>2457</v>
      </c>
      <c r="BS75" s="102" t="s">
        <v>2458</v>
      </c>
      <c r="BT75" s="102" t="s">
        <v>2459</v>
      </c>
      <c r="BU75" s="102" t="s">
        <v>530</v>
      </c>
      <c r="BV75" s="123">
        <v>46260.0</v>
      </c>
      <c r="BW75" s="108" t="b">
        <v>0</v>
      </c>
      <c r="BX75" s="106"/>
    </row>
    <row r="76" ht="24.75" customHeight="1">
      <c r="A76" s="89" t="s">
        <v>348</v>
      </c>
      <c r="B76" s="89" t="s">
        <v>816</v>
      </c>
      <c r="C76" s="89" t="s">
        <v>1203</v>
      </c>
      <c r="D76" s="98" t="s">
        <v>2460</v>
      </c>
      <c r="E76" s="107" t="s">
        <v>339</v>
      </c>
      <c r="F76" s="102" t="s">
        <v>2461</v>
      </c>
      <c r="G76" s="102" t="s">
        <v>2462</v>
      </c>
      <c r="H76" s="98" t="s">
        <v>2463</v>
      </c>
      <c r="I76" s="98" t="s">
        <v>550</v>
      </c>
      <c r="J76" s="98" t="s">
        <v>2464</v>
      </c>
      <c r="K76" s="149">
        <v>50.4637925775638</v>
      </c>
      <c r="L76" s="149">
        <v>-3.53678890185028</v>
      </c>
      <c r="M76" s="106"/>
      <c r="N76" s="151" t="s">
        <v>558</v>
      </c>
      <c r="O76" s="152" t="b">
        <v>1</v>
      </c>
      <c r="P76" s="109">
        <v>0.3958333333333333</v>
      </c>
      <c r="Q76" s="180" t="s">
        <v>2465</v>
      </c>
      <c r="R76" s="151" t="s">
        <v>387</v>
      </c>
      <c r="S76" s="151" t="s">
        <v>387</v>
      </c>
      <c r="T76" s="151" t="s">
        <v>387</v>
      </c>
      <c r="U76" s="151" t="s">
        <v>387</v>
      </c>
      <c r="V76" s="151" t="s">
        <v>387</v>
      </c>
      <c r="W76" s="151" t="s">
        <v>387</v>
      </c>
      <c r="X76" s="151" t="s">
        <v>387</v>
      </c>
      <c r="Y76" s="151" t="s">
        <v>387</v>
      </c>
      <c r="Z76" s="151" t="s">
        <v>387</v>
      </c>
      <c r="AA76" s="151" t="s">
        <v>387</v>
      </c>
      <c r="AB76" s="151" t="s">
        <v>387</v>
      </c>
      <c r="AC76" s="151" t="s">
        <v>387</v>
      </c>
      <c r="AD76" s="151" t="s">
        <v>387</v>
      </c>
      <c r="AE76" s="151" t="s">
        <v>387</v>
      </c>
      <c r="AF76" s="107" t="s">
        <v>387</v>
      </c>
      <c r="AG76" s="107" t="s">
        <v>678</v>
      </c>
      <c r="AH76" s="108" t="b">
        <v>1</v>
      </c>
      <c r="AI76" s="154" t="b">
        <v>1</v>
      </c>
      <c r="AJ76" s="107" t="s">
        <v>571</v>
      </c>
      <c r="AK76" s="113" t="s">
        <v>2466</v>
      </c>
      <c r="AL76" s="102" t="s">
        <v>387</v>
      </c>
      <c r="AM76" s="157" t="s">
        <v>387</v>
      </c>
      <c r="AN76" s="157" t="s">
        <v>387</v>
      </c>
      <c r="AO76" s="157" t="s">
        <v>387</v>
      </c>
      <c r="AP76" s="157" t="s">
        <v>1712</v>
      </c>
      <c r="AQ76" s="138">
        <v>4.5</v>
      </c>
      <c r="AR76" s="157" t="s">
        <v>2467</v>
      </c>
      <c r="AS76" s="138">
        <v>6.5</v>
      </c>
      <c r="AT76" s="157" t="s">
        <v>2468</v>
      </c>
      <c r="AU76" s="138">
        <v>8.0</v>
      </c>
      <c r="AV76" s="157" t="s">
        <v>2469</v>
      </c>
      <c r="AW76" s="138">
        <v>7.5</v>
      </c>
      <c r="AX76" s="157" t="s">
        <v>742</v>
      </c>
      <c r="AY76" s="138">
        <v>27.0</v>
      </c>
      <c r="AZ76" s="107" t="s">
        <v>648</v>
      </c>
      <c r="BA76" s="106"/>
      <c r="BB76" s="107" t="s">
        <v>2470</v>
      </c>
      <c r="BC76" s="106"/>
      <c r="BD76" s="106"/>
      <c r="BE76" s="108" t="b">
        <v>0</v>
      </c>
      <c r="BF76" s="108" t="b">
        <v>0</v>
      </c>
      <c r="BG76" s="108" t="b">
        <v>1</v>
      </c>
      <c r="BH76" s="108" t="b">
        <v>1</v>
      </c>
      <c r="BI76" s="108" t="b">
        <v>1</v>
      </c>
      <c r="BJ76" s="108" t="b">
        <v>1</v>
      </c>
      <c r="BK76" s="108" t="b">
        <v>1</v>
      </c>
      <c r="BL76" s="107" t="s">
        <v>519</v>
      </c>
      <c r="BM76" s="107" t="s">
        <v>543</v>
      </c>
      <c r="BN76" s="107" t="s">
        <v>654</v>
      </c>
      <c r="BO76" s="102" t="s">
        <v>2471</v>
      </c>
      <c r="BP76" s="107" t="s">
        <v>514</v>
      </c>
      <c r="BQ76" s="106"/>
      <c r="BR76" s="107" t="s">
        <v>2472</v>
      </c>
      <c r="BS76" s="106"/>
      <c r="BT76" s="188" t="s">
        <v>2473</v>
      </c>
      <c r="BU76" s="102" t="s">
        <v>1809</v>
      </c>
      <c r="BV76" s="123">
        <v>46260.0</v>
      </c>
      <c r="BW76" s="108" t="b">
        <v>0</v>
      </c>
      <c r="BX76" s="106"/>
    </row>
    <row r="77" ht="24.75" customHeight="1">
      <c r="A77" s="89" t="s">
        <v>348</v>
      </c>
      <c r="B77" s="89" t="s">
        <v>1018</v>
      </c>
      <c r="C77" s="95" t="s">
        <v>1406</v>
      </c>
      <c r="D77" s="175" t="s">
        <v>2474</v>
      </c>
      <c r="E77" s="102" t="s">
        <v>1000</v>
      </c>
      <c r="F77" s="102" t="s">
        <v>2475</v>
      </c>
      <c r="G77" s="102" t="s">
        <v>1270</v>
      </c>
      <c r="H77" s="148"/>
      <c r="I77" s="98" t="s">
        <v>831</v>
      </c>
      <c r="J77" s="98" t="s">
        <v>1271</v>
      </c>
      <c r="K77" s="149">
        <v>50.7916077794294</v>
      </c>
      <c r="L77" s="149">
        <v>-3.45742430642384</v>
      </c>
      <c r="M77" s="106"/>
      <c r="N77" s="107" t="s">
        <v>558</v>
      </c>
      <c r="O77" s="108" t="b">
        <v>1</v>
      </c>
      <c r="P77" s="109">
        <v>0.4166666666666667</v>
      </c>
      <c r="Q77" s="109">
        <v>0.7083333333333334</v>
      </c>
      <c r="R77" s="151" t="s">
        <v>387</v>
      </c>
      <c r="S77" s="151" t="s">
        <v>387</v>
      </c>
      <c r="T77" s="151" t="s">
        <v>387</v>
      </c>
      <c r="U77" s="151" t="s">
        <v>387</v>
      </c>
      <c r="V77" s="151" t="s">
        <v>387</v>
      </c>
      <c r="W77" s="151" t="s">
        <v>387</v>
      </c>
      <c r="X77" s="151" t="s">
        <v>387</v>
      </c>
      <c r="Y77" s="151" t="s">
        <v>387</v>
      </c>
      <c r="Z77" s="151" t="s">
        <v>387</v>
      </c>
      <c r="AA77" s="151" t="s">
        <v>387</v>
      </c>
      <c r="AB77" s="151" t="s">
        <v>387</v>
      </c>
      <c r="AC77" s="151" t="s">
        <v>387</v>
      </c>
      <c r="AD77" s="151" t="s">
        <v>387</v>
      </c>
      <c r="AE77" s="151" t="s">
        <v>387</v>
      </c>
      <c r="AF77" s="106"/>
      <c r="AG77" s="106"/>
      <c r="AH77" s="108" t="b">
        <v>1</v>
      </c>
      <c r="AI77" s="108" t="b">
        <v>1</v>
      </c>
      <c r="AJ77" s="107" t="s">
        <v>1036</v>
      </c>
      <c r="AK77" s="107" t="s">
        <v>2476</v>
      </c>
      <c r="AL77" s="102" t="s">
        <v>387</v>
      </c>
      <c r="AM77" s="157" t="s">
        <v>387</v>
      </c>
      <c r="AN77" s="157" t="s">
        <v>387</v>
      </c>
      <c r="AO77" s="157" t="s">
        <v>387</v>
      </c>
      <c r="AP77" s="102" t="s">
        <v>1419</v>
      </c>
      <c r="AQ77" s="138">
        <v>0.0</v>
      </c>
      <c r="AR77" s="102" t="s">
        <v>1420</v>
      </c>
      <c r="AS77" s="138">
        <v>9.0</v>
      </c>
      <c r="AT77" s="157" t="s">
        <v>596</v>
      </c>
      <c r="AU77" s="138">
        <v>18.0</v>
      </c>
      <c r="AV77" s="135" t="s">
        <v>387</v>
      </c>
      <c r="AW77" s="137" t="s">
        <v>387</v>
      </c>
      <c r="AX77" s="102" t="s">
        <v>1424</v>
      </c>
      <c r="AY77" s="138">
        <v>45.0</v>
      </c>
      <c r="AZ77" s="107" t="s">
        <v>2232</v>
      </c>
      <c r="BA77" s="140" t="s">
        <v>2477</v>
      </c>
      <c r="BB77" s="107" t="s">
        <v>2478</v>
      </c>
      <c r="BC77" s="107" t="s">
        <v>2479</v>
      </c>
      <c r="BD77" s="107" t="s">
        <v>593</v>
      </c>
      <c r="BE77" s="108" t="b">
        <v>1</v>
      </c>
      <c r="BF77" s="108" t="b">
        <v>1</v>
      </c>
      <c r="BG77" s="108" t="b">
        <v>1</v>
      </c>
      <c r="BH77" s="108" t="b">
        <v>1</v>
      </c>
      <c r="BI77" s="108" t="b">
        <v>1</v>
      </c>
      <c r="BJ77" s="108" t="b">
        <v>1</v>
      </c>
      <c r="BK77" s="108" t="b">
        <v>1</v>
      </c>
      <c r="BL77" s="107" t="s">
        <v>519</v>
      </c>
      <c r="BM77" s="107" t="s">
        <v>1592</v>
      </c>
      <c r="BN77" s="107" t="s">
        <v>598</v>
      </c>
      <c r="BO77" s="102" t="s">
        <v>2480</v>
      </c>
      <c r="BP77" s="107" t="s">
        <v>2481</v>
      </c>
      <c r="BQ77" s="107" t="s">
        <v>2482</v>
      </c>
      <c r="BR77" s="102" t="s">
        <v>2483</v>
      </c>
      <c r="BS77" s="107" t="s">
        <v>527</v>
      </c>
      <c r="BT77" s="102" t="s">
        <v>2484</v>
      </c>
      <c r="BU77" s="102" t="s">
        <v>530</v>
      </c>
      <c r="BV77" s="123">
        <v>46260.0</v>
      </c>
      <c r="BW77" s="108" t="b">
        <v>0</v>
      </c>
      <c r="BX77" s="106"/>
    </row>
    <row r="78" ht="24.75" customHeight="1">
      <c r="A78" s="89" t="s">
        <v>348</v>
      </c>
      <c r="B78" s="89" t="s">
        <v>1018</v>
      </c>
      <c r="C78" s="95" t="s">
        <v>1406</v>
      </c>
      <c r="D78" s="98" t="s">
        <v>2485</v>
      </c>
      <c r="E78" s="102" t="s">
        <v>1000</v>
      </c>
      <c r="F78" s="102" t="s">
        <v>2486</v>
      </c>
      <c r="G78" s="102" t="s">
        <v>2487</v>
      </c>
      <c r="H78" s="102" t="s">
        <v>2488</v>
      </c>
      <c r="I78" s="102" t="s">
        <v>2489</v>
      </c>
      <c r="J78" s="95" t="s">
        <v>2490</v>
      </c>
      <c r="K78" s="105">
        <v>50.9265399482399</v>
      </c>
      <c r="L78" s="105">
        <v>-3.48091583119278</v>
      </c>
      <c r="M78" s="106"/>
      <c r="N78" s="107" t="s">
        <v>558</v>
      </c>
      <c r="O78" s="108" t="b">
        <v>1</v>
      </c>
      <c r="P78" s="109">
        <v>0.4166666666666667</v>
      </c>
      <c r="Q78" s="109">
        <v>0.7083333333333334</v>
      </c>
      <c r="R78" s="107" t="s">
        <v>387</v>
      </c>
      <c r="S78" s="107" t="s">
        <v>387</v>
      </c>
      <c r="T78" s="107" t="s">
        <v>387</v>
      </c>
      <c r="U78" s="107" t="s">
        <v>387</v>
      </c>
      <c r="V78" s="107" t="s">
        <v>387</v>
      </c>
      <c r="W78" s="107" t="s">
        <v>387</v>
      </c>
      <c r="X78" s="107" t="s">
        <v>387</v>
      </c>
      <c r="Y78" s="107" t="s">
        <v>387</v>
      </c>
      <c r="Z78" s="107" t="s">
        <v>387</v>
      </c>
      <c r="AA78" s="107" t="s">
        <v>387</v>
      </c>
      <c r="AB78" s="107" t="s">
        <v>387</v>
      </c>
      <c r="AC78" s="107" t="s">
        <v>387</v>
      </c>
      <c r="AD78" s="107" t="s">
        <v>387</v>
      </c>
      <c r="AE78" s="107" t="s">
        <v>387</v>
      </c>
      <c r="AF78" s="207" t="s">
        <v>2491</v>
      </c>
      <c r="AG78" s="107" t="s">
        <v>678</v>
      </c>
      <c r="AH78" s="108" t="b">
        <v>1</v>
      </c>
      <c r="AI78" s="108" t="b">
        <v>1</v>
      </c>
      <c r="AJ78" s="107" t="s">
        <v>2492</v>
      </c>
      <c r="AK78" s="107" t="s">
        <v>2493</v>
      </c>
      <c r="AL78" s="107" t="s">
        <v>1712</v>
      </c>
      <c r="AM78" s="210">
        <v>0.0</v>
      </c>
      <c r="AN78" s="107" t="s">
        <v>1420</v>
      </c>
      <c r="AO78" s="210">
        <v>9.0</v>
      </c>
      <c r="AP78" s="107" t="s">
        <v>387</v>
      </c>
      <c r="AQ78" s="113" t="s">
        <v>387</v>
      </c>
      <c r="AR78" s="107" t="s">
        <v>387</v>
      </c>
      <c r="AS78" s="113" t="s">
        <v>387</v>
      </c>
      <c r="AT78" s="107" t="s">
        <v>596</v>
      </c>
      <c r="AU78" s="210">
        <v>18.0</v>
      </c>
      <c r="AV78" s="107" t="s">
        <v>387</v>
      </c>
      <c r="AW78" s="113" t="s">
        <v>387</v>
      </c>
      <c r="AX78" s="102" t="s">
        <v>1424</v>
      </c>
      <c r="AY78" s="210">
        <v>45.0</v>
      </c>
      <c r="AZ78" s="107" t="s">
        <v>1272</v>
      </c>
      <c r="BA78" s="140" t="s">
        <v>2494</v>
      </c>
      <c r="BB78" s="107" t="s">
        <v>1345</v>
      </c>
      <c r="BC78" s="107" t="s">
        <v>2495</v>
      </c>
      <c r="BD78" s="107" t="s">
        <v>656</v>
      </c>
      <c r="BE78" s="108" t="b">
        <v>1</v>
      </c>
      <c r="BF78" s="108" t="b">
        <v>1</v>
      </c>
      <c r="BG78" s="108" t="b">
        <v>1</v>
      </c>
      <c r="BH78" s="108" t="b">
        <v>1</v>
      </c>
      <c r="BI78" s="108" t="b">
        <v>1</v>
      </c>
      <c r="BJ78" s="108" t="b">
        <v>1</v>
      </c>
      <c r="BK78" s="108" t="b">
        <v>1</v>
      </c>
      <c r="BL78" s="107" t="s">
        <v>519</v>
      </c>
      <c r="BM78" s="107" t="s">
        <v>543</v>
      </c>
      <c r="BN78" s="107" t="s">
        <v>870</v>
      </c>
      <c r="BO78" s="102" t="s">
        <v>2496</v>
      </c>
      <c r="BP78" s="107" t="s">
        <v>2497</v>
      </c>
      <c r="BQ78" s="107" t="s">
        <v>2498</v>
      </c>
      <c r="BR78" s="102" t="s">
        <v>2499</v>
      </c>
      <c r="BS78" s="106"/>
      <c r="BT78" s="102" t="s">
        <v>2500</v>
      </c>
      <c r="BU78" s="102" t="s">
        <v>530</v>
      </c>
      <c r="BV78" s="123">
        <v>46260.0</v>
      </c>
      <c r="BW78" s="108" t="b">
        <v>0</v>
      </c>
      <c r="BX78" s="106"/>
    </row>
    <row r="79" ht="24.75" customHeight="1">
      <c r="A79" s="89" t="s">
        <v>348</v>
      </c>
      <c r="B79" s="89" t="s">
        <v>964</v>
      </c>
      <c r="C79" s="89" t="s">
        <v>967</v>
      </c>
      <c r="D79" s="167" t="s">
        <v>2501</v>
      </c>
      <c r="E79" s="107" t="s">
        <v>734</v>
      </c>
      <c r="F79" s="102" t="s">
        <v>2502</v>
      </c>
      <c r="G79" s="102" t="s">
        <v>2503</v>
      </c>
      <c r="H79" s="175" t="s">
        <v>2504</v>
      </c>
      <c r="I79" s="175" t="s">
        <v>2505</v>
      </c>
      <c r="J79" s="175" t="s">
        <v>2506</v>
      </c>
      <c r="K79" s="105">
        <v>50.752429407277</v>
      </c>
      <c r="L79" s="105">
        <v>-3.28374411576453</v>
      </c>
      <c r="M79" s="106"/>
      <c r="N79" s="107" t="s">
        <v>558</v>
      </c>
      <c r="O79" s="108" t="b">
        <v>1</v>
      </c>
      <c r="P79" s="109">
        <v>0.0</v>
      </c>
      <c r="Q79" s="171" t="s">
        <v>674</v>
      </c>
      <c r="R79" s="151" t="s">
        <v>387</v>
      </c>
      <c r="S79" s="151" t="s">
        <v>387</v>
      </c>
      <c r="T79" s="151" t="s">
        <v>387</v>
      </c>
      <c r="U79" s="151" t="s">
        <v>387</v>
      </c>
      <c r="V79" s="151" t="s">
        <v>387</v>
      </c>
      <c r="W79" s="151" t="s">
        <v>387</v>
      </c>
      <c r="X79" s="151" t="s">
        <v>387</v>
      </c>
      <c r="Y79" s="151" t="s">
        <v>387</v>
      </c>
      <c r="Z79" s="151" t="s">
        <v>387</v>
      </c>
      <c r="AA79" s="151" t="s">
        <v>387</v>
      </c>
      <c r="AB79" s="151" t="s">
        <v>387</v>
      </c>
      <c r="AC79" s="151" t="s">
        <v>387</v>
      </c>
      <c r="AD79" s="151" t="s">
        <v>387</v>
      </c>
      <c r="AE79" s="151" t="s">
        <v>387</v>
      </c>
      <c r="AF79" s="102" t="s">
        <v>387</v>
      </c>
      <c r="AG79" s="107" t="s">
        <v>678</v>
      </c>
      <c r="AH79" s="108" t="b">
        <v>0</v>
      </c>
      <c r="AI79" s="108" t="b">
        <v>0</v>
      </c>
      <c r="AJ79" s="107" t="s">
        <v>412</v>
      </c>
      <c r="AK79" s="106"/>
      <c r="AL79" s="102" t="s">
        <v>387</v>
      </c>
      <c r="AM79" s="157" t="s">
        <v>387</v>
      </c>
      <c r="AN79" s="157" t="s">
        <v>387</v>
      </c>
      <c r="AO79" s="157" t="s">
        <v>387</v>
      </c>
      <c r="AP79" s="102" t="s">
        <v>387</v>
      </c>
      <c r="AQ79" s="157" t="s">
        <v>387</v>
      </c>
      <c r="AR79" s="102" t="s">
        <v>387</v>
      </c>
      <c r="AS79" s="157" t="s">
        <v>387</v>
      </c>
      <c r="AT79" s="157" t="s">
        <v>387</v>
      </c>
      <c r="AU79" s="157" t="s">
        <v>387</v>
      </c>
      <c r="AV79" s="102" t="s">
        <v>387</v>
      </c>
      <c r="AW79" s="157" t="s">
        <v>387</v>
      </c>
      <c r="AX79" s="102" t="s">
        <v>387</v>
      </c>
      <c r="AY79" s="157" t="s">
        <v>387</v>
      </c>
      <c r="AZ79" s="107" t="s">
        <v>588</v>
      </c>
      <c r="BA79" s="140" t="s">
        <v>1235</v>
      </c>
      <c r="BB79" s="107" t="s">
        <v>925</v>
      </c>
      <c r="BC79" s="107" t="s">
        <v>483</v>
      </c>
      <c r="BD79" s="106"/>
      <c r="BE79" s="108" t="b">
        <v>0</v>
      </c>
      <c r="BF79" s="108" t="b">
        <v>1</v>
      </c>
      <c r="BG79" s="108" t="b">
        <v>1</v>
      </c>
      <c r="BH79" s="108" t="b">
        <v>1</v>
      </c>
      <c r="BI79" s="108" t="b">
        <v>1</v>
      </c>
      <c r="BJ79" s="108" t="b">
        <v>0</v>
      </c>
      <c r="BK79" s="108" t="b">
        <v>0</v>
      </c>
      <c r="BL79" s="107" t="s">
        <v>519</v>
      </c>
      <c r="BM79" s="107" t="s">
        <v>543</v>
      </c>
      <c r="BN79" s="107" t="s">
        <v>851</v>
      </c>
      <c r="BO79" s="102" t="s">
        <v>2507</v>
      </c>
      <c r="BP79" s="106"/>
      <c r="BQ79" s="106"/>
      <c r="BR79" s="107" t="s">
        <v>2508</v>
      </c>
      <c r="BS79" s="106"/>
      <c r="BT79" s="188" t="s">
        <v>2509</v>
      </c>
      <c r="BU79" s="102" t="s">
        <v>725</v>
      </c>
      <c r="BV79" s="123">
        <v>46260.0</v>
      </c>
      <c r="BW79" s="108" t="b">
        <v>0</v>
      </c>
      <c r="BX79" s="106"/>
    </row>
    <row r="80" ht="24.75" customHeight="1">
      <c r="A80" s="89" t="s">
        <v>348</v>
      </c>
      <c r="B80" s="89" t="s">
        <v>964</v>
      </c>
      <c r="C80" s="95" t="s">
        <v>967</v>
      </c>
      <c r="D80" s="175" t="s">
        <v>2510</v>
      </c>
      <c r="E80" s="102" t="s">
        <v>2511</v>
      </c>
      <c r="F80" s="102" t="s">
        <v>2512</v>
      </c>
      <c r="G80" s="107" t="s">
        <v>1224</v>
      </c>
      <c r="H80" s="102" t="s">
        <v>1225</v>
      </c>
      <c r="I80" s="102" t="s">
        <v>1226</v>
      </c>
      <c r="J80" s="95" t="s">
        <v>749</v>
      </c>
      <c r="K80" s="105">
        <v>50.6316270105551</v>
      </c>
      <c r="L80" s="105">
        <v>-3.31272929499085</v>
      </c>
      <c r="M80" s="106"/>
      <c r="N80" s="107" t="s">
        <v>558</v>
      </c>
      <c r="O80" s="108" t="b">
        <v>1</v>
      </c>
      <c r="P80" s="180" t="s">
        <v>812</v>
      </c>
      <c r="Q80" s="180" t="s">
        <v>674</v>
      </c>
      <c r="R80" s="216" t="s">
        <v>387</v>
      </c>
      <c r="S80" s="216" t="s">
        <v>387</v>
      </c>
      <c r="T80" s="216" t="s">
        <v>387</v>
      </c>
      <c r="U80" s="216" t="s">
        <v>387</v>
      </c>
      <c r="V80" s="216" t="s">
        <v>387</v>
      </c>
      <c r="W80" s="216" t="s">
        <v>387</v>
      </c>
      <c r="X80" s="216" t="s">
        <v>387</v>
      </c>
      <c r="Y80" s="216" t="s">
        <v>387</v>
      </c>
      <c r="Z80" s="216" t="s">
        <v>387</v>
      </c>
      <c r="AA80" s="216" t="s">
        <v>387</v>
      </c>
      <c r="AB80" s="216" t="s">
        <v>387</v>
      </c>
      <c r="AC80" s="216" t="s">
        <v>387</v>
      </c>
      <c r="AD80" s="207" t="s">
        <v>387</v>
      </c>
      <c r="AE80" s="207" t="s">
        <v>387</v>
      </c>
      <c r="AF80" s="207" t="s">
        <v>387</v>
      </c>
      <c r="AG80" s="107" t="s">
        <v>678</v>
      </c>
      <c r="AH80" s="108" t="b">
        <v>0</v>
      </c>
      <c r="AI80" s="108" t="b">
        <v>0</v>
      </c>
      <c r="AJ80" s="107" t="s">
        <v>412</v>
      </c>
      <c r="AK80" s="106"/>
      <c r="AL80" s="113" t="s">
        <v>387</v>
      </c>
      <c r="AM80" s="113" t="s">
        <v>387</v>
      </c>
      <c r="AN80" s="113" t="s">
        <v>387</v>
      </c>
      <c r="AO80" s="113" t="s">
        <v>387</v>
      </c>
      <c r="AP80" s="113" t="s">
        <v>387</v>
      </c>
      <c r="AQ80" s="113" t="s">
        <v>387</v>
      </c>
      <c r="AR80" s="113" t="s">
        <v>387</v>
      </c>
      <c r="AS80" s="113" t="s">
        <v>387</v>
      </c>
      <c r="AT80" s="113" t="s">
        <v>387</v>
      </c>
      <c r="AU80" s="113" t="s">
        <v>387</v>
      </c>
      <c r="AV80" s="113" t="s">
        <v>387</v>
      </c>
      <c r="AW80" s="113" t="s">
        <v>387</v>
      </c>
      <c r="AX80" s="113" t="s">
        <v>387</v>
      </c>
      <c r="AY80" s="113" t="s">
        <v>387</v>
      </c>
      <c r="AZ80" s="107" t="s">
        <v>648</v>
      </c>
      <c r="BA80" s="140" t="s">
        <v>1235</v>
      </c>
      <c r="BB80" s="107" t="s">
        <v>1345</v>
      </c>
      <c r="BC80" s="107" t="s">
        <v>483</v>
      </c>
      <c r="BD80" s="106"/>
      <c r="BE80" s="108" t="b">
        <v>0</v>
      </c>
      <c r="BF80" s="108" t="b">
        <v>1</v>
      </c>
      <c r="BG80" s="108" t="b">
        <v>1</v>
      </c>
      <c r="BH80" s="108" t="b">
        <v>1</v>
      </c>
      <c r="BI80" s="108" t="b">
        <v>0</v>
      </c>
      <c r="BJ80" s="108" t="b">
        <v>0</v>
      </c>
      <c r="BK80" s="108" t="b">
        <v>0</v>
      </c>
      <c r="BL80" s="107" t="s">
        <v>519</v>
      </c>
      <c r="BM80" s="107" t="s">
        <v>543</v>
      </c>
      <c r="BN80" s="107" t="s">
        <v>1457</v>
      </c>
      <c r="BO80" s="102" t="s">
        <v>2513</v>
      </c>
      <c r="BP80" s="106"/>
      <c r="BQ80" s="106"/>
      <c r="BR80" s="102" t="s">
        <v>2514</v>
      </c>
      <c r="BS80" s="106"/>
      <c r="BT80" s="102" t="s">
        <v>2515</v>
      </c>
      <c r="BU80" s="102" t="s">
        <v>530</v>
      </c>
      <c r="BV80" s="123">
        <v>46260.0</v>
      </c>
      <c r="BW80" s="108" t="b">
        <v>0</v>
      </c>
      <c r="BX80" s="106"/>
    </row>
    <row r="81" ht="24.75" customHeight="1">
      <c r="A81" s="89" t="s">
        <v>348</v>
      </c>
      <c r="B81" s="89" t="s">
        <v>964</v>
      </c>
      <c r="C81" s="95" t="s">
        <v>1556</v>
      </c>
      <c r="D81" s="146" t="s">
        <v>2516</v>
      </c>
      <c r="E81" s="102" t="s">
        <v>2517</v>
      </c>
      <c r="F81" s="102" t="s">
        <v>2518</v>
      </c>
      <c r="G81" s="107" t="s">
        <v>1224</v>
      </c>
      <c r="H81" s="102" t="s">
        <v>1225</v>
      </c>
      <c r="I81" s="102" t="s">
        <v>1226</v>
      </c>
      <c r="J81" s="95" t="s">
        <v>749</v>
      </c>
      <c r="K81" s="105">
        <v>50.6312322990555</v>
      </c>
      <c r="L81" s="105">
        <v>-3.31291168518604</v>
      </c>
      <c r="M81" s="106"/>
      <c r="N81" s="107" t="s">
        <v>558</v>
      </c>
      <c r="O81" s="108" t="b">
        <v>1</v>
      </c>
      <c r="P81" s="180" t="s">
        <v>812</v>
      </c>
      <c r="Q81" s="180" t="s">
        <v>674</v>
      </c>
      <c r="R81" s="216" t="s">
        <v>387</v>
      </c>
      <c r="S81" s="216" t="s">
        <v>387</v>
      </c>
      <c r="T81" s="216" t="s">
        <v>387</v>
      </c>
      <c r="U81" s="216" t="s">
        <v>387</v>
      </c>
      <c r="V81" s="216" t="s">
        <v>387</v>
      </c>
      <c r="W81" s="216" t="s">
        <v>387</v>
      </c>
      <c r="X81" s="216" t="s">
        <v>387</v>
      </c>
      <c r="Y81" s="216" t="s">
        <v>387</v>
      </c>
      <c r="Z81" s="216" t="s">
        <v>387</v>
      </c>
      <c r="AA81" s="216" t="s">
        <v>387</v>
      </c>
      <c r="AB81" s="216" t="s">
        <v>387</v>
      </c>
      <c r="AC81" s="216" t="s">
        <v>387</v>
      </c>
      <c r="AD81" s="207" t="s">
        <v>387</v>
      </c>
      <c r="AE81" s="207" t="s">
        <v>387</v>
      </c>
      <c r="AF81" s="207" t="s">
        <v>387</v>
      </c>
      <c r="AG81" s="107" t="s">
        <v>678</v>
      </c>
      <c r="AH81" s="108" t="b">
        <v>0</v>
      </c>
      <c r="AI81" s="108" t="b">
        <v>0</v>
      </c>
      <c r="AJ81" s="107" t="s">
        <v>412</v>
      </c>
      <c r="AK81" s="106"/>
      <c r="AL81" s="113" t="s">
        <v>387</v>
      </c>
      <c r="AM81" s="113" t="s">
        <v>387</v>
      </c>
      <c r="AN81" s="113" t="s">
        <v>387</v>
      </c>
      <c r="AO81" s="113" t="s">
        <v>387</v>
      </c>
      <c r="AP81" s="113" t="s">
        <v>387</v>
      </c>
      <c r="AQ81" s="113" t="s">
        <v>387</v>
      </c>
      <c r="AR81" s="113" t="s">
        <v>387</v>
      </c>
      <c r="AS81" s="113" t="s">
        <v>387</v>
      </c>
      <c r="AT81" s="113" t="s">
        <v>387</v>
      </c>
      <c r="AU81" s="113" t="s">
        <v>387</v>
      </c>
      <c r="AV81" s="113" t="s">
        <v>387</v>
      </c>
      <c r="AW81" s="113" t="s">
        <v>387</v>
      </c>
      <c r="AX81" s="113" t="s">
        <v>387</v>
      </c>
      <c r="AY81" s="113" t="s">
        <v>387</v>
      </c>
      <c r="AZ81" s="107" t="s">
        <v>648</v>
      </c>
      <c r="BA81" s="140" t="s">
        <v>1235</v>
      </c>
      <c r="BB81" s="106"/>
      <c r="BC81" s="107" t="s">
        <v>483</v>
      </c>
      <c r="BD81" s="106"/>
      <c r="BE81" s="108" t="b">
        <v>0</v>
      </c>
      <c r="BF81" s="108" t="b">
        <v>0</v>
      </c>
      <c r="BG81" s="108" t="b">
        <v>1</v>
      </c>
      <c r="BH81" s="108" t="b">
        <v>1</v>
      </c>
      <c r="BI81" s="108" t="b">
        <v>1</v>
      </c>
      <c r="BJ81" s="108" t="b">
        <v>1</v>
      </c>
      <c r="BK81" s="108" t="b">
        <v>0</v>
      </c>
      <c r="BL81" s="107" t="s">
        <v>519</v>
      </c>
      <c r="BM81" s="107" t="s">
        <v>543</v>
      </c>
      <c r="BN81" s="107" t="s">
        <v>818</v>
      </c>
      <c r="BO81" s="102" t="s">
        <v>2519</v>
      </c>
      <c r="BP81" s="106"/>
      <c r="BQ81" s="106"/>
      <c r="BR81" s="102" t="s">
        <v>2520</v>
      </c>
      <c r="BS81" s="106"/>
      <c r="BT81" s="102" t="s">
        <v>2521</v>
      </c>
      <c r="BU81" s="102" t="s">
        <v>530</v>
      </c>
      <c r="BV81" s="123">
        <v>46260.0</v>
      </c>
      <c r="BW81" s="108" t="b">
        <v>0</v>
      </c>
      <c r="BX81" s="106"/>
    </row>
    <row r="82" ht="24.75" customHeight="1">
      <c r="A82" s="89" t="s">
        <v>348</v>
      </c>
      <c r="B82" s="89" t="s">
        <v>964</v>
      </c>
      <c r="C82" s="89" t="s">
        <v>967</v>
      </c>
      <c r="D82" s="167" t="s">
        <v>2522</v>
      </c>
      <c r="E82" s="107" t="s">
        <v>734</v>
      </c>
      <c r="F82" s="102" t="s">
        <v>2523</v>
      </c>
      <c r="G82" s="102" t="s">
        <v>2524</v>
      </c>
      <c r="H82" s="148"/>
      <c r="I82" s="98" t="s">
        <v>437</v>
      </c>
      <c r="J82" s="98" t="s">
        <v>2526</v>
      </c>
      <c r="K82" s="149">
        <v>50.6925912425971</v>
      </c>
      <c r="L82" s="149">
        <v>-3.23756508465697</v>
      </c>
      <c r="M82" s="106"/>
      <c r="N82" s="151" t="s">
        <v>558</v>
      </c>
      <c r="O82" s="204" t="b">
        <v>1</v>
      </c>
      <c r="P82" s="180" t="s">
        <v>812</v>
      </c>
      <c r="Q82" s="180" t="s">
        <v>674</v>
      </c>
      <c r="R82" s="151" t="s">
        <v>387</v>
      </c>
      <c r="S82" s="151" t="s">
        <v>387</v>
      </c>
      <c r="T82" s="151" t="s">
        <v>387</v>
      </c>
      <c r="U82" s="151" t="s">
        <v>387</v>
      </c>
      <c r="V82" s="151" t="s">
        <v>387</v>
      </c>
      <c r="W82" s="151" t="s">
        <v>387</v>
      </c>
      <c r="X82" s="151" t="s">
        <v>387</v>
      </c>
      <c r="Y82" s="151" t="s">
        <v>387</v>
      </c>
      <c r="Z82" s="151" t="s">
        <v>387</v>
      </c>
      <c r="AA82" s="151" t="s">
        <v>387</v>
      </c>
      <c r="AB82" s="151" t="s">
        <v>387</v>
      </c>
      <c r="AC82" s="151" t="s">
        <v>387</v>
      </c>
      <c r="AD82" s="151" t="s">
        <v>387</v>
      </c>
      <c r="AE82" s="151" t="s">
        <v>387</v>
      </c>
      <c r="AF82" s="107" t="s">
        <v>387</v>
      </c>
      <c r="AG82" s="107" t="s">
        <v>678</v>
      </c>
      <c r="AH82" s="108" t="b">
        <v>0</v>
      </c>
      <c r="AI82" s="154" t="b">
        <v>0</v>
      </c>
      <c r="AJ82" s="107" t="s">
        <v>412</v>
      </c>
      <c r="AK82" s="155"/>
      <c r="AL82" s="102" t="s">
        <v>387</v>
      </c>
      <c r="AM82" s="157" t="s">
        <v>387</v>
      </c>
      <c r="AN82" s="157" t="s">
        <v>387</v>
      </c>
      <c r="AO82" s="157" t="s">
        <v>387</v>
      </c>
      <c r="AP82" s="157" t="s">
        <v>387</v>
      </c>
      <c r="AQ82" s="157" t="s">
        <v>387</v>
      </c>
      <c r="AR82" s="157" t="s">
        <v>387</v>
      </c>
      <c r="AS82" s="157" t="s">
        <v>387</v>
      </c>
      <c r="AT82" s="157" t="s">
        <v>387</v>
      </c>
      <c r="AU82" s="157" t="s">
        <v>387</v>
      </c>
      <c r="AV82" s="157" t="s">
        <v>387</v>
      </c>
      <c r="AW82" s="157" t="s">
        <v>387</v>
      </c>
      <c r="AX82" s="157" t="s">
        <v>387</v>
      </c>
      <c r="AY82" s="157" t="s">
        <v>387</v>
      </c>
      <c r="AZ82" s="107" t="s">
        <v>588</v>
      </c>
      <c r="BA82" s="107" t="s">
        <v>2168</v>
      </c>
      <c r="BB82" s="107" t="s">
        <v>1505</v>
      </c>
      <c r="BC82" s="107" t="s">
        <v>483</v>
      </c>
      <c r="BD82" s="107" t="s">
        <v>1310</v>
      </c>
      <c r="BE82" s="108" t="b">
        <v>0</v>
      </c>
      <c r="BF82" s="108" t="b">
        <v>1</v>
      </c>
      <c r="BG82" s="108" t="b">
        <v>1</v>
      </c>
      <c r="BH82" s="108" t="b">
        <v>1</v>
      </c>
      <c r="BI82" s="108" t="b">
        <v>1</v>
      </c>
      <c r="BJ82" s="108" t="b">
        <v>0</v>
      </c>
      <c r="BK82" s="108" t="b">
        <v>0</v>
      </c>
      <c r="BL82" s="107" t="s">
        <v>519</v>
      </c>
      <c r="BM82" s="107" t="s">
        <v>2533</v>
      </c>
      <c r="BN82" s="107" t="s">
        <v>851</v>
      </c>
      <c r="BO82" s="102" t="s">
        <v>2534</v>
      </c>
      <c r="BP82" s="106"/>
      <c r="BQ82" s="106"/>
      <c r="BR82" s="107" t="s">
        <v>2535</v>
      </c>
      <c r="BS82" s="106"/>
      <c r="BT82" s="102" t="s">
        <v>2536</v>
      </c>
      <c r="BU82" s="102" t="s">
        <v>530</v>
      </c>
      <c r="BV82" s="123">
        <v>46260.0</v>
      </c>
      <c r="BW82" s="108" t="b">
        <v>0</v>
      </c>
      <c r="BX82" s="106"/>
    </row>
    <row r="83" ht="24.75" customHeight="1">
      <c r="A83" s="89" t="s">
        <v>348</v>
      </c>
      <c r="B83" s="89" t="s">
        <v>352</v>
      </c>
      <c r="C83" s="95" t="s">
        <v>2537</v>
      </c>
      <c r="D83" s="175" t="s">
        <v>2538</v>
      </c>
      <c r="E83" s="102" t="s">
        <v>653</v>
      </c>
      <c r="F83" s="102" t="s">
        <v>2539</v>
      </c>
      <c r="G83" s="102" t="s">
        <v>2540</v>
      </c>
      <c r="H83" s="102" t="s">
        <v>2541</v>
      </c>
      <c r="I83" s="102" t="s">
        <v>669</v>
      </c>
      <c r="J83" s="95" t="s">
        <v>2542</v>
      </c>
      <c r="K83" s="105">
        <v>50.6325822968029</v>
      </c>
      <c r="L83" s="105">
        <v>-3.41727464654612</v>
      </c>
      <c r="M83" s="106"/>
      <c r="N83" s="107" t="s">
        <v>2543</v>
      </c>
      <c r="O83" s="108" t="b">
        <v>1</v>
      </c>
      <c r="P83" s="109">
        <v>0.4166666666666667</v>
      </c>
      <c r="Q83" s="109">
        <v>0.6666666666666666</v>
      </c>
      <c r="R83" s="107" t="s">
        <v>387</v>
      </c>
      <c r="S83" s="107" t="s">
        <v>387</v>
      </c>
      <c r="T83" s="107" t="s">
        <v>387</v>
      </c>
      <c r="U83" s="107" t="s">
        <v>387</v>
      </c>
      <c r="V83" s="107" t="s">
        <v>387</v>
      </c>
      <c r="W83" s="107" t="s">
        <v>387</v>
      </c>
      <c r="X83" s="107" t="s">
        <v>387</v>
      </c>
      <c r="Y83" s="107" t="s">
        <v>387</v>
      </c>
      <c r="Z83" s="107" t="s">
        <v>387</v>
      </c>
      <c r="AA83" s="107" t="s">
        <v>387</v>
      </c>
      <c r="AB83" s="107" t="s">
        <v>387</v>
      </c>
      <c r="AC83" s="107" t="s">
        <v>387</v>
      </c>
      <c r="AD83" s="107" t="s">
        <v>387</v>
      </c>
      <c r="AE83" s="107" t="s">
        <v>387</v>
      </c>
      <c r="AF83" s="102" t="s">
        <v>2544</v>
      </c>
      <c r="AG83" s="106"/>
      <c r="AH83" s="108" t="b">
        <v>0</v>
      </c>
      <c r="AI83" s="108" t="b">
        <v>0</v>
      </c>
      <c r="AJ83" s="107" t="s">
        <v>412</v>
      </c>
      <c r="AK83" s="106"/>
      <c r="AL83" s="107" t="s">
        <v>387</v>
      </c>
      <c r="AM83" s="113" t="s">
        <v>387</v>
      </c>
      <c r="AN83" s="107" t="s">
        <v>387</v>
      </c>
      <c r="AO83" s="113" t="s">
        <v>387</v>
      </c>
      <c r="AP83" s="107" t="s">
        <v>387</v>
      </c>
      <c r="AQ83" s="113" t="s">
        <v>387</v>
      </c>
      <c r="AR83" s="107" t="s">
        <v>387</v>
      </c>
      <c r="AS83" s="113" t="s">
        <v>387</v>
      </c>
      <c r="AT83" s="107" t="s">
        <v>387</v>
      </c>
      <c r="AU83" s="113" t="s">
        <v>387</v>
      </c>
      <c r="AV83" s="107" t="s">
        <v>387</v>
      </c>
      <c r="AW83" s="113" t="s">
        <v>387</v>
      </c>
      <c r="AX83" s="107" t="s">
        <v>387</v>
      </c>
      <c r="AY83" s="113" t="s">
        <v>387</v>
      </c>
      <c r="AZ83" s="107" t="s">
        <v>2545</v>
      </c>
      <c r="BA83" s="107" t="s">
        <v>2546</v>
      </c>
      <c r="BB83" s="107" t="s">
        <v>1005</v>
      </c>
      <c r="BC83" s="107" t="s">
        <v>2547</v>
      </c>
      <c r="BD83" s="106"/>
      <c r="BE83" s="108" t="b">
        <v>1</v>
      </c>
      <c r="BF83" s="108" t="b">
        <v>1</v>
      </c>
      <c r="BG83" s="108" t="b">
        <v>1</v>
      </c>
      <c r="BH83" s="108" t="b">
        <v>1</v>
      </c>
      <c r="BI83" s="108" t="b">
        <v>1</v>
      </c>
      <c r="BJ83" s="108" t="b">
        <v>1</v>
      </c>
      <c r="BK83" s="108" t="b">
        <v>1</v>
      </c>
      <c r="BL83" s="107" t="s">
        <v>519</v>
      </c>
      <c r="BM83" s="107" t="s">
        <v>2548</v>
      </c>
      <c r="BN83" s="107" t="s">
        <v>765</v>
      </c>
      <c r="BO83" s="102" t="s">
        <v>2549</v>
      </c>
      <c r="BP83" s="106"/>
      <c r="BQ83" s="106"/>
      <c r="BR83" s="102" t="s">
        <v>2313</v>
      </c>
      <c r="BS83" s="106"/>
      <c r="BT83" s="102" t="s">
        <v>2550</v>
      </c>
      <c r="BU83" s="102" t="s">
        <v>530</v>
      </c>
      <c r="BV83" s="123">
        <v>46260.0</v>
      </c>
      <c r="BW83" s="108" t="b">
        <v>0</v>
      </c>
      <c r="BX83" s="106"/>
    </row>
    <row r="84" ht="24.75" customHeight="1">
      <c r="A84" s="89" t="s">
        <v>348</v>
      </c>
      <c r="B84" s="89" t="s">
        <v>1018</v>
      </c>
      <c r="C84" s="95" t="s">
        <v>1569</v>
      </c>
      <c r="D84" s="98" t="s">
        <v>2551</v>
      </c>
      <c r="E84" s="102" t="s">
        <v>1000</v>
      </c>
      <c r="F84" s="102" t="s">
        <v>2552</v>
      </c>
      <c r="G84" s="102" t="s">
        <v>2551</v>
      </c>
      <c r="H84" s="106"/>
      <c r="I84" s="102" t="s">
        <v>2553</v>
      </c>
      <c r="J84" s="95" t="s">
        <v>2554</v>
      </c>
      <c r="K84" s="105">
        <v>50.4059017450582</v>
      </c>
      <c r="L84" s="105">
        <v>-3.91295538704125</v>
      </c>
      <c r="M84" s="106"/>
      <c r="N84" s="107" t="s">
        <v>2555</v>
      </c>
      <c r="O84" s="108" t="b">
        <v>1</v>
      </c>
      <c r="P84" s="109">
        <v>0.4583333333333333</v>
      </c>
      <c r="Q84" s="109">
        <v>0.7083333333333334</v>
      </c>
      <c r="R84" s="107" t="s">
        <v>387</v>
      </c>
      <c r="S84" s="107" t="s">
        <v>387</v>
      </c>
      <c r="T84" s="107" t="s">
        <v>387</v>
      </c>
      <c r="U84" s="107" t="s">
        <v>387</v>
      </c>
      <c r="V84" s="107" t="s">
        <v>387</v>
      </c>
      <c r="W84" s="107" t="s">
        <v>387</v>
      </c>
      <c r="X84" s="107" t="s">
        <v>387</v>
      </c>
      <c r="Y84" s="107" t="s">
        <v>387</v>
      </c>
      <c r="Z84" s="107" t="s">
        <v>387</v>
      </c>
      <c r="AA84" s="107" t="s">
        <v>387</v>
      </c>
      <c r="AB84" s="107" t="s">
        <v>387</v>
      </c>
      <c r="AC84" s="107" t="s">
        <v>387</v>
      </c>
      <c r="AD84" s="107" t="s">
        <v>387</v>
      </c>
      <c r="AE84" s="107" t="s">
        <v>387</v>
      </c>
      <c r="AF84" s="102" t="s">
        <v>2556</v>
      </c>
      <c r="AG84" s="107" t="s">
        <v>678</v>
      </c>
      <c r="AH84" s="108" t="b">
        <v>1</v>
      </c>
      <c r="AI84" s="108" t="b">
        <v>0</v>
      </c>
      <c r="AJ84" s="107" t="s">
        <v>571</v>
      </c>
      <c r="AK84" s="107" t="s">
        <v>730</v>
      </c>
      <c r="AL84" s="107" t="s">
        <v>387</v>
      </c>
      <c r="AM84" s="113" t="s">
        <v>387</v>
      </c>
      <c r="AN84" s="107" t="s">
        <v>594</v>
      </c>
      <c r="AO84" s="210">
        <v>0.0</v>
      </c>
      <c r="AP84" s="107" t="s">
        <v>387</v>
      </c>
      <c r="AQ84" s="113" t="s">
        <v>387</v>
      </c>
      <c r="AR84" s="107" t="s">
        <v>387</v>
      </c>
      <c r="AS84" s="113" t="s">
        <v>387</v>
      </c>
      <c r="AT84" s="107" t="s">
        <v>583</v>
      </c>
      <c r="AU84" s="210">
        <v>9.0</v>
      </c>
      <c r="AV84" s="106"/>
      <c r="AW84" s="210">
        <v>8.5</v>
      </c>
      <c r="AX84" s="107" t="s">
        <v>387</v>
      </c>
      <c r="AY84" s="210" t="s">
        <v>387</v>
      </c>
      <c r="AZ84" s="107" t="s">
        <v>1875</v>
      </c>
      <c r="BA84" s="140" t="s">
        <v>2557</v>
      </c>
      <c r="BB84" s="106"/>
      <c r="BC84" s="107" t="s">
        <v>1643</v>
      </c>
      <c r="BD84" s="107" t="s">
        <v>656</v>
      </c>
      <c r="BE84" s="108" t="b">
        <v>1</v>
      </c>
      <c r="BF84" s="108" t="b">
        <v>1</v>
      </c>
      <c r="BG84" s="108" t="b">
        <v>1</v>
      </c>
      <c r="BH84" s="108" t="b">
        <v>1</v>
      </c>
      <c r="BI84" s="108" t="b">
        <v>1</v>
      </c>
      <c r="BJ84" s="108" t="b">
        <v>1</v>
      </c>
      <c r="BK84" s="108" t="b">
        <v>1</v>
      </c>
      <c r="BL84" s="107" t="s">
        <v>519</v>
      </c>
      <c r="BM84" s="107" t="s">
        <v>543</v>
      </c>
      <c r="BN84" s="107" t="s">
        <v>870</v>
      </c>
      <c r="BO84" s="102" t="s">
        <v>2558</v>
      </c>
      <c r="BP84" s="107" t="s">
        <v>2497</v>
      </c>
      <c r="BQ84" s="107" t="s">
        <v>2559</v>
      </c>
      <c r="BR84" s="102" t="s">
        <v>2560</v>
      </c>
      <c r="BS84" s="106"/>
      <c r="BT84" s="102" t="s">
        <v>2561</v>
      </c>
      <c r="BU84" s="102" t="s">
        <v>530</v>
      </c>
      <c r="BV84" s="123">
        <v>46260.0</v>
      </c>
      <c r="BW84" s="108" t="b">
        <v>0</v>
      </c>
      <c r="BX84" s="106"/>
    </row>
    <row r="85" ht="24.75" customHeight="1">
      <c r="A85" s="89" t="s">
        <v>348</v>
      </c>
      <c r="B85" s="89" t="s">
        <v>772</v>
      </c>
      <c r="C85" s="95" t="s">
        <v>1134</v>
      </c>
      <c r="D85" s="146" t="s">
        <v>2562</v>
      </c>
      <c r="E85" s="102" t="s">
        <v>2563</v>
      </c>
      <c r="F85" s="102" t="s">
        <v>2564</v>
      </c>
      <c r="G85" s="102" t="s">
        <v>1057</v>
      </c>
      <c r="H85" s="102" t="s">
        <v>1042</v>
      </c>
      <c r="I85" s="102" t="s">
        <v>669</v>
      </c>
      <c r="J85" s="95" t="s">
        <v>2565</v>
      </c>
      <c r="K85" s="105">
        <v>50.6481347265394</v>
      </c>
      <c r="L85" s="105">
        <v>-3.43193582536234</v>
      </c>
      <c r="M85" s="106"/>
      <c r="N85" s="107" t="s">
        <v>558</v>
      </c>
      <c r="O85" s="108" t="b">
        <v>1</v>
      </c>
      <c r="P85" s="180" t="s">
        <v>812</v>
      </c>
      <c r="Q85" s="180" t="s">
        <v>674</v>
      </c>
      <c r="R85" s="151" t="s">
        <v>387</v>
      </c>
      <c r="S85" s="151" t="s">
        <v>387</v>
      </c>
      <c r="T85" s="151" t="s">
        <v>387</v>
      </c>
      <c r="U85" s="151" t="s">
        <v>387</v>
      </c>
      <c r="V85" s="151" t="s">
        <v>387</v>
      </c>
      <c r="W85" s="151" t="s">
        <v>387</v>
      </c>
      <c r="X85" s="151" t="s">
        <v>387</v>
      </c>
      <c r="Y85" s="151" t="s">
        <v>387</v>
      </c>
      <c r="Z85" s="151" t="s">
        <v>387</v>
      </c>
      <c r="AA85" s="151" t="s">
        <v>387</v>
      </c>
      <c r="AB85" s="151" t="s">
        <v>387</v>
      </c>
      <c r="AC85" s="151" t="s">
        <v>387</v>
      </c>
      <c r="AD85" s="151" t="s">
        <v>387</v>
      </c>
      <c r="AE85" s="151" t="s">
        <v>387</v>
      </c>
      <c r="AF85" s="207" t="s">
        <v>387</v>
      </c>
      <c r="AG85" s="107" t="s">
        <v>678</v>
      </c>
      <c r="AH85" s="108" t="b">
        <v>0</v>
      </c>
      <c r="AI85" s="108" t="b">
        <v>0</v>
      </c>
      <c r="AJ85" s="107" t="s">
        <v>412</v>
      </c>
      <c r="AK85" s="106"/>
      <c r="AL85" s="107" t="s">
        <v>387</v>
      </c>
      <c r="AM85" s="113" t="s">
        <v>387</v>
      </c>
      <c r="AN85" s="107" t="s">
        <v>387</v>
      </c>
      <c r="AO85" s="113" t="s">
        <v>387</v>
      </c>
      <c r="AP85" s="107" t="s">
        <v>387</v>
      </c>
      <c r="AQ85" s="113" t="s">
        <v>387</v>
      </c>
      <c r="AR85" s="107" t="s">
        <v>387</v>
      </c>
      <c r="AS85" s="113" t="s">
        <v>387</v>
      </c>
      <c r="AT85" s="107" t="s">
        <v>387</v>
      </c>
      <c r="AU85" s="113" t="s">
        <v>387</v>
      </c>
      <c r="AV85" s="107" t="s">
        <v>387</v>
      </c>
      <c r="AW85" s="113" t="s">
        <v>387</v>
      </c>
      <c r="AX85" s="107" t="s">
        <v>387</v>
      </c>
      <c r="AY85" s="113" t="s">
        <v>387</v>
      </c>
      <c r="AZ85" s="107" t="s">
        <v>2292</v>
      </c>
      <c r="BA85" s="140" t="s">
        <v>2566</v>
      </c>
      <c r="BB85" s="106"/>
      <c r="BC85" s="106"/>
      <c r="BD85" s="106"/>
      <c r="BE85" s="106"/>
      <c r="BF85" s="106"/>
      <c r="BG85" s="108" t="b">
        <v>1</v>
      </c>
      <c r="BH85" s="108" t="b">
        <v>1</v>
      </c>
      <c r="BI85" s="108" t="b">
        <v>1</v>
      </c>
      <c r="BJ85" s="106"/>
      <c r="BK85" s="106"/>
      <c r="BL85" s="107" t="s">
        <v>519</v>
      </c>
      <c r="BM85" s="107" t="s">
        <v>2567</v>
      </c>
      <c r="BN85" s="107" t="s">
        <v>851</v>
      </c>
      <c r="BO85" s="102" t="s">
        <v>2568</v>
      </c>
      <c r="BP85" s="106"/>
      <c r="BQ85" s="106"/>
      <c r="BR85" s="102" t="s">
        <v>2569</v>
      </c>
      <c r="BS85" s="102" t="s">
        <v>2570</v>
      </c>
      <c r="BT85" s="102" t="s">
        <v>2571</v>
      </c>
      <c r="BU85" s="102" t="s">
        <v>629</v>
      </c>
      <c r="BV85" s="123">
        <v>46260.0</v>
      </c>
      <c r="BW85" s="108" t="b">
        <v>0</v>
      </c>
      <c r="BX85" s="106"/>
    </row>
    <row r="86" ht="24.75" customHeight="1">
      <c r="A86" s="89" t="s">
        <v>348</v>
      </c>
      <c r="B86" s="89" t="s">
        <v>772</v>
      </c>
      <c r="C86" s="95" t="s">
        <v>1513</v>
      </c>
      <c r="D86" s="175" t="s">
        <v>2572</v>
      </c>
      <c r="E86" s="102" t="s">
        <v>339</v>
      </c>
      <c r="F86" s="102" t="s">
        <v>2573</v>
      </c>
      <c r="G86" s="107" t="s">
        <v>1057</v>
      </c>
      <c r="H86" s="107" t="s">
        <v>1042</v>
      </c>
      <c r="I86" s="107" t="s">
        <v>669</v>
      </c>
      <c r="J86" s="89" t="s">
        <v>2289</v>
      </c>
      <c r="K86" s="105">
        <v>50.6480344371353</v>
      </c>
      <c r="L86" s="105">
        <v>-3.43046941771043</v>
      </c>
      <c r="M86" s="106"/>
      <c r="N86" s="107" t="s">
        <v>558</v>
      </c>
      <c r="O86" s="108" t="b">
        <v>1</v>
      </c>
      <c r="P86" s="180" t="s">
        <v>812</v>
      </c>
      <c r="Q86" s="180" t="s">
        <v>674</v>
      </c>
      <c r="R86" s="107" t="s">
        <v>387</v>
      </c>
      <c r="S86" s="107" t="s">
        <v>387</v>
      </c>
      <c r="T86" s="107" t="s">
        <v>387</v>
      </c>
      <c r="U86" s="107" t="s">
        <v>387</v>
      </c>
      <c r="V86" s="107" t="s">
        <v>387</v>
      </c>
      <c r="W86" s="107" t="s">
        <v>387</v>
      </c>
      <c r="X86" s="107" t="s">
        <v>387</v>
      </c>
      <c r="Y86" s="107" t="s">
        <v>387</v>
      </c>
      <c r="Z86" s="107" t="s">
        <v>387</v>
      </c>
      <c r="AA86" s="107" t="s">
        <v>387</v>
      </c>
      <c r="AB86" s="107" t="s">
        <v>387</v>
      </c>
      <c r="AC86" s="107" t="s">
        <v>387</v>
      </c>
      <c r="AD86" s="107" t="s">
        <v>387</v>
      </c>
      <c r="AE86" s="107" t="s">
        <v>387</v>
      </c>
      <c r="AF86" s="102" t="s">
        <v>387</v>
      </c>
      <c r="AG86" s="107" t="s">
        <v>678</v>
      </c>
      <c r="AH86" s="108" t="b">
        <v>0</v>
      </c>
      <c r="AI86" s="108" t="b">
        <v>0</v>
      </c>
      <c r="AJ86" s="107" t="s">
        <v>412</v>
      </c>
      <c r="AK86" s="106"/>
      <c r="AL86" s="107" t="s">
        <v>387</v>
      </c>
      <c r="AM86" s="113" t="s">
        <v>387</v>
      </c>
      <c r="AN86" s="107" t="s">
        <v>387</v>
      </c>
      <c r="AO86" s="113" t="s">
        <v>387</v>
      </c>
      <c r="AP86" s="107" t="s">
        <v>387</v>
      </c>
      <c r="AQ86" s="113" t="s">
        <v>387</v>
      </c>
      <c r="AR86" s="107" t="s">
        <v>387</v>
      </c>
      <c r="AS86" s="113" t="s">
        <v>387</v>
      </c>
      <c r="AT86" s="107" t="s">
        <v>387</v>
      </c>
      <c r="AU86" s="113" t="s">
        <v>387</v>
      </c>
      <c r="AV86" s="107" t="s">
        <v>387</v>
      </c>
      <c r="AW86" s="113" t="s">
        <v>387</v>
      </c>
      <c r="AX86" s="107" t="s">
        <v>387</v>
      </c>
      <c r="AY86" s="113" t="s">
        <v>387</v>
      </c>
      <c r="AZ86" s="107" t="s">
        <v>2574</v>
      </c>
      <c r="BA86" s="140" t="s">
        <v>1003</v>
      </c>
      <c r="BB86" s="107" t="s">
        <v>1005</v>
      </c>
      <c r="BC86" s="107" t="s">
        <v>1715</v>
      </c>
      <c r="BD86" s="106"/>
      <c r="BE86" s="108" t="b">
        <v>1</v>
      </c>
      <c r="BF86" s="108" t="b">
        <v>1</v>
      </c>
      <c r="BG86" s="108" t="b">
        <v>1</v>
      </c>
      <c r="BH86" s="108" t="b">
        <v>1</v>
      </c>
      <c r="BI86" s="108" t="b">
        <v>1</v>
      </c>
      <c r="BJ86" s="108" t="b">
        <v>1</v>
      </c>
      <c r="BK86" s="108" t="b">
        <v>1</v>
      </c>
      <c r="BL86" s="107" t="s">
        <v>519</v>
      </c>
      <c r="BM86" s="107" t="s">
        <v>543</v>
      </c>
      <c r="BN86" s="107" t="s">
        <v>1091</v>
      </c>
      <c r="BO86" s="102" t="s">
        <v>2575</v>
      </c>
      <c r="BP86" s="107" t="s">
        <v>514</v>
      </c>
      <c r="BQ86" s="106"/>
      <c r="BR86" s="102" t="s">
        <v>2576</v>
      </c>
      <c r="BS86" s="102" t="s">
        <v>2577</v>
      </c>
      <c r="BT86" s="102" t="s">
        <v>2578</v>
      </c>
      <c r="BU86" s="102" t="s">
        <v>530</v>
      </c>
      <c r="BV86" s="123">
        <v>46260.0</v>
      </c>
      <c r="BW86" s="108" t="b">
        <v>0</v>
      </c>
      <c r="BX86" s="106"/>
    </row>
    <row r="87" ht="24.75" customHeight="1">
      <c r="A87" s="89" t="s">
        <v>348</v>
      </c>
      <c r="B87" s="89" t="s">
        <v>706</v>
      </c>
      <c r="C87" s="95" t="s">
        <v>1747</v>
      </c>
      <c r="D87" s="125" t="s">
        <v>2579</v>
      </c>
      <c r="E87" s="102" t="s">
        <v>339</v>
      </c>
      <c r="F87" s="102" t="s">
        <v>2580</v>
      </c>
      <c r="G87" s="102" t="s">
        <v>2581</v>
      </c>
      <c r="H87" s="98" t="s">
        <v>790</v>
      </c>
      <c r="I87" s="98" t="s">
        <v>2309</v>
      </c>
      <c r="J87" s="98" t="s">
        <v>2582</v>
      </c>
      <c r="K87" s="105">
        <v>50.591873116052</v>
      </c>
      <c r="L87" s="105">
        <v>-3.67566688322571</v>
      </c>
      <c r="M87" s="106"/>
      <c r="N87" s="107" t="s">
        <v>2583</v>
      </c>
      <c r="O87" s="108" t="b">
        <v>1</v>
      </c>
      <c r="P87" s="109">
        <v>0.4166666666666667</v>
      </c>
      <c r="Q87" s="109">
        <v>0.7083333333333334</v>
      </c>
      <c r="R87" s="151" t="s">
        <v>387</v>
      </c>
      <c r="S87" s="151" t="s">
        <v>387</v>
      </c>
      <c r="T87" s="151" t="s">
        <v>387</v>
      </c>
      <c r="U87" s="151" t="s">
        <v>387</v>
      </c>
      <c r="V87" s="151" t="s">
        <v>387</v>
      </c>
      <c r="W87" s="151" t="s">
        <v>387</v>
      </c>
      <c r="X87" s="151" t="s">
        <v>387</v>
      </c>
      <c r="Y87" s="151" t="s">
        <v>387</v>
      </c>
      <c r="Z87" s="151" t="s">
        <v>387</v>
      </c>
      <c r="AA87" s="151" t="s">
        <v>387</v>
      </c>
      <c r="AB87" s="151" t="s">
        <v>387</v>
      </c>
      <c r="AC87" s="151" t="s">
        <v>387</v>
      </c>
      <c r="AD87" s="151" t="s">
        <v>387</v>
      </c>
      <c r="AE87" s="151" t="s">
        <v>387</v>
      </c>
      <c r="AF87" s="102" t="s">
        <v>74</v>
      </c>
      <c r="AG87" s="107" t="s">
        <v>1968</v>
      </c>
      <c r="AH87" s="108" t="b">
        <v>0</v>
      </c>
      <c r="AI87" s="108" t="b">
        <v>0</v>
      </c>
      <c r="AJ87" s="107" t="s">
        <v>412</v>
      </c>
      <c r="AK87" s="106"/>
      <c r="AL87" s="102" t="s">
        <v>387</v>
      </c>
      <c r="AM87" s="157" t="s">
        <v>387</v>
      </c>
      <c r="AN87" s="157" t="s">
        <v>387</v>
      </c>
      <c r="AO87" s="157" t="s">
        <v>387</v>
      </c>
      <c r="AP87" s="102" t="s">
        <v>387</v>
      </c>
      <c r="AQ87" s="157" t="s">
        <v>387</v>
      </c>
      <c r="AR87" s="102" t="s">
        <v>387</v>
      </c>
      <c r="AS87" s="157" t="s">
        <v>387</v>
      </c>
      <c r="AT87" s="157" t="s">
        <v>387</v>
      </c>
      <c r="AU87" s="157" t="s">
        <v>387</v>
      </c>
      <c r="AV87" s="102" t="s">
        <v>387</v>
      </c>
      <c r="AW87" s="157" t="s">
        <v>387</v>
      </c>
      <c r="AX87" s="102" t="s">
        <v>387</v>
      </c>
      <c r="AY87" s="157" t="s">
        <v>387</v>
      </c>
      <c r="AZ87" s="102" t="s">
        <v>648</v>
      </c>
      <c r="BA87" s="102" t="s">
        <v>2584</v>
      </c>
      <c r="BB87" s="102" t="s">
        <v>2585</v>
      </c>
      <c r="BC87" s="102" t="s">
        <v>2586</v>
      </c>
      <c r="BD87" s="106"/>
      <c r="BE87" s="108" t="b">
        <v>0</v>
      </c>
      <c r="BF87" s="108" t="b">
        <v>0</v>
      </c>
      <c r="BG87" s="108" t="b">
        <v>1</v>
      </c>
      <c r="BH87" s="108" t="b">
        <v>1</v>
      </c>
      <c r="BI87" s="108" t="b">
        <v>1</v>
      </c>
      <c r="BJ87" s="108" t="b">
        <v>1</v>
      </c>
      <c r="BK87" s="108" t="b">
        <v>1</v>
      </c>
      <c r="BL87" s="107" t="s">
        <v>649</v>
      </c>
      <c r="BM87" s="107" t="s">
        <v>1119</v>
      </c>
      <c r="BN87" s="107" t="s">
        <v>1473</v>
      </c>
      <c r="BO87" s="102" t="s">
        <v>2587</v>
      </c>
      <c r="BP87" s="107" t="s">
        <v>2588</v>
      </c>
      <c r="BQ87" s="106"/>
      <c r="BR87" s="107" t="s">
        <v>2589</v>
      </c>
      <c r="BS87" s="106"/>
      <c r="BT87" s="102" t="s">
        <v>2590</v>
      </c>
      <c r="BU87" s="102" t="s">
        <v>607</v>
      </c>
      <c r="BV87" s="123">
        <v>46260.0</v>
      </c>
      <c r="BW87" s="108" t="b">
        <v>0</v>
      </c>
      <c r="BX87" s="106"/>
    </row>
    <row r="88" ht="24.75" customHeight="1">
      <c r="A88" s="89" t="s">
        <v>348</v>
      </c>
      <c r="B88" s="89" t="s">
        <v>1062</v>
      </c>
      <c r="C88" s="95" t="s">
        <v>1581</v>
      </c>
      <c r="D88" s="125" t="s">
        <v>2591</v>
      </c>
      <c r="E88" s="107" t="s">
        <v>339</v>
      </c>
      <c r="F88" s="102" t="s">
        <v>2592</v>
      </c>
      <c r="G88" s="107" t="s">
        <v>1263</v>
      </c>
      <c r="H88" s="98" t="s">
        <v>1264</v>
      </c>
      <c r="I88" s="98" t="s">
        <v>669</v>
      </c>
      <c r="J88" s="98" t="s">
        <v>1266</v>
      </c>
      <c r="K88" s="105">
        <v>50.6177415084</v>
      </c>
      <c r="L88" s="105">
        <v>-3.41477542555178</v>
      </c>
      <c r="M88" s="106"/>
      <c r="N88" s="107" t="s">
        <v>558</v>
      </c>
      <c r="O88" s="108" t="b">
        <v>1</v>
      </c>
      <c r="P88" s="109">
        <v>0.3333333333333333</v>
      </c>
      <c r="Q88" s="109">
        <v>0.7916666666666666</v>
      </c>
      <c r="R88" s="151" t="s">
        <v>387</v>
      </c>
      <c r="S88" s="151" t="s">
        <v>387</v>
      </c>
      <c r="T88" s="151" t="s">
        <v>387</v>
      </c>
      <c r="U88" s="151" t="s">
        <v>387</v>
      </c>
      <c r="V88" s="151" t="s">
        <v>387</v>
      </c>
      <c r="W88" s="151" t="s">
        <v>387</v>
      </c>
      <c r="X88" s="151" t="s">
        <v>387</v>
      </c>
      <c r="Y88" s="151" t="s">
        <v>387</v>
      </c>
      <c r="Z88" s="151" t="s">
        <v>387</v>
      </c>
      <c r="AA88" s="151" t="s">
        <v>387</v>
      </c>
      <c r="AB88" s="151" t="s">
        <v>387</v>
      </c>
      <c r="AC88" s="151" t="s">
        <v>387</v>
      </c>
      <c r="AD88" s="151" t="s">
        <v>387</v>
      </c>
      <c r="AE88" s="151" t="s">
        <v>387</v>
      </c>
      <c r="AF88" s="106"/>
      <c r="AG88" s="106"/>
      <c r="AH88" s="108" t="b">
        <v>0</v>
      </c>
      <c r="AI88" s="108" t="b">
        <v>0</v>
      </c>
      <c r="AJ88" s="107" t="s">
        <v>412</v>
      </c>
      <c r="AK88" s="106"/>
      <c r="AL88" s="102" t="s">
        <v>387</v>
      </c>
      <c r="AM88" s="157" t="s">
        <v>387</v>
      </c>
      <c r="AN88" s="157" t="s">
        <v>387</v>
      </c>
      <c r="AO88" s="157" t="s">
        <v>387</v>
      </c>
      <c r="AP88" s="102" t="s">
        <v>387</v>
      </c>
      <c r="AQ88" s="157" t="s">
        <v>387</v>
      </c>
      <c r="AR88" s="102" t="s">
        <v>387</v>
      </c>
      <c r="AS88" s="157" t="s">
        <v>387</v>
      </c>
      <c r="AT88" s="157" t="s">
        <v>387</v>
      </c>
      <c r="AU88" s="157" t="s">
        <v>387</v>
      </c>
      <c r="AV88" s="102" t="s">
        <v>387</v>
      </c>
      <c r="AW88" s="157" t="s">
        <v>387</v>
      </c>
      <c r="AX88" s="102" t="s">
        <v>387</v>
      </c>
      <c r="AY88" s="157" t="s">
        <v>387</v>
      </c>
      <c r="AZ88" s="107" t="s">
        <v>602</v>
      </c>
      <c r="BA88" s="140" t="s">
        <v>1945</v>
      </c>
      <c r="BB88" s="106"/>
      <c r="BC88" s="107" t="s">
        <v>2593</v>
      </c>
      <c r="BD88" s="107" t="s">
        <v>593</v>
      </c>
      <c r="BE88" s="108" t="b">
        <v>1</v>
      </c>
      <c r="BF88" s="108" t="b">
        <v>1</v>
      </c>
      <c r="BG88" s="108" t="b">
        <v>1</v>
      </c>
      <c r="BH88" s="108" t="b">
        <v>1</v>
      </c>
      <c r="BI88" s="108" t="b">
        <v>1</v>
      </c>
      <c r="BJ88" s="108" t="b">
        <v>1</v>
      </c>
      <c r="BK88" s="108" t="b">
        <v>1</v>
      </c>
      <c r="BL88" s="107" t="s">
        <v>519</v>
      </c>
      <c r="BM88" s="107" t="s">
        <v>543</v>
      </c>
      <c r="BN88" s="107" t="s">
        <v>1091</v>
      </c>
      <c r="BO88" s="102" t="s">
        <v>2594</v>
      </c>
      <c r="BP88" s="106"/>
      <c r="BQ88" s="106"/>
      <c r="BR88" s="107" t="s">
        <v>2174</v>
      </c>
      <c r="BS88" s="106"/>
      <c r="BT88" s="102" t="s">
        <v>2595</v>
      </c>
      <c r="BU88" s="102" t="s">
        <v>530</v>
      </c>
      <c r="BV88" s="123">
        <v>46260.0</v>
      </c>
      <c r="BW88" s="108" t="b">
        <v>0</v>
      </c>
      <c r="BX88" s="106"/>
    </row>
    <row r="89" ht="24.75" customHeight="1">
      <c r="A89" s="89" t="s">
        <v>348</v>
      </c>
      <c r="B89" s="89" t="s">
        <v>772</v>
      </c>
      <c r="C89" s="89" t="s">
        <v>2596</v>
      </c>
      <c r="D89" s="167" t="s">
        <v>2597</v>
      </c>
      <c r="E89" s="140" t="s">
        <v>2598</v>
      </c>
      <c r="F89" s="102" t="s">
        <v>2599</v>
      </c>
      <c r="G89" s="102" t="s">
        <v>2600</v>
      </c>
      <c r="H89" s="98" t="s">
        <v>2601</v>
      </c>
      <c r="I89" s="98" t="s">
        <v>1802</v>
      </c>
      <c r="J89" s="98" t="s">
        <v>2602</v>
      </c>
      <c r="K89" s="149">
        <v>50.3673961747115</v>
      </c>
      <c r="L89" s="149">
        <v>-3.52974985234093</v>
      </c>
      <c r="M89" s="106"/>
      <c r="N89" s="107" t="s">
        <v>558</v>
      </c>
      <c r="O89" s="108" t="b">
        <v>1</v>
      </c>
      <c r="P89" s="109">
        <v>0.0</v>
      </c>
      <c r="Q89" s="171" t="s">
        <v>674</v>
      </c>
      <c r="R89" s="151" t="s">
        <v>387</v>
      </c>
      <c r="S89" s="151" t="s">
        <v>387</v>
      </c>
      <c r="T89" s="151" t="s">
        <v>387</v>
      </c>
      <c r="U89" s="151" t="s">
        <v>387</v>
      </c>
      <c r="V89" s="151" t="s">
        <v>387</v>
      </c>
      <c r="W89" s="151" t="s">
        <v>387</v>
      </c>
      <c r="X89" s="151" t="s">
        <v>387</v>
      </c>
      <c r="Y89" s="151" t="s">
        <v>387</v>
      </c>
      <c r="Z89" s="151" t="s">
        <v>387</v>
      </c>
      <c r="AA89" s="151" t="s">
        <v>387</v>
      </c>
      <c r="AB89" s="151" t="s">
        <v>387</v>
      </c>
      <c r="AC89" s="151" t="s">
        <v>387</v>
      </c>
      <c r="AD89" s="151" t="s">
        <v>387</v>
      </c>
      <c r="AE89" s="151" t="s">
        <v>387</v>
      </c>
      <c r="AF89" s="106"/>
      <c r="AG89" s="106"/>
      <c r="AH89" s="106"/>
      <c r="AI89" s="106"/>
      <c r="AJ89" s="107" t="s">
        <v>412</v>
      </c>
      <c r="AK89" s="106"/>
      <c r="AL89" s="102" t="s">
        <v>387</v>
      </c>
      <c r="AM89" s="157" t="s">
        <v>387</v>
      </c>
      <c r="AN89" s="157" t="s">
        <v>387</v>
      </c>
      <c r="AO89" s="157" t="s">
        <v>387</v>
      </c>
      <c r="AP89" s="102" t="s">
        <v>387</v>
      </c>
      <c r="AQ89" s="157" t="s">
        <v>387</v>
      </c>
      <c r="AR89" s="102" t="s">
        <v>387</v>
      </c>
      <c r="AS89" s="157" t="s">
        <v>387</v>
      </c>
      <c r="AT89" s="157" t="s">
        <v>387</v>
      </c>
      <c r="AU89" s="157" t="s">
        <v>387</v>
      </c>
      <c r="AV89" s="102" t="s">
        <v>387</v>
      </c>
      <c r="AW89" s="157" t="s">
        <v>387</v>
      </c>
      <c r="AX89" s="102" t="s">
        <v>387</v>
      </c>
      <c r="AY89" s="157" t="s">
        <v>387</v>
      </c>
      <c r="AZ89" s="107" t="s">
        <v>1272</v>
      </c>
      <c r="BA89" s="140" t="s">
        <v>685</v>
      </c>
      <c r="BB89" s="106"/>
      <c r="BC89" s="106"/>
      <c r="BD89" s="106"/>
      <c r="BE89" s="108" t="b">
        <v>1</v>
      </c>
      <c r="BF89" s="108" t="b">
        <v>1</v>
      </c>
      <c r="BG89" s="108" t="b">
        <v>1</v>
      </c>
      <c r="BH89" s="108" t="b">
        <v>1</v>
      </c>
      <c r="BI89" s="108" t="b">
        <v>1</v>
      </c>
      <c r="BJ89" s="108" t="b">
        <v>1</v>
      </c>
      <c r="BK89" s="108" t="b">
        <v>1</v>
      </c>
      <c r="BL89" s="107" t="s">
        <v>519</v>
      </c>
      <c r="BM89" s="107" t="s">
        <v>597</v>
      </c>
      <c r="BN89" s="107" t="s">
        <v>795</v>
      </c>
      <c r="BO89" s="102" t="s">
        <v>2603</v>
      </c>
      <c r="BP89" s="107" t="s">
        <v>2604</v>
      </c>
      <c r="BQ89" s="107" t="s">
        <v>2605</v>
      </c>
      <c r="BR89" s="107" t="s">
        <v>2606</v>
      </c>
      <c r="BS89" s="107" t="s">
        <v>2607</v>
      </c>
      <c r="BT89" s="102" t="s">
        <v>2608</v>
      </c>
      <c r="BU89" s="102" t="s">
        <v>2375</v>
      </c>
      <c r="BV89" s="123">
        <v>46260.0</v>
      </c>
      <c r="BW89" s="108" t="b">
        <v>0</v>
      </c>
      <c r="BX89" s="106"/>
    </row>
    <row r="90" ht="24.75" customHeight="1">
      <c r="A90" s="89" t="s">
        <v>348</v>
      </c>
      <c r="B90" s="89" t="s">
        <v>816</v>
      </c>
      <c r="C90" s="95" t="s">
        <v>1201</v>
      </c>
      <c r="D90" s="175" t="s">
        <v>2609</v>
      </c>
      <c r="E90" s="102" t="s">
        <v>339</v>
      </c>
      <c r="F90" s="102" t="s">
        <v>2610</v>
      </c>
      <c r="G90" s="102" t="s">
        <v>2611</v>
      </c>
      <c r="H90" s="106"/>
      <c r="I90" s="102" t="s">
        <v>437</v>
      </c>
      <c r="J90" s="95" t="s">
        <v>2612</v>
      </c>
      <c r="K90" s="105">
        <v>50.6952191100149</v>
      </c>
      <c r="L90" s="105">
        <v>-3.23801929485161</v>
      </c>
      <c r="M90" s="106"/>
      <c r="N90" s="107" t="s">
        <v>558</v>
      </c>
      <c r="O90" s="108" t="b">
        <v>1</v>
      </c>
      <c r="P90" s="180" t="s">
        <v>812</v>
      </c>
      <c r="Q90" s="180" t="s">
        <v>674</v>
      </c>
      <c r="R90" s="107" t="s">
        <v>387</v>
      </c>
      <c r="S90" s="107" t="s">
        <v>387</v>
      </c>
      <c r="T90" s="107" t="s">
        <v>387</v>
      </c>
      <c r="U90" s="107" t="s">
        <v>387</v>
      </c>
      <c r="V90" s="107" t="s">
        <v>387</v>
      </c>
      <c r="W90" s="107" t="s">
        <v>387</v>
      </c>
      <c r="X90" s="107" t="s">
        <v>387</v>
      </c>
      <c r="Y90" s="107" t="s">
        <v>387</v>
      </c>
      <c r="Z90" s="107" t="s">
        <v>387</v>
      </c>
      <c r="AA90" s="107" t="s">
        <v>387</v>
      </c>
      <c r="AB90" s="107" t="s">
        <v>387</v>
      </c>
      <c r="AC90" s="107" t="s">
        <v>387</v>
      </c>
      <c r="AD90" s="107" t="s">
        <v>387</v>
      </c>
      <c r="AE90" s="107" t="s">
        <v>387</v>
      </c>
      <c r="AF90" s="102" t="s">
        <v>387</v>
      </c>
      <c r="AG90" s="107" t="s">
        <v>678</v>
      </c>
      <c r="AH90" s="108" t="b">
        <v>0</v>
      </c>
      <c r="AI90" s="108" t="b">
        <v>0</v>
      </c>
      <c r="AJ90" s="107" t="s">
        <v>412</v>
      </c>
      <c r="AK90" s="106"/>
      <c r="AL90" s="107" t="s">
        <v>387</v>
      </c>
      <c r="AM90" s="113" t="s">
        <v>387</v>
      </c>
      <c r="AN90" s="107" t="s">
        <v>387</v>
      </c>
      <c r="AO90" s="113" t="s">
        <v>387</v>
      </c>
      <c r="AP90" s="107" t="s">
        <v>387</v>
      </c>
      <c r="AQ90" s="113" t="s">
        <v>387</v>
      </c>
      <c r="AR90" s="107" t="s">
        <v>387</v>
      </c>
      <c r="AS90" s="113" t="s">
        <v>387</v>
      </c>
      <c r="AT90" s="107" t="s">
        <v>387</v>
      </c>
      <c r="AU90" s="113" t="s">
        <v>387</v>
      </c>
      <c r="AV90" s="107" t="s">
        <v>387</v>
      </c>
      <c r="AW90" s="113" t="s">
        <v>387</v>
      </c>
      <c r="AX90" s="107" t="s">
        <v>387</v>
      </c>
      <c r="AY90" s="113" t="s">
        <v>387</v>
      </c>
      <c r="AZ90" s="107" t="s">
        <v>588</v>
      </c>
      <c r="BA90" s="140" t="s">
        <v>2613</v>
      </c>
      <c r="BB90" s="106"/>
      <c r="BC90" s="106"/>
      <c r="BD90" s="106"/>
      <c r="BE90" s="108" t="b">
        <v>0</v>
      </c>
      <c r="BF90" s="108" t="b">
        <v>0</v>
      </c>
      <c r="BG90" s="108" t="b">
        <v>0</v>
      </c>
      <c r="BH90" s="108" t="b">
        <v>1</v>
      </c>
      <c r="BI90" s="108" t="b">
        <v>1</v>
      </c>
      <c r="BJ90" s="108" t="b">
        <v>1</v>
      </c>
      <c r="BK90" s="108" t="b">
        <v>1</v>
      </c>
      <c r="BL90" s="107" t="s">
        <v>519</v>
      </c>
      <c r="BM90" s="107" t="s">
        <v>1508</v>
      </c>
      <c r="BN90" s="107" t="s">
        <v>851</v>
      </c>
      <c r="BO90" s="102" t="s">
        <v>2614</v>
      </c>
      <c r="BP90" s="106"/>
      <c r="BQ90" s="106"/>
      <c r="BR90" s="102" t="s">
        <v>2615</v>
      </c>
      <c r="BS90" s="106"/>
      <c r="BT90" s="102" t="s">
        <v>2616</v>
      </c>
      <c r="BU90" s="102" t="s">
        <v>530</v>
      </c>
      <c r="BV90" s="123">
        <v>46260.0</v>
      </c>
      <c r="BW90" s="108" t="b">
        <v>0</v>
      </c>
      <c r="BX90" s="106"/>
    </row>
    <row r="91" ht="24.75" customHeight="1">
      <c r="A91" s="89" t="s">
        <v>348</v>
      </c>
      <c r="B91" s="89" t="s">
        <v>964</v>
      </c>
      <c r="C91" s="95" t="s">
        <v>967</v>
      </c>
      <c r="D91" s="146" t="s">
        <v>2617</v>
      </c>
      <c r="E91" s="102" t="s">
        <v>1333</v>
      </c>
      <c r="F91" s="102" t="s">
        <v>2618</v>
      </c>
      <c r="G91" s="102" t="s">
        <v>2611</v>
      </c>
      <c r="H91" s="106"/>
      <c r="I91" s="102" t="s">
        <v>437</v>
      </c>
      <c r="J91" s="95" t="s">
        <v>2612</v>
      </c>
      <c r="K91" s="105">
        <v>50.6932413938341</v>
      </c>
      <c r="L91" s="105">
        <v>-3.23793346418089</v>
      </c>
      <c r="M91" s="106"/>
      <c r="N91" s="107" t="s">
        <v>558</v>
      </c>
      <c r="O91" s="108" t="b">
        <v>1</v>
      </c>
      <c r="P91" s="180" t="s">
        <v>812</v>
      </c>
      <c r="Q91" s="180" t="s">
        <v>674</v>
      </c>
      <c r="R91" s="107" t="s">
        <v>387</v>
      </c>
      <c r="S91" s="107" t="s">
        <v>387</v>
      </c>
      <c r="T91" s="107" t="s">
        <v>387</v>
      </c>
      <c r="U91" s="107" t="s">
        <v>387</v>
      </c>
      <c r="V91" s="107" t="s">
        <v>387</v>
      </c>
      <c r="W91" s="107" t="s">
        <v>387</v>
      </c>
      <c r="X91" s="107" t="s">
        <v>387</v>
      </c>
      <c r="Y91" s="107" t="s">
        <v>387</v>
      </c>
      <c r="Z91" s="107" t="s">
        <v>387</v>
      </c>
      <c r="AA91" s="107" t="s">
        <v>387</v>
      </c>
      <c r="AB91" s="107" t="s">
        <v>387</v>
      </c>
      <c r="AC91" s="107" t="s">
        <v>387</v>
      </c>
      <c r="AD91" s="107" t="s">
        <v>387</v>
      </c>
      <c r="AE91" s="107" t="s">
        <v>387</v>
      </c>
      <c r="AF91" s="102" t="s">
        <v>387</v>
      </c>
      <c r="AG91" s="107" t="s">
        <v>678</v>
      </c>
      <c r="AH91" s="108" t="b">
        <v>0</v>
      </c>
      <c r="AI91" s="108" t="b">
        <v>0</v>
      </c>
      <c r="AJ91" s="107" t="s">
        <v>412</v>
      </c>
      <c r="AK91" s="106"/>
      <c r="AL91" s="107" t="s">
        <v>387</v>
      </c>
      <c r="AM91" s="113" t="s">
        <v>387</v>
      </c>
      <c r="AN91" s="107" t="s">
        <v>387</v>
      </c>
      <c r="AO91" s="113" t="s">
        <v>387</v>
      </c>
      <c r="AP91" s="107" t="s">
        <v>387</v>
      </c>
      <c r="AQ91" s="113" t="s">
        <v>387</v>
      </c>
      <c r="AR91" s="107" t="s">
        <v>387</v>
      </c>
      <c r="AS91" s="113" t="s">
        <v>387</v>
      </c>
      <c r="AT91" s="107" t="s">
        <v>387</v>
      </c>
      <c r="AU91" s="113" t="s">
        <v>387</v>
      </c>
      <c r="AV91" s="107" t="s">
        <v>387</v>
      </c>
      <c r="AW91" s="113" t="s">
        <v>387</v>
      </c>
      <c r="AX91" s="107" t="s">
        <v>387</v>
      </c>
      <c r="AY91" s="113" t="s">
        <v>387</v>
      </c>
      <c r="AZ91" s="107" t="s">
        <v>588</v>
      </c>
      <c r="BA91" s="140" t="s">
        <v>1235</v>
      </c>
      <c r="BB91" s="107" t="s">
        <v>1505</v>
      </c>
      <c r="BC91" s="106"/>
      <c r="BD91" s="106"/>
      <c r="BE91" s="108" t="b">
        <v>0</v>
      </c>
      <c r="BF91" s="108" t="b">
        <v>1</v>
      </c>
      <c r="BG91" s="108" t="b">
        <v>1</v>
      </c>
      <c r="BH91" s="108" t="b">
        <v>1</v>
      </c>
      <c r="BI91" s="108" t="b">
        <v>0</v>
      </c>
      <c r="BJ91" s="108" t="b">
        <v>0</v>
      </c>
      <c r="BK91" s="108" t="b">
        <v>0</v>
      </c>
      <c r="BL91" s="107" t="s">
        <v>519</v>
      </c>
      <c r="BM91" s="107" t="s">
        <v>543</v>
      </c>
      <c r="BN91" s="107" t="s">
        <v>1091</v>
      </c>
      <c r="BO91" s="102" t="s">
        <v>2619</v>
      </c>
      <c r="BP91" s="106"/>
      <c r="BQ91" s="106"/>
      <c r="BR91" s="102" t="s">
        <v>2620</v>
      </c>
      <c r="BS91" s="106"/>
      <c r="BT91" s="102" t="s">
        <v>2621</v>
      </c>
      <c r="BU91" s="102" t="s">
        <v>530</v>
      </c>
      <c r="BV91" s="123">
        <v>46260.0</v>
      </c>
      <c r="BW91" s="108" t="b">
        <v>0</v>
      </c>
      <c r="BX91" s="106"/>
    </row>
    <row r="92" ht="24.75" customHeight="1">
      <c r="A92" s="89" t="s">
        <v>348</v>
      </c>
      <c r="B92" s="89" t="s">
        <v>964</v>
      </c>
      <c r="C92" s="95" t="s">
        <v>1556</v>
      </c>
      <c r="D92" s="146" t="s">
        <v>2622</v>
      </c>
      <c r="E92" s="102" t="s">
        <v>635</v>
      </c>
      <c r="F92" s="102" t="s">
        <v>2623</v>
      </c>
      <c r="G92" s="102" t="s">
        <v>2611</v>
      </c>
      <c r="H92" s="106"/>
      <c r="I92" s="102" t="s">
        <v>437</v>
      </c>
      <c r="J92" s="95" t="s">
        <v>2612</v>
      </c>
      <c r="K92" s="105">
        <v>50.6939414197541</v>
      </c>
      <c r="L92" s="105">
        <v>-3.23806221023142</v>
      </c>
      <c r="M92" s="106"/>
      <c r="N92" s="107" t="s">
        <v>558</v>
      </c>
      <c r="O92" s="108" t="b">
        <v>1</v>
      </c>
      <c r="P92" s="180" t="s">
        <v>812</v>
      </c>
      <c r="Q92" s="180" t="s">
        <v>674</v>
      </c>
      <c r="R92" s="151" t="s">
        <v>387</v>
      </c>
      <c r="S92" s="151" t="s">
        <v>387</v>
      </c>
      <c r="T92" s="151" t="s">
        <v>387</v>
      </c>
      <c r="U92" s="151" t="s">
        <v>387</v>
      </c>
      <c r="V92" s="151" t="s">
        <v>387</v>
      </c>
      <c r="W92" s="151" t="s">
        <v>387</v>
      </c>
      <c r="X92" s="151" t="s">
        <v>387</v>
      </c>
      <c r="Y92" s="151" t="s">
        <v>387</v>
      </c>
      <c r="Z92" s="151" t="s">
        <v>387</v>
      </c>
      <c r="AA92" s="151" t="s">
        <v>387</v>
      </c>
      <c r="AB92" s="151" t="s">
        <v>387</v>
      </c>
      <c r="AC92" s="151" t="s">
        <v>387</v>
      </c>
      <c r="AD92" s="151" t="s">
        <v>387</v>
      </c>
      <c r="AE92" s="151" t="s">
        <v>387</v>
      </c>
      <c r="AF92" s="102" t="s">
        <v>387</v>
      </c>
      <c r="AG92" s="107" t="s">
        <v>678</v>
      </c>
      <c r="AH92" s="108" t="b">
        <v>0</v>
      </c>
      <c r="AI92" s="108" t="b">
        <v>0</v>
      </c>
      <c r="AJ92" s="107" t="s">
        <v>412</v>
      </c>
      <c r="AK92" s="106"/>
      <c r="AL92" s="107" t="s">
        <v>387</v>
      </c>
      <c r="AM92" s="113" t="s">
        <v>387</v>
      </c>
      <c r="AN92" s="107" t="s">
        <v>387</v>
      </c>
      <c r="AO92" s="113" t="s">
        <v>387</v>
      </c>
      <c r="AP92" s="107" t="s">
        <v>387</v>
      </c>
      <c r="AQ92" s="113" t="s">
        <v>387</v>
      </c>
      <c r="AR92" s="107" t="s">
        <v>387</v>
      </c>
      <c r="AS92" s="113" t="s">
        <v>387</v>
      </c>
      <c r="AT92" s="107" t="s">
        <v>387</v>
      </c>
      <c r="AU92" s="113" t="s">
        <v>387</v>
      </c>
      <c r="AV92" s="107" t="s">
        <v>387</v>
      </c>
      <c r="AW92" s="113" t="s">
        <v>387</v>
      </c>
      <c r="AX92" s="107" t="s">
        <v>387</v>
      </c>
      <c r="AY92" s="113" t="s">
        <v>387</v>
      </c>
      <c r="AZ92" s="107" t="s">
        <v>588</v>
      </c>
      <c r="BA92" s="140" t="s">
        <v>1249</v>
      </c>
      <c r="BB92" s="106"/>
      <c r="BC92" s="107" t="s">
        <v>483</v>
      </c>
      <c r="BD92" s="107" t="s">
        <v>490</v>
      </c>
      <c r="BE92" s="108" t="b">
        <v>0</v>
      </c>
      <c r="BF92" s="108" t="b">
        <v>0</v>
      </c>
      <c r="BG92" s="108" t="b">
        <v>1</v>
      </c>
      <c r="BH92" s="108" t="b">
        <v>1</v>
      </c>
      <c r="BI92" s="108" t="b">
        <v>1</v>
      </c>
      <c r="BJ92" s="108" t="b">
        <v>1</v>
      </c>
      <c r="BK92" s="108" t="b">
        <v>1</v>
      </c>
      <c r="BL92" s="107" t="s">
        <v>519</v>
      </c>
      <c r="BM92" s="107" t="s">
        <v>2624</v>
      </c>
      <c r="BN92" s="107" t="s">
        <v>818</v>
      </c>
      <c r="BO92" s="102" t="s">
        <v>2625</v>
      </c>
      <c r="BP92" s="106"/>
      <c r="BQ92" s="106"/>
      <c r="BR92" s="102" t="s">
        <v>2626</v>
      </c>
      <c r="BS92" s="106"/>
      <c r="BT92" s="102" t="s">
        <v>2627</v>
      </c>
      <c r="BU92" s="102" t="s">
        <v>530</v>
      </c>
      <c r="BV92" s="123">
        <v>46260.0</v>
      </c>
      <c r="BW92" s="108" t="b">
        <v>0</v>
      </c>
      <c r="BX92" s="106"/>
    </row>
    <row r="93" ht="24.75" customHeight="1">
      <c r="A93" s="89" t="s">
        <v>348</v>
      </c>
      <c r="B93" s="89" t="s">
        <v>964</v>
      </c>
      <c r="C93" s="95" t="s">
        <v>2628</v>
      </c>
      <c r="D93" s="175" t="s">
        <v>2629</v>
      </c>
      <c r="E93" s="102" t="s">
        <v>337</v>
      </c>
      <c r="F93" s="102" t="s">
        <v>2630</v>
      </c>
      <c r="G93" s="102" t="s">
        <v>2631</v>
      </c>
      <c r="H93" s="98" t="s">
        <v>2309</v>
      </c>
      <c r="I93" s="98" t="s">
        <v>382</v>
      </c>
      <c r="J93" s="98" t="s">
        <v>2632</v>
      </c>
      <c r="K93" s="149">
        <v>50.5935227214689</v>
      </c>
      <c r="L93" s="149">
        <v>-3.67939801760608</v>
      </c>
      <c r="M93" s="106"/>
      <c r="N93" s="151" t="s">
        <v>558</v>
      </c>
      <c r="O93" s="152" t="b">
        <v>1</v>
      </c>
      <c r="P93" s="180" t="s">
        <v>812</v>
      </c>
      <c r="Q93" s="180" t="s">
        <v>674</v>
      </c>
      <c r="R93" s="151" t="s">
        <v>387</v>
      </c>
      <c r="S93" s="151" t="s">
        <v>387</v>
      </c>
      <c r="T93" s="151" t="s">
        <v>387</v>
      </c>
      <c r="U93" s="151" t="s">
        <v>387</v>
      </c>
      <c r="V93" s="151" t="s">
        <v>387</v>
      </c>
      <c r="W93" s="151" t="s">
        <v>387</v>
      </c>
      <c r="X93" s="151" t="s">
        <v>387</v>
      </c>
      <c r="Y93" s="151" t="s">
        <v>387</v>
      </c>
      <c r="Z93" s="151" t="s">
        <v>387</v>
      </c>
      <c r="AA93" s="151" t="s">
        <v>387</v>
      </c>
      <c r="AB93" s="151" t="s">
        <v>387</v>
      </c>
      <c r="AC93" s="151" t="s">
        <v>387</v>
      </c>
      <c r="AD93" s="151" t="s">
        <v>387</v>
      </c>
      <c r="AE93" s="151" t="s">
        <v>387</v>
      </c>
      <c r="AF93" s="107" t="s">
        <v>678</v>
      </c>
      <c r="AG93" s="107" t="s">
        <v>678</v>
      </c>
      <c r="AH93" s="108" t="b">
        <v>0</v>
      </c>
      <c r="AI93" s="154" t="b">
        <v>0</v>
      </c>
      <c r="AJ93" s="107" t="s">
        <v>412</v>
      </c>
      <c r="AK93" s="155"/>
      <c r="AL93" s="102" t="s">
        <v>387</v>
      </c>
      <c r="AM93" s="157" t="s">
        <v>387</v>
      </c>
      <c r="AN93" s="157" t="s">
        <v>387</v>
      </c>
      <c r="AO93" s="157" t="s">
        <v>387</v>
      </c>
      <c r="AP93" s="157" t="s">
        <v>387</v>
      </c>
      <c r="AQ93" s="157" t="s">
        <v>387</v>
      </c>
      <c r="AR93" s="157" t="s">
        <v>387</v>
      </c>
      <c r="AS93" s="157" t="s">
        <v>387</v>
      </c>
      <c r="AT93" s="157" t="s">
        <v>387</v>
      </c>
      <c r="AU93" s="157" t="s">
        <v>387</v>
      </c>
      <c r="AV93" s="157" t="s">
        <v>387</v>
      </c>
      <c r="AW93" s="157" t="s">
        <v>387</v>
      </c>
      <c r="AX93" s="157" t="s">
        <v>387</v>
      </c>
      <c r="AY93" s="157" t="s">
        <v>387</v>
      </c>
      <c r="AZ93" s="107" t="s">
        <v>1001</v>
      </c>
      <c r="BA93" s="107" t="s">
        <v>1344</v>
      </c>
      <c r="BB93" s="107" t="s">
        <v>2633</v>
      </c>
      <c r="BC93" s="107" t="s">
        <v>483</v>
      </c>
      <c r="BD93" s="106"/>
      <c r="BE93" s="108" t="b">
        <v>0</v>
      </c>
      <c r="BF93" s="108" t="b">
        <v>1</v>
      </c>
      <c r="BG93" s="108" t="b">
        <v>1</v>
      </c>
      <c r="BH93" s="108" t="b">
        <v>1</v>
      </c>
      <c r="BI93" s="108" t="b">
        <v>1</v>
      </c>
      <c r="BJ93" s="108" t="b">
        <v>0</v>
      </c>
      <c r="BK93" s="108" t="b">
        <v>0</v>
      </c>
      <c r="BL93" s="107" t="s">
        <v>519</v>
      </c>
      <c r="BM93" s="107" t="s">
        <v>1090</v>
      </c>
      <c r="BN93" s="107" t="s">
        <v>654</v>
      </c>
      <c r="BO93" s="102" t="s">
        <v>2634</v>
      </c>
      <c r="BP93" s="106"/>
      <c r="BQ93" s="106"/>
      <c r="BR93" s="102" t="s">
        <v>2635</v>
      </c>
      <c r="BS93" s="106"/>
      <c r="BT93" s="102" t="s">
        <v>2636</v>
      </c>
      <c r="BU93" s="102" t="s">
        <v>530</v>
      </c>
      <c r="BV93" s="123">
        <v>46260.0</v>
      </c>
      <c r="BW93" s="108" t="b">
        <v>0</v>
      </c>
      <c r="BX93" s="106"/>
    </row>
    <row r="94" ht="24.75" customHeight="1">
      <c r="A94" s="89" t="s">
        <v>348</v>
      </c>
      <c r="B94" s="89" t="s">
        <v>1062</v>
      </c>
      <c r="C94" s="89" t="s">
        <v>1682</v>
      </c>
      <c r="D94" s="98" t="s">
        <v>1325</v>
      </c>
      <c r="E94" s="107" t="s">
        <v>734</v>
      </c>
      <c r="F94" s="102" t="s">
        <v>2637</v>
      </c>
      <c r="G94" s="102" t="s">
        <v>1327</v>
      </c>
      <c r="H94" s="148"/>
      <c r="I94" s="98" t="s">
        <v>831</v>
      </c>
      <c r="J94" s="98" t="s">
        <v>1329</v>
      </c>
      <c r="K94" s="149">
        <v>50.7404650165145</v>
      </c>
      <c r="L94" s="149">
        <v>-3.51128075864513</v>
      </c>
      <c r="M94" s="106"/>
      <c r="N94" s="107" t="s">
        <v>558</v>
      </c>
      <c r="O94" s="108" t="b">
        <v>1</v>
      </c>
      <c r="P94" s="109">
        <v>0.0</v>
      </c>
      <c r="Q94" s="171" t="s">
        <v>674</v>
      </c>
      <c r="R94" s="151" t="s">
        <v>387</v>
      </c>
      <c r="S94" s="151" t="s">
        <v>387</v>
      </c>
      <c r="T94" s="151" t="s">
        <v>387</v>
      </c>
      <c r="U94" s="151" t="s">
        <v>387</v>
      </c>
      <c r="V94" s="151" t="s">
        <v>387</v>
      </c>
      <c r="W94" s="151" t="s">
        <v>387</v>
      </c>
      <c r="X94" s="151" t="s">
        <v>387</v>
      </c>
      <c r="Y94" s="151" t="s">
        <v>387</v>
      </c>
      <c r="Z94" s="151" t="s">
        <v>387</v>
      </c>
      <c r="AA94" s="151" t="s">
        <v>387</v>
      </c>
      <c r="AB94" s="151" t="s">
        <v>387</v>
      </c>
      <c r="AC94" s="151" t="s">
        <v>387</v>
      </c>
      <c r="AD94" s="151" t="s">
        <v>387</v>
      </c>
      <c r="AE94" s="151" t="s">
        <v>387</v>
      </c>
      <c r="AF94" s="106"/>
      <c r="AG94" s="106"/>
      <c r="AH94" s="108" t="b">
        <v>0</v>
      </c>
      <c r="AI94" s="108" t="b">
        <v>0</v>
      </c>
      <c r="AJ94" s="107" t="s">
        <v>412</v>
      </c>
      <c r="AK94" s="106"/>
      <c r="AL94" s="102" t="s">
        <v>387</v>
      </c>
      <c r="AM94" s="157" t="s">
        <v>387</v>
      </c>
      <c r="AN94" s="157" t="s">
        <v>387</v>
      </c>
      <c r="AO94" s="157" t="s">
        <v>387</v>
      </c>
      <c r="AP94" s="102" t="s">
        <v>387</v>
      </c>
      <c r="AQ94" s="157" t="s">
        <v>387</v>
      </c>
      <c r="AR94" s="102" t="s">
        <v>387</v>
      </c>
      <c r="AS94" s="157" t="s">
        <v>387</v>
      </c>
      <c r="AT94" s="157" t="s">
        <v>387</v>
      </c>
      <c r="AU94" s="157" t="s">
        <v>387</v>
      </c>
      <c r="AV94" s="102" t="s">
        <v>387</v>
      </c>
      <c r="AW94" s="157" t="s">
        <v>387</v>
      </c>
      <c r="AX94" s="102" t="s">
        <v>387</v>
      </c>
      <c r="AY94" s="157" t="s">
        <v>387</v>
      </c>
      <c r="AZ94" s="107" t="s">
        <v>433</v>
      </c>
      <c r="BA94" s="140" t="s">
        <v>1003</v>
      </c>
      <c r="BB94" s="106"/>
      <c r="BC94" s="106"/>
      <c r="BD94" s="106"/>
      <c r="BE94" s="108" t="b">
        <v>1</v>
      </c>
      <c r="BF94" s="108" t="b">
        <v>1</v>
      </c>
      <c r="BG94" s="108" t="b">
        <v>1</v>
      </c>
      <c r="BH94" s="108" t="b">
        <v>1</v>
      </c>
      <c r="BI94" s="108" t="b">
        <v>1</v>
      </c>
      <c r="BJ94" s="108" t="b">
        <v>1</v>
      </c>
      <c r="BK94" s="108" t="b">
        <v>1</v>
      </c>
      <c r="BL94" s="107" t="s">
        <v>519</v>
      </c>
      <c r="BM94" s="107" t="s">
        <v>608</v>
      </c>
      <c r="BN94" s="107" t="s">
        <v>818</v>
      </c>
      <c r="BO94" s="102" t="s">
        <v>2638</v>
      </c>
      <c r="BP94" s="106"/>
      <c r="BQ94" s="107" t="s">
        <v>1339</v>
      </c>
      <c r="BR94" s="107" t="s">
        <v>2639</v>
      </c>
      <c r="BS94" s="107" t="s">
        <v>2640</v>
      </c>
      <c r="BT94" s="102" t="s">
        <v>1341</v>
      </c>
      <c r="BU94" s="102" t="s">
        <v>530</v>
      </c>
      <c r="BV94" s="123">
        <v>46260.0</v>
      </c>
      <c r="BW94" s="108" t="b">
        <v>0</v>
      </c>
      <c r="BX94" s="106"/>
    </row>
    <row r="95" ht="24.75" customHeight="1">
      <c r="A95" s="89" t="s">
        <v>348</v>
      </c>
      <c r="B95" s="89" t="s">
        <v>2326</v>
      </c>
      <c r="C95" s="89" t="s">
        <v>2641</v>
      </c>
      <c r="D95" s="98" t="s">
        <v>2642</v>
      </c>
      <c r="E95" s="107" t="s">
        <v>653</v>
      </c>
      <c r="F95" s="102" t="s">
        <v>2643</v>
      </c>
      <c r="G95" s="102" t="s">
        <v>2644</v>
      </c>
      <c r="H95" s="98" t="s">
        <v>2645</v>
      </c>
      <c r="I95" s="98" t="s">
        <v>382</v>
      </c>
      <c r="J95" s="98" t="s">
        <v>2646</v>
      </c>
      <c r="K95" s="105">
        <v>50.5288885961084</v>
      </c>
      <c r="L95" s="105">
        <v>-3.61429428888396</v>
      </c>
      <c r="M95" s="106"/>
      <c r="N95" s="151" t="s">
        <v>2583</v>
      </c>
      <c r="O95" s="152" t="b">
        <v>0</v>
      </c>
      <c r="P95" s="151" t="s">
        <v>387</v>
      </c>
      <c r="Q95" s="151" t="s">
        <v>387</v>
      </c>
      <c r="R95" s="151" t="s">
        <v>387</v>
      </c>
      <c r="S95" s="151" t="s">
        <v>387</v>
      </c>
      <c r="T95" s="109">
        <v>0.3958333333333333</v>
      </c>
      <c r="U95" s="109">
        <v>0.6875</v>
      </c>
      <c r="V95" s="109">
        <v>0.3958333333333333</v>
      </c>
      <c r="W95" s="109">
        <v>0.6875</v>
      </c>
      <c r="X95" s="109">
        <v>0.3958333333333333</v>
      </c>
      <c r="Y95" s="109">
        <v>0.6875</v>
      </c>
      <c r="Z95" s="109">
        <v>0.3958333333333333</v>
      </c>
      <c r="AA95" s="109">
        <v>0.6875</v>
      </c>
      <c r="AB95" s="109">
        <v>0.3958333333333333</v>
      </c>
      <c r="AC95" s="109">
        <v>0.6875</v>
      </c>
      <c r="AD95" s="151" t="s">
        <v>387</v>
      </c>
      <c r="AE95" s="151" t="s">
        <v>387</v>
      </c>
      <c r="AF95" s="106"/>
      <c r="AG95" s="107" t="s">
        <v>1968</v>
      </c>
      <c r="AH95" s="108" t="b">
        <v>0</v>
      </c>
      <c r="AI95" s="154" t="b">
        <v>0</v>
      </c>
      <c r="AJ95" s="107" t="s">
        <v>412</v>
      </c>
      <c r="AK95" s="155"/>
      <c r="AL95" s="102" t="s">
        <v>387</v>
      </c>
      <c r="AM95" s="157" t="s">
        <v>387</v>
      </c>
      <c r="AN95" s="157" t="s">
        <v>387</v>
      </c>
      <c r="AO95" s="157" t="s">
        <v>387</v>
      </c>
      <c r="AP95" s="157" t="s">
        <v>387</v>
      </c>
      <c r="AQ95" s="157" t="s">
        <v>387</v>
      </c>
      <c r="AR95" s="157" t="s">
        <v>387</v>
      </c>
      <c r="AS95" s="157" t="s">
        <v>387</v>
      </c>
      <c r="AT95" s="157" t="s">
        <v>387</v>
      </c>
      <c r="AU95" s="157" t="s">
        <v>387</v>
      </c>
      <c r="AV95" s="157" t="s">
        <v>387</v>
      </c>
      <c r="AW95" s="157" t="s">
        <v>387</v>
      </c>
      <c r="AX95" s="157" t="s">
        <v>387</v>
      </c>
      <c r="AY95" s="157" t="s">
        <v>387</v>
      </c>
      <c r="AZ95" s="107" t="s">
        <v>648</v>
      </c>
      <c r="BA95" s="107" t="s">
        <v>2647</v>
      </c>
      <c r="BB95" s="107" t="s">
        <v>2648</v>
      </c>
      <c r="BC95" s="107" t="s">
        <v>2649</v>
      </c>
      <c r="BD95" s="106"/>
      <c r="BE95" s="108" t="b">
        <v>0</v>
      </c>
      <c r="BF95" s="108" t="b">
        <v>0</v>
      </c>
      <c r="BG95" s="108" t="b">
        <v>1</v>
      </c>
      <c r="BH95" s="108" t="b">
        <v>1</v>
      </c>
      <c r="BI95" s="108" t="b">
        <v>1</v>
      </c>
      <c r="BJ95" s="108" t="b">
        <v>1</v>
      </c>
      <c r="BK95" s="108" t="b">
        <v>1</v>
      </c>
      <c r="BL95" s="107" t="s">
        <v>649</v>
      </c>
      <c r="BM95" s="107" t="s">
        <v>2650</v>
      </c>
      <c r="BN95" s="107" t="s">
        <v>533</v>
      </c>
      <c r="BO95" s="102" t="s">
        <v>2651</v>
      </c>
      <c r="BP95" s="106"/>
      <c r="BQ95" s="106"/>
      <c r="BR95" s="107" t="s">
        <v>2652</v>
      </c>
      <c r="BS95" s="106"/>
      <c r="BT95" s="102" t="s">
        <v>2653</v>
      </c>
      <c r="BU95" s="102"/>
      <c r="BV95" s="123">
        <v>46260.0</v>
      </c>
      <c r="BW95" s="108" t="b">
        <v>0</v>
      </c>
      <c r="BX95" s="106"/>
    </row>
    <row r="96" ht="24.75" customHeight="1">
      <c r="A96" s="89" t="s">
        <v>348</v>
      </c>
      <c r="B96" s="89" t="s">
        <v>2654</v>
      </c>
      <c r="C96" s="95" t="s">
        <v>2655</v>
      </c>
      <c r="D96" s="175" t="s">
        <v>2656</v>
      </c>
      <c r="E96" s="102" t="s">
        <v>2657</v>
      </c>
      <c r="F96" s="102" t="s">
        <v>2658</v>
      </c>
      <c r="G96" s="102" t="s">
        <v>2659</v>
      </c>
      <c r="H96" s="102" t="s">
        <v>1944</v>
      </c>
      <c r="I96" s="102" t="s">
        <v>669</v>
      </c>
      <c r="J96" s="95" t="s">
        <v>1113</v>
      </c>
      <c r="K96" s="105">
        <v>50.6137224705196</v>
      </c>
      <c r="L96" s="105">
        <v>-3.41035415595493</v>
      </c>
      <c r="M96" s="106"/>
      <c r="N96" s="107" t="s">
        <v>558</v>
      </c>
      <c r="O96" s="108" t="b">
        <v>0</v>
      </c>
      <c r="P96" s="151" t="s">
        <v>387</v>
      </c>
      <c r="Q96" s="224" t="s">
        <v>387</v>
      </c>
      <c r="R96" s="109">
        <v>0.4166666666666667</v>
      </c>
      <c r="S96" s="109">
        <v>0.875</v>
      </c>
      <c r="T96" s="109">
        <v>0.4166666666666667</v>
      </c>
      <c r="U96" s="109">
        <v>0.875</v>
      </c>
      <c r="V96" s="109">
        <v>0.4166666666666667</v>
      </c>
      <c r="W96" s="109">
        <v>0.875</v>
      </c>
      <c r="X96" s="109">
        <v>0.4166666666666667</v>
      </c>
      <c r="Y96" s="109">
        <v>0.875</v>
      </c>
      <c r="Z96" s="109">
        <v>0.4166666666666667</v>
      </c>
      <c r="AA96" s="109">
        <v>0.875</v>
      </c>
      <c r="AB96" s="109">
        <v>0.4166666666666667</v>
      </c>
      <c r="AC96" s="109">
        <v>0.875</v>
      </c>
      <c r="AD96" s="109">
        <v>0.4166666666666667</v>
      </c>
      <c r="AE96" s="109">
        <v>0.875</v>
      </c>
      <c r="AF96" s="106"/>
      <c r="AG96" s="106"/>
      <c r="AH96" s="108" t="b">
        <v>1</v>
      </c>
      <c r="AI96" s="108" t="b">
        <v>0</v>
      </c>
      <c r="AJ96" s="107" t="s">
        <v>587</v>
      </c>
      <c r="AK96" s="107" t="s">
        <v>2660</v>
      </c>
      <c r="AL96" s="107" t="s">
        <v>387</v>
      </c>
      <c r="AM96" s="113" t="s">
        <v>387</v>
      </c>
      <c r="AN96" s="107" t="s">
        <v>580</v>
      </c>
      <c r="AO96" s="113" t="s">
        <v>2661</v>
      </c>
      <c r="AP96" s="107" t="s">
        <v>387</v>
      </c>
      <c r="AQ96" s="113" t="s">
        <v>387</v>
      </c>
      <c r="AR96" s="107" t="s">
        <v>387</v>
      </c>
      <c r="AS96" s="113" t="s">
        <v>387</v>
      </c>
      <c r="AT96" s="107" t="s">
        <v>583</v>
      </c>
      <c r="AU96" s="157" t="s">
        <v>2662</v>
      </c>
      <c r="AV96" s="102" t="s">
        <v>1114</v>
      </c>
      <c r="AW96" s="113" t="s">
        <v>2663</v>
      </c>
      <c r="AX96" s="107" t="s">
        <v>387</v>
      </c>
      <c r="AY96" s="113" t="s">
        <v>387</v>
      </c>
      <c r="AZ96" s="107" t="s">
        <v>648</v>
      </c>
      <c r="BA96" s="107" t="s">
        <v>2664</v>
      </c>
      <c r="BB96" s="107" t="s">
        <v>2369</v>
      </c>
      <c r="BC96" s="107" t="s">
        <v>2665</v>
      </c>
      <c r="BD96" s="106"/>
      <c r="BE96" s="108" t="b">
        <v>0</v>
      </c>
      <c r="BF96" s="108" t="b">
        <v>0</v>
      </c>
      <c r="BG96" s="108" t="b">
        <v>1</v>
      </c>
      <c r="BH96" s="108" t="b">
        <v>1</v>
      </c>
      <c r="BI96" s="108" t="b">
        <v>1</v>
      </c>
      <c r="BJ96" s="108" t="b">
        <v>1</v>
      </c>
      <c r="BK96" s="108" t="b">
        <v>1</v>
      </c>
      <c r="BL96" s="107" t="s">
        <v>649</v>
      </c>
      <c r="BM96" s="107" t="s">
        <v>1119</v>
      </c>
      <c r="BN96" s="107" t="s">
        <v>1120</v>
      </c>
      <c r="BO96" s="102" t="s">
        <v>2666</v>
      </c>
      <c r="BP96" s="106"/>
      <c r="BQ96" s="106"/>
      <c r="BR96" s="102" t="s">
        <v>2655</v>
      </c>
      <c r="BS96" s="106"/>
      <c r="BT96" s="102" t="s">
        <v>2667</v>
      </c>
      <c r="BU96" s="102" t="s">
        <v>530</v>
      </c>
      <c r="BV96" s="123">
        <v>46260.0</v>
      </c>
      <c r="BW96" s="108" t="b">
        <v>0</v>
      </c>
      <c r="BX96" s="106"/>
    </row>
    <row r="97" ht="24.75" customHeight="1">
      <c r="A97" s="89" t="s">
        <v>348</v>
      </c>
      <c r="B97" s="95" t="s">
        <v>2351</v>
      </c>
      <c r="C97" s="95" t="s">
        <v>2436</v>
      </c>
      <c r="D97" s="98" t="s">
        <v>2668</v>
      </c>
      <c r="E97" s="102" t="s">
        <v>337</v>
      </c>
      <c r="F97" s="188" t="s">
        <v>2669</v>
      </c>
      <c r="G97" s="102" t="s">
        <v>2659</v>
      </c>
      <c r="H97" s="102" t="s">
        <v>1944</v>
      </c>
      <c r="I97" s="102" t="s">
        <v>669</v>
      </c>
      <c r="J97" s="95" t="s">
        <v>1113</v>
      </c>
      <c r="K97" s="149">
        <v>50.6137224705196</v>
      </c>
      <c r="L97" s="149">
        <v>-3.41035415595493</v>
      </c>
      <c r="M97" s="106"/>
      <c r="N97" s="102" t="s">
        <v>558</v>
      </c>
      <c r="O97" s="201" t="b">
        <v>0</v>
      </c>
      <c r="P97" s="198" t="s">
        <v>387</v>
      </c>
      <c r="Q97" s="198" t="s">
        <v>387</v>
      </c>
      <c r="R97" s="200">
        <v>0.375</v>
      </c>
      <c r="S97" s="200">
        <v>0.6354166666666666</v>
      </c>
      <c r="T97" s="200">
        <v>0.375</v>
      </c>
      <c r="U97" s="200">
        <v>0.6354166666666666</v>
      </c>
      <c r="V97" s="200">
        <v>0.375</v>
      </c>
      <c r="W97" s="200">
        <v>0.6354166666666666</v>
      </c>
      <c r="X97" s="200">
        <v>0.375</v>
      </c>
      <c r="Y97" s="200">
        <v>0.6354166666666666</v>
      </c>
      <c r="Z97" s="200">
        <v>0.375</v>
      </c>
      <c r="AA97" s="200">
        <v>0.6354166666666666</v>
      </c>
      <c r="AB97" s="200">
        <v>0.375</v>
      </c>
      <c r="AC97" s="200">
        <v>0.7708333333333334</v>
      </c>
      <c r="AD97" s="200">
        <v>0.375</v>
      </c>
      <c r="AE97" s="200">
        <v>0.7291666666666666</v>
      </c>
      <c r="AF97" s="106"/>
      <c r="AG97" s="106"/>
      <c r="AH97" s="201" t="b">
        <v>1</v>
      </c>
      <c r="AI97" s="201" t="b">
        <v>0</v>
      </c>
      <c r="AJ97" s="102" t="s">
        <v>587</v>
      </c>
      <c r="AK97" s="102" t="s">
        <v>2385</v>
      </c>
      <c r="AL97" s="102" t="s">
        <v>2670</v>
      </c>
      <c r="AM97" s="138">
        <v>1.5</v>
      </c>
      <c r="AN97" s="102" t="s">
        <v>387</v>
      </c>
      <c r="AO97" s="157" t="s">
        <v>387</v>
      </c>
      <c r="AP97" s="225">
        <v>46082.0</v>
      </c>
      <c r="AQ97" s="138">
        <v>5.95</v>
      </c>
      <c r="AR97" s="225">
        <v>46330.0</v>
      </c>
      <c r="AS97" s="138">
        <v>6.95</v>
      </c>
      <c r="AT97" s="102" t="s">
        <v>596</v>
      </c>
      <c r="AU97" s="138">
        <v>2.0</v>
      </c>
      <c r="AV97" s="102" t="s">
        <v>387</v>
      </c>
      <c r="AW97" s="157" t="s">
        <v>387</v>
      </c>
      <c r="AX97" s="102" t="s">
        <v>387</v>
      </c>
      <c r="AY97" s="157" t="s">
        <v>387</v>
      </c>
      <c r="AZ97" s="102" t="s">
        <v>648</v>
      </c>
      <c r="BA97" s="102" t="s">
        <v>2664</v>
      </c>
      <c r="BB97" s="102" t="s">
        <v>2671</v>
      </c>
      <c r="BC97" s="102" t="s">
        <v>2665</v>
      </c>
      <c r="BD97" s="106"/>
      <c r="BE97" s="201" t="b">
        <v>1</v>
      </c>
      <c r="BF97" s="201" t="b">
        <v>1</v>
      </c>
      <c r="BG97" s="201" t="b">
        <v>1</v>
      </c>
      <c r="BH97" s="201" t="b">
        <v>1</v>
      </c>
      <c r="BI97" s="201" t="b">
        <v>1</v>
      </c>
      <c r="BJ97" s="201" t="b">
        <v>0</v>
      </c>
      <c r="BK97" s="201" t="b">
        <v>1</v>
      </c>
      <c r="BL97" s="102" t="s">
        <v>649</v>
      </c>
      <c r="BM97" s="102" t="s">
        <v>1119</v>
      </c>
      <c r="BN97" s="102" t="s">
        <v>870</v>
      </c>
      <c r="BO97" s="102" t="s">
        <v>2672</v>
      </c>
      <c r="BP97" s="106"/>
      <c r="BQ97" s="106"/>
      <c r="BR97" s="102" t="s">
        <v>2673</v>
      </c>
      <c r="BS97" s="106"/>
      <c r="BT97" s="188" t="s">
        <v>2674</v>
      </c>
      <c r="BU97" s="102" t="s">
        <v>530</v>
      </c>
      <c r="BV97" s="123">
        <v>46260.0</v>
      </c>
      <c r="BW97" s="108" t="b">
        <v>0</v>
      </c>
      <c r="BX97" s="106"/>
    </row>
    <row r="98" ht="24.75" customHeight="1">
      <c r="A98" s="89" t="s">
        <v>348</v>
      </c>
      <c r="B98" s="89" t="s">
        <v>1438</v>
      </c>
      <c r="C98" s="95" t="s">
        <v>2675</v>
      </c>
      <c r="D98" s="125" t="s">
        <v>2676</v>
      </c>
      <c r="E98" s="102" t="s">
        <v>1000</v>
      </c>
      <c r="F98" s="102" t="s">
        <v>2677</v>
      </c>
      <c r="G98" s="102" t="s">
        <v>2678</v>
      </c>
      <c r="H98" s="106"/>
      <c r="I98" s="98" t="s">
        <v>2679</v>
      </c>
      <c r="J98" s="98" t="s">
        <v>2680</v>
      </c>
      <c r="K98" s="105">
        <v>50.7308358400663</v>
      </c>
      <c r="L98" s="105">
        <v>-4.00833101221134</v>
      </c>
      <c r="M98" s="106"/>
      <c r="N98" s="107" t="s">
        <v>2681</v>
      </c>
      <c r="O98" s="108" t="b">
        <v>0</v>
      </c>
      <c r="P98" s="107" t="s">
        <v>387</v>
      </c>
      <c r="Q98" s="107" t="s">
        <v>387</v>
      </c>
      <c r="R98" s="223"/>
      <c r="S98" s="223"/>
      <c r="T98" s="223"/>
      <c r="U98" s="223"/>
      <c r="V98" s="109">
        <v>0.4166666666666667</v>
      </c>
      <c r="W98" s="109">
        <v>0.6666666666666666</v>
      </c>
      <c r="X98" s="109">
        <v>0.4166666666666667</v>
      </c>
      <c r="Y98" s="109">
        <v>0.6666666666666666</v>
      </c>
      <c r="Z98" s="109">
        <v>0.4166666666666667</v>
      </c>
      <c r="AA98" s="109">
        <v>0.6666666666666666</v>
      </c>
      <c r="AB98" s="109">
        <v>0.4166666666666667</v>
      </c>
      <c r="AC98" s="109">
        <v>0.6666666666666666</v>
      </c>
      <c r="AD98" s="109">
        <v>0.4166666666666667</v>
      </c>
      <c r="AE98" s="109">
        <v>0.6666666666666666</v>
      </c>
      <c r="AF98" s="102" t="s">
        <v>2682</v>
      </c>
      <c r="AG98" s="106"/>
      <c r="AH98" s="108" t="b">
        <v>0</v>
      </c>
      <c r="AI98" s="108" t="b">
        <v>0</v>
      </c>
      <c r="AJ98" s="107" t="s">
        <v>412</v>
      </c>
      <c r="AK98" s="106"/>
      <c r="AL98" s="102" t="s">
        <v>387</v>
      </c>
      <c r="AM98" s="157" t="s">
        <v>387</v>
      </c>
      <c r="AN98" s="102" t="s">
        <v>387</v>
      </c>
      <c r="AO98" s="157" t="s">
        <v>387</v>
      </c>
      <c r="AP98" s="102" t="s">
        <v>387</v>
      </c>
      <c r="AQ98" s="157" t="s">
        <v>387</v>
      </c>
      <c r="AR98" s="102" t="s">
        <v>387</v>
      </c>
      <c r="AS98" s="157" t="s">
        <v>387</v>
      </c>
      <c r="AT98" s="157" t="s">
        <v>387</v>
      </c>
      <c r="AU98" s="157" t="s">
        <v>387</v>
      </c>
      <c r="AV98" s="102" t="s">
        <v>387</v>
      </c>
      <c r="AW98" s="157" t="s">
        <v>387</v>
      </c>
      <c r="AX98" s="102" t="s">
        <v>387</v>
      </c>
      <c r="AY98" s="157" t="s">
        <v>387</v>
      </c>
      <c r="AZ98" s="107" t="s">
        <v>588</v>
      </c>
      <c r="BA98" s="140" t="s">
        <v>2683</v>
      </c>
      <c r="BB98" s="106"/>
      <c r="BC98" s="106"/>
      <c r="BD98" s="107" t="s">
        <v>656</v>
      </c>
      <c r="BE98" s="108" t="b">
        <v>1</v>
      </c>
      <c r="BF98" s="108" t="b">
        <v>1</v>
      </c>
      <c r="BG98" s="108" t="b">
        <v>1</v>
      </c>
      <c r="BH98" s="108" t="b">
        <v>1</v>
      </c>
      <c r="BI98" s="108" t="b">
        <v>1</v>
      </c>
      <c r="BJ98" s="108" t="b">
        <v>1</v>
      </c>
      <c r="BK98" s="108" t="b">
        <v>1</v>
      </c>
      <c r="BL98" s="107" t="s">
        <v>519</v>
      </c>
      <c r="BM98" s="107" t="s">
        <v>2684</v>
      </c>
      <c r="BN98" s="107" t="s">
        <v>699</v>
      </c>
      <c r="BO98" s="102" t="s">
        <v>2685</v>
      </c>
      <c r="BP98" s="106"/>
      <c r="BQ98" s="106"/>
      <c r="BR98" s="107" t="s">
        <v>2686</v>
      </c>
      <c r="BS98" s="106"/>
      <c r="BT98" s="145" t="s">
        <v>2687</v>
      </c>
      <c r="BU98" s="102" t="s">
        <v>607</v>
      </c>
      <c r="BV98" s="123">
        <v>46260.0</v>
      </c>
      <c r="BW98" s="108" t="b">
        <v>0</v>
      </c>
      <c r="BX98" s="106"/>
    </row>
    <row r="99" ht="24.75" customHeight="1">
      <c r="A99" s="89" t="s">
        <v>348</v>
      </c>
      <c r="B99" s="89" t="s">
        <v>964</v>
      </c>
      <c r="C99" s="95" t="s">
        <v>1553</v>
      </c>
      <c r="D99" s="167" t="s">
        <v>2688</v>
      </c>
      <c r="E99" s="102" t="s">
        <v>2689</v>
      </c>
      <c r="F99" s="102" t="s">
        <v>2690</v>
      </c>
      <c r="G99" s="102" t="s">
        <v>2691</v>
      </c>
      <c r="H99" s="98" t="s">
        <v>2693</v>
      </c>
      <c r="I99" s="98" t="s">
        <v>831</v>
      </c>
      <c r="J99" s="98" t="s">
        <v>2697</v>
      </c>
      <c r="K99" s="105">
        <v>50.6707452697219</v>
      </c>
      <c r="L99" s="105">
        <v>-3.54323131762285</v>
      </c>
      <c r="M99" s="106"/>
      <c r="N99" s="151" t="s">
        <v>2701</v>
      </c>
      <c r="O99" s="152" t="b">
        <v>1</v>
      </c>
      <c r="P99" s="109">
        <v>0.4166666666666667</v>
      </c>
      <c r="Q99" s="109">
        <v>0.7083333333333334</v>
      </c>
      <c r="R99" s="151" t="s">
        <v>387</v>
      </c>
      <c r="S99" s="151" t="s">
        <v>387</v>
      </c>
      <c r="T99" s="151" t="s">
        <v>387</v>
      </c>
      <c r="U99" s="151" t="s">
        <v>387</v>
      </c>
      <c r="V99" s="151" t="s">
        <v>387</v>
      </c>
      <c r="W99" s="151" t="s">
        <v>387</v>
      </c>
      <c r="X99" s="151" t="s">
        <v>387</v>
      </c>
      <c r="Y99" s="151" t="s">
        <v>387</v>
      </c>
      <c r="Z99" s="151" t="s">
        <v>387</v>
      </c>
      <c r="AA99" s="151" t="s">
        <v>387</v>
      </c>
      <c r="AB99" s="151" t="s">
        <v>387</v>
      </c>
      <c r="AC99" s="151" t="s">
        <v>387</v>
      </c>
      <c r="AD99" s="151" t="s">
        <v>387</v>
      </c>
      <c r="AE99" s="151" t="s">
        <v>387</v>
      </c>
      <c r="AF99" s="207" t="s">
        <v>2704</v>
      </c>
      <c r="AG99" s="106"/>
      <c r="AH99" s="108" t="b">
        <v>1</v>
      </c>
      <c r="AI99" s="154" t="b">
        <v>0</v>
      </c>
      <c r="AJ99" s="107" t="s">
        <v>571</v>
      </c>
      <c r="AK99" s="113" t="s">
        <v>2043</v>
      </c>
      <c r="AL99" s="107" t="s">
        <v>1039</v>
      </c>
      <c r="AM99" s="210">
        <v>0.0</v>
      </c>
      <c r="AN99" s="113" t="s">
        <v>2705</v>
      </c>
      <c r="AO99" s="210">
        <v>3.0</v>
      </c>
      <c r="AP99" s="113" t="s">
        <v>387</v>
      </c>
      <c r="AQ99" s="113" t="s">
        <v>387</v>
      </c>
      <c r="AR99" s="113" t="s">
        <v>387</v>
      </c>
      <c r="AS99" s="113" t="s">
        <v>387</v>
      </c>
      <c r="AT99" s="113" t="s">
        <v>596</v>
      </c>
      <c r="AU99" s="210">
        <v>2.0</v>
      </c>
      <c r="AV99" s="113" t="s">
        <v>387</v>
      </c>
      <c r="AW99" s="113" t="s">
        <v>387</v>
      </c>
      <c r="AX99" s="113" t="s">
        <v>387</v>
      </c>
      <c r="AY99" s="113" t="s">
        <v>387</v>
      </c>
      <c r="AZ99" s="107" t="s">
        <v>433</v>
      </c>
      <c r="BA99" s="107" t="s">
        <v>2706</v>
      </c>
      <c r="BB99" s="107" t="s">
        <v>2707</v>
      </c>
      <c r="BC99" s="107" t="s">
        <v>2444</v>
      </c>
      <c r="BD99" s="106"/>
      <c r="BE99" s="108" t="b">
        <v>0</v>
      </c>
      <c r="BF99" s="108" t="b">
        <v>1</v>
      </c>
      <c r="BG99" s="108" t="b">
        <v>1</v>
      </c>
      <c r="BH99" s="108" t="b">
        <v>1</v>
      </c>
      <c r="BI99" s="108" t="b">
        <v>1</v>
      </c>
      <c r="BJ99" s="108" t="b">
        <v>0</v>
      </c>
      <c r="BK99" s="108" t="b">
        <v>1</v>
      </c>
      <c r="BL99" s="107" t="s">
        <v>496</v>
      </c>
      <c r="BM99" s="107" t="s">
        <v>2708</v>
      </c>
      <c r="BN99" s="107" t="s">
        <v>2709</v>
      </c>
      <c r="BO99" s="102" t="s">
        <v>2710</v>
      </c>
      <c r="BP99" s="107" t="s">
        <v>514</v>
      </c>
      <c r="BQ99" s="107" t="s">
        <v>658</v>
      </c>
      <c r="BR99" s="102" t="s">
        <v>2711</v>
      </c>
      <c r="BS99" s="102" t="s">
        <v>2712</v>
      </c>
      <c r="BT99" s="102" t="s">
        <v>2713</v>
      </c>
      <c r="BU99" s="102" t="s">
        <v>2714</v>
      </c>
      <c r="BV99" s="123">
        <v>46260.0</v>
      </c>
      <c r="BW99" s="108" t="b">
        <v>0</v>
      </c>
      <c r="BX99" s="106"/>
    </row>
    <row r="100" ht="24.75" customHeight="1">
      <c r="A100" s="89" t="s">
        <v>348</v>
      </c>
      <c r="B100" s="89" t="s">
        <v>772</v>
      </c>
      <c r="C100" s="95" t="s">
        <v>2715</v>
      </c>
      <c r="D100" s="175" t="s">
        <v>2716</v>
      </c>
      <c r="E100" s="102" t="s">
        <v>337</v>
      </c>
      <c r="F100" s="102" t="s">
        <v>2717</v>
      </c>
      <c r="G100" s="107" t="s">
        <v>2716</v>
      </c>
      <c r="H100" s="106"/>
      <c r="I100" s="102" t="s">
        <v>985</v>
      </c>
      <c r="J100" s="95" t="s">
        <v>1289</v>
      </c>
      <c r="K100" s="105">
        <v>50.6074158576137</v>
      </c>
      <c r="L100" s="105">
        <v>-3.3851680312072</v>
      </c>
      <c r="M100" s="106"/>
      <c r="N100" s="107" t="s">
        <v>558</v>
      </c>
      <c r="O100" s="108" t="b">
        <v>1</v>
      </c>
      <c r="P100" s="109">
        <v>0.0</v>
      </c>
      <c r="Q100" s="171" t="s">
        <v>674</v>
      </c>
      <c r="R100" s="151" t="s">
        <v>387</v>
      </c>
      <c r="S100" s="151" t="s">
        <v>387</v>
      </c>
      <c r="T100" s="151" t="s">
        <v>387</v>
      </c>
      <c r="U100" s="151" t="s">
        <v>387</v>
      </c>
      <c r="V100" s="151" t="s">
        <v>387</v>
      </c>
      <c r="W100" s="151" t="s">
        <v>387</v>
      </c>
      <c r="X100" s="151" t="s">
        <v>387</v>
      </c>
      <c r="Y100" s="151" t="s">
        <v>387</v>
      </c>
      <c r="Z100" s="151" t="s">
        <v>387</v>
      </c>
      <c r="AA100" s="151" t="s">
        <v>387</v>
      </c>
      <c r="AB100" s="151" t="s">
        <v>387</v>
      </c>
      <c r="AC100" s="151" t="s">
        <v>387</v>
      </c>
      <c r="AD100" s="151" t="s">
        <v>387</v>
      </c>
      <c r="AE100" s="151" t="s">
        <v>387</v>
      </c>
      <c r="AF100" s="207" t="s">
        <v>387</v>
      </c>
      <c r="AG100" s="107" t="s">
        <v>678</v>
      </c>
      <c r="AH100" s="108" t="b">
        <v>0</v>
      </c>
      <c r="AI100" s="108" t="b">
        <v>0</v>
      </c>
      <c r="AJ100" s="107" t="s">
        <v>412</v>
      </c>
      <c r="AK100" s="106"/>
      <c r="AL100" s="102" t="s">
        <v>387</v>
      </c>
      <c r="AM100" s="157" t="s">
        <v>387</v>
      </c>
      <c r="AN100" s="102" t="s">
        <v>387</v>
      </c>
      <c r="AO100" s="157" t="s">
        <v>387</v>
      </c>
      <c r="AP100" s="102" t="s">
        <v>387</v>
      </c>
      <c r="AQ100" s="157" t="s">
        <v>387</v>
      </c>
      <c r="AR100" s="102" t="s">
        <v>387</v>
      </c>
      <c r="AS100" s="157" t="s">
        <v>387</v>
      </c>
      <c r="AT100" s="102" t="s">
        <v>387</v>
      </c>
      <c r="AU100" s="157" t="s">
        <v>387</v>
      </c>
      <c r="AV100" s="102" t="s">
        <v>387</v>
      </c>
      <c r="AW100" s="157" t="s">
        <v>387</v>
      </c>
      <c r="AX100" s="102" t="s">
        <v>387</v>
      </c>
      <c r="AY100" s="157" t="s">
        <v>387</v>
      </c>
      <c r="AZ100" s="107" t="s">
        <v>1001</v>
      </c>
      <c r="BA100" s="140" t="s">
        <v>685</v>
      </c>
      <c r="BB100" s="106"/>
      <c r="BC100" s="106"/>
      <c r="BD100" s="106"/>
      <c r="BE100" s="108" t="b">
        <v>1</v>
      </c>
      <c r="BF100" s="108" t="b">
        <v>1</v>
      </c>
      <c r="BG100" s="108" t="b">
        <v>1</v>
      </c>
      <c r="BH100" s="108" t="b">
        <v>1</v>
      </c>
      <c r="BI100" s="108" t="b">
        <v>1</v>
      </c>
      <c r="BJ100" s="108" t="b">
        <v>1</v>
      </c>
      <c r="BK100" s="108" t="b">
        <v>1</v>
      </c>
      <c r="BL100" s="107" t="s">
        <v>519</v>
      </c>
      <c r="BM100" s="107" t="s">
        <v>721</v>
      </c>
      <c r="BN100" s="107" t="s">
        <v>2718</v>
      </c>
      <c r="BO100" s="102" t="s">
        <v>2719</v>
      </c>
      <c r="BP100" s="106"/>
      <c r="BQ100" s="106"/>
      <c r="BR100" s="102" t="s">
        <v>2720</v>
      </c>
      <c r="BS100" s="102" t="s">
        <v>2721</v>
      </c>
      <c r="BT100" s="102" t="s">
        <v>2722</v>
      </c>
      <c r="BU100" s="102" t="s">
        <v>629</v>
      </c>
      <c r="BV100" s="123">
        <v>46260.0</v>
      </c>
      <c r="BW100" s="108" t="b">
        <v>0</v>
      </c>
      <c r="BX100" s="106"/>
    </row>
    <row r="101" ht="24.75" customHeight="1">
      <c r="A101" s="89" t="s">
        <v>348</v>
      </c>
      <c r="B101" s="89" t="s">
        <v>610</v>
      </c>
      <c r="C101" s="95" t="s">
        <v>612</v>
      </c>
      <c r="D101" s="98" t="s">
        <v>2723</v>
      </c>
      <c r="E101" s="102" t="s">
        <v>2724</v>
      </c>
      <c r="F101" s="102" t="s">
        <v>2725</v>
      </c>
      <c r="G101" s="102" t="s">
        <v>2726</v>
      </c>
      <c r="H101" s="106"/>
      <c r="I101" s="102" t="s">
        <v>2265</v>
      </c>
      <c r="J101" s="95" t="s">
        <v>2727</v>
      </c>
      <c r="K101" s="105">
        <v>50.8272436575472</v>
      </c>
      <c r="L101" s="105">
        <v>-3.15198490420735</v>
      </c>
      <c r="M101" s="106"/>
      <c r="N101" s="107" t="s">
        <v>558</v>
      </c>
      <c r="O101" s="108" t="b">
        <v>1</v>
      </c>
      <c r="P101" s="109">
        <v>0.375</v>
      </c>
      <c r="Q101" s="109">
        <v>0.6666666666666666</v>
      </c>
      <c r="R101" s="107" t="s">
        <v>387</v>
      </c>
      <c r="S101" s="107" t="s">
        <v>387</v>
      </c>
      <c r="T101" s="107" t="s">
        <v>387</v>
      </c>
      <c r="U101" s="107" t="s">
        <v>387</v>
      </c>
      <c r="V101" s="107" t="s">
        <v>387</v>
      </c>
      <c r="W101" s="107" t="s">
        <v>387</v>
      </c>
      <c r="X101" s="107" t="s">
        <v>387</v>
      </c>
      <c r="Y101" s="107" t="s">
        <v>387</v>
      </c>
      <c r="Z101" s="107" t="s">
        <v>387</v>
      </c>
      <c r="AA101" s="107" t="s">
        <v>387</v>
      </c>
      <c r="AB101" s="107" t="s">
        <v>387</v>
      </c>
      <c r="AC101" s="107" t="s">
        <v>387</v>
      </c>
      <c r="AD101" s="107" t="s">
        <v>387</v>
      </c>
      <c r="AE101" s="107" t="s">
        <v>387</v>
      </c>
      <c r="AF101" s="102" t="s">
        <v>2728</v>
      </c>
      <c r="AG101" s="106"/>
      <c r="AH101" s="108" t="b">
        <v>0</v>
      </c>
      <c r="AI101" s="108" t="b">
        <v>0</v>
      </c>
      <c r="AJ101" s="107" t="s">
        <v>412</v>
      </c>
      <c r="AK101" s="106"/>
      <c r="AL101" s="107" t="s">
        <v>387</v>
      </c>
      <c r="AM101" s="113" t="s">
        <v>387</v>
      </c>
      <c r="AN101" s="107" t="s">
        <v>387</v>
      </c>
      <c r="AO101" s="113" t="s">
        <v>387</v>
      </c>
      <c r="AP101" s="107" t="s">
        <v>387</v>
      </c>
      <c r="AQ101" s="113" t="s">
        <v>387</v>
      </c>
      <c r="AR101" s="107" t="s">
        <v>387</v>
      </c>
      <c r="AS101" s="113" t="s">
        <v>387</v>
      </c>
      <c r="AT101" s="107" t="s">
        <v>387</v>
      </c>
      <c r="AU101" s="113" t="s">
        <v>387</v>
      </c>
      <c r="AV101" s="107" t="s">
        <v>387</v>
      </c>
      <c r="AW101" s="113" t="s">
        <v>387</v>
      </c>
      <c r="AX101" s="107" t="s">
        <v>387</v>
      </c>
      <c r="AY101" s="113" t="s">
        <v>387</v>
      </c>
      <c r="AZ101" s="107" t="s">
        <v>433</v>
      </c>
      <c r="BA101" s="107" t="s">
        <v>2729</v>
      </c>
      <c r="BB101" s="107" t="s">
        <v>2730</v>
      </c>
      <c r="BC101" s="107" t="s">
        <v>2731</v>
      </c>
      <c r="BD101" s="106"/>
      <c r="BE101" s="108" t="b">
        <v>1</v>
      </c>
      <c r="BF101" s="108" t="b">
        <v>1</v>
      </c>
      <c r="BG101" s="108" t="b">
        <v>1</v>
      </c>
      <c r="BH101" s="108" t="b">
        <v>1</v>
      </c>
      <c r="BI101" s="108" t="b">
        <v>1</v>
      </c>
      <c r="BJ101" s="108" t="b">
        <v>1</v>
      </c>
      <c r="BK101" s="108" t="b">
        <v>1</v>
      </c>
      <c r="BL101" s="107" t="s">
        <v>496</v>
      </c>
      <c r="BM101" s="107" t="s">
        <v>502</v>
      </c>
      <c r="BN101" s="107" t="s">
        <v>507</v>
      </c>
      <c r="BO101" s="102" t="s">
        <v>2732</v>
      </c>
      <c r="BP101" s="107" t="s">
        <v>514</v>
      </c>
      <c r="BQ101" s="106"/>
      <c r="BR101" s="102" t="s">
        <v>2733</v>
      </c>
      <c r="BS101" s="106"/>
      <c r="BT101" s="102" t="s">
        <v>2734</v>
      </c>
      <c r="BU101" s="102" t="s">
        <v>530</v>
      </c>
      <c r="BV101" s="123">
        <v>46260.0</v>
      </c>
      <c r="BW101" s="108" t="b">
        <v>0</v>
      </c>
      <c r="BX101" s="106"/>
    </row>
    <row r="102" ht="24.75" customHeight="1">
      <c r="A102" s="89" t="s">
        <v>348</v>
      </c>
      <c r="B102" s="89" t="s">
        <v>1438</v>
      </c>
      <c r="C102" s="89" t="s">
        <v>1831</v>
      </c>
      <c r="D102" s="98" t="s">
        <v>2735</v>
      </c>
      <c r="E102" s="107" t="s">
        <v>1442</v>
      </c>
      <c r="F102" s="102" t="s">
        <v>2736</v>
      </c>
      <c r="G102" s="102" t="s">
        <v>2737</v>
      </c>
      <c r="H102" s="98" t="s">
        <v>790</v>
      </c>
      <c r="I102" s="98" t="s">
        <v>2738</v>
      </c>
      <c r="J102" s="98" t="s">
        <v>2739</v>
      </c>
      <c r="K102" s="149">
        <v>50.6597142276469</v>
      </c>
      <c r="L102" s="149">
        <v>-3.30348034232849</v>
      </c>
      <c r="M102" s="106"/>
      <c r="N102" s="151" t="s">
        <v>558</v>
      </c>
      <c r="O102" s="152" t="b">
        <v>1</v>
      </c>
      <c r="P102" s="109">
        <v>0.3958333333333333</v>
      </c>
      <c r="Q102" s="109">
        <v>0.6666666666666666</v>
      </c>
      <c r="R102" s="151" t="s">
        <v>387</v>
      </c>
      <c r="S102" s="151" t="s">
        <v>387</v>
      </c>
      <c r="T102" s="151" t="s">
        <v>387</v>
      </c>
      <c r="U102" s="151" t="s">
        <v>387</v>
      </c>
      <c r="V102" s="151" t="s">
        <v>387</v>
      </c>
      <c r="W102" s="151" t="s">
        <v>387</v>
      </c>
      <c r="X102" s="151" t="s">
        <v>387</v>
      </c>
      <c r="Y102" s="151" t="s">
        <v>387</v>
      </c>
      <c r="Z102" s="151" t="s">
        <v>387</v>
      </c>
      <c r="AA102" s="151" t="s">
        <v>387</v>
      </c>
      <c r="AB102" s="151" t="s">
        <v>387</v>
      </c>
      <c r="AC102" s="151" t="s">
        <v>387</v>
      </c>
      <c r="AD102" s="151" t="s">
        <v>387</v>
      </c>
      <c r="AE102" s="151" t="s">
        <v>387</v>
      </c>
      <c r="AF102" s="107" t="s">
        <v>2740</v>
      </c>
      <c r="AG102" s="107" t="s">
        <v>678</v>
      </c>
      <c r="AH102" s="108" t="b">
        <v>0</v>
      </c>
      <c r="AI102" s="154" t="b">
        <v>0</v>
      </c>
      <c r="AJ102" s="107" t="s">
        <v>412</v>
      </c>
      <c r="AK102" s="155"/>
      <c r="AL102" s="102" t="s">
        <v>387</v>
      </c>
      <c r="AM102" s="157" t="s">
        <v>387</v>
      </c>
      <c r="AN102" s="157" t="s">
        <v>387</v>
      </c>
      <c r="AO102" s="157" t="s">
        <v>387</v>
      </c>
      <c r="AP102" s="157" t="s">
        <v>387</v>
      </c>
      <c r="AQ102" s="157" t="s">
        <v>387</v>
      </c>
      <c r="AR102" s="157" t="s">
        <v>387</v>
      </c>
      <c r="AS102" s="157" t="s">
        <v>387</v>
      </c>
      <c r="AT102" s="157" t="s">
        <v>387</v>
      </c>
      <c r="AU102" s="157" t="s">
        <v>387</v>
      </c>
      <c r="AV102" s="157" t="s">
        <v>387</v>
      </c>
      <c r="AW102" s="157" t="s">
        <v>387</v>
      </c>
      <c r="AX102" s="157" t="s">
        <v>387</v>
      </c>
      <c r="AY102" s="157" t="s">
        <v>387</v>
      </c>
      <c r="AZ102" s="107" t="s">
        <v>433</v>
      </c>
      <c r="BA102" s="107" t="s">
        <v>2741</v>
      </c>
      <c r="BB102" s="107" t="s">
        <v>1236</v>
      </c>
      <c r="BC102" s="107" t="s">
        <v>2220</v>
      </c>
      <c r="BD102" s="107" t="s">
        <v>593</v>
      </c>
      <c r="BE102" s="108" t="b">
        <v>0</v>
      </c>
      <c r="BF102" s="108" t="b">
        <v>0</v>
      </c>
      <c r="BG102" s="108" t="b">
        <v>0</v>
      </c>
      <c r="BH102" s="108" t="b">
        <v>1</v>
      </c>
      <c r="BI102" s="108" t="b">
        <v>1</v>
      </c>
      <c r="BJ102" s="108" t="b">
        <v>1</v>
      </c>
      <c r="BK102" s="108" t="b">
        <v>1</v>
      </c>
      <c r="BL102" s="107" t="s">
        <v>496</v>
      </c>
      <c r="BM102" s="107" t="s">
        <v>608</v>
      </c>
      <c r="BN102" s="107" t="s">
        <v>851</v>
      </c>
      <c r="BO102" s="102" t="s">
        <v>2742</v>
      </c>
      <c r="BP102" s="106"/>
      <c r="BQ102" s="106"/>
      <c r="BR102" s="107" t="s">
        <v>2743</v>
      </c>
      <c r="BS102" s="106"/>
      <c r="BT102" s="102" t="s">
        <v>2744</v>
      </c>
      <c r="BU102" s="102" t="s">
        <v>530</v>
      </c>
      <c r="BV102" s="123">
        <v>46260.0</v>
      </c>
      <c r="BW102" s="108" t="b">
        <v>0</v>
      </c>
      <c r="BX102" s="106"/>
    </row>
    <row r="103" ht="24.75" customHeight="1">
      <c r="A103" s="89" t="s">
        <v>348</v>
      </c>
      <c r="B103" s="89" t="s">
        <v>352</v>
      </c>
      <c r="C103" s="95" t="s">
        <v>2745</v>
      </c>
      <c r="D103" s="98" t="s">
        <v>2737</v>
      </c>
      <c r="E103" s="102" t="s">
        <v>371</v>
      </c>
      <c r="F103" s="102" t="s">
        <v>2746</v>
      </c>
      <c r="G103" s="102" t="s">
        <v>2747</v>
      </c>
      <c r="H103" s="102" t="s">
        <v>2738</v>
      </c>
      <c r="I103" s="102" t="s">
        <v>748</v>
      </c>
      <c r="J103" s="95" t="s">
        <v>2739</v>
      </c>
      <c r="K103" s="105">
        <v>50.6596767922506</v>
      </c>
      <c r="L103" s="105">
        <v>-3.30353398887483</v>
      </c>
      <c r="M103" s="106"/>
      <c r="N103" s="107" t="s">
        <v>1446</v>
      </c>
      <c r="O103" s="108" t="b">
        <v>1</v>
      </c>
      <c r="P103" s="109">
        <v>0.3958333333333333</v>
      </c>
      <c r="Q103" s="109">
        <v>0.6666666666666666</v>
      </c>
      <c r="R103" s="151" t="s">
        <v>387</v>
      </c>
      <c r="S103" s="151" t="s">
        <v>387</v>
      </c>
      <c r="T103" s="151" t="s">
        <v>387</v>
      </c>
      <c r="U103" s="151" t="s">
        <v>387</v>
      </c>
      <c r="V103" s="151" t="s">
        <v>387</v>
      </c>
      <c r="W103" s="151" t="s">
        <v>387</v>
      </c>
      <c r="X103" s="151" t="s">
        <v>387</v>
      </c>
      <c r="Y103" s="151" t="s">
        <v>387</v>
      </c>
      <c r="Z103" s="151" t="s">
        <v>387</v>
      </c>
      <c r="AA103" s="151" t="s">
        <v>387</v>
      </c>
      <c r="AB103" s="151" t="s">
        <v>387</v>
      </c>
      <c r="AC103" s="151" t="s">
        <v>387</v>
      </c>
      <c r="AD103" s="151" t="s">
        <v>387</v>
      </c>
      <c r="AE103" s="151" t="s">
        <v>387</v>
      </c>
      <c r="AF103" s="106"/>
      <c r="AG103" s="106"/>
      <c r="AH103" s="108" t="b">
        <v>0</v>
      </c>
      <c r="AI103" s="108" t="b">
        <v>0</v>
      </c>
      <c r="AJ103" s="107" t="s">
        <v>412</v>
      </c>
      <c r="AK103" s="106"/>
      <c r="AL103" s="107" t="s">
        <v>387</v>
      </c>
      <c r="AM103" s="113" t="s">
        <v>387</v>
      </c>
      <c r="AN103" s="107" t="s">
        <v>387</v>
      </c>
      <c r="AO103" s="113" t="s">
        <v>387</v>
      </c>
      <c r="AP103" s="107" t="s">
        <v>387</v>
      </c>
      <c r="AQ103" s="113" t="s">
        <v>387</v>
      </c>
      <c r="AR103" s="107" t="s">
        <v>387</v>
      </c>
      <c r="AS103" s="113" t="s">
        <v>387</v>
      </c>
      <c r="AT103" s="107" t="s">
        <v>387</v>
      </c>
      <c r="AU103" s="113" t="s">
        <v>387</v>
      </c>
      <c r="AV103" s="107" t="s">
        <v>387</v>
      </c>
      <c r="AW103" s="113" t="s">
        <v>387</v>
      </c>
      <c r="AX103" s="107" t="s">
        <v>387</v>
      </c>
      <c r="AY103" s="113" t="s">
        <v>387</v>
      </c>
      <c r="AZ103" s="107" t="s">
        <v>433</v>
      </c>
      <c r="BA103" s="107" t="s">
        <v>2748</v>
      </c>
      <c r="BB103" s="106"/>
      <c r="BC103" s="107" t="s">
        <v>2749</v>
      </c>
      <c r="BD103" s="107" t="s">
        <v>656</v>
      </c>
      <c r="BE103" s="108" t="b">
        <v>1</v>
      </c>
      <c r="BF103" s="108" t="b">
        <v>1</v>
      </c>
      <c r="BG103" s="108" t="b">
        <v>1</v>
      </c>
      <c r="BH103" s="108" t="b">
        <v>1</v>
      </c>
      <c r="BI103" s="108" t="b">
        <v>1</v>
      </c>
      <c r="BJ103" s="108" t="b">
        <v>1</v>
      </c>
      <c r="BK103" s="108" t="b">
        <v>1</v>
      </c>
      <c r="BL103" s="107" t="s">
        <v>649</v>
      </c>
      <c r="BM103" s="107" t="s">
        <v>502</v>
      </c>
      <c r="BN103" s="107" t="s">
        <v>533</v>
      </c>
      <c r="BO103" s="102" t="s">
        <v>2750</v>
      </c>
      <c r="BP103" s="106"/>
      <c r="BQ103" s="106"/>
      <c r="BR103" s="102" t="s">
        <v>2751</v>
      </c>
      <c r="BS103" s="106"/>
      <c r="BT103" s="102" t="s">
        <v>2752</v>
      </c>
      <c r="BU103" s="102" t="s">
        <v>530</v>
      </c>
      <c r="BV103" s="123">
        <v>46260.0</v>
      </c>
      <c r="BW103" s="108" t="b">
        <v>0</v>
      </c>
      <c r="BX103" s="106"/>
    </row>
    <row r="104" ht="24.75" customHeight="1">
      <c r="A104" s="89" t="s">
        <v>348</v>
      </c>
      <c r="B104" s="89" t="s">
        <v>2753</v>
      </c>
      <c r="C104" s="89" t="s">
        <v>2754</v>
      </c>
      <c r="D104" s="98" t="s">
        <v>2755</v>
      </c>
      <c r="E104" s="107" t="s">
        <v>2563</v>
      </c>
      <c r="F104" s="102" t="s">
        <v>2756</v>
      </c>
      <c r="G104" s="106"/>
      <c r="H104" s="98" t="s">
        <v>2757</v>
      </c>
      <c r="I104" s="98" t="s">
        <v>1658</v>
      </c>
      <c r="J104" s="98" t="s">
        <v>2758</v>
      </c>
      <c r="K104" s="149">
        <v>50.7520944932179</v>
      </c>
      <c r="L104" s="149">
        <v>-3.27875220410814</v>
      </c>
      <c r="M104" s="106"/>
      <c r="N104" s="151" t="s">
        <v>2583</v>
      </c>
      <c r="O104" s="152" t="b">
        <v>0</v>
      </c>
      <c r="P104" s="223" t="s">
        <v>387</v>
      </c>
      <c r="Q104" s="151" t="s">
        <v>387</v>
      </c>
      <c r="R104" s="151" t="s">
        <v>387</v>
      </c>
      <c r="S104" s="151" t="s">
        <v>387</v>
      </c>
      <c r="T104" s="109">
        <v>0.7083333333333334</v>
      </c>
      <c r="U104" s="109">
        <v>0.7916666666666666</v>
      </c>
      <c r="V104" s="109">
        <v>0.4166666666666667</v>
      </c>
      <c r="W104" s="109">
        <v>0.5416666666666666</v>
      </c>
      <c r="X104" s="109">
        <v>0.4166666666666667</v>
      </c>
      <c r="Y104" s="109">
        <v>0.5416666666666666</v>
      </c>
      <c r="Z104" s="109">
        <v>0.4166666666666667</v>
      </c>
      <c r="AA104" s="109">
        <v>0.75</v>
      </c>
      <c r="AB104" s="109">
        <v>0.4166666666666667</v>
      </c>
      <c r="AC104" s="109">
        <v>0.5416666666666666</v>
      </c>
      <c r="AD104" s="151" t="s">
        <v>387</v>
      </c>
      <c r="AE104" s="151" t="s">
        <v>387</v>
      </c>
      <c r="AF104" s="107" t="s">
        <v>1967</v>
      </c>
      <c r="AG104" s="107" t="s">
        <v>1968</v>
      </c>
      <c r="AH104" s="108" t="b">
        <v>0</v>
      </c>
      <c r="AI104" s="154" t="b">
        <v>0</v>
      </c>
      <c r="AJ104" s="107" t="s">
        <v>412</v>
      </c>
      <c r="AK104" s="155"/>
      <c r="AL104" s="102" t="s">
        <v>387</v>
      </c>
      <c r="AM104" s="157" t="s">
        <v>387</v>
      </c>
      <c r="AN104" s="157" t="s">
        <v>387</v>
      </c>
      <c r="AO104" s="157" t="s">
        <v>387</v>
      </c>
      <c r="AP104" s="157" t="s">
        <v>387</v>
      </c>
      <c r="AQ104" s="157" t="s">
        <v>387</v>
      </c>
      <c r="AR104" s="157" t="s">
        <v>387</v>
      </c>
      <c r="AS104" s="157" t="s">
        <v>387</v>
      </c>
      <c r="AT104" s="157" t="s">
        <v>387</v>
      </c>
      <c r="AU104" s="157" t="s">
        <v>387</v>
      </c>
      <c r="AV104" s="157" t="s">
        <v>387</v>
      </c>
      <c r="AW104" s="157" t="s">
        <v>387</v>
      </c>
      <c r="AX104" s="157" t="s">
        <v>387</v>
      </c>
      <c r="AY104" s="157" t="s">
        <v>387</v>
      </c>
      <c r="AZ104" s="107" t="s">
        <v>2759</v>
      </c>
      <c r="BA104" s="107" t="s">
        <v>681</v>
      </c>
      <c r="BB104" s="107" t="s">
        <v>2760</v>
      </c>
      <c r="BC104" s="106"/>
      <c r="BD104" s="106"/>
      <c r="BE104" s="108" t="b">
        <v>0</v>
      </c>
      <c r="BF104" s="108" t="b">
        <v>0</v>
      </c>
      <c r="BG104" s="108" t="b">
        <v>1</v>
      </c>
      <c r="BH104" s="108" t="b">
        <v>1</v>
      </c>
      <c r="BI104" s="108" t="b">
        <v>1</v>
      </c>
      <c r="BJ104" s="108" t="b">
        <v>1</v>
      </c>
      <c r="BK104" s="108" t="b">
        <v>1</v>
      </c>
      <c r="BL104" s="107" t="s">
        <v>519</v>
      </c>
      <c r="BM104" s="107" t="s">
        <v>2221</v>
      </c>
      <c r="BN104" s="107" t="s">
        <v>1321</v>
      </c>
      <c r="BO104" s="102" t="s">
        <v>2764</v>
      </c>
      <c r="BP104" s="106"/>
      <c r="BQ104" s="106"/>
      <c r="BR104" s="226" t="s">
        <v>2765</v>
      </c>
      <c r="BS104" s="106"/>
      <c r="BT104" s="102" t="s">
        <v>2766</v>
      </c>
      <c r="BU104" s="102" t="s">
        <v>530</v>
      </c>
      <c r="BV104" s="123">
        <v>46260.0</v>
      </c>
      <c r="BW104" s="108" t="b">
        <v>0</v>
      </c>
      <c r="BX104" s="106"/>
    </row>
    <row r="105" ht="24.75" customHeight="1">
      <c r="A105" s="89" t="s">
        <v>348</v>
      </c>
      <c r="B105" s="89" t="s">
        <v>498</v>
      </c>
      <c r="C105" s="95" t="s">
        <v>1672</v>
      </c>
      <c r="D105" s="125" t="s">
        <v>2767</v>
      </c>
      <c r="E105" s="102" t="s">
        <v>341</v>
      </c>
      <c r="F105" s="102" t="s">
        <v>2768</v>
      </c>
      <c r="G105" s="102" t="s">
        <v>2767</v>
      </c>
      <c r="H105" s="98" t="s">
        <v>2769</v>
      </c>
      <c r="I105" s="98" t="s">
        <v>2153</v>
      </c>
      <c r="J105" s="98" t="s">
        <v>2770</v>
      </c>
      <c r="K105" s="105">
        <v>50.4266362212396</v>
      </c>
      <c r="L105" s="105">
        <v>-3.57983651577876</v>
      </c>
      <c r="M105" s="106"/>
      <c r="N105" s="107" t="s">
        <v>558</v>
      </c>
      <c r="O105" s="108" t="b">
        <v>1</v>
      </c>
      <c r="P105" s="109">
        <v>0.4166666666666667</v>
      </c>
      <c r="Q105" s="109">
        <v>0.75</v>
      </c>
      <c r="R105" s="151" t="s">
        <v>387</v>
      </c>
      <c r="S105" s="151" t="s">
        <v>387</v>
      </c>
      <c r="T105" s="151" t="s">
        <v>387</v>
      </c>
      <c r="U105" s="151" t="s">
        <v>387</v>
      </c>
      <c r="V105" s="151" t="s">
        <v>387</v>
      </c>
      <c r="W105" s="151" t="s">
        <v>387</v>
      </c>
      <c r="X105" s="151" t="s">
        <v>387</v>
      </c>
      <c r="Y105" s="151" t="s">
        <v>387</v>
      </c>
      <c r="Z105" s="151" t="s">
        <v>387</v>
      </c>
      <c r="AA105" s="151" t="s">
        <v>387</v>
      </c>
      <c r="AB105" s="151" t="s">
        <v>387</v>
      </c>
      <c r="AC105" s="151" t="s">
        <v>387</v>
      </c>
      <c r="AD105" s="151" t="s">
        <v>387</v>
      </c>
      <c r="AE105" s="151" t="s">
        <v>387</v>
      </c>
      <c r="AF105" s="106"/>
      <c r="AG105" s="106"/>
      <c r="AH105" s="108" t="b">
        <v>1</v>
      </c>
      <c r="AI105" s="108" t="b">
        <v>1</v>
      </c>
      <c r="AJ105" s="107" t="s">
        <v>1787</v>
      </c>
      <c r="AK105" s="107" t="s">
        <v>2771</v>
      </c>
      <c r="AL105" s="102" t="s">
        <v>2772</v>
      </c>
      <c r="AM105" s="138">
        <v>0.0</v>
      </c>
      <c r="AN105" s="135" t="s">
        <v>387</v>
      </c>
      <c r="AO105" s="137" t="s">
        <v>387</v>
      </c>
      <c r="AP105" s="225">
        <v>46054.0</v>
      </c>
      <c r="AQ105" s="138">
        <v>2.75</v>
      </c>
      <c r="AR105" s="102" t="s">
        <v>580</v>
      </c>
      <c r="AS105" s="138">
        <v>19.75</v>
      </c>
      <c r="AT105" s="102" t="s">
        <v>583</v>
      </c>
      <c r="AU105" s="138">
        <v>26.35</v>
      </c>
      <c r="AV105" s="102" t="s">
        <v>2773</v>
      </c>
      <c r="AW105" s="138">
        <v>0.0</v>
      </c>
      <c r="AX105" s="135" t="s">
        <v>387</v>
      </c>
      <c r="AY105" s="137" t="s">
        <v>387</v>
      </c>
      <c r="AZ105" s="107" t="s">
        <v>1875</v>
      </c>
      <c r="BA105" s="140" t="s">
        <v>2774</v>
      </c>
      <c r="BB105" s="107" t="s">
        <v>2775</v>
      </c>
      <c r="BC105" s="107" t="s">
        <v>2776</v>
      </c>
      <c r="BD105" s="106"/>
      <c r="BE105" s="108" t="b">
        <v>1</v>
      </c>
      <c r="BF105" s="108" t="b">
        <v>1</v>
      </c>
      <c r="BG105" s="108" t="b">
        <v>1</v>
      </c>
      <c r="BH105" s="108" t="b">
        <v>1</v>
      </c>
      <c r="BI105" s="108" t="b">
        <v>1</v>
      </c>
      <c r="BJ105" s="108" t="b">
        <v>1</v>
      </c>
      <c r="BK105" s="108" t="b">
        <v>1</v>
      </c>
      <c r="BL105" s="107" t="s">
        <v>519</v>
      </c>
      <c r="BM105" s="107" t="s">
        <v>2548</v>
      </c>
      <c r="BN105" s="107" t="s">
        <v>2777</v>
      </c>
      <c r="BO105" s="102" t="s">
        <v>2778</v>
      </c>
      <c r="BP105" s="106"/>
      <c r="BQ105" s="106"/>
      <c r="BR105" s="107" t="s">
        <v>2779</v>
      </c>
      <c r="BS105" s="106"/>
      <c r="BT105" s="102" t="s">
        <v>2780</v>
      </c>
      <c r="BU105" s="102" t="s">
        <v>607</v>
      </c>
      <c r="BV105" s="123">
        <v>46260.0</v>
      </c>
      <c r="BW105" s="108" t="b">
        <v>0</v>
      </c>
      <c r="BX105" s="106"/>
    </row>
    <row r="106" ht="24.75" customHeight="1">
      <c r="A106" s="89" t="s">
        <v>348</v>
      </c>
      <c r="B106" s="89" t="s">
        <v>899</v>
      </c>
      <c r="C106" s="95" t="s">
        <v>1543</v>
      </c>
      <c r="D106" s="175" t="s">
        <v>2781</v>
      </c>
      <c r="E106" s="102" t="s">
        <v>1442</v>
      </c>
      <c r="F106" s="102" t="s">
        <v>2782</v>
      </c>
      <c r="G106" s="107" t="s">
        <v>2783</v>
      </c>
      <c r="H106" s="106"/>
      <c r="I106" s="107" t="s">
        <v>382</v>
      </c>
      <c r="J106" s="89" t="s">
        <v>1404</v>
      </c>
      <c r="K106" s="105">
        <v>50.5946564358849</v>
      </c>
      <c r="L106" s="105">
        <v>-3.68837512266875</v>
      </c>
      <c r="M106" s="106"/>
      <c r="N106" s="107" t="s">
        <v>558</v>
      </c>
      <c r="O106" s="204" t="b">
        <v>1</v>
      </c>
      <c r="P106" s="109">
        <v>0.0</v>
      </c>
      <c r="Q106" s="180" t="s">
        <v>674</v>
      </c>
      <c r="R106" s="107" t="s">
        <v>387</v>
      </c>
      <c r="S106" s="107" t="s">
        <v>387</v>
      </c>
      <c r="T106" s="107" t="s">
        <v>387</v>
      </c>
      <c r="U106" s="107" t="s">
        <v>387</v>
      </c>
      <c r="V106" s="107" t="s">
        <v>387</v>
      </c>
      <c r="W106" s="107" t="s">
        <v>387</v>
      </c>
      <c r="X106" s="107" t="s">
        <v>387</v>
      </c>
      <c r="Y106" s="107" t="s">
        <v>387</v>
      </c>
      <c r="Z106" s="107" t="s">
        <v>387</v>
      </c>
      <c r="AA106" s="107" t="s">
        <v>387</v>
      </c>
      <c r="AB106" s="107" t="s">
        <v>387</v>
      </c>
      <c r="AC106" s="107" t="s">
        <v>387</v>
      </c>
      <c r="AD106" s="107" t="s">
        <v>387</v>
      </c>
      <c r="AE106" s="107" t="s">
        <v>387</v>
      </c>
      <c r="AF106" s="102" t="s">
        <v>387</v>
      </c>
      <c r="AG106" s="107" t="s">
        <v>387</v>
      </c>
      <c r="AH106" s="108" t="b">
        <v>0</v>
      </c>
      <c r="AI106" s="108" t="b">
        <v>0</v>
      </c>
      <c r="AJ106" s="107" t="s">
        <v>412</v>
      </c>
      <c r="AK106" s="106"/>
      <c r="AL106" s="107" t="s">
        <v>387</v>
      </c>
      <c r="AM106" s="113" t="s">
        <v>387</v>
      </c>
      <c r="AN106" s="107" t="s">
        <v>387</v>
      </c>
      <c r="AO106" s="113" t="s">
        <v>387</v>
      </c>
      <c r="AP106" s="107" t="s">
        <v>387</v>
      </c>
      <c r="AQ106" s="113" t="s">
        <v>387</v>
      </c>
      <c r="AR106" s="107" t="s">
        <v>387</v>
      </c>
      <c r="AS106" s="113" t="s">
        <v>387</v>
      </c>
      <c r="AT106" s="107" t="s">
        <v>387</v>
      </c>
      <c r="AU106" s="113" t="s">
        <v>387</v>
      </c>
      <c r="AV106" s="107" t="s">
        <v>387</v>
      </c>
      <c r="AW106" s="113" t="s">
        <v>387</v>
      </c>
      <c r="AX106" s="107" t="s">
        <v>387</v>
      </c>
      <c r="AY106" s="113" t="s">
        <v>387</v>
      </c>
      <c r="AZ106" s="107" t="s">
        <v>648</v>
      </c>
      <c r="BA106" s="140" t="s">
        <v>685</v>
      </c>
      <c r="BB106" s="102" t="s">
        <v>1136</v>
      </c>
      <c r="BC106" s="107" t="s">
        <v>2784</v>
      </c>
      <c r="BD106" s="106"/>
      <c r="BE106" s="108" t="b">
        <v>1</v>
      </c>
      <c r="BF106" s="108" t="b">
        <v>1</v>
      </c>
      <c r="BG106" s="108" t="b">
        <v>1</v>
      </c>
      <c r="BH106" s="108" t="b">
        <v>1</v>
      </c>
      <c r="BI106" s="108" t="b">
        <v>1</v>
      </c>
      <c r="BJ106" s="108" t="b">
        <v>1</v>
      </c>
      <c r="BK106" s="108" t="b">
        <v>1</v>
      </c>
      <c r="BL106" s="107" t="s">
        <v>519</v>
      </c>
      <c r="BM106" s="107" t="s">
        <v>1215</v>
      </c>
      <c r="BN106" s="107" t="s">
        <v>1457</v>
      </c>
      <c r="BO106" s="102" t="s">
        <v>2785</v>
      </c>
      <c r="BP106" s="106"/>
      <c r="BQ106" s="107" t="s">
        <v>2786</v>
      </c>
      <c r="BR106" s="102" t="s">
        <v>2787</v>
      </c>
      <c r="BS106" s="102" t="s">
        <v>2788</v>
      </c>
      <c r="BT106" s="102" t="s">
        <v>2789</v>
      </c>
      <c r="BU106" s="102" t="s">
        <v>530</v>
      </c>
      <c r="BV106" s="123">
        <v>46260.0</v>
      </c>
      <c r="BW106" s="108" t="b">
        <v>0</v>
      </c>
      <c r="BX106" s="106"/>
    </row>
    <row r="107" ht="24.75" customHeight="1">
      <c r="A107" s="89" t="s">
        <v>348</v>
      </c>
      <c r="B107" s="89" t="s">
        <v>498</v>
      </c>
      <c r="C107" s="95" t="s">
        <v>1672</v>
      </c>
      <c r="D107" s="98" t="s">
        <v>2790</v>
      </c>
      <c r="E107" s="102" t="s">
        <v>341</v>
      </c>
      <c r="F107" s="102" t="s">
        <v>2791</v>
      </c>
      <c r="G107" s="102" t="s">
        <v>2790</v>
      </c>
      <c r="H107" s="102" t="s">
        <v>2797</v>
      </c>
      <c r="I107" s="102" t="s">
        <v>2798</v>
      </c>
      <c r="J107" s="95" t="s">
        <v>2799</v>
      </c>
      <c r="K107" s="105">
        <v>50.4594090740637</v>
      </c>
      <c r="L107" s="105">
        <v>-3.7773626582038</v>
      </c>
      <c r="M107" s="106"/>
      <c r="N107" s="107" t="s">
        <v>820</v>
      </c>
      <c r="O107" s="108" t="b">
        <v>1</v>
      </c>
      <c r="P107" s="109">
        <v>0.375</v>
      </c>
      <c r="Q107" s="109">
        <v>0.6666666666666666</v>
      </c>
      <c r="R107" s="151" t="s">
        <v>387</v>
      </c>
      <c r="S107" s="151" t="s">
        <v>387</v>
      </c>
      <c r="T107" s="151" t="s">
        <v>387</v>
      </c>
      <c r="U107" s="151" t="s">
        <v>387</v>
      </c>
      <c r="V107" s="151" t="s">
        <v>387</v>
      </c>
      <c r="W107" s="151" t="s">
        <v>387</v>
      </c>
      <c r="X107" s="151" t="s">
        <v>387</v>
      </c>
      <c r="Y107" s="151" t="s">
        <v>387</v>
      </c>
      <c r="Z107" s="151" t="s">
        <v>387</v>
      </c>
      <c r="AA107" s="151" t="s">
        <v>387</v>
      </c>
      <c r="AB107" s="151" t="s">
        <v>387</v>
      </c>
      <c r="AC107" s="151" t="s">
        <v>387</v>
      </c>
      <c r="AD107" s="151" t="s">
        <v>387</v>
      </c>
      <c r="AE107" s="151" t="s">
        <v>387</v>
      </c>
      <c r="AF107" s="106"/>
      <c r="AG107" s="106"/>
      <c r="AH107" s="108" t="b">
        <v>1</v>
      </c>
      <c r="AI107" s="108" t="b">
        <v>1</v>
      </c>
      <c r="AJ107" s="107" t="s">
        <v>1366</v>
      </c>
      <c r="AK107" s="107" t="s">
        <v>2800</v>
      </c>
      <c r="AL107" s="107" t="s">
        <v>387</v>
      </c>
      <c r="AM107" s="107" t="s">
        <v>387</v>
      </c>
      <c r="AN107" s="107" t="s">
        <v>387</v>
      </c>
      <c r="AO107" s="107" t="s">
        <v>387</v>
      </c>
      <c r="AP107" s="107" t="s">
        <v>2801</v>
      </c>
      <c r="AQ107" s="210">
        <v>0.0</v>
      </c>
      <c r="AR107" s="107" t="s">
        <v>2802</v>
      </c>
      <c r="AS107" s="210">
        <v>19.95</v>
      </c>
      <c r="AT107" s="107" t="s">
        <v>596</v>
      </c>
      <c r="AU107" s="210">
        <v>24.95</v>
      </c>
      <c r="AV107" s="102" t="s">
        <v>741</v>
      </c>
      <c r="AW107" s="210">
        <v>21.95</v>
      </c>
      <c r="AX107" s="135" t="s">
        <v>387</v>
      </c>
      <c r="AY107" s="137" t="s">
        <v>387</v>
      </c>
      <c r="AZ107" s="107" t="s">
        <v>433</v>
      </c>
      <c r="BA107" s="140" t="s">
        <v>2807</v>
      </c>
      <c r="BB107" s="107" t="s">
        <v>2811</v>
      </c>
      <c r="BC107" s="107" t="s">
        <v>2812</v>
      </c>
      <c r="BD107" s="106" t="s">
        <v>2813</v>
      </c>
      <c r="BE107" s="108" t="b">
        <v>1</v>
      </c>
      <c r="BF107" s="108" t="b">
        <v>1</v>
      </c>
      <c r="BG107" s="108" t="b">
        <v>1</v>
      </c>
      <c r="BH107" s="108" t="b">
        <v>1</v>
      </c>
      <c r="BI107" s="108" t="b">
        <v>1</v>
      </c>
      <c r="BJ107" s="108" t="b">
        <v>1</v>
      </c>
      <c r="BK107" s="108" t="b">
        <v>1</v>
      </c>
      <c r="BL107" s="107" t="s">
        <v>496</v>
      </c>
      <c r="BM107" s="107" t="s">
        <v>2814</v>
      </c>
      <c r="BN107" s="107" t="s">
        <v>2815</v>
      </c>
      <c r="BO107" s="102" t="s">
        <v>2816</v>
      </c>
      <c r="BP107" s="107" t="s">
        <v>2817</v>
      </c>
      <c r="BQ107" s="106"/>
      <c r="BR107" s="102" t="s">
        <v>2818</v>
      </c>
      <c r="BS107" s="102" t="s">
        <v>527</v>
      </c>
      <c r="BT107" s="188" t="s">
        <v>2819</v>
      </c>
      <c r="BU107" s="102" t="s">
        <v>607</v>
      </c>
      <c r="BV107" s="123">
        <v>46260.0</v>
      </c>
      <c r="BW107" s="108" t="b">
        <v>0</v>
      </c>
      <c r="BX107" s="106"/>
    </row>
    <row r="108" ht="24.75" customHeight="1">
      <c r="A108" s="89" t="s">
        <v>348</v>
      </c>
      <c r="B108" s="89" t="s">
        <v>816</v>
      </c>
      <c r="C108" s="89" t="s">
        <v>1201</v>
      </c>
      <c r="D108" s="98" t="s">
        <v>2820</v>
      </c>
      <c r="E108" s="107" t="s">
        <v>2821</v>
      </c>
      <c r="F108" s="102" t="s">
        <v>2822</v>
      </c>
      <c r="G108" s="102" t="s">
        <v>1436</v>
      </c>
      <c r="H108" s="98" t="s">
        <v>2823</v>
      </c>
      <c r="I108" s="98" t="s">
        <v>669</v>
      </c>
      <c r="J108" s="98" t="s">
        <v>2824</v>
      </c>
      <c r="K108" s="105">
        <v>50.6259466079386</v>
      </c>
      <c r="L108" s="105">
        <v>-3.40353729671288</v>
      </c>
      <c r="M108" s="106"/>
      <c r="N108" s="107" t="s">
        <v>558</v>
      </c>
      <c r="O108" s="108" t="b">
        <v>1</v>
      </c>
      <c r="P108" s="109">
        <v>0.0</v>
      </c>
      <c r="Q108" s="171" t="s">
        <v>674</v>
      </c>
      <c r="R108" s="151" t="s">
        <v>387</v>
      </c>
      <c r="S108" s="151" t="s">
        <v>387</v>
      </c>
      <c r="T108" s="151" t="s">
        <v>387</v>
      </c>
      <c r="U108" s="151" t="s">
        <v>387</v>
      </c>
      <c r="V108" s="151" t="s">
        <v>387</v>
      </c>
      <c r="W108" s="151" t="s">
        <v>387</v>
      </c>
      <c r="X108" s="151" t="s">
        <v>387</v>
      </c>
      <c r="Y108" s="151" t="s">
        <v>387</v>
      </c>
      <c r="Z108" s="151" t="s">
        <v>387</v>
      </c>
      <c r="AA108" s="151" t="s">
        <v>387</v>
      </c>
      <c r="AB108" s="151" t="s">
        <v>387</v>
      </c>
      <c r="AC108" s="151" t="s">
        <v>387</v>
      </c>
      <c r="AD108" s="151" t="s">
        <v>387</v>
      </c>
      <c r="AE108" s="151" t="s">
        <v>387</v>
      </c>
      <c r="AF108" s="102" t="s">
        <v>387</v>
      </c>
      <c r="AG108" s="107" t="s">
        <v>678</v>
      </c>
      <c r="AH108" s="108" t="b">
        <v>0</v>
      </c>
      <c r="AI108" s="108" t="b">
        <v>0</v>
      </c>
      <c r="AJ108" s="107" t="s">
        <v>412</v>
      </c>
      <c r="AK108" s="106"/>
      <c r="AL108" s="102" t="s">
        <v>387</v>
      </c>
      <c r="AM108" s="157" t="s">
        <v>387</v>
      </c>
      <c r="AN108" s="157" t="s">
        <v>387</v>
      </c>
      <c r="AO108" s="157" t="s">
        <v>387</v>
      </c>
      <c r="AP108" s="102" t="s">
        <v>387</v>
      </c>
      <c r="AQ108" s="157" t="s">
        <v>387</v>
      </c>
      <c r="AR108" s="102" t="s">
        <v>387</v>
      </c>
      <c r="AS108" s="157" t="s">
        <v>387</v>
      </c>
      <c r="AT108" s="157" t="s">
        <v>387</v>
      </c>
      <c r="AU108" s="157" t="s">
        <v>387</v>
      </c>
      <c r="AV108" s="102" t="s">
        <v>387</v>
      </c>
      <c r="AW108" s="157" t="s">
        <v>387</v>
      </c>
      <c r="AX108" s="102" t="s">
        <v>387</v>
      </c>
      <c r="AY108" s="157" t="s">
        <v>387</v>
      </c>
      <c r="AZ108" s="107" t="s">
        <v>433</v>
      </c>
      <c r="BA108" s="140" t="s">
        <v>2835</v>
      </c>
      <c r="BB108" s="106"/>
      <c r="BC108" s="107" t="s">
        <v>483</v>
      </c>
      <c r="BD108" s="106"/>
      <c r="BE108" s="108" t="b">
        <v>0</v>
      </c>
      <c r="BF108" s="108" t="b">
        <v>0</v>
      </c>
      <c r="BG108" s="108" t="b">
        <v>0</v>
      </c>
      <c r="BH108" s="108" t="b">
        <v>1</v>
      </c>
      <c r="BI108" s="108" t="b">
        <v>1</v>
      </c>
      <c r="BJ108" s="108" t="b">
        <v>1</v>
      </c>
      <c r="BK108" s="108" t="b">
        <v>1</v>
      </c>
      <c r="BL108" s="107" t="s">
        <v>519</v>
      </c>
      <c r="BM108" s="107" t="s">
        <v>721</v>
      </c>
      <c r="BN108" s="107" t="s">
        <v>1473</v>
      </c>
      <c r="BO108" s="102" t="s">
        <v>2614</v>
      </c>
      <c r="BP108" s="106"/>
      <c r="BQ108" s="106"/>
      <c r="BR108" s="107" t="s">
        <v>2840</v>
      </c>
      <c r="BS108" s="106"/>
      <c r="BT108" s="102" t="s">
        <v>2842</v>
      </c>
      <c r="BU108" s="102" t="s">
        <v>530</v>
      </c>
      <c r="BV108" s="123">
        <v>46260.0</v>
      </c>
      <c r="BW108" s="108" t="b">
        <v>0</v>
      </c>
      <c r="BX108" s="106"/>
    </row>
    <row r="109" ht="24.75" customHeight="1">
      <c r="A109" s="89" t="s">
        <v>348</v>
      </c>
      <c r="B109" s="89" t="s">
        <v>964</v>
      </c>
      <c r="C109" s="89" t="s">
        <v>967</v>
      </c>
      <c r="D109" s="98" t="s">
        <v>2848</v>
      </c>
      <c r="E109" s="107" t="s">
        <v>2851</v>
      </c>
      <c r="F109" s="102" t="s">
        <v>2852</v>
      </c>
      <c r="G109" s="102" t="s">
        <v>1436</v>
      </c>
      <c r="H109" s="102" t="s">
        <v>2823</v>
      </c>
      <c r="I109" s="102" t="s">
        <v>669</v>
      </c>
      <c r="J109" s="95" t="s">
        <v>2824</v>
      </c>
      <c r="K109" s="105">
        <v>50.6249052532614</v>
      </c>
      <c r="L109" s="105">
        <v>-3.40405764522744</v>
      </c>
      <c r="M109" s="106"/>
      <c r="N109" s="107" t="s">
        <v>558</v>
      </c>
      <c r="O109" s="108" t="b">
        <v>1</v>
      </c>
      <c r="P109" s="109">
        <v>0.0</v>
      </c>
      <c r="Q109" s="171" t="s">
        <v>674</v>
      </c>
      <c r="R109" s="151" t="s">
        <v>387</v>
      </c>
      <c r="S109" s="151" t="s">
        <v>387</v>
      </c>
      <c r="T109" s="151" t="s">
        <v>387</v>
      </c>
      <c r="U109" s="151" t="s">
        <v>387</v>
      </c>
      <c r="V109" s="151" t="s">
        <v>387</v>
      </c>
      <c r="W109" s="151" t="s">
        <v>387</v>
      </c>
      <c r="X109" s="151" t="s">
        <v>387</v>
      </c>
      <c r="Y109" s="151" t="s">
        <v>387</v>
      </c>
      <c r="Z109" s="151" t="s">
        <v>387</v>
      </c>
      <c r="AA109" s="151" t="s">
        <v>387</v>
      </c>
      <c r="AB109" s="151" t="s">
        <v>387</v>
      </c>
      <c r="AC109" s="151" t="s">
        <v>387</v>
      </c>
      <c r="AD109" s="223"/>
      <c r="AE109" s="223"/>
      <c r="AF109" s="106"/>
      <c r="AG109" s="106"/>
      <c r="AH109" s="106"/>
      <c r="AI109" s="106"/>
      <c r="AJ109" s="107" t="s">
        <v>412</v>
      </c>
      <c r="AK109" s="106"/>
      <c r="AL109" s="102" t="s">
        <v>387</v>
      </c>
      <c r="AM109" s="157" t="s">
        <v>387</v>
      </c>
      <c r="AN109" s="102" t="s">
        <v>387</v>
      </c>
      <c r="AO109" s="157" t="s">
        <v>387</v>
      </c>
      <c r="AP109" s="102" t="s">
        <v>387</v>
      </c>
      <c r="AQ109" s="157" t="s">
        <v>387</v>
      </c>
      <c r="AR109" s="102" t="s">
        <v>387</v>
      </c>
      <c r="AS109" s="157" t="s">
        <v>387</v>
      </c>
      <c r="AT109" s="102" t="s">
        <v>387</v>
      </c>
      <c r="AU109" s="157" t="s">
        <v>387</v>
      </c>
      <c r="AV109" s="102" t="s">
        <v>387</v>
      </c>
      <c r="AW109" s="157" t="s">
        <v>387</v>
      </c>
      <c r="AX109" s="102" t="s">
        <v>387</v>
      </c>
      <c r="AY109" s="157" t="s">
        <v>387</v>
      </c>
      <c r="AZ109" s="107" t="s">
        <v>2863</v>
      </c>
      <c r="BA109" s="140" t="s">
        <v>2566</v>
      </c>
      <c r="BB109" s="107" t="s">
        <v>2633</v>
      </c>
      <c r="BC109" s="107" t="s">
        <v>483</v>
      </c>
      <c r="BD109" s="106"/>
      <c r="BE109" s="108" t="b">
        <v>1</v>
      </c>
      <c r="BF109" s="108" t="b">
        <v>1</v>
      </c>
      <c r="BG109" s="108" t="b">
        <v>1</v>
      </c>
      <c r="BH109" s="108" t="b">
        <v>1</v>
      </c>
      <c r="BI109" s="108" t="b">
        <v>1</v>
      </c>
      <c r="BJ109" s="106"/>
      <c r="BK109" s="106"/>
      <c r="BL109" s="107" t="s">
        <v>519</v>
      </c>
      <c r="BM109" s="107" t="s">
        <v>721</v>
      </c>
      <c r="BN109" s="107" t="s">
        <v>699</v>
      </c>
      <c r="BO109" s="102" t="s">
        <v>2872</v>
      </c>
      <c r="BP109" s="106"/>
      <c r="BQ109" s="106"/>
      <c r="BR109" s="102" t="s">
        <v>2876</v>
      </c>
      <c r="BS109" s="106"/>
      <c r="BT109" s="102" t="s">
        <v>2880</v>
      </c>
      <c r="BU109" s="102" t="s">
        <v>530</v>
      </c>
      <c r="BV109" s="123">
        <v>46260.0</v>
      </c>
      <c r="BW109" s="108" t="b">
        <v>0</v>
      </c>
      <c r="BX109" s="106"/>
    </row>
    <row r="110" ht="24.75" customHeight="1">
      <c r="A110" s="89" t="s">
        <v>348</v>
      </c>
      <c r="B110" s="89" t="s">
        <v>964</v>
      </c>
      <c r="C110" s="95" t="s">
        <v>1556</v>
      </c>
      <c r="D110" s="175" t="s">
        <v>2886</v>
      </c>
      <c r="E110" s="102" t="s">
        <v>2888</v>
      </c>
      <c r="F110" s="102" t="s">
        <v>2890</v>
      </c>
      <c r="G110" s="102" t="s">
        <v>2892</v>
      </c>
      <c r="H110" s="106"/>
      <c r="I110" s="102" t="s">
        <v>985</v>
      </c>
      <c r="J110" s="95" t="s">
        <v>2824</v>
      </c>
      <c r="K110" s="105">
        <v>50.6259897821818</v>
      </c>
      <c r="L110" s="105">
        <v>-3.40348444388597</v>
      </c>
      <c r="M110" s="106"/>
      <c r="N110" s="107" t="s">
        <v>558</v>
      </c>
      <c r="O110" s="108" t="b">
        <v>1</v>
      </c>
      <c r="P110" s="109">
        <v>0.0</v>
      </c>
      <c r="Q110" s="171" t="s">
        <v>674</v>
      </c>
      <c r="R110" s="151" t="s">
        <v>387</v>
      </c>
      <c r="S110" s="151" t="s">
        <v>387</v>
      </c>
      <c r="T110" s="151" t="s">
        <v>387</v>
      </c>
      <c r="U110" s="151" t="s">
        <v>387</v>
      </c>
      <c r="V110" s="151" t="s">
        <v>387</v>
      </c>
      <c r="W110" s="151" t="s">
        <v>387</v>
      </c>
      <c r="X110" s="151" t="s">
        <v>387</v>
      </c>
      <c r="Y110" s="151" t="s">
        <v>387</v>
      </c>
      <c r="Z110" s="151" t="s">
        <v>387</v>
      </c>
      <c r="AA110" s="151" t="s">
        <v>387</v>
      </c>
      <c r="AB110" s="151" t="s">
        <v>387</v>
      </c>
      <c r="AC110" s="151" t="s">
        <v>387</v>
      </c>
      <c r="AD110" s="151" t="s">
        <v>387</v>
      </c>
      <c r="AE110" s="151" t="s">
        <v>387</v>
      </c>
      <c r="AF110" s="207" t="s">
        <v>387</v>
      </c>
      <c r="AG110" s="107" t="s">
        <v>678</v>
      </c>
      <c r="AH110" s="108" t="b">
        <v>0</v>
      </c>
      <c r="AI110" s="108" t="b">
        <v>0</v>
      </c>
      <c r="AJ110" s="107" t="s">
        <v>412</v>
      </c>
      <c r="AK110" s="106"/>
      <c r="AL110" s="107" t="s">
        <v>387</v>
      </c>
      <c r="AM110" s="113" t="s">
        <v>387</v>
      </c>
      <c r="AN110" s="107" t="s">
        <v>387</v>
      </c>
      <c r="AO110" s="113" t="s">
        <v>387</v>
      </c>
      <c r="AP110" s="107" t="s">
        <v>387</v>
      </c>
      <c r="AQ110" s="113" t="s">
        <v>387</v>
      </c>
      <c r="AR110" s="107" t="s">
        <v>387</v>
      </c>
      <c r="AS110" s="113" t="s">
        <v>387</v>
      </c>
      <c r="AT110" s="107" t="s">
        <v>387</v>
      </c>
      <c r="AU110" s="113" t="s">
        <v>387</v>
      </c>
      <c r="AV110" s="107" t="s">
        <v>387</v>
      </c>
      <c r="AW110" s="113" t="s">
        <v>387</v>
      </c>
      <c r="AX110" s="107" t="s">
        <v>387</v>
      </c>
      <c r="AY110" s="113" t="s">
        <v>387</v>
      </c>
      <c r="AZ110" s="107" t="s">
        <v>788</v>
      </c>
      <c r="BA110" s="140" t="s">
        <v>2911</v>
      </c>
      <c r="BB110" s="106"/>
      <c r="BC110" s="107" t="s">
        <v>483</v>
      </c>
      <c r="BD110" s="107" t="s">
        <v>593</v>
      </c>
      <c r="BE110" s="108" t="b">
        <v>0</v>
      </c>
      <c r="BF110" s="108" t="b">
        <v>0</v>
      </c>
      <c r="BG110" s="108" t="b">
        <v>0</v>
      </c>
      <c r="BH110" s="108" t="b">
        <v>1</v>
      </c>
      <c r="BI110" s="108" t="b">
        <v>1</v>
      </c>
      <c r="BJ110" s="108" t="b">
        <v>1</v>
      </c>
      <c r="BK110" s="108" t="b">
        <v>1</v>
      </c>
      <c r="BL110" s="107" t="s">
        <v>519</v>
      </c>
      <c r="BM110" s="107" t="s">
        <v>2922</v>
      </c>
      <c r="BN110" s="107" t="s">
        <v>1457</v>
      </c>
      <c r="BO110" s="102" t="s">
        <v>2925</v>
      </c>
      <c r="BP110" s="106"/>
      <c r="BQ110" s="106"/>
      <c r="BR110" s="102" t="s">
        <v>2626</v>
      </c>
      <c r="BS110" s="106"/>
      <c r="BT110" s="102" t="s">
        <v>2931</v>
      </c>
      <c r="BU110" s="102" t="s">
        <v>530</v>
      </c>
      <c r="BV110" s="123">
        <v>46260.0</v>
      </c>
      <c r="BW110" s="108" t="b">
        <v>0</v>
      </c>
      <c r="BX110" s="106"/>
    </row>
    <row r="111" ht="24.75" customHeight="1">
      <c r="A111" s="89" t="s">
        <v>348</v>
      </c>
      <c r="B111" s="89" t="s">
        <v>1062</v>
      </c>
      <c r="C111" s="89" t="s">
        <v>1579</v>
      </c>
      <c r="D111" s="98" t="s">
        <v>1436</v>
      </c>
      <c r="E111" s="107" t="s">
        <v>1000</v>
      </c>
      <c r="F111" s="102" t="s">
        <v>2939</v>
      </c>
      <c r="G111" s="102" t="s">
        <v>1436</v>
      </c>
      <c r="H111" s="102" t="s">
        <v>2823</v>
      </c>
      <c r="I111" s="102" t="s">
        <v>669</v>
      </c>
      <c r="J111" s="95" t="s">
        <v>2824</v>
      </c>
      <c r="K111" s="105">
        <v>50.6249052532614</v>
      </c>
      <c r="L111" s="105">
        <v>-3.40405764522744</v>
      </c>
      <c r="M111" s="106"/>
      <c r="N111" s="107" t="s">
        <v>558</v>
      </c>
      <c r="O111" s="108" t="b">
        <v>1</v>
      </c>
      <c r="P111" s="109">
        <v>0.0</v>
      </c>
      <c r="Q111" s="171" t="s">
        <v>674</v>
      </c>
      <c r="R111" s="151" t="s">
        <v>387</v>
      </c>
      <c r="S111" s="151" t="s">
        <v>387</v>
      </c>
      <c r="T111" s="151" t="s">
        <v>387</v>
      </c>
      <c r="U111" s="151" t="s">
        <v>387</v>
      </c>
      <c r="V111" s="151" t="s">
        <v>387</v>
      </c>
      <c r="W111" s="151" t="s">
        <v>387</v>
      </c>
      <c r="X111" s="151" t="s">
        <v>387</v>
      </c>
      <c r="Y111" s="151" t="s">
        <v>387</v>
      </c>
      <c r="Z111" s="151" t="s">
        <v>387</v>
      </c>
      <c r="AA111" s="151" t="s">
        <v>387</v>
      </c>
      <c r="AB111" s="151" t="s">
        <v>387</v>
      </c>
      <c r="AC111" s="151" t="s">
        <v>387</v>
      </c>
      <c r="AD111" s="151" t="s">
        <v>387</v>
      </c>
      <c r="AE111" s="151" t="s">
        <v>387</v>
      </c>
      <c r="AF111" s="102" t="s">
        <v>387</v>
      </c>
      <c r="AG111" s="107" t="s">
        <v>678</v>
      </c>
      <c r="AH111" s="108" t="b">
        <v>0</v>
      </c>
      <c r="AI111" s="108" t="b">
        <v>0</v>
      </c>
      <c r="AJ111" s="107" t="s">
        <v>412</v>
      </c>
      <c r="AK111" s="106"/>
      <c r="AL111" s="102" t="s">
        <v>387</v>
      </c>
      <c r="AM111" s="157" t="s">
        <v>387</v>
      </c>
      <c r="AN111" s="102" t="s">
        <v>387</v>
      </c>
      <c r="AO111" s="157" t="s">
        <v>387</v>
      </c>
      <c r="AP111" s="102" t="s">
        <v>387</v>
      </c>
      <c r="AQ111" s="157" t="s">
        <v>387</v>
      </c>
      <c r="AR111" s="102" t="s">
        <v>387</v>
      </c>
      <c r="AS111" s="157" t="s">
        <v>387</v>
      </c>
      <c r="AT111" s="102" t="s">
        <v>387</v>
      </c>
      <c r="AU111" s="157" t="s">
        <v>387</v>
      </c>
      <c r="AV111" s="102" t="s">
        <v>387</v>
      </c>
      <c r="AW111" s="157" t="s">
        <v>387</v>
      </c>
      <c r="AX111" s="102" t="s">
        <v>387</v>
      </c>
      <c r="AY111" s="157" t="s">
        <v>387</v>
      </c>
      <c r="AZ111" s="107" t="s">
        <v>2863</v>
      </c>
      <c r="BA111" s="140" t="s">
        <v>2566</v>
      </c>
      <c r="BB111" s="107" t="s">
        <v>2633</v>
      </c>
      <c r="BC111" s="107" t="s">
        <v>483</v>
      </c>
      <c r="BD111" s="106"/>
      <c r="BE111" s="108" t="b">
        <v>1</v>
      </c>
      <c r="BF111" s="108" t="b">
        <v>1</v>
      </c>
      <c r="BG111" s="108" t="b">
        <v>1</v>
      </c>
      <c r="BH111" s="108" t="b">
        <v>1</v>
      </c>
      <c r="BI111" s="108" t="b">
        <v>1</v>
      </c>
      <c r="BJ111" s="108" t="b">
        <v>1</v>
      </c>
      <c r="BK111" s="108" t="b">
        <v>1</v>
      </c>
      <c r="BL111" s="107" t="s">
        <v>519</v>
      </c>
      <c r="BM111" s="107" t="s">
        <v>721</v>
      </c>
      <c r="BN111" s="107" t="s">
        <v>699</v>
      </c>
      <c r="BO111" s="102" t="s">
        <v>2979</v>
      </c>
      <c r="BP111" s="106"/>
      <c r="BQ111" s="106"/>
      <c r="BR111" s="102" t="s">
        <v>2986</v>
      </c>
      <c r="BS111" s="106"/>
      <c r="BT111" s="102" t="s">
        <v>1453</v>
      </c>
      <c r="BU111" s="102" t="s">
        <v>530</v>
      </c>
      <c r="BV111" s="123">
        <v>46260.0</v>
      </c>
      <c r="BW111" s="108" t="b">
        <v>0</v>
      </c>
      <c r="BX111" s="106"/>
    </row>
    <row r="112" ht="24.75" customHeight="1">
      <c r="A112" s="89" t="s">
        <v>348</v>
      </c>
      <c r="B112" s="89" t="s">
        <v>498</v>
      </c>
      <c r="C112" s="95" t="s">
        <v>506</v>
      </c>
      <c r="D112" s="175" t="s">
        <v>2993</v>
      </c>
      <c r="E112" s="102" t="s">
        <v>2996</v>
      </c>
      <c r="F112" s="102" t="s">
        <v>2998</v>
      </c>
      <c r="G112" s="102" t="s">
        <v>2999</v>
      </c>
      <c r="H112" s="98" t="s">
        <v>3001</v>
      </c>
      <c r="I112" s="98" t="s">
        <v>1758</v>
      </c>
      <c r="J112" s="98" t="s">
        <v>3003</v>
      </c>
      <c r="K112" s="105">
        <v>50.366822038504</v>
      </c>
      <c r="L112" s="105">
        <v>-4.13093784276301</v>
      </c>
      <c r="M112" s="106"/>
      <c r="N112" s="107" t="s">
        <v>558</v>
      </c>
      <c r="O112" s="108" t="b">
        <v>1</v>
      </c>
      <c r="P112" s="109">
        <v>0.4166666666666667</v>
      </c>
      <c r="Q112" s="109">
        <v>0.7083333333333334</v>
      </c>
      <c r="R112" s="151" t="s">
        <v>387</v>
      </c>
      <c r="S112" s="151" t="s">
        <v>387</v>
      </c>
      <c r="T112" s="151" t="s">
        <v>387</v>
      </c>
      <c r="U112" s="151" t="s">
        <v>387</v>
      </c>
      <c r="V112" s="151" t="s">
        <v>387</v>
      </c>
      <c r="W112" s="151" t="s">
        <v>387</v>
      </c>
      <c r="X112" s="151" t="s">
        <v>387</v>
      </c>
      <c r="Y112" s="151" t="s">
        <v>387</v>
      </c>
      <c r="Z112" s="151" t="s">
        <v>387</v>
      </c>
      <c r="AA112" s="151" t="s">
        <v>387</v>
      </c>
      <c r="AB112" s="151" t="s">
        <v>387</v>
      </c>
      <c r="AC112" s="151" t="s">
        <v>387</v>
      </c>
      <c r="AD112" s="151" t="s">
        <v>387</v>
      </c>
      <c r="AE112" s="151" t="s">
        <v>387</v>
      </c>
      <c r="AF112" s="106"/>
      <c r="AG112" s="106"/>
      <c r="AH112" s="108" t="b">
        <v>1</v>
      </c>
      <c r="AI112" s="108" t="b">
        <v>1</v>
      </c>
      <c r="AJ112" s="107" t="s">
        <v>731</v>
      </c>
      <c r="AK112" s="107" t="s">
        <v>3005</v>
      </c>
      <c r="AL112" s="102" t="s">
        <v>1791</v>
      </c>
      <c r="AM112" s="138">
        <v>0.0</v>
      </c>
      <c r="AN112" s="102" t="s">
        <v>580</v>
      </c>
      <c r="AO112" s="138">
        <v>16.0</v>
      </c>
      <c r="AP112" s="135" t="s">
        <v>387</v>
      </c>
      <c r="AQ112" s="135" t="s">
        <v>387</v>
      </c>
      <c r="AR112" s="135" t="s">
        <v>387</v>
      </c>
      <c r="AS112" s="135" t="s">
        <v>387</v>
      </c>
      <c r="AT112" s="102" t="s">
        <v>583</v>
      </c>
      <c r="AU112" s="138">
        <v>26.0</v>
      </c>
      <c r="AV112" s="102" t="s">
        <v>3006</v>
      </c>
      <c r="AW112" s="138">
        <v>23.0</v>
      </c>
      <c r="AX112" s="135" t="s">
        <v>387</v>
      </c>
      <c r="AY112" s="137" t="s">
        <v>387</v>
      </c>
      <c r="AZ112" s="107" t="s">
        <v>588</v>
      </c>
      <c r="BA112" s="140" t="s">
        <v>3007</v>
      </c>
      <c r="BB112" s="107" t="s">
        <v>3008</v>
      </c>
      <c r="BC112" s="107" t="s">
        <v>3009</v>
      </c>
      <c r="BD112" s="106"/>
      <c r="BE112" s="108" t="b">
        <v>1</v>
      </c>
      <c r="BF112" s="108" t="b">
        <v>1</v>
      </c>
      <c r="BG112" s="108" t="b">
        <v>1</v>
      </c>
      <c r="BH112" s="108" t="b">
        <v>1</v>
      </c>
      <c r="BI112" s="108" t="b">
        <v>1</v>
      </c>
      <c r="BJ112" s="108" t="b">
        <v>1</v>
      </c>
      <c r="BK112" s="108" t="b">
        <v>1</v>
      </c>
      <c r="BL112" s="107" t="s">
        <v>649</v>
      </c>
      <c r="BM112" s="107" t="s">
        <v>3011</v>
      </c>
      <c r="BN112" s="107" t="s">
        <v>613</v>
      </c>
      <c r="BO112" s="102" t="s">
        <v>3012</v>
      </c>
      <c r="BP112" s="106"/>
      <c r="BQ112" s="106"/>
      <c r="BR112" s="107" t="s">
        <v>3013</v>
      </c>
      <c r="BS112" s="106"/>
      <c r="BT112" s="102" t="s">
        <v>3014</v>
      </c>
      <c r="BU112" s="102" t="s">
        <v>607</v>
      </c>
      <c r="BV112" s="123">
        <v>46260.0</v>
      </c>
      <c r="BW112" s="108" t="b">
        <v>0</v>
      </c>
      <c r="BX112" s="106"/>
    </row>
    <row r="113" ht="24.75" customHeight="1">
      <c r="A113" s="89" t="s">
        <v>348</v>
      </c>
      <c r="B113" s="89" t="s">
        <v>772</v>
      </c>
      <c r="C113" s="89" t="s">
        <v>2315</v>
      </c>
      <c r="D113" s="98" t="s">
        <v>3015</v>
      </c>
      <c r="E113" s="107" t="s">
        <v>3016</v>
      </c>
      <c r="F113" s="102" t="s">
        <v>3017</v>
      </c>
      <c r="G113" s="102" t="s">
        <v>3018</v>
      </c>
      <c r="H113" s="175" t="s">
        <v>3019</v>
      </c>
      <c r="I113" s="175" t="s">
        <v>3020</v>
      </c>
      <c r="J113" s="175" t="s">
        <v>3021</v>
      </c>
      <c r="K113" s="105">
        <v>51.146197878376</v>
      </c>
      <c r="L113" s="105">
        <v>-4.22197518052335</v>
      </c>
      <c r="M113" s="106"/>
      <c r="N113" s="107" t="s">
        <v>558</v>
      </c>
      <c r="O113" s="108" t="b">
        <v>1</v>
      </c>
      <c r="P113" s="109">
        <v>0.0</v>
      </c>
      <c r="Q113" s="171" t="s">
        <v>674</v>
      </c>
      <c r="R113" s="151" t="s">
        <v>387</v>
      </c>
      <c r="S113" s="151" t="s">
        <v>387</v>
      </c>
      <c r="T113" s="151" t="s">
        <v>387</v>
      </c>
      <c r="U113" s="151" t="s">
        <v>387</v>
      </c>
      <c r="V113" s="151" t="s">
        <v>387</v>
      </c>
      <c r="W113" s="151" t="s">
        <v>387</v>
      </c>
      <c r="X113" s="151" t="s">
        <v>387</v>
      </c>
      <c r="Y113" s="151" t="s">
        <v>387</v>
      </c>
      <c r="Z113" s="151" t="s">
        <v>387</v>
      </c>
      <c r="AA113" s="151" t="s">
        <v>387</v>
      </c>
      <c r="AB113" s="151" t="s">
        <v>387</v>
      </c>
      <c r="AC113" s="151" t="s">
        <v>387</v>
      </c>
      <c r="AD113" s="151" t="s">
        <v>387</v>
      </c>
      <c r="AE113" s="151" t="s">
        <v>387</v>
      </c>
      <c r="AF113" s="102" t="s">
        <v>387</v>
      </c>
      <c r="AG113" s="107" t="s">
        <v>678</v>
      </c>
      <c r="AH113" s="108" t="b">
        <v>0</v>
      </c>
      <c r="AI113" s="108" t="b">
        <v>0</v>
      </c>
      <c r="AJ113" s="107" t="s">
        <v>412</v>
      </c>
      <c r="AK113" s="106"/>
      <c r="AL113" s="102" t="s">
        <v>387</v>
      </c>
      <c r="AM113" s="157" t="s">
        <v>387</v>
      </c>
      <c r="AN113" s="157" t="s">
        <v>387</v>
      </c>
      <c r="AO113" s="157" t="s">
        <v>387</v>
      </c>
      <c r="AP113" s="102" t="s">
        <v>387</v>
      </c>
      <c r="AQ113" s="157" t="s">
        <v>387</v>
      </c>
      <c r="AR113" s="102" t="s">
        <v>387</v>
      </c>
      <c r="AS113" s="157" t="s">
        <v>387</v>
      </c>
      <c r="AT113" s="157" t="s">
        <v>387</v>
      </c>
      <c r="AU113" s="157" t="s">
        <v>387</v>
      </c>
      <c r="AV113" s="102" t="s">
        <v>387</v>
      </c>
      <c r="AW113" s="157" t="s">
        <v>387</v>
      </c>
      <c r="AX113" s="102" t="s">
        <v>387</v>
      </c>
      <c r="AY113" s="157" t="s">
        <v>387</v>
      </c>
      <c r="AZ113" s="107" t="s">
        <v>648</v>
      </c>
      <c r="BA113" s="140" t="s">
        <v>3024</v>
      </c>
      <c r="BB113" s="107" t="s">
        <v>1005</v>
      </c>
      <c r="BC113" s="107" t="s">
        <v>3025</v>
      </c>
      <c r="BD113" s="107" t="s">
        <v>656</v>
      </c>
      <c r="BE113" s="108" t="b">
        <v>1</v>
      </c>
      <c r="BF113" s="108" t="b">
        <v>1</v>
      </c>
      <c r="BG113" s="108" t="b">
        <v>1</v>
      </c>
      <c r="BH113" s="108" t="b">
        <v>1</v>
      </c>
      <c r="BI113" s="108" t="b">
        <v>1</v>
      </c>
      <c r="BJ113" s="108" t="b">
        <v>1</v>
      </c>
      <c r="BK113" s="108" t="b">
        <v>1</v>
      </c>
      <c r="BL113" s="107" t="s">
        <v>519</v>
      </c>
      <c r="BM113" s="107" t="s">
        <v>1215</v>
      </c>
      <c r="BN113" s="107" t="s">
        <v>2321</v>
      </c>
      <c r="BO113" s="102" t="s">
        <v>3026</v>
      </c>
      <c r="BP113" s="106"/>
      <c r="BQ113" s="106"/>
      <c r="BR113" s="107" t="s">
        <v>3028</v>
      </c>
      <c r="BS113" s="107" t="s">
        <v>3029</v>
      </c>
      <c r="BT113" s="102" t="s">
        <v>3030</v>
      </c>
      <c r="BU113" s="102" t="s">
        <v>725</v>
      </c>
      <c r="BV113" s="123">
        <v>46260.0</v>
      </c>
      <c r="BW113" s="108" t="b">
        <v>0</v>
      </c>
      <c r="BX113" s="106"/>
    </row>
    <row r="114" ht="24.75" customHeight="1">
      <c r="A114" s="89" t="s">
        <v>348</v>
      </c>
      <c r="B114" s="89" t="s">
        <v>964</v>
      </c>
      <c r="C114" s="95" t="s">
        <v>967</v>
      </c>
      <c r="D114" s="188" t="s">
        <v>3031</v>
      </c>
      <c r="E114" s="102" t="s">
        <v>1333</v>
      </c>
      <c r="F114" s="188" t="s">
        <v>3032</v>
      </c>
      <c r="G114" s="242" t="s">
        <v>1111</v>
      </c>
      <c r="H114" s="102" t="s">
        <v>1112</v>
      </c>
      <c r="I114" s="102" t="s">
        <v>669</v>
      </c>
      <c r="J114" s="102" t="s">
        <v>1113</v>
      </c>
      <c r="K114" s="188">
        <v>50.6131572207856</v>
      </c>
      <c r="L114" s="188">
        <v>-3.40875664985948</v>
      </c>
      <c r="M114" s="106"/>
      <c r="N114" s="107" t="s">
        <v>558</v>
      </c>
      <c r="O114" s="108" t="b">
        <v>1</v>
      </c>
      <c r="P114" s="180" t="s">
        <v>812</v>
      </c>
      <c r="Q114" s="180" t="s">
        <v>674</v>
      </c>
      <c r="R114" s="107" t="s">
        <v>387</v>
      </c>
      <c r="S114" s="107" t="s">
        <v>387</v>
      </c>
      <c r="T114" s="107" t="s">
        <v>387</v>
      </c>
      <c r="U114" s="107" t="s">
        <v>387</v>
      </c>
      <c r="V114" s="107" t="s">
        <v>387</v>
      </c>
      <c r="W114" s="107" t="s">
        <v>387</v>
      </c>
      <c r="X114" s="107" t="s">
        <v>387</v>
      </c>
      <c r="Y114" s="107" t="s">
        <v>387</v>
      </c>
      <c r="Z114" s="107" t="s">
        <v>387</v>
      </c>
      <c r="AA114" s="107" t="s">
        <v>387</v>
      </c>
      <c r="AB114" s="107" t="s">
        <v>387</v>
      </c>
      <c r="AC114" s="107" t="s">
        <v>387</v>
      </c>
      <c r="AD114" s="107" t="s">
        <v>387</v>
      </c>
      <c r="AE114" s="107" t="s">
        <v>387</v>
      </c>
      <c r="AF114" s="207" t="s">
        <v>387</v>
      </c>
      <c r="AG114" s="106"/>
      <c r="AH114" s="108" t="b">
        <v>0</v>
      </c>
      <c r="AI114" s="108" t="b">
        <v>0</v>
      </c>
      <c r="AJ114" s="107" t="s">
        <v>412</v>
      </c>
      <c r="AK114" s="106"/>
      <c r="AL114" s="107" t="s">
        <v>387</v>
      </c>
      <c r="AM114" s="113" t="s">
        <v>387</v>
      </c>
      <c r="AN114" s="107" t="s">
        <v>387</v>
      </c>
      <c r="AO114" s="113" t="s">
        <v>387</v>
      </c>
      <c r="AP114" s="107" t="s">
        <v>387</v>
      </c>
      <c r="AQ114" s="113" t="s">
        <v>387</v>
      </c>
      <c r="AR114" s="107" t="s">
        <v>387</v>
      </c>
      <c r="AS114" s="113" t="s">
        <v>387</v>
      </c>
      <c r="AT114" s="107" t="s">
        <v>387</v>
      </c>
      <c r="AU114" s="113" t="s">
        <v>387</v>
      </c>
      <c r="AV114" s="107" t="s">
        <v>387</v>
      </c>
      <c r="AW114" s="113" t="s">
        <v>387</v>
      </c>
      <c r="AX114" s="107" t="s">
        <v>387</v>
      </c>
      <c r="AY114" s="113" t="s">
        <v>387</v>
      </c>
      <c r="AZ114" s="107" t="s">
        <v>648</v>
      </c>
      <c r="BA114" s="140" t="s">
        <v>1344</v>
      </c>
      <c r="BB114" s="107" t="s">
        <v>3045</v>
      </c>
      <c r="BC114" s="106"/>
      <c r="BD114" s="106"/>
      <c r="BE114" s="108" t="b">
        <v>0</v>
      </c>
      <c r="BF114" s="108" t="b">
        <v>1</v>
      </c>
      <c r="BG114" s="108" t="b">
        <v>1</v>
      </c>
      <c r="BH114" s="108" t="b">
        <v>1</v>
      </c>
      <c r="BI114" s="108" t="b">
        <v>0</v>
      </c>
      <c r="BJ114" s="108" t="b">
        <v>0</v>
      </c>
      <c r="BK114" s="108" t="b">
        <v>0</v>
      </c>
      <c r="BL114" s="107" t="s">
        <v>519</v>
      </c>
      <c r="BM114" s="107" t="s">
        <v>543</v>
      </c>
      <c r="BN114" s="107" t="s">
        <v>1321</v>
      </c>
      <c r="BO114" s="102" t="s">
        <v>3051</v>
      </c>
      <c r="BP114" s="106"/>
      <c r="BQ114" s="106"/>
      <c r="BR114" s="102" t="s">
        <v>3054</v>
      </c>
      <c r="BS114" s="107" t="s">
        <v>3055</v>
      </c>
      <c r="BT114" s="102" t="s">
        <v>3056</v>
      </c>
      <c r="BU114" s="102" t="s">
        <v>530</v>
      </c>
      <c r="BV114" s="123">
        <v>46260.0</v>
      </c>
      <c r="BW114" s="108" t="b">
        <v>0</v>
      </c>
      <c r="BX114" s="217"/>
    </row>
    <row r="115" ht="24.75" customHeight="1">
      <c r="A115" s="89" t="s">
        <v>348</v>
      </c>
      <c r="B115" s="89" t="s">
        <v>2326</v>
      </c>
      <c r="C115" s="95" t="s">
        <v>3057</v>
      </c>
      <c r="D115" s="98" t="s">
        <v>3058</v>
      </c>
      <c r="E115" s="102" t="s">
        <v>653</v>
      </c>
      <c r="F115" s="102" t="s">
        <v>3060</v>
      </c>
      <c r="G115" s="102" t="s">
        <v>3062</v>
      </c>
      <c r="H115" s="102" t="s">
        <v>3064</v>
      </c>
      <c r="I115" s="102" t="s">
        <v>831</v>
      </c>
      <c r="J115" s="95" t="s">
        <v>3066</v>
      </c>
      <c r="K115" s="105">
        <v>50.7251912748548</v>
      </c>
      <c r="L115" s="105">
        <v>-3.53223095994772</v>
      </c>
      <c r="M115" s="106"/>
      <c r="N115" s="107" t="s">
        <v>2290</v>
      </c>
      <c r="O115" s="108" t="b">
        <v>0</v>
      </c>
      <c r="P115" s="151" t="s">
        <v>387</v>
      </c>
      <c r="Q115" s="151" t="s">
        <v>387</v>
      </c>
      <c r="R115" s="151" t="s">
        <v>387</v>
      </c>
      <c r="S115" s="151" t="s">
        <v>387</v>
      </c>
      <c r="T115" s="109">
        <v>0.4375</v>
      </c>
      <c r="U115" s="109">
        <v>0.7083333333333334</v>
      </c>
      <c r="V115" s="109">
        <v>0.4166666666666667</v>
      </c>
      <c r="W115" s="109">
        <v>0.7083333333333334</v>
      </c>
      <c r="X115" s="109">
        <v>0.4166666666666667</v>
      </c>
      <c r="Y115" s="109">
        <v>0.7083333333333334</v>
      </c>
      <c r="Z115" s="109">
        <v>0.4166666666666667</v>
      </c>
      <c r="AA115" s="109">
        <v>0.7083333333333334</v>
      </c>
      <c r="AB115" s="109">
        <v>0.4166666666666667</v>
      </c>
      <c r="AC115" s="109">
        <v>0.7083333333333334</v>
      </c>
      <c r="AD115" s="109">
        <v>0.4166666666666667</v>
      </c>
      <c r="AE115" s="109">
        <v>0.7083333333333334</v>
      </c>
      <c r="AF115" s="106"/>
      <c r="AG115" s="106"/>
      <c r="AH115" s="108" t="b">
        <v>0</v>
      </c>
      <c r="AI115" s="108" t="b">
        <v>0</v>
      </c>
      <c r="AJ115" s="107" t="s">
        <v>412</v>
      </c>
      <c r="AK115" s="106"/>
      <c r="AL115" s="107" t="s">
        <v>387</v>
      </c>
      <c r="AM115" s="113" t="s">
        <v>387</v>
      </c>
      <c r="AN115" s="107" t="s">
        <v>387</v>
      </c>
      <c r="AO115" s="113" t="s">
        <v>387</v>
      </c>
      <c r="AP115" s="107" t="s">
        <v>387</v>
      </c>
      <c r="AQ115" s="113" t="s">
        <v>387</v>
      </c>
      <c r="AR115" s="107" t="s">
        <v>387</v>
      </c>
      <c r="AS115" s="113" t="s">
        <v>387</v>
      </c>
      <c r="AT115" s="107" t="s">
        <v>387</v>
      </c>
      <c r="AU115" s="113" t="s">
        <v>387</v>
      </c>
      <c r="AV115" s="107" t="s">
        <v>387</v>
      </c>
      <c r="AW115" s="113" t="s">
        <v>387</v>
      </c>
      <c r="AX115" s="107" t="s">
        <v>387</v>
      </c>
      <c r="AY115" s="113" t="s">
        <v>387</v>
      </c>
      <c r="AZ115" s="107" t="s">
        <v>648</v>
      </c>
      <c r="BA115" s="107" t="s">
        <v>2278</v>
      </c>
      <c r="BB115" s="107" t="s">
        <v>1236</v>
      </c>
      <c r="BC115" s="107" t="s">
        <v>3078</v>
      </c>
      <c r="BD115" s="106"/>
      <c r="BE115" s="108" t="b">
        <v>0</v>
      </c>
      <c r="BF115" s="108" t="b">
        <v>0</v>
      </c>
      <c r="BG115" s="108" t="b">
        <v>0</v>
      </c>
      <c r="BH115" s="108" t="b">
        <v>1</v>
      </c>
      <c r="BI115" s="108" t="b">
        <v>1</v>
      </c>
      <c r="BJ115" s="108" t="b">
        <v>1</v>
      </c>
      <c r="BK115" s="108" t="b">
        <v>1</v>
      </c>
      <c r="BL115" s="107" t="s">
        <v>649</v>
      </c>
      <c r="BM115" s="107" t="s">
        <v>3011</v>
      </c>
      <c r="BN115" s="107" t="s">
        <v>533</v>
      </c>
      <c r="BO115" s="102" t="s">
        <v>3082</v>
      </c>
      <c r="BP115" s="106"/>
      <c r="BQ115" s="106"/>
      <c r="BR115" s="102" t="s">
        <v>3083</v>
      </c>
      <c r="BS115" s="106"/>
      <c r="BT115" s="107" t="s">
        <v>3084</v>
      </c>
      <c r="BU115" s="102" t="s">
        <v>530</v>
      </c>
      <c r="BV115" s="123">
        <v>46260.0</v>
      </c>
      <c r="BW115" s="108" t="b">
        <v>0</v>
      </c>
      <c r="BX115" s="106"/>
    </row>
    <row r="116" ht="24.75" customHeight="1">
      <c r="A116" s="89" t="s">
        <v>348</v>
      </c>
      <c r="B116" s="89" t="s">
        <v>1018</v>
      </c>
      <c r="C116" s="95" t="s">
        <v>1569</v>
      </c>
      <c r="D116" s="175" t="s">
        <v>3085</v>
      </c>
      <c r="E116" s="189" t="s">
        <v>2100</v>
      </c>
      <c r="F116" s="188" t="s">
        <v>3086</v>
      </c>
      <c r="G116" s="102" t="s">
        <v>3085</v>
      </c>
      <c r="H116" s="102" t="s">
        <v>3088</v>
      </c>
      <c r="I116" s="106"/>
      <c r="J116" s="95" t="s">
        <v>3089</v>
      </c>
      <c r="K116" s="105">
        <v>50.9383194496976</v>
      </c>
      <c r="L116" s="105">
        <v>-4.13760397352222</v>
      </c>
      <c r="M116" s="106"/>
      <c r="N116" s="107" t="s">
        <v>558</v>
      </c>
      <c r="O116" s="108" t="b">
        <v>1</v>
      </c>
      <c r="P116" s="109">
        <v>0.4166666666666667</v>
      </c>
      <c r="Q116" s="109">
        <v>0.75</v>
      </c>
      <c r="R116" s="107" t="s">
        <v>387</v>
      </c>
      <c r="S116" s="107" t="s">
        <v>387</v>
      </c>
      <c r="T116" s="107" t="s">
        <v>387</v>
      </c>
      <c r="U116" s="107" t="s">
        <v>387</v>
      </c>
      <c r="V116" s="107" t="s">
        <v>387</v>
      </c>
      <c r="W116" s="107" t="s">
        <v>387</v>
      </c>
      <c r="X116" s="107" t="s">
        <v>387</v>
      </c>
      <c r="Y116" s="107" t="s">
        <v>387</v>
      </c>
      <c r="Z116" s="107" t="s">
        <v>387</v>
      </c>
      <c r="AA116" s="107" t="s">
        <v>387</v>
      </c>
      <c r="AB116" s="107" t="s">
        <v>387</v>
      </c>
      <c r="AC116" s="107" t="s">
        <v>387</v>
      </c>
      <c r="AD116" s="107" t="s">
        <v>387</v>
      </c>
      <c r="AE116" s="107" t="s">
        <v>387</v>
      </c>
      <c r="AF116" s="207" t="s">
        <v>3091</v>
      </c>
      <c r="AG116" s="107" t="s">
        <v>678</v>
      </c>
      <c r="AH116" s="108" t="b">
        <v>1</v>
      </c>
      <c r="AI116" s="108" t="b">
        <v>1</v>
      </c>
      <c r="AJ116" s="107" t="s">
        <v>2042</v>
      </c>
      <c r="AK116" s="113" t="s">
        <v>2368</v>
      </c>
      <c r="AL116" s="102" t="s">
        <v>387</v>
      </c>
      <c r="AM116" s="157" t="s">
        <v>387</v>
      </c>
      <c r="AN116" s="157" t="s">
        <v>387</v>
      </c>
      <c r="AO116" s="157" t="s">
        <v>387</v>
      </c>
      <c r="AP116" s="246" t="s">
        <v>1712</v>
      </c>
      <c r="AQ116" s="138">
        <v>0.0</v>
      </c>
      <c r="AR116" s="157" t="s">
        <v>2014</v>
      </c>
      <c r="AS116" s="138">
        <v>6.0</v>
      </c>
      <c r="AT116" s="157" t="s">
        <v>2015</v>
      </c>
      <c r="AU116" s="157" t="s">
        <v>3098</v>
      </c>
      <c r="AV116" s="157" t="s">
        <v>387</v>
      </c>
      <c r="AW116" s="157" t="s">
        <v>387</v>
      </c>
      <c r="AX116" s="157" t="s">
        <v>387</v>
      </c>
      <c r="AY116" s="113" t="s">
        <v>387</v>
      </c>
      <c r="AZ116" s="107" t="s">
        <v>433</v>
      </c>
      <c r="BA116" s="140" t="s">
        <v>3100</v>
      </c>
      <c r="BB116" s="107" t="s">
        <v>3101</v>
      </c>
      <c r="BC116" s="107" t="s">
        <v>2586</v>
      </c>
      <c r="BD116" s="107" t="s">
        <v>656</v>
      </c>
      <c r="BE116" s="108" t="b">
        <v>1</v>
      </c>
      <c r="BF116" s="108" t="b">
        <v>1</v>
      </c>
      <c r="BG116" s="108" t="b">
        <v>1</v>
      </c>
      <c r="BH116" s="108" t="b">
        <v>1</v>
      </c>
      <c r="BI116" s="108" t="b">
        <v>1</v>
      </c>
      <c r="BJ116" s="108" t="b">
        <v>1</v>
      </c>
      <c r="BK116" s="108" t="b">
        <v>1</v>
      </c>
      <c r="BL116" s="107" t="s">
        <v>519</v>
      </c>
      <c r="BM116" s="107" t="s">
        <v>721</v>
      </c>
      <c r="BN116" s="107" t="s">
        <v>870</v>
      </c>
      <c r="BO116" s="188" t="s">
        <v>3106</v>
      </c>
      <c r="BP116" s="107" t="s">
        <v>3108</v>
      </c>
      <c r="BQ116" s="107" t="s">
        <v>3109</v>
      </c>
      <c r="BR116" s="102" t="s">
        <v>3111</v>
      </c>
      <c r="BS116" s="106"/>
      <c r="BT116" s="102" t="s">
        <v>3113</v>
      </c>
      <c r="BU116" s="102" t="s">
        <v>892</v>
      </c>
      <c r="BV116" s="123">
        <v>46260.0</v>
      </c>
      <c r="BW116" s="108" t="b">
        <v>0</v>
      </c>
      <c r="BX116" s="106"/>
    </row>
    <row r="117" ht="24.75" customHeight="1">
      <c r="A117" s="89" t="s">
        <v>348</v>
      </c>
      <c r="B117" s="89" t="s">
        <v>352</v>
      </c>
      <c r="C117" s="89" t="s">
        <v>1260</v>
      </c>
      <c r="D117" s="98" t="s">
        <v>3116</v>
      </c>
      <c r="E117" s="107" t="s">
        <v>339</v>
      </c>
      <c r="F117" s="102" t="s">
        <v>3117</v>
      </c>
      <c r="G117" s="102" t="s">
        <v>3118</v>
      </c>
      <c r="H117" s="98" t="s">
        <v>3120</v>
      </c>
      <c r="I117" s="98" t="s">
        <v>669</v>
      </c>
      <c r="J117" s="98" t="s">
        <v>670</v>
      </c>
      <c r="K117" s="105">
        <v>50.6122280756837</v>
      </c>
      <c r="L117" s="105">
        <v>-3.40785770227986</v>
      </c>
      <c r="M117" s="106"/>
      <c r="N117" s="107" t="s">
        <v>558</v>
      </c>
      <c r="O117" s="108" t="b">
        <v>1</v>
      </c>
      <c r="P117" s="109">
        <v>0.375</v>
      </c>
      <c r="Q117" s="109">
        <v>0.7083333333333334</v>
      </c>
      <c r="R117" s="223"/>
      <c r="S117" s="223"/>
      <c r="T117" s="223"/>
      <c r="U117" s="223"/>
      <c r="V117" s="223"/>
      <c r="W117" s="223"/>
      <c r="X117" s="223"/>
      <c r="Y117" s="223"/>
      <c r="Z117" s="223"/>
      <c r="AA117" s="223"/>
      <c r="AB117" s="223"/>
      <c r="AC117" s="223"/>
      <c r="AD117" s="223"/>
      <c r="AE117" s="223"/>
      <c r="AF117" s="106"/>
      <c r="AG117" s="106"/>
      <c r="AH117" s="108" t="b">
        <v>0</v>
      </c>
      <c r="AI117" s="108" t="b">
        <v>0</v>
      </c>
      <c r="AJ117" s="107" t="s">
        <v>412</v>
      </c>
      <c r="AK117" s="106"/>
      <c r="AL117" s="102" t="s">
        <v>387</v>
      </c>
      <c r="AM117" s="157" t="s">
        <v>387</v>
      </c>
      <c r="AN117" s="157" t="s">
        <v>387</v>
      </c>
      <c r="AO117" s="157" t="s">
        <v>387</v>
      </c>
      <c r="AP117" s="102" t="s">
        <v>387</v>
      </c>
      <c r="AQ117" s="157" t="s">
        <v>387</v>
      </c>
      <c r="AR117" s="102" t="s">
        <v>387</v>
      </c>
      <c r="AS117" s="157" t="s">
        <v>387</v>
      </c>
      <c r="AT117" s="157" t="s">
        <v>387</v>
      </c>
      <c r="AU117" s="157" t="s">
        <v>387</v>
      </c>
      <c r="AV117" s="102" t="s">
        <v>387</v>
      </c>
      <c r="AW117" s="157" t="s">
        <v>387</v>
      </c>
      <c r="AX117" s="102" t="s">
        <v>387</v>
      </c>
      <c r="AY117" s="157" t="s">
        <v>387</v>
      </c>
      <c r="AZ117" s="107" t="s">
        <v>648</v>
      </c>
      <c r="BA117" s="140" t="s">
        <v>3126</v>
      </c>
      <c r="BB117" s="107" t="s">
        <v>1005</v>
      </c>
      <c r="BC117" s="107" t="s">
        <v>3127</v>
      </c>
      <c r="BD117" s="106"/>
      <c r="BE117" s="108" t="b">
        <v>1</v>
      </c>
      <c r="BF117" s="108" t="b">
        <v>1</v>
      </c>
      <c r="BG117" s="108" t="b">
        <v>1</v>
      </c>
      <c r="BH117" s="108" t="b">
        <v>1</v>
      </c>
      <c r="BI117" s="108" t="b">
        <v>1</v>
      </c>
      <c r="BJ117" s="108" t="b">
        <v>1</v>
      </c>
      <c r="BK117" s="108" t="b">
        <v>1</v>
      </c>
      <c r="BL117" s="107" t="s">
        <v>519</v>
      </c>
      <c r="BM117" s="107" t="s">
        <v>721</v>
      </c>
      <c r="BN117" s="107" t="s">
        <v>654</v>
      </c>
      <c r="BO117" s="102" t="s">
        <v>3128</v>
      </c>
      <c r="BP117" s="106"/>
      <c r="BQ117" s="106"/>
      <c r="BR117" s="107" t="s">
        <v>1296</v>
      </c>
      <c r="BS117" s="106"/>
      <c r="BT117" s="107" t="s">
        <v>3129</v>
      </c>
      <c r="BU117" s="102" t="s">
        <v>530</v>
      </c>
      <c r="BV117" s="123">
        <v>46260.0</v>
      </c>
      <c r="BW117" s="108" t="b">
        <v>0</v>
      </c>
      <c r="BX117" s="106"/>
    </row>
    <row r="118" ht="24.75" customHeight="1">
      <c r="A118" s="89" t="s">
        <v>348</v>
      </c>
      <c r="B118" s="89" t="s">
        <v>964</v>
      </c>
      <c r="C118" s="95" t="s">
        <v>1553</v>
      </c>
      <c r="D118" s="98" t="s">
        <v>3130</v>
      </c>
      <c r="E118" s="102" t="s">
        <v>769</v>
      </c>
      <c r="F118" s="102" t="s">
        <v>3131</v>
      </c>
      <c r="G118" s="102" t="s">
        <v>3130</v>
      </c>
      <c r="H118" s="106"/>
      <c r="I118" s="102" t="s">
        <v>3132</v>
      </c>
      <c r="J118" s="95" t="s">
        <v>3133</v>
      </c>
      <c r="K118" s="105">
        <v>50.5173532311164</v>
      </c>
      <c r="L118" s="105">
        <v>-3.78914627354123</v>
      </c>
      <c r="M118" s="106"/>
      <c r="N118" s="107" t="s">
        <v>558</v>
      </c>
      <c r="O118" s="108" t="b">
        <v>1</v>
      </c>
      <c r="P118" s="109">
        <v>0.375</v>
      </c>
      <c r="Q118" s="109">
        <v>0.6875</v>
      </c>
      <c r="R118" s="107" t="s">
        <v>387</v>
      </c>
      <c r="S118" s="107" t="s">
        <v>387</v>
      </c>
      <c r="T118" s="107" t="s">
        <v>387</v>
      </c>
      <c r="U118" s="107" t="s">
        <v>387</v>
      </c>
      <c r="V118" s="107" t="s">
        <v>387</v>
      </c>
      <c r="W118" s="107" t="s">
        <v>387</v>
      </c>
      <c r="X118" s="107" t="s">
        <v>387</v>
      </c>
      <c r="Y118" s="107" t="s">
        <v>387</v>
      </c>
      <c r="Z118" s="107" t="s">
        <v>387</v>
      </c>
      <c r="AA118" s="107" t="s">
        <v>387</v>
      </c>
      <c r="AB118" s="107" t="s">
        <v>387</v>
      </c>
      <c r="AC118" s="107" t="s">
        <v>387</v>
      </c>
      <c r="AD118" s="107" t="s">
        <v>387</v>
      </c>
      <c r="AE118" s="107" t="s">
        <v>387</v>
      </c>
      <c r="AF118" s="106"/>
      <c r="AG118" s="107" t="s">
        <v>678</v>
      </c>
      <c r="AH118" s="108" t="b">
        <v>1</v>
      </c>
      <c r="AI118" s="108" t="b">
        <v>1</v>
      </c>
      <c r="AJ118" s="107" t="s">
        <v>1366</v>
      </c>
      <c r="AK118" s="107" t="s">
        <v>3136</v>
      </c>
      <c r="AL118" s="107" t="s">
        <v>1791</v>
      </c>
      <c r="AM118" s="210">
        <v>0.0</v>
      </c>
      <c r="AN118" s="107" t="s">
        <v>387</v>
      </c>
      <c r="AO118" s="113" t="s">
        <v>387</v>
      </c>
      <c r="AP118" s="247">
        <v>46115.0</v>
      </c>
      <c r="AQ118" s="113" t="s">
        <v>3137</v>
      </c>
      <c r="AR118" s="107" t="s">
        <v>1420</v>
      </c>
      <c r="AS118" s="113" t="s">
        <v>3138</v>
      </c>
      <c r="AT118" s="107" t="s">
        <v>596</v>
      </c>
      <c r="AU118" s="113" t="s">
        <v>3138</v>
      </c>
      <c r="AV118" s="102" t="s">
        <v>3139</v>
      </c>
      <c r="AW118" s="113" t="s">
        <v>3140</v>
      </c>
      <c r="AX118" s="107" t="s">
        <v>387</v>
      </c>
      <c r="AY118" s="113" t="s">
        <v>387</v>
      </c>
      <c r="AZ118" s="107" t="s">
        <v>433</v>
      </c>
      <c r="BA118" s="140" t="s">
        <v>3141</v>
      </c>
      <c r="BB118" s="107" t="s">
        <v>3142</v>
      </c>
      <c r="BC118" s="107" t="s">
        <v>3143</v>
      </c>
      <c r="BD118" s="107" t="s">
        <v>593</v>
      </c>
      <c r="BE118" s="108" t="b">
        <v>1</v>
      </c>
      <c r="BF118" s="108" t="b">
        <v>1</v>
      </c>
      <c r="BG118" s="108" t="b">
        <v>1</v>
      </c>
      <c r="BH118" s="108" t="b">
        <v>1</v>
      </c>
      <c r="BI118" s="108" t="b">
        <v>1</v>
      </c>
      <c r="BJ118" s="108" t="b">
        <v>1</v>
      </c>
      <c r="BK118" s="108" t="b">
        <v>1</v>
      </c>
      <c r="BL118" s="107" t="s">
        <v>519</v>
      </c>
      <c r="BM118" s="107" t="s">
        <v>3144</v>
      </c>
      <c r="BN118" s="107" t="s">
        <v>1374</v>
      </c>
      <c r="BO118" s="102" t="s">
        <v>3145</v>
      </c>
      <c r="BP118" s="107" t="s">
        <v>3146</v>
      </c>
      <c r="BQ118" s="107" t="s">
        <v>3147</v>
      </c>
      <c r="BR118" s="189" t="s">
        <v>3148</v>
      </c>
      <c r="BS118" s="102" t="s">
        <v>3149</v>
      </c>
      <c r="BT118" s="102" t="s">
        <v>3150</v>
      </c>
      <c r="BU118" s="102" t="s">
        <v>530</v>
      </c>
      <c r="BV118" s="123">
        <v>46260.0</v>
      </c>
      <c r="BW118" s="108" t="b">
        <v>0</v>
      </c>
      <c r="BX118" s="106"/>
    </row>
    <row r="119" ht="24.75" customHeight="1">
      <c r="A119" s="89" t="s">
        <v>348</v>
      </c>
      <c r="B119" s="89" t="s">
        <v>899</v>
      </c>
      <c r="C119" s="89" t="s">
        <v>900</v>
      </c>
      <c r="D119" s="98" t="s">
        <v>3153</v>
      </c>
      <c r="E119" s="107" t="s">
        <v>3155</v>
      </c>
      <c r="F119" s="102" t="s">
        <v>3157</v>
      </c>
      <c r="G119" s="106"/>
      <c r="H119" s="148"/>
      <c r="I119" s="175" t="s">
        <v>382</v>
      </c>
      <c r="J119" s="175" t="s">
        <v>3161</v>
      </c>
      <c r="K119" s="105">
        <v>50.5212147364027</v>
      </c>
      <c r="L119" s="105">
        <v>-3.7884559376263</v>
      </c>
      <c r="M119" s="106"/>
      <c r="N119" s="151" t="s">
        <v>558</v>
      </c>
      <c r="O119" s="152" t="b">
        <v>1</v>
      </c>
      <c r="P119" s="180" t="s">
        <v>812</v>
      </c>
      <c r="Q119" s="180" t="s">
        <v>674</v>
      </c>
      <c r="R119" s="151" t="s">
        <v>387</v>
      </c>
      <c r="S119" s="151" t="s">
        <v>387</v>
      </c>
      <c r="T119" s="151" t="s">
        <v>387</v>
      </c>
      <c r="U119" s="151" t="s">
        <v>387</v>
      </c>
      <c r="V119" s="151" t="s">
        <v>387</v>
      </c>
      <c r="W119" s="151" t="s">
        <v>387</v>
      </c>
      <c r="X119" s="151" t="s">
        <v>387</v>
      </c>
      <c r="Y119" s="151" t="s">
        <v>387</v>
      </c>
      <c r="Z119" s="151" t="s">
        <v>387</v>
      </c>
      <c r="AA119" s="151" t="s">
        <v>387</v>
      </c>
      <c r="AB119" s="151" t="s">
        <v>387</v>
      </c>
      <c r="AC119" s="151" t="s">
        <v>387</v>
      </c>
      <c r="AD119" s="151" t="s">
        <v>387</v>
      </c>
      <c r="AE119" s="151" t="s">
        <v>387</v>
      </c>
      <c r="AF119" s="107" t="s">
        <v>678</v>
      </c>
      <c r="AG119" s="107" t="s">
        <v>678</v>
      </c>
      <c r="AH119" s="108" t="b">
        <v>0</v>
      </c>
      <c r="AI119" s="154" t="b">
        <v>0</v>
      </c>
      <c r="AJ119" s="107" t="s">
        <v>412</v>
      </c>
      <c r="AK119" s="155"/>
      <c r="AL119" s="102" t="s">
        <v>387</v>
      </c>
      <c r="AM119" s="157" t="s">
        <v>387</v>
      </c>
      <c r="AN119" s="157" t="s">
        <v>387</v>
      </c>
      <c r="AO119" s="157" t="s">
        <v>387</v>
      </c>
      <c r="AP119" s="157" t="s">
        <v>387</v>
      </c>
      <c r="AQ119" s="157" t="s">
        <v>387</v>
      </c>
      <c r="AR119" s="157" t="s">
        <v>387</v>
      </c>
      <c r="AS119" s="157" t="s">
        <v>387</v>
      </c>
      <c r="AT119" s="157" t="s">
        <v>387</v>
      </c>
      <c r="AU119" s="157" t="s">
        <v>387</v>
      </c>
      <c r="AV119" s="157" t="s">
        <v>387</v>
      </c>
      <c r="AW119" s="157" t="s">
        <v>387</v>
      </c>
      <c r="AX119" s="157" t="s">
        <v>387</v>
      </c>
      <c r="AY119" s="157" t="s">
        <v>387</v>
      </c>
      <c r="AZ119" s="107" t="s">
        <v>588</v>
      </c>
      <c r="BA119" s="107" t="s">
        <v>1611</v>
      </c>
      <c r="BB119" s="107" t="s">
        <v>3178</v>
      </c>
      <c r="BC119" s="106"/>
      <c r="BD119" s="106"/>
      <c r="BE119" s="108" t="b">
        <v>0</v>
      </c>
      <c r="BF119" s="108" t="b">
        <v>0</v>
      </c>
      <c r="BG119" s="108" t="b">
        <v>0</v>
      </c>
      <c r="BH119" s="108" t="b">
        <v>1</v>
      </c>
      <c r="BI119" s="108" t="b">
        <v>1</v>
      </c>
      <c r="BJ119" s="108" t="b">
        <v>1</v>
      </c>
      <c r="BK119" s="108" t="b">
        <v>1</v>
      </c>
      <c r="BL119" s="107" t="s">
        <v>519</v>
      </c>
      <c r="BM119" s="107" t="s">
        <v>950</v>
      </c>
      <c r="BN119" s="107" t="s">
        <v>654</v>
      </c>
      <c r="BO119" s="102" t="s">
        <v>3188</v>
      </c>
      <c r="BP119" s="107" t="s">
        <v>514</v>
      </c>
      <c r="BQ119" s="107" t="s">
        <v>952</v>
      </c>
      <c r="BR119" s="107" t="s">
        <v>3194</v>
      </c>
      <c r="BS119" s="107" t="s">
        <v>954</v>
      </c>
      <c r="BT119" s="102" t="s">
        <v>3196</v>
      </c>
      <c r="BU119" s="102" t="s">
        <v>3197</v>
      </c>
      <c r="BV119" s="123">
        <v>46260.0</v>
      </c>
      <c r="BW119" s="108" t="b">
        <v>0</v>
      </c>
      <c r="BX119" s="106"/>
    </row>
    <row r="120" ht="24.75" customHeight="1">
      <c r="A120" s="89" t="s">
        <v>348</v>
      </c>
      <c r="B120" s="89" t="s">
        <v>899</v>
      </c>
      <c r="C120" s="95" t="s">
        <v>1543</v>
      </c>
      <c r="D120" s="175" t="s">
        <v>3200</v>
      </c>
      <c r="E120" s="102" t="s">
        <v>1442</v>
      </c>
      <c r="F120" s="188" t="s">
        <v>3204</v>
      </c>
      <c r="G120" s="107" t="s">
        <v>1529</v>
      </c>
      <c r="H120" s="106"/>
      <c r="I120" s="107" t="s">
        <v>437</v>
      </c>
      <c r="J120" s="89" t="s">
        <v>3207</v>
      </c>
      <c r="K120" s="105">
        <v>50.7223715827965</v>
      </c>
      <c r="L120" s="105">
        <v>-3.28926526900621</v>
      </c>
      <c r="M120" s="106"/>
      <c r="N120" s="107" t="s">
        <v>558</v>
      </c>
      <c r="O120" s="204" t="b">
        <v>1</v>
      </c>
      <c r="P120" s="109">
        <v>0.0</v>
      </c>
      <c r="Q120" s="180" t="s">
        <v>674</v>
      </c>
      <c r="R120" s="107" t="s">
        <v>387</v>
      </c>
      <c r="S120" s="107" t="s">
        <v>387</v>
      </c>
      <c r="T120" s="107" t="s">
        <v>387</v>
      </c>
      <c r="U120" s="107" t="s">
        <v>387</v>
      </c>
      <c r="V120" s="107" t="s">
        <v>387</v>
      </c>
      <c r="W120" s="107" t="s">
        <v>387</v>
      </c>
      <c r="X120" s="107" t="s">
        <v>387</v>
      </c>
      <c r="Y120" s="107" t="s">
        <v>387</v>
      </c>
      <c r="Z120" s="107" t="s">
        <v>387</v>
      </c>
      <c r="AA120" s="107" t="s">
        <v>387</v>
      </c>
      <c r="AB120" s="107" t="s">
        <v>387</v>
      </c>
      <c r="AC120" s="107" t="s">
        <v>387</v>
      </c>
      <c r="AD120" s="107" t="s">
        <v>387</v>
      </c>
      <c r="AE120" s="107" t="s">
        <v>387</v>
      </c>
      <c r="AF120" s="102" t="s">
        <v>387</v>
      </c>
      <c r="AG120" s="107" t="s">
        <v>387</v>
      </c>
      <c r="AH120" s="108" t="b">
        <v>0</v>
      </c>
      <c r="AI120" s="108" t="b">
        <v>0</v>
      </c>
      <c r="AJ120" s="107" t="s">
        <v>412</v>
      </c>
      <c r="AK120" s="106"/>
      <c r="AL120" s="107" t="s">
        <v>387</v>
      </c>
      <c r="AM120" s="113" t="s">
        <v>387</v>
      </c>
      <c r="AN120" s="107" t="s">
        <v>387</v>
      </c>
      <c r="AO120" s="113" t="s">
        <v>387</v>
      </c>
      <c r="AP120" s="107" t="s">
        <v>387</v>
      </c>
      <c r="AQ120" s="113" t="s">
        <v>387</v>
      </c>
      <c r="AR120" s="107" t="s">
        <v>387</v>
      </c>
      <c r="AS120" s="113" t="s">
        <v>387</v>
      </c>
      <c r="AT120" s="107" t="s">
        <v>387</v>
      </c>
      <c r="AU120" s="113" t="s">
        <v>387</v>
      </c>
      <c r="AV120" s="107" t="s">
        <v>387</v>
      </c>
      <c r="AW120" s="113" t="s">
        <v>387</v>
      </c>
      <c r="AX120" s="107" t="s">
        <v>387</v>
      </c>
      <c r="AY120" s="113" t="s">
        <v>387</v>
      </c>
      <c r="AZ120" s="107" t="s">
        <v>1627</v>
      </c>
      <c r="BA120" s="140" t="s">
        <v>685</v>
      </c>
      <c r="BB120" s="106"/>
      <c r="BC120" s="106"/>
      <c r="BD120" s="107" t="s">
        <v>656</v>
      </c>
      <c r="BE120" s="108" t="b">
        <v>1</v>
      </c>
      <c r="BF120" s="108" t="b">
        <v>1</v>
      </c>
      <c r="BG120" s="108" t="b">
        <v>1</v>
      </c>
      <c r="BH120" s="108" t="b">
        <v>1</v>
      </c>
      <c r="BI120" s="108" t="b">
        <v>1</v>
      </c>
      <c r="BJ120" s="108" t="b">
        <v>1</v>
      </c>
      <c r="BK120" s="108" t="b">
        <v>1</v>
      </c>
      <c r="BL120" s="107" t="s">
        <v>519</v>
      </c>
      <c r="BM120" s="107" t="s">
        <v>1215</v>
      </c>
      <c r="BN120" s="107" t="s">
        <v>1457</v>
      </c>
      <c r="BO120" s="102" t="s">
        <v>3223</v>
      </c>
      <c r="BP120" s="106"/>
      <c r="BQ120" s="106"/>
      <c r="BR120" s="102" t="s">
        <v>3227</v>
      </c>
      <c r="BS120" s="102" t="s">
        <v>3229</v>
      </c>
      <c r="BT120" s="102" t="s">
        <v>3230</v>
      </c>
      <c r="BU120" s="102" t="s">
        <v>530</v>
      </c>
      <c r="BV120" s="123">
        <v>46260.0</v>
      </c>
      <c r="BW120" s="108" t="b">
        <v>0</v>
      </c>
      <c r="BX120" s="106"/>
    </row>
    <row r="121" ht="24.75" customHeight="1">
      <c r="A121" s="89" t="s">
        <v>348</v>
      </c>
      <c r="B121" s="89" t="s">
        <v>595</v>
      </c>
      <c r="C121" s="95" t="s">
        <v>1069</v>
      </c>
      <c r="D121" s="102" t="s">
        <v>3235</v>
      </c>
      <c r="E121" s="189" t="s">
        <v>3237</v>
      </c>
      <c r="F121" s="188" t="s">
        <v>3240</v>
      </c>
      <c r="G121" s="102" t="s">
        <v>3242</v>
      </c>
      <c r="H121" s="102" t="s">
        <v>1590</v>
      </c>
      <c r="I121" s="102" t="s">
        <v>831</v>
      </c>
      <c r="J121" s="95" t="s">
        <v>1591</v>
      </c>
      <c r="K121" s="105">
        <v>50.6794174756608</v>
      </c>
      <c r="L121" s="105">
        <v>-3.45721478333876</v>
      </c>
      <c r="M121" s="106"/>
      <c r="N121" s="107" t="s">
        <v>3244</v>
      </c>
      <c r="O121" s="108" t="b">
        <v>1</v>
      </c>
      <c r="P121" s="109">
        <v>0.4166666666666667</v>
      </c>
      <c r="Q121" s="109">
        <v>0.625</v>
      </c>
      <c r="R121" s="107" t="s">
        <v>387</v>
      </c>
      <c r="S121" s="107" t="s">
        <v>387</v>
      </c>
      <c r="T121" s="107" t="s">
        <v>387</v>
      </c>
      <c r="U121" s="107" t="s">
        <v>387</v>
      </c>
      <c r="V121" s="107" t="s">
        <v>387</v>
      </c>
      <c r="W121" s="107" t="s">
        <v>387</v>
      </c>
      <c r="X121" s="107" t="s">
        <v>387</v>
      </c>
      <c r="Y121" s="107" t="s">
        <v>387</v>
      </c>
      <c r="Z121" s="107" t="s">
        <v>387</v>
      </c>
      <c r="AA121" s="107" t="s">
        <v>387</v>
      </c>
      <c r="AB121" s="107" t="s">
        <v>387</v>
      </c>
      <c r="AC121" s="107" t="s">
        <v>387</v>
      </c>
      <c r="AD121" s="107" t="s">
        <v>387</v>
      </c>
      <c r="AE121" s="107" t="s">
        <v>387</v>
      </c>
      <c r="AF121" s="102" t="s">
        <v>3248</v>
      </c>
      <c r="AG121" s="106"/>
      <c r="AH121" s="108" t="b">
        <v>0</v>
      </c>
      <c r="AI121" s="108" t="b">
        <v>0</v>
      </c>
      <c r="AJ121" s="107" t="s">
        <v>412</v>
      </c>
      <c r="AK121" s="106"/>
      <c r="AL121" s="107" t="s">
        <v>387</v>
      </c>
      <c r="AM121" s="113" t="s">
        <v>387</v>
      </c>
      <c r="AN121" s="107" t="s">
        <v>387</v>
      </c>
      <c r="AO121" s="113" t="s">
        <v>387</v>
      </c>
      <c r="AP121" s="107" t="s">
        <v>387</v>
      </c>
      <c r="AQ121" s="113" t="s">
        <v>387</v>
      </c>
      <c r="AR121" s="107" t="s">
        <v>387</v>
      </c>
      <c r="AS121" s="113" t="s">
        <v>387</v>
      </c>
      <c r="AT121" s="107" t="s">
        <v>387</v>
      </c>
      <c r="AU121" s="113" t="s">
        <v>387</v>
      </c>
      <c r="AV121" s="107" t="s">
        <v>387</v>
      </c>
      <c r="AW121" s="113" t="s">
        <v>387</v>
      </c>
      <c r="AX121" s="107" t="s">
        <v>387</v>
      </c>
      <c r="AY121" s="113" t="s">
        <v>387</v>
      </c>
      <c r="AZ121" s="107" t="s">
        <v>3254</v>
      </c>
      <c r="BA121" s="140" t="s">
        <v>1235</v>
      </c>
      <c r="BB121" s="106"/>
      <c r="BC121" s="106"/>
      <c r="BD121" s="106"/>
      <c r="BE121" s="108" t="b">
        <v>0</v>
      </c>
      <c r="BF121" s="108" t="b">
        <v>0</v>
      </c>
      <c r="BG121" s="108" t="b">
        <v>1</v>
      </c>
      <c r="BH121" s="108" t="b">
        <v>1</v>
      </c>
      <c r="BI121" s="108" t="b">
        <v>1</v>
      </c>
      <c r="BJ121" s="108" t="b">
        <v>1</v>
      </c>
      <c r="BK121" s="108" t="b">
        <v>1</v>
      </c>
      <c r="BL121" s="107" t="s">
        <v>649</v>
      </c>
      <c r="BM121" s="107" t="s">
        <v>3263</v>
      </c>
      <c r="BN121" s="107" t="s">
        <v>1091</v>
      </c>
      <c r="BO121" s="102" t="s">
        <v>3265</v>
      </c>
      <c r="BP121" s="106"/>
      <c r="BQ121" s="107" t="s">
        <v>3267</v>
      </c>
      <c r="BR121" s="102" t="s">
        <v>3270</v>
      </c>
      <c r="BS121" s="102" t="s">
        <v>774</v>
      </c>
      <c r="BT121" s="188" t="s">
        <v>3272</v>
      </c>
      <c r="BU121" s="102" t="s">
        <v>530</v>
      </c>
      <c r="BV121" s="123">
        <v>46260.0</v>
      </c>
      <c r="BW121" s="108" t="b">
        <v>0</v>
      </c>
      <c r="BX121" s="106"/>
    </row>
    <row r="122" ht="24.75" customHeight="1">
      <c r="A122" s="89" t="s">
        <v>348</v>
      </c>
      <c r="B122" s="89" t="s">
        <v>352</v>
      </c>
      <c r="C122" s="89" t="s">
        <v>1260</v>
      </c>
      <c r="D122" s="98" t="s">
        <v>3278</v>
      </c>
      <c r="E122" s="107" t="s">
        <v>339</v>
      </c>
      <c r="F122" s="102" t="s">
        <v>3280</v>
      </c>
      <c r="G122" s="106"/>
      <c r="H122" s="175" t="s">
        <v>668</v>
      </c>
      <c r="I122" s="175" t="s">
        <v>669</v>
      </c>
      <c r="J122" s="175" t="s">
        <v>1113</v>
      </c>
      <c r="K122" s="105">
        <v>50.6132207270838</v>
      </c>
      <c r="L122" s="105">
        <v>-3.40966853455697</v>
      </c>
      <c r="M122" s="106"/>
      <c r="N122" s="107" t="s">
        <v>558</v>
      </c>
      <c r="O122" s="108" t="b">
        <v>1</v>
      </c>
      <c r="P122" s="109">
        <v>0.4166666666666667</v>
      </c>
      <c r="Q122" s="109">
        <v>0.75</v>
      </c>
      <c r="R122" s="151" t="s">
        <v>387</v>
      </c>
      <c r="S122" s="151" t="s">
        <v>387</v>
      </c>
      <c r="T122" s="151" t="s">
        <v>387</v>
      </c>
      <c r="U122" s="151" t="s">
        <v>387</v>
      </c>
      <c r="V122" s="151" t="s">
        <v>387</v>
      </c>
      <c r="W122" s="151" t="s">
        <v>387</v>
      </c>
      <c r="X122" s="151" t="s">
        <v>387</v>
      </c>
      <c r="Y122" s="151" t="s">
        <v>387</v>
      </c>
      <c r="Z122" s="151" t="s">
        <v>387</v>
      </c>
      <c r="AA122" s="151" t="s">
        <v>387</v>
      </c>
      <c r="AB122" s="151" t="s">
        <v>387</v>
      </c>
      <c r="AC122" s="151" t="s">
        <v>387</v>
      </c>
      <c r="AD122" s="151" t="s">
        <v>387</v>
      </c>
      <c r="AE122" s="151" t="s">
        <v>387</v>
      </c>
      <c r="AF122" s="102" t="s">
        <v>387</v>
      </c>
      <c r="AG122" s="106"/>
      <c r="AH122" s="108" t="b">
        <v>0</v>
      </c>
      <c r="AI122" s="108" t="b">
        <v>0</v>
      </c>
      <c r="AJ122" s="107" t="s">
        <v>412</v>
      </c>
      <c r="AK122" s="106"/>
      <c r="AL122" s="102" t="s">
        <v>387</v>
      </c>
      <c r="AM122" s="157" t="s">
        <v>387</v>
      </c>
      <c r="AN122" s="157" t="s">
        <v>387</v>
      </c>
      <c r="AO122" s="157" t="s">
        <v>387</v>
      </c>
      <c r="AP122" s="102" t="s">
        <v>387</v>
      </c>
      <c r="AQ122" s="157" t="s">
        <v>387</v>
      </c>
      <c r="AR122" s="102" t="s">
        <v>387</v>
      </c>
      <c r="AS122" s="157" t="s">
        <v>387</v>
      </c>
      <c r="AT122" s="157" t="s">
        <v>387</v>
      </c>
      <c r="AU122" s="157" t="s">
        <v>387</v>
      </c>
      <c r="AV122" s="102" t="s">
        <v>387</v>
      </c>
      <c r="AW122" s="157" t="s">
        <v>387</v>
      </c>
      <c r="AX122" s="102" t="s">
        <v>387</v>
      </c>
      <c r="AY122" s="157" t="s">
        <v>387</v>
      </c>
      <c r="AZ122" s="107" t="s">
        <v>648</v>
      </c>
      <c r="BA122" s="106"/>
      <c r="BB122" s="107" t="s">
        <v>1005</v>
      </c>
      <c r="BC122" s="107" t="s">
        <v>3296</v>
      </c>
      <c r="BD122" s="107" t="s">
        <v>656</v>
      </c>
      <c r="BE122" s="108" t="b">
        <v>1</v>
      </c>
      <c r="BF122" s="108" t="b">
        <v>1</v>
      </c>
      <c r="BG122" s="108" t="b">
        <v>1</v>
      </c>
      <c r="BH122" s="108" t="b">
        <v>1</v>
      </c>
      <c r="BI122" s="108" t="b">
        <v>1</v>
      </c>
      <c r="BJ122" s="108" t="b">
        <v>1</v>
      </c>
      <c r="BK122" s="108" t="b">
        <v>1</v>
      </c>
      <c r="BL122" s="107" t="s">
        <v>519</v>
      </c>
      <c r="BM122" s="107" t="s">
        <v>1215</v>
      </c>
      <c r="BN122" s="107" t="s">
        <v>1091</v>
      </c>
      <c r="BO122" s="102" t="s">
        <v>3301</v>
      </c>
      <c r="BP122" s="106"/>
      <c r="BQ122" s="106"/>
      <c r="BR122" s="107" t="s">
        <v>1279</v>
      </c>
      <c r="BS122" s="106"/>
      <c r="BT122" s="188" t="s">
        <v>3304</v>
      </c>
      <c r="BU122" s="102" t="s">
        <v>530</v>
      </c>
      <c r="BV122" s="123">
        <v>46260.0</v>
      </c>
      <c r="BW122" s="108" t="b">
        <v>0</v>
      </c>
      <c r="BX122" s="106"/>
    </row>
    <row r="123" ht="24.75" customHeight="1">
      <c r="A123" s="89" t="s">
        <v>348</v>
      </c>
      <c r="B123" s="89" t="s">
        <v>772</v>
      </c>
      <c r="C123" s="95" t="s">
        <v>3306</v>
      </c>
      <c r="D123" s="175" t="s">
        <v>3307</v>
      </c>
      <c r="E123" s="102" t="s">
        <v>339</v>
      </c>
      <c r="F123" s="102" t="s">
        <v>3308</v>
      </c>
      <c r="G123" s="102" t="s">
        <v>3311</v>
      </c>
      <c r="H123" s="106"/>
      <c r="I123" s="102" t="s">
        <v>3312</v>
      </c>
      <c r="J123" s="95" t="s">
        <v>3313</v>
      </c>
      <c r="K123" s="105">
        <v>50.5402100423649</v>
      </c>
      <c r="L123" s="105">
        <v>-3.50282327325047</v>
      </c>
      <c r="M123" s="106"/>
      <c r="N123" s="107" t="s">
        <v>3316</v>
      </c>
      <c r="O123" s="108" t="b">
        <v>1</v>
      </c>
      <c r="P123" s="171" t="s">
        <v>812</v>
      </c>
      <c r="Q123" s="171" t="s">
        <v>674</v>
      </c>
      <c r="R123" s="151" t="s">
        <v>387</v>
      </c>
      <c r="S123" s="151" t="s">
        <v>387</v>
      </c>
      <c r="T123" s="151" t="s">
        <v>387</v>
      </c>
      <c r="U123" s="151" t="s">
        <v>387</v>
      </c>
      <c r="V123" s="151" t="s">
        <v>387</v>
      </c>
      <c r="W123" s="151" t="s">
        <v>387</v>
      </c>
      <c r="X123" s="151" t="s">
        <v>387</v>
      </c>
      <c r="Y123" s="151" t="s">
        <v>387</v>
      </c>
      <c r="Z123" s="151" t="s">
        <v>387</v>
      </c>
      <c r="AA123" s="151" t="s">
        <v>387</v>
      </c>
      <c r="AB123" s="151" t="s">
        <v>387</v>
      </c>
      <c r="AC123" s="151" t="s">
        <v>387</v>
      </c>
      <c r="AD123" s="151" t="s">
        <v>387</v>
      </c>
      <c r="AE123" s="151" t="s">
        <v>387</v>
      </c>
      <c r="AF123" s="102" t="s">
        <v>387</v>
      </c>
      <c r="AG123" s="107" t="s">
        <v>678</v>
      </c>
      <c r="AH123" s="108" t="b">
        <v>0</v>
      </c>
      <c r="AI123" s="108" t="b">
        <v>0</v>
      </c>
      <c r="AJ123" s="107" t="s">
        <v>412</v>
      </c>
      <c r="AK123" s="106"/>
      <c r="AL123" s="107" t="s">
        <v>387</v>
      </c>
      <c r="AM123" s="113" t="s">
        <v>387</v>
      </c>
      <c r="AN123" s="107" t="s">
        <v>387</v>
      </c>
      <c r="AO123" s="113" t="s">
        <v>387</v>
      </c>
      <c r="AP123" s="107" t="s">
        <v>387</v>
      </c>
      <c r="AQ123" s="113" t="s">
        <v>387</v>
      </c>
      <c r="AR123" s="107" t="s">
        <v>387</v>
      </c>
      <c r="AS123" s="113" t="s">
        <v>387</v>
      </c>
      <c r="AT123" s="107" t="s">
        <v>387</v>
      </c>
      <c r="AU123" s="113" t="s">
        <v>387</v>
      </c>
      <c r="AV123" s="107" t="s">
        <v>387</v>
      </c>
      <c r="AW123" s="113" t="s">
        <v>387</v>
      </c>
      <c r="AX123" s="107" t="s">
        <v>387</v>
      </c>
      <c r="AY123" s="113" t="s">
        <v>387</v>
      </c>
      <c r="AZ123" s="107" t="s">
        <v>588</v>
      </c>
      <c r="BA123" s="140" t="s">
        <v>1611</v>
      </c>
      <c r="BB123" s="106"/>
      <c r="BC123" s="107" t="s">
        <v>483</v>
      </c>
      <c r="BD123" s="107" t="s">
        <v>656</v>
      </c>
      <c r="BE123" s="108" t="b">
        <v>1</v>
      </c>
      <c r="BF123" s="108" t="b">
        <v>1</v>
      </c>
      <c r="BG123" s="108" t="b">
        <v>1</v>
      </c>
      <c r="BH123" s="108" t="b">
        <v>1</v>
      </c>
      <c r="BI123" s="108" t="b">
        <v>1</v>
      </c>
      <c r="BJ123" s="108" t="b">
        <v>1</v>
      </c>
      <c r="BK123" s="108" t="b">
        <v>1</v>
      </c>
      <c r="BL123" s="107" t="s">
        <v>519</v>
      </c>
      <c r="BM123" s="107" t="s">
        <v>543</v>
      </c>
      <c r="BN123" s="107" t="s">
        <v>699</v>
      </c>
      <c r="BO123" s="102" t="s">
        <v>3336</v>
      </c>
      <c r="BP123" s="107" t="s">
        <v>514</v>
      </c>
      <c r="BQ123" s="106"/>
      <c r="BR123" s="102" t="s">
        <v>3340</v>
      </c>
      <c r="BS123" s="102" t="s">
        <v>3342</v>
      </c>
      <c r="BT123" s="107" t="s">
        <v>3343</v>
      </c>
      <c r="BU123" s="102" t="s">
        <v>892</v>
      </c>
      <c r="BV123" s="123">
        <v>46260.0</v>
      </c>
      <c r="BW123" s="108" t="b">
        <v>0</v>
      </c>
      <c r="BX123" s="106"/>
    </row>
    <row r="124" ht="24.75" customHeight="1">
      <c r="A124" s="89" t="s">
        <v>348</v>
      </c>
      <c r="B124" s="89" t="s">
        <v>772</v>
      </c>
      <c r="C124" s="89" t="s">
        <v>3347</v>
      </c>
      <c r="D124" s="98" t="s">
        <v>3349</v>
      </c>
      <c r="E124" s="107" t="s">
        <v>1442</v>
      </c>
      <c r="F124" s="102" t="s">
        <v>3353</v>
      </c>
      <c r="G124" s="102" t="s">
        <v>3349</v>
      </c>
      <c r="H124" s="148"/>
      <c r="I124" s="175" t="s">
        <v>669</v>
      </c>
      <c r="J124" s="175" t="s">
        <v>3356</v>
      </c>
      <c r="K124" s="105">
        <v>50.6195196756509</v>
      </c>
      <c r="L124" s="105">
        <v>-3.4256739527374</v>
      </c>
      <c r="M124" s="106"/>
      <c r="N124" s="107" t="s">
        <v>558</v>
      </c>
      <c r="O124" s="108" t="b">
        <v>1</v>
      </c>
      <c r="P124" s="109">
        <v>0.0</v>
      </c>
      <c r="Q124" s="171" t="s">
        <v>674</v>
      </c>
      <c r="R124" s="151" t="s">
        <v>387</v>
      </c>
      <c r="S124" s="151" t="s">
        <v>387</v>
      </c>
      <c r="T124" s="151" t="s">
        <v>387</v>
      </c>
      <c r="U124" s="151" t="s">
        <v>387</v>
      </c>
      <c r="V124" s="151" t="s">
        <v>387</v>
      </c>
      <c r="W124" s="151" t="s">
        <v>387</v>
      </c>
      <c r="X124" s="151" t="s">
        <v>387</v>
      </c>
      <c r="Y124" s="151" t="s">
        <v>387</v>
      </c>
      <c r="Z124" s="151" t="s">
        <v>387</v>
      </c>
      <c r="AA124" s="151" t="s">
        <v>387</v>
      </c>
      <c r="AB124" s="151" t="s">
        <v>387</v>
      </c>
      <c r="AC124" s="151" t="s">
        <v>387</v>
      </c>
      <c r="AD124" s="151" t="s">
        <v>387</v>
      </c>
      <c r="AE124" s="151" t="s">
        <v>387</v>
      </c>
      <c r="AF124" s="102" t="s">
        <v>387</v>
      </c>
      <c r="AG124" s="107" t="s">
        <v>678</v>
      </c>
      <c r="AH124" s="108" t="b">
        <v>0</v>
      </c>
      <c r="AI124" s="108" t="b">
        <v>0</v>
      </c>
      <c r="AJ124" s="107" t="s">
        <v>412</v>
      </c>
      <c r="AK124" s="106"/>
      <c r="AL124" s="102" t="s">
        <v>387</v>
      </c>
      <c r="AM124" s="157" t="s">
        <v>387</v>
      </c>
      <c r="AN124" s="157" t="s">
        <v>387</v>
      </c>
      <c r="AO124" s="157" t="s">
        <v>387</v>
      </c>
      <c r="AP124" s="102" t="s">
        <v>387</v>
      </c>
      <c r="AQ124" s="157" t="s">
        <v>387</v>
      </c>
      <c r="AR124" s="102" t="s">
        <v>387</v>
      </c>
      <c r="AS124" s="157" t="s">
        <v>387</v>
      </c>
      <c r="AT124" s="157" t="s">
        <v>387</v>
      </c>
      <c r="AU124" s="157" t="s">
        <v>387</v>
      </c>
      <c r="AV124" s="102" t="s">
        <v>387</v>
      </c>
      <c r="AW124" s="157" t="s">
        <v>387</v>
      </c>
      <c r="AX124" s="102" t="s">
        <v>387</v>
      </c>
      <c r="AY124" s="157" t="s">
        <v>387</v>
      </c>
      <c r="AZ124" s="107" t="s">
        <v>588</v>
      </c>
      <c r="BA124" s="140" t="s">
        <v>685</v>
      </c>
      <c r="BB124" s="106"/>
      <c r="BC124" s="106"/>
      <c r="BD124" s="106"/>
      <c r="BE124" s="108" t="b">
        <v>1</v>
      </c>
      <c r="BF124" s="108" t="b">
        <v>1</v>
      </c>
      <c r="BG124" s="108" t="b">
        <v>1</v>
      </c>
      <c r="BH124" s="108" t="b">
        <v>1</v>
      </c>
      <c r="BI124" s="108" t="b">
        <v>1</v>
      </c>
      <c r="BJ124" s="108" t="b">
        <v>1</v>
      </c>
      <c r="BK124" s="108" t="b">
        <v>1</v>
      </c>
      <c r="BL124" s="107" t="s">
        <v>519</v>
      </c>
      <c r="BM124" s="107" t="s">
        <v>597</v>
      </c>
      <c r="BN124" s="107" t="s">
        <v>818</v>
      </c>
      <c r="BO124" s="102" t="s">
        <v>3372</v>
      </c>
      <c r="BP124" s="106"/>
      <c r="BQ124" s="106"/>
      <c r="BR124" s="107" t="s">
        <v>3376</v>
      </c>
      <c r="BS124" s="106"/>
      <c r="BT124" s="188" t="s">
        <v>3378</v>
      </c>
      <c r="BU124" s="102" t="s">
        <v>725</v>
      </c>
      <c r="BV124" s="123">
        <v>46260.0</v>
      </c>
      <c r="BW124" s="108" t="b">
        <v>0</v>
      </c>
      <c r="BX124" s="106"/>
    </row>
    <row r="125" ht="24.75" customHeight="1">
      <c r="A125" s="250" t="s">
        <v>348</v>
      </c>
      <c r="B125" s="89" t="s">
        <v>2753</v>
      </c>
      <c r="C125" s="89" t="s">
        <v>2754</v>
      </c>
      <c r="D125" s="98" t="s">
        <v>3388</v>
      </c>
      <c r="E125" s="107" t="s">
        <v>3390</v>
      </c>
      <c r="F125" s="102" t="s">
        <v>3392</v>
      </c>
      <c r="G125" s="102" t="s">
        <v>1067</v>
      </c>
      <c r="H125" s="148"/>
      <c r="I125" s="98" t="s">
        <v>437</v>
      </c>
      <c r="J125" s="98" t="s">
        <v>1070</v>
      </c>
      <c r="K125" s="149">
        <v>50.6810933430029</v>
      </c>
      <c r="L125" s="149">
        <v>-3.23841217479671</v>
      </c>
      <c r="M125" s="106"/>
      <c r="N125" s="151" t="s">
        <v>3397</v>
      </c>
      <c r="O125" s="152" t="b">
        <v>0</v>
      </c>
      <c r="P125" s="151" t="s">
        <v>387</v>
      </c>
      <c r="Q125" s="151" t="s">
        <v>387</v>
      </c>
      <c r="R125" s="151" t="s">
        <v>387</v>
      </c>
      <c r="S125" s="151" t="s">
        <v>387</v>
      </c>
      <c r="T125" s="151" t="s">
        <v>387</v>
      </c>
      <c r="U125" s="151" t="s">
        <v>387</v>
      </c>
      <c r="V125" s="109">
        <v>0.375</v>
      </c>
      <c r="W125" s="109">
        <v>0.7083333333333334</v>
      </c>
      <c r="X125" s="109">
        <v>0.375</v>
      </c>
      <c r="Y125" s="109">
        <v>0.7083333333333334</v>
      </c>
      <c r="Z125" s="109">
        <v>0.375</v>
      </c>
      <c r="AA125" s="109">
        <v>0.75</v>
      </c>
      <c r="AB125" s="109">
        <v>0.375</v>
      </c>
      <c r="AC125" s="109">
        <v>0.5416666666666666</v>
      </c>
      <c r="AD125" s="151" t="s">
        <v>387</v>
      </c>
      <c r="AE125" s="151" t="s">
        <v>387</v>
      </c>
      <c r="AF125" s="107" t="s">
        <v>74</v>
      </c>
      <c r="AG125" s="107" t="s">
        <v>1968</v>
      </c>
      <c r="AH125" s="108" t="b">
        <v>0</v>
      </c>
      <c r="AI125" s="154" t="b">
        <v>0</v>
      </c>
      <c r="AJ125" s="107" t="s">
        <v>412</v>
      </c>
      <c r="AK125" s="155"/>
      <c r="AL125" s="102" t="s">
        <v>387</v>
      </c>
      <c r="AM125" s="157" t="s">
        <v>387</v>
      </c>
      <c r="AN125" s="157" t="s">
        <v>387</v>
      </c>
      <c r="AO125" s="157" t="s">
        <v>387</v>
      </c>
      <c r="AP125" s="157" t="s">
        <v>387</v>
      </c>
      <c r="AQ125" s="157" t="s">
        <v>387</v>
      </c>
      <c r="AR125" s="157" t="s">
        <v>387</v>
      </c>
      <c r="AS125" s="157" t="s">
        <v>387</v>
      </c>
      <c r="AT125" s="157" t="s">
        <v>387</v>
      </c>
      <c r="AU125" s="157" t="s">
        <v>387</v>
      </c>
      <c r="AV125" s="157" t="s">
        <v>387</v>
      </c>
      <c r="AW125" s="157" t="s">
        <v>387</v>
      </c>
      <c r="AX125" s="157" t="s">
        <v>387</v>
      </c>
      <c r="AY125" s="157" t="s">
        <v>387</v>
      </c>
      <c r="AZ125" s="107" t="s">
        <v>648</v>
      </c>
      <c r="BA125" s="107" t="s">
        <v>3412</v>
      </c>
      <c r="BB125" s="107" t="s">
        <v>3414</v>
      </c>
      <c r="BC125" s="107" t="s">
        <v>3417</v>
      </c>
      <c r="BD125" s="106"/>
      <c r="BE125" s="108" t="b">
        <v>0</v>
      </c>
      <c r="BF125" s="108" t="b">
        <v>0</v>
      </c>
      <c r="BG125" s="108" t="b">
        <v>1</v>
      </c>
      <c r="BH125" s="108" t="b">
        <v>1</v>
      </c>
      <c r="BI125" s="108" t="b">
        <v>1</v>
      </c>
      <c r="BJ125" s="108" t="b">
        <v>1</v>
      </c>
      <c r="BK125" s="108" t="b">
        <v>1</v>
      </c>
      <c r="BL125" s="107" t="s">
        <v>649</v>
      </c>
      <c r="BM125" s="107" t="s">
        <v>2445</v>
      </c>
      <c r="BN125" s="107" t="s">
        <v>1321</v>
      </c>
      <c r="BO125" s="102" t="s">
        <v>3428</v>
      </c>
      <c r="BP125" s="106"/>
      <c r="BQ125" s="106"/>
      <c r="BR125" s="226" t="s">
        <v>2765</v>
      </c>
      <c r="BS125" s="106"/>
      <c r="BT125" s="102" t="s">
        <v>3435</v>
      </c>
      <c r="BU125" s="102" t="s">
        <v>530</v>
      </c>
      <c r="BV125" s="123">
        <v>46260.0</v>
      </c>
      <c r="BW125" s="108" t="b">
        <v>0</v>
      </c>
      <c r="BX125" s="106"/>
    </row>
    <row r="126" ht="24.75" customHeight="1">
      <c r="A126" s="250" t="s">
        <v>348</v>
      </c>
      <c r="B126" s="89" t="s">
        <v>772</v>
      </c>
      <c r="C126" s="95" t="s">
        <v>2449</v>
      </c>
      <c r="D126" s="175" t="s">
        <v>3441</v>
      </c>
      <c r="E126" s="102" t="s">
        <v>653</v>
      </c>
      <c r="F126" s="102" t="s">
        <v>3442</v>
      </c>
      <c r="G126" s="102" t="s">
        <v>3443</v>
      </c>
      <c r="H126" s="106"/>
      <c r="I126" s="102" t="s">
        <v>437</v>
      </c>
      <c r="J126" s="95" t="s">
        <v>3445</v>
      </c>
      <c r="K126" s="105">
        <v>50.6768365715472</v>
      </c>
      <c r="L126" s="105">
        <v>-3.24104586741937</v>
      </c>
      <c r="M126" s="106"/>
      <c r="N126" s="107" t="s">
        <v>558</v>
      </c>
      <c r="O126" s="108" t="b">
        <v>1</v>
      </c>
      <c r="P126" s="180" t="s">
        <v>812</v>
      </c>
      <c r="Q126" s="180" t="s">
        <v>674</v>
      </c>
      <c r="R126" s="151" t="s">
        <v>387</v>
      </c>
      <c r="S126" s="151" t="s">
        <v>387</v>
      </c>
      <c r="T126" s="151" t="s">
        <v>387</v>
      </c>
      <c r="U126" s="151" t="s">
        <v>387</v>
      </c>
      <c r="V126" s="151" t="s">
        <v>387</v>
      </c>
      <c r="W126" s="151" t="s">
        <v>387</v>
      </c>
      <c r="X126" s="151" t="s">
        <v>387</v>
      </c>
      <c r="Y126" s="151" t="s">
        <v>387</v>
      </c>
      <c r="Z126" s="151" t="s">
        <v>387</v>
      </c>
      <c r="AA126" s="151" t="s">
        <v>387</v>
      </c>
      <c r="AB126" s="151" t="s">
        <v>387</v>
      </c>
      <c r="AC126" s="151" t="s">
        <v>387</v>
      </c>
      <c r="AD126" s="107" t="s">
        <v>387</v>
      </c>
      <c r="AE126" s="107" t="s">
        <v>387</v>
      </c>
      <c r="AF126" s="102" t="s">
        <v>387</v>
      </c>
      <c r="AG126" s="107" t="s">
        <v>678</v>
      </c>
      <c r="AH126" s="108" t="b">
        <v>0</v>
      </c>
      <c r="AI126" s="108" t="b">
        <v>0</v>
      </c>
      <c r="AJ126" s="107" t="s">
        <v>412</v>
      </c>
      <c r="AK126" s="106"/>
      <c r="AL126" s="107" t="s">
        <v>387</v>
      </c>
      <c r="AM126" s="113" t="s">
        <v>387</v>
      </c>
      <c r="AN126" s="107" t="s">
        <v>387</v>
      </c>
      <c r="AO126" s="113" t="s">
        <v>387</v>
      </c>
      <c r="AP126" s="107" t="s">
        <v>387</v>
      </c>
      <c r="AQ126" s="113" t="s">
        <v>387</v>
      </c>
      <c r="AR126" s="107" t="s">
        <v>387</v>
      </c>
      <c r="AS126" s="113" t="s">
        <v>387</v>
      </c>
      <c r="AT126" s="107" t="s">
        <v>387</v>
      </c>
      <c r="AU126" s="113" t="s">
        <v>387</v>
      </c>
      <c r="AV126" s="107" t="s">
        <v>387</v>
      </c>
      <c r="AW126" s="113" t="s">
        <v>387</v>
      </c>
      <c r="AX126" s="107" t="s">
        <v>387</v>
      </c>
      <c r="AY126" s="113" t="s">
        <v>387</v>
      </c>
      <c r="AZ126" s="107" t="s">
        <v>648</v>
      </c>
      <c r="BA126" s="140" t="s">
        <v>2835</v>
      </c>
      <c r="BB126" s="106"/>
      <c r="BC126" s="107" t="s">
        <v>1542</v>
      </c>
      <c r="BD126" s="107" t="s">
        <v>656</v>
      </c>
      <c r="BE126" s="108" t="b">
        <v>1</v>
      </c>
      <c r="BF126" s="108" t="b">
        <v>1</v>
      </c>
      <c r="BG126" s="108" t="b">
        <v>1</v>
      </c>
      <c r="BH126" s="108" t="b">
        <v>1</v>
      </c>
      <c r="BI126" s="108" t="b">
        <v>1</v>
      </c>
      <c r="BJ126" s="108" t="b">
        <v>1</v>
      </c>
      <c r="BK126" s="108" t="b">
        <v>1</v>
      </c>
      <c r="BL126" s="107" t="s">
        <v>519</v>
      </c>
      <c r="BM126" s="107" t="s">
        <v>543</v>
      </c>
      <c r="BN126" s="107" t="s">
        <v>818</v>
      </c>
      <c r="BO126" s="102" t="s">
        <v>3469</v>
      </c>
      <c r="BP126" s="107" t="s">
        <v>514</v>
      </c>
      <c r="BQ126" s="106"/>
      <c r="BR126" s="102" t="s">
        <v>3473</v>
      </c>
      <c r="BS126" s="102" t="s">
        <v>2577</v>
      </c>
      <c r="BT126" s="102" t="s">
        <v>3476</v>
      </c>
      <c r="BU126" s="102" t="s">
        <v>530</v>
      </c>
      <c r="BV126" s="123">
        <v>46260.0</v>
      </c>
      <c r="BW126" s="108" t="b">
        <v>0</v>
      </c>
      <c r="BX126" s="106"/>
    </row>
    <row r="127" ht="24.75" customHeight="1">
      <c r="A127" s="250" t="s">
        <v>348</v>
      </c>
      <c r="B127" s="89" t="s">
        <v>772</v>
      </c>
      <c r="C127" s="89" t="s">
        <v>782</v>
      </c>
      <c r="D127" s="98" t="s">
        <v>3480</v>
      </c>
      <c r="E127" s="107" t="s">
        <v>1442</v>
      </c>
      <c r="F127" s="102" t="s">
        <v>3484</v>
      </c>
      <c r="G127" s="102" t="s">
        <v>3485</v>
      </c>
      <c r="H127" s="148"/>
      <c r="I127" s="98" t="s">
        <v>3489</v>
      </c>
      <c r="J127" s="98" t="s">
        <v>3491</v>
      </c>
      <c r="K127" s="149">
        <v>50.2859101437083</v>
      </c>
      <c r="L127" s="149">
        <v>-3.64577519417877</v>
      </c>
      <c r="M127" s="106"/>
      <c r="N127" s="151" t="s">
        <v>558</v>
      </c>
      <c r="O127" s="204" t="b">
        <v>1</v>
      </c>
      <c r="P127" s="180" t="s">
        <v>812</v>
      </c>
      <c r="Q127" s="180" t="s">
        <v>674</v>
      </c>
      <c r="R127" s="151" t="s">
        <v>387</v>
      </c>
      <c r="S127" s="151" t="s">
        <v>387</v>
      </c>
      <c r="T127" s="151" t="s">
        <v>387</v>
      </c>
      <c r="U127" s="151" t="s">
        <v>387</v>
      </c>
      <c r="V127" s="151" t="s">
        <v>387</v>
      </c>
      <c r="W127" s="151" t="s">
        <v>387</v>
      </c>
      <c r="X127" s="151" t="s">
        <v>387</v>
      </c>
      <c r="Y127" s="151" t="s">
        <v>387</v>
      </c>
      <c r="Z127" s="151" t="s">
        <v>387</v>
      </c>
      <c r="AA127" s="151" t="s">
        <v>387</v>
      </c>
      <c r="AB127" s="151" t="s">
        <v>387</v>
      </c>
      <c r="AC127" s="151" t="s">
        <v>387</v>
      </c>
      <c r="AD127" s="151" t="s">
        <v>387</v>
      </c>
      <c r="AE127" s="151" t="s">
        <v>387</v>
      </c>
      <c r="AF127" s="107" t="s">
        <v>387</v>
      </c>
      <c r="AG127" s="107" t="s">
        <v>678</v>
      </c>
      <c r="AH127" s="108" t="b">
        <v>0</v>
      </c>
      <c r="AI127" s="154" t="b">
        <v>0</v>
      </c>
      <c r="AJ127" s="107" t="s">
        <v>412</v>
      </c>
      <c r="AK127" s="155"/>
      <c r="AL127" s="102" t="s">
        <v>387</v>
      </c>
      <c r="AM127" s="157" t="s">
        <v>387</v>
      </c>
      <c r="AN127" s="157" t="s">
        <v>387</v>
      </c>
      <c r="AO127" s="157" t="s">
        <v>387</v>
      </c>
      <c r="AP127" s="157" t="s">
        <v>387</v>
      </c>
      <c r="AQ127" s="157" t="s">
        <v>387</v>
      </c>
      <c r="AR127" s="157" t="s">
        <v>387</v>
      </c>
      <c r="AS127" s="157" t="s">
        <v>387</v>
      </c>
      <c r="AT127" s="157" t="s">
        <v>387</v>
      </c>
      <c r="AU127" s="157" t="s">
        <v>387</v>
      </c>
      <c r="AV127" s="157" t="s">
        <v>387</v>
      </c>
      <c r="AW127" s="157" t="s">
        <v>387</v>
      </c>
      <c r="AX127" s="157" t="s">
        <v>387</v>
      </c>
      <c r="AY127" s="157" t="s">
        <v>387</v>
      </c>
      <c r="AZ127" s="107" t="s">
        <v>648</v>
      </c>
      <c r="BA127" s="107" t="s">
        <v>3507</v>
      </c>
      <c r="BB127" s="107" t="s">
        <v>1005</v>
      </c>
      <c r="BC127" s="107" t="s">
        <v>1294</v>
      </c>
      <c r="BD127" s="106"/>
      <c r="BE127" s="108" t="b">
        <v>1</v>
      </c>
      <c r="BF127" s="108" t="b">
        <v>1</v>
      </c>
      <c r="BG127" s="108" t="b">
        <v>1</v>
      </c>
      <c r="BH127" s="108" t="b">
        <v>1</v>
      </c>
      <c r="BI127" s="108" t="b">
        <v>1</v>
      </c>
      <c r="BJ127" s="108" t="b">
        <v>1</v>
      </c>
      <c r="BK127" s="108" t="b">
        <v>1</v>
      </c>
      <c r="BL127" s="107" t="s">
        <v>519</v>
      </c>
      <c r="BM127" s="107" t="s">
        <v>950</v>
      </c>
      <c r="BN127" s="107" t="s">
        <v>870</v>
      </c>
      <c r="BO127" s="102" t="s">
        <v>3517</v>
      </c>
      <c r="BP127" s="107" t="s">
        <v>514</v>
      </c>
      <c r="BQ127" s="106"/>
      <c r="BR127" s="107" t="s">
        <v>3524</v>
      </c>
      <c r="BS127" s="107" t="s">
        <v>3526</v>
      </c>
      <c r="BT127" s="102" t="s">
        <v>3527</v>
      </c>
      <c r="BU127" s="102" t="s">
        <v>1809</v>
      </c>
      <c r="BV127" s="123">
        <v>46260.0</v>
      </c>
      <c r="BW127" s="108" t="b">
        <v>0</v>
      </c>
      <c r="BX127" s="106"/>
    </row>
    <row r="128" ht="24.75" customHeight="1">
      <c r="A128" s="250" t="s">
        <v>348</v>
      </c>
      <c r="B128" s="89" t="s">
        <v>595</v>
      </c>
      <c r="C128" s="89" t="s">
        <v>650</v>
      </c>
      <c r="D128" s="98" t="s">
        <v>3534</v>
      </c>
      <c r="E128" s="107" t="s">
        <v>1442</v>
      </c>
      <c r="F128" s="102" t="s">
        <v>3538</v>
      </c>
      <c r="G128" s="102" t="s">
        <v>1554</v>
      </c>
      <c r="H128" s="148"/>
      <c r="I128" s="175" t="s">
        <v>382</v>
      </c>
      <c r="J128" s="175" t="s">
        <v>1563</v>
      </c>
      <c r="K128" s="105">
        <v>50.5623371882055</v>
      </c>
      <c r="L128" s="105">
        <v>-3.65011684016657</v>
      </c>
      <c r="M128" s="106"/>
      <c r="N128" s="107" t="s">
        <v>558</v>
      </c>
      <c r="O128" s="108" t="b">
        <v>1</v>
      </c>
      <c r="P128" s="109">
        <v>0.0</v>
      </c>
      <c r="Q128" s="171" t="s">
        <v>674</v>
      </c>
      <c r="R128" s="151" t="s">
        <v>387</v>
      </c>
      <c r="S128" s="151" t="s">
        <v>387</v>
      </c>
      <c r="T128" s="151" t="s">
        <v>387</v>
      </c>
      <c r="U128" s="151" t="s">
        <v>387</v>
      </c>
      <c r="V128" s="151" t="s">
        <v>387</v>
      </c>
      <c r="W128" s="151" t="s">
        <v>387</v>
      </c>
      <c r="X128" s="151" t="s">
        <v>387</v>
      </c>
      <c r="Y128" s="151" t="s">
        <v>387</v>
      </c>
      <c r="Z128" s="151" t="s">
        <v>387</v>
      </c>
      <c r="AA128" s="151" t="s">
        <v>387</v>
      </c>
      <c r="AB128" s="151" t="s">
        <v>387</v>
      </c>
      <c r="AC128" s="151" t="s">
        <v>387</v>
      </c>
      <c r="AD128" s="151" t="s">
        <v>387</v>
      </c>
      <c r="AE128" s="151" t="s">
        <v>387</v>
      </c>
      <c r="AF128" s="102" t="s">
        <v>387</v>
      </c>
      <c r="AG128" s="107" t="s">
        <v>678</v>
      </c>
      <c r="AH128" s="108" t="b">
        <v>0</v>
      </c>
      <c r="AI128" s="108" t="b">
        <v>0</v>
      </c>
      <c r="AJ128" s="107" t="s">
        <v>412</v>
      </c>
      <c r="AK128" s="106"/>
      <c r="AL128" s="102" t="s">
        <v>387</v>
      </c>
      <c r="AM128" s="157" t="s">
        <v>387</v>
      </c>
      <c r="AN128" s="157" t="s">
        <v>387</v>
      </c>
      <c r="AO128" s="157" t="s">
        <v>387</v>
      </c>
      <c r="AP128" s="102" t="s">
        <v>387</v>
      </c>
      <c r="AQ128" s="157" t="s">
        <v>387</v>
      </c>
      <c r="AR128" s="102" t="s">
        <v>387</v>
      </c>
      <c r="AS128" s="157" t="s">
        <v>387</v>
      </c>
      <c r="AT128" s="157" t="s">
        <v>387</v>
      </c>
      <c r="AU128" s="157" t="s">
        <v>387</v>
      </c>
      <c r="AV128" s="102" t="s">
        <v>387</v>
      </c>
      <c r="AW128" s="157" t="s">
        <v>387</v>
      </c>
      <c r="AX128" s="102" t="s">
        <v>387</v>
      </c>
      <c r="AY128" s="157" t="s">
        <v>387</v>
      </c>
      <c r="AZ128" s="107" t="s">
        <v>648</v>
      </c>
      <c r="BA128" s="107" t="s">
        <v>3559</v>
      </c>
      <c r="BB128" s="106"/>
      <c r="BC128" s="107" t="s">
        <v>483</v>
      </c>
      <c r="BD128" s="107" t="s">
        <v>593</v>
      </c>
      <c r="BE128" s="108" t="b">
        <v>0</v>
      </c>
      <c r="BF128" s="108" t="b">
        <v>1</v>
      </c>
      <c r="BG128" s="108" t="b">
        <v>1</v>
      </c>
      <c r="BH128" s="108" t="b">
        <v>1</v>
      </c>
      <c r="BI128" s="108" t="b">
        <v>1</v>
      </c>
      <c r="BJ128" s="108" t="b">
        <v>0</v>
      </c>
      <c r="BK128" s="108" t="b">
        <v>0</v>
      </c>
      <c r="BL128" s="107" t="s">
        <v>649</v>
      </c>
      <c r="BM128" s="107" t="s">
        <v>1119</v>
      </c>
      <c r="BN128" s="107" t="s">
        <v>851</v>
      </c>
      <c r="BO128" s="102" t="s">
        <v>3567</v>
      </c>
      <c r="BP128" s="106"/>
      <c r="BQ128" s="106"/>
      <c r="BR128" s="107" t="s">
        <v>3573</v>
      </c>
      <c r="BS128" s="106"/>
      <c r="BT128" s="102" t="s">
        <v>3574</v>
      </c>
      <c r="BU128" s="102" t="s">
        <v>725</v>
      </c>
      <c r="BV128" s="123">
        <v>46260.0</v>
      </c>
      <c r="BW128" s="108" t="b">
        <v>0</v>
      </c>
      <c r="BX128" s="106"/>
    </row>
    <row r="129" ht="24.75" customHeight="1">
      <c r="A129" s="250" t="s">
        <v>348</v>
      </c>
      <c r="B129" s="89" t="s">
        <v>1062</v>
      </c>
      <c r="C129" s="95" t="s">
        <v>1682</v>
      </c>
      <c r="D129" s="125" t="s">
        <v>3584</v>
      </c>
      <c r="E129" s="102" t="s">
        <v>734</v>
      </c>
      <c r="F129" s="102" t="s">
        <v>3588</v>
      </c>
      <c r="G129" s="102" t="s">
        <v>1554</v>
      </c>
      <c r="H129" s="148"/>
      <c r="I129" s="98" t="s">
        <v>382</v>
      </c>
      <c r="J129" s="98" t="s">
        <v>3593</v>
      </c>
      <c r="K129" s="105">
        <v>50.5624181361335</v>
      </c>
      <c r="L129" s="105">
        <v>-3.65010711275927</v>
      </c>
      <c r="M129" s="106"/>
      <c r="N129" s="107" t="s">
        <v>558</v>
      </c>
      <c r="O129" s="108" t="b">
        <v>1</v>
      </c>
      <c r="P129" s="109">
        <v>0.375</v>
      </c>
      <c r="Q129" s="109">
        <v>0.7083333333333334</v>
      </c>
      <c r="R129" s="223" t="s">
        <v>387</v>
      </c>
      <c r="S129" s="223" t="s">
        <v>387</v>
      </c>
      <c r="T129" s="223" t="s">
        <v>387</v>
      </c>
      <c r="U129" s="223" t="s">
        <v>387</v>
      </c>
      <c r="V129" s="223" t="s">
        <v>387</v>
      </c>
      <c r="W129" s="223" t="s">
        <v>387</v>
      </c>
      <c r="X129" s="223" t="s">
        <v>387</v>
      </c>
      <c r="Y129" s="223" t="s">
        <v>387</v>
      </c>
      <c r="Z129" s="223" t="s">
        <v>387</v>
      </c>
      <c r="AA129" s="223" t="s">
        <v>387</v>
      </c>
      <c r="AB129" s="223" t="s">
        <v>387</v>
      </c>
      <c r="AC129" s="223" t="s">
        <v>387</v>
      </c>
      <c r="AD129" s="223" t="s">
        <v>387</v>
      </c>
      <c r="AE129" s="223" t="s">
        <v>387</v>
      </c>
      <c r="AF129" s="106"/>
      <c r="AG129" s="106" t="s">
        <v>678</v>
      </c>
      <c r="AH129" s="108" t="b">
        <v>0</v>
      </c>
      <c r="AI129" s="108" t="b">
        <v>0</v>
      </c>
      <c r="AJ129" s="107" t="s">
        <v>412</v>
      </c>
      <c r="AK129" s="106"/>
      <c r="AL129" s="102" t="s">
        <v>387</v>
      </c>
      <c r="AM129" s="157" t="s">
        <v>387</v>
      </c>
      <c r="AN129" s="102" t="s">
        <v>387</v>
      </c>
      <c r="AO129" s="157" t="s">
        <v>387</v>
      </c>
      <c r="AP129" s="102" t="s">
        <v>387</v>
      </c>
      <c r="AQ129" s="157" t="s">
        <v>387</v>
      </c>
      <c r="AR129" s="102" t="s">
        <v>387</v>
      </c>
      <c r="AS129" s="157" t="s">
        <v>387</v>
      </c>
      <c r="AT129" s="102" t="s">
        <v>387</v>
      </c>
      <c r="AU129" s="157" t="s">
        <v>387</v>
      </c>
      <c r="AV129" s="102" t="s">
        <v>387</v>
      </c>
      <c r="AW129" s="157" t="s">
        <v>387</v>
      </c>
      <c r="AX129" s="102" t="s">
        <v>387</v>
      </c>
      <c r="AY129" s="157" t="s">
        <v>387</v>
      </c>
      <c r="AZ129" s="107" t="s">
        <v>648</v>
      </c>
      <c r="BA129" s="140" t="s">
        <v>3610</v>
      </c>
      <c r="BB129" s="106"/>
      <c r="BC129" s="107" t="s">
        <v>483</v>
      </c>
      <c r="BD129" s="107" t="s">
        <v>593</v>
      </c>
      <c r="BE129" s="108" t="b">
        <v>1</v>
      </c>
      <c r="BF129" s="108" t="b">
        <v>1</v>
      </c>
      <c r="BG129" s="108" t="b">
        <v>1</v>
      </c>
      <c r="BH129" s="108" t="b">
        <v>1</v>
      </c>
      <c r="BI129" s="108" t="b">
        <v>1</v>
      </c>
      <c r="BJ129" s="108" t="b">
        <v>0</v>
      </c>
      <c r="BK129" s="108" t="b">
        <v>1</v>
      </c>
      <c r="BL129" s="107" t="s">
        <v>519</v>
      </c>
      <c r="BM129" s="107" t="s">
        <v>721</v>
      </c>
      <c r="BN129" s="107" t="s">
        <v>1473</v>
      </c>
      <c r="BO129" s="102" t="s">
        <v>3615</v>
      </c>
      <c r="BP129" s="107" t="s">
        <v>737</v>
      </c>
      <c r="BQ129" s="106"/>
      <c r="BR129" s="102" t="s">
        <v>3618</v>
      </c>
      <c r="BS129" s="102" t="s">
        <v>3619</v>
      </c>
      <c r="BT129" s="102" t="s">
        <v>3621</v>
      </c>
      <c r="BU129" s="102" t="s">
        <v>607</v>
      </c>
      <c r="BV129" s="123">
        <v>46260.0</v>
      </c>
      <c r="BW129" s="108" t="b">
        <v>0</v>
      </c>
      <c r="BX129" s="106"/>
    </row>
    <row r="130" ht="24.75" customHeight="1">
      <c r="A130" s="89" t="s">
        <v>348</v>
      </c>
      <c r="B130" s="89" t="s">
        <v>772</v>
      </c>
      <c r="C130" s="95" t="s">
        <v>3625</v>
      </c>
      <c r="D130" s="98" t="s">
        <v>1180</v>
      </c>
      <c r="E130" s="107" t="s">
        <v>734</v>
      </c>
      <c r="F130" s="102" t="s">
        <v>3627</v>
      </c>
      <c r="G130" s="102" t="s">
        <v>1180</v>
      </c>
      <c r="H130" s="148"/>
      <c r="I130" s="98" t="s">
        <v>1181</v>
      </c>
      <c r="J130" s="98" t="s">
        <v>1183</v>
      </c>
      <c r="K130" s="105">
        <v>50.830606559539</v>
      </c>
      <c r="L130" s="105">
        <v>-4.55138643206616</v>
      </c>
      <c r="M130" s="106"/>
      <c r="N130" s="107" t="s">
        <v>558</v>
      </c>
      <c r="O130" s="108" t="b">
        <v>1</v>
      </c>
      <c r="P130" s="109">
        <v>0.0</v>
      </c>
      <c r="Q130" s="171" t="s">
        <v>674</v>
      </c>
      <c r="R130" s="151" t="s">
        <v>387</v>
      </c>
      <c r="S130" s="151" t="s">
        <v>387</v>
      </c>
      <c r="T130" s="151" t="s">
        <v>387</v>
      </c>
      <c r="U130" s="151" t="s">
        <v>387</v>
      </c>
      <c r="V130" s="151" t="s">
        <v>387</v>
      </c>
      <c r="W130" s="151" t="s">
        <v>387</v>
      </c>
      <c r="X130" s="151" t="s">
        <v>387</v>
      </c>
      <c r="Y130" s="151" t="s">
        <v>387</v>
      </c>
      <c r="Z130" s="151" t="s">
        <v>387</v>
      </c>
      <c r="AA130" s="151" t="s">
        <v>387</v>
      </c>
      <c r="AB130" s="151" t="s">
        <v>387</v>
      </c>
      <c r="AC130" s="151" t="s">
        <v>387</v>
      </c>
      <c r="AD130" s="151" t="s">
        <v>387</v>
      </c>
      <c r="AE130" s="151" t="s">
        <v>387</v>
      </c>
      <c r="AF130" s="102" t="s">
        <v>387</v>
      </c>
      <c r="AG130" s="107" t="s">
        <v>678</v>
      </c>
      <c r="AH130" s="108" t="b">
        <v>0</v>
      </c>
      <c r="AI130" s="106"/>
      <c r="AJ130" s="107" t="s">
        <v>412</v>
      </c>
      <c r="AK130" s="106"/>
      <c r="AL130" s="102" t="s">
        <v>387</v>
      </c>
      <c r="AM130" s="157" t="s">
        <v>387</v>
      </c>
      <c r="AN130" s="157" t="s">
        <v>387</v>
      </c>
      <c r="AO130" s="157" t="s">
        <v>387</v>
      </c>
      <c r="AP130" s="102" t="s">
        <v>387</v>
      </c>
      <c r="AQ130" s="157" t="s">
        <v>387</v>
      </c>
      <c r="AR130" s="102" t="s">
        <v>387</v>
      </c>
      <c r="AS130" s="157" t="s">
        <v>387</v>
      </c>
      <c r="AT130" s="157" t="s">
        <v>387</v>
      </c>
      <c r="AU130" s="157" t="s">
        <v>387</v>
      </c>
      <c r="AV130" s="102" t="s">
        <v>387</v>
      </c>
      <c r="AW130" s="157" t="s">
        <v>387</v>
      </c>
      <c r="AX130" s="102" t="s">
        <v>387</v>
      </c>
      <c r="AY130" s="157" t="s">
        <v>387</v>
      </c>
      <c r="AZ130" s="107" t="s">
        <v>648</v>
      </c>
      <c r="BA130" s="140" t="s">
        <v>3642</v>
      </c>
      <c r="BB130" s="107" t="s">
        <v>1005</v>
      </c>
      <c r="BC130" s="107" t="s">
        <v>3644</v>
      </c>
      <c r="BD130" s="107" t="s">
        <v>656</v>
      </c>
      <c r="BE130" s="108" t="b">
        <v>1</v>
      </c>
      <c r="BF130" s="108" t="b">
        <v>1</v>
      </c>
      <c r="BG130" s="108" t="b">
        <v>1</v>
      </c>
      <c r="BH130" s="108" t="b">
        <v>1</v>
      </c>
      <c r="BI130" s="108" t="b">
        <v>1</v>
      </c>
      <c r="BJ130" s="108" t="b">
        <v>1</v>
      </c>
      <c r="BK130" s="108" t="b">
        <v>1</v>
      </c>
      <c r="BL130" s="107" t="s">
        <v>519</v>
      </c>
      <c r="BM130" s="107" t="s">
        <v>3651</v>
      </c>
      <c r="BN130" s="107" t="s">
        <v>2718</v>
      </c>
      <c r="BO130" s="102" t="s">
        <v>3652</v>
      </c>
      <c r="BP130" s="106"/>
      <c r="BQ130" s="106"/>
      <c r="BR130" s="107" t="s">
        <v>3658</v>
      </c>
      <c r="BS130" s="107" t="s">
        <v>3029</v>
      </c>
      <c r="BT130" s="188" t="s">
        <v>3661</v>
      </c>
      <c r="BU130" s="102" t="s">
        <v>725</v>
      </c>
      <c r="BV130" s="123">
        <v>46260.0</v>
      </c>
      <c r="BW130" s="108" t="b">
        <v>0</v>
      </c>
      <c r="BX130" s="106"/>
    </row>
    <row r="131" ht="24.75" customHeight="1">
      <c r="A131" s="89" t="s">
        <v>348</v>
      </c>
      <c r="B131" s="89" t="s">
        <v>2654</v>
      </c>
      <c r="C131" s="179" t="s">
        <v>3670</v>
      </c>
      <c r="D131" s="167" t="s">
        <v>3672</v>
      </c>
      <c r="E131" s="140" t="s">
        <v>1442</v>
      </c>
      <c r="F131" s="188" t="s">
        <v>3673</v>
      </c>
      <c r="G131" s="102" t="s">
        <v>3675</v>
      </c>
      <c r="H131" s="98" t="s">
        <v>1088</v>
      </c>
      <c r="I131" s="98" t="s">
        <v>831</v>
      </c>
      <c r="J131" s="98" t="s">
        <v>1089</v>
      </c>
      <c r="K131" s="149">
        <v>50.7162096405405</v>
      </c>
      <c r="L131" s="149">
        <v>-3.53106343111171</v>
      </c>
      <c r="M131" s="106"/>
      <c r="N131" s="151" t="s">
        <v>558</v>
      </c>
      <c r="O131" s="152" t="b">
        <v>0</v>
      </c>
      <c r="P131" s="151" t="s">
        <v>387</v>
      </c>
      <c r="Q131" s="151" t="s">
        <v>387</v>
      </c>
      <c r="R131" s="109">
        <v>0.4166666666666667</v>
      </c>
      <c r="S131" s="109">
        <v>1.0</v>
      </c>
      <c r="T131" s="109">
        <v>0.4166666666666667</v>
      </c>
      <c r="U131" s="109">
        <v>1.0</v>
      </c>
      <c r="V131" s="109">
        <v>0.4166666666666667</v>
      </c>
      <c r="W131" s="109">
        <v>1.0</v>
      </c>
      <c r="X131" s="109">
        <v>0.4166666666666667</v>
      </c>
      <c r="Y131" s="109">
        <v>1.0</v>
      </c>
      <c r="Z131" s="109">
        <v>0.4166666666666667</v>
      </c>
      <c r="AA131" s="109">
        <v>0.041666666666666664</v>
      </c>
      <c r="AB131" s="109">
        <v>0.4166666666666667</v>
      </c>
      <c r="AC131" s="109">
        <v>0.041666666666666664</v>
      </c>
      <c r="AD131" s="109">
        <v>0.4166666666666667</v>
      </c>
      <c r="AE131" s="109">
        <v>1.0</v>
      </c>
      <c r="AF131" s="107" t="s">
        <v>387</v>
      </c>
      <c r="AG131" s="107" t="s">
        <v>678</v>
      </c>
      <c r="AH131" s="108" t="b">
        <v>0</v>
      </c>
      <c r="AI131" s="154" t="b">
        <v>0</v>
      </c>
      <c r="AJ131" s="140" t="s">
        <v>412</v>
      </c>
      <c r="AK131" s="113"/>
      <c r="AL131" s="102" t="s">
        <v>387</v>
      </c>
      <c r="AM131" s="157" t="s">
        <v>387</v>
      </c>
      <c r="AN131" s="157" t="s">
        <v>387</v>
      </c>
      <c r="AO131" s="157" t="s">
        <v>387</v>
      </c>
      <c r="AP131" s="102" t="s">
        <v>387</v>
      </c>
      <c r="AQ131" s="157" t="s">
        <v>387</v>
      </c>
      <c r="AR131" s="102" t="s">
        <v>387</v>
      </c>
      <c r="AS131" s="157" t="s">
        <v>387</v>
      </c>
      <c r="AT131" s="157" t="s">
        <v>387</v>
      </c>
      <c r="AU131" s="157" t="s">
        <v>387</v>
      </c>
      <c r="AV131" s="102" t="s">
        <v>387</v>
      </c>
      <c r="AW131" s="157" t="s">
        <v>387</v>
      </c>
      <c r="AX131" s="102" t="s">
        <v>387</v>
      </c>
      <c r="AY131" s="157" t="s">
        <v>387</v>
      </c>
      <c r="AZ131" s="107" t="s">
        <v>1826</v>
      </c>
      <c r="BA131" s="107" t="s">
        <v>3707</v>
      </c>
      <c r="BB131" s="107" t="s">
        <v>3710</v>
      </c>
      <c r="BC131" s="107" t="s">
        <v>3714</v>
      </c>
      <c r="BD131" s="106"/>
      <c r="BE131" s="108" t="b">
        <v>0</v>
      </c>
      <c r="BF131" s="108" t="b">
        <v>0</v>
      </c>
      <c r="BG131" s="108" t="b">
        <v>0</v>
      </c>
      <c r="BH131" s="108" t="b">
        <v>0</v>
      </c>
      <c r="BI131" s="204" t="b">
        <v>1</v>
      </c>
      <c r="BJ131" s="204" t="b">
        <v>1</v>
      </c>
      <c r="BK131" s="204" t="b">
        <v>1</v>
      </c>
      <c r="BL131" s="179" t="s">
        <v>649</v>
      </c>
      <c r="BM131" s="107" t="s">
        <v>2445</v>
      </c>
      <c r="BN131" s="140" t="s">
        <v>1321</v>
      </c>
      <c r="BO131" s="188" t="s">
        <v>3730</v>
      </c>
      <c r="BP131" s="106"/>
      <c r="BQ131" s="106"/>
      <c r="BR131" s="107"/>
      <c r="BS131" s="106"/>
      <c r="BT131" s="188" t="s">
        <v>3737</v>
      </c>
      <c r="BU131" s="102"/>
      <c r="BV131" s="123">
        <v>46260.0</v>
      </c>
      <c r="BW131" s="108" t="b">
        <v>0</v>
      </c>
      <c r="BX131" s="106"/>
    </row>
    <row r="132" ht="24.75" customHeight="1">
      <c r="A132" s="89" t="s">
        <v>348</v>
      </c>
      <c r="B132" s="89" t="s">
        <v>2654</v>
      </c>
      <c r="C132" s="89" t="s">
        <v>2655</v>
      </c>
      <c r="D132" s="98" t="s">
        <v>3744</v>
      </c>
      <c r="E132" s="107" t="s">
        <v>339</v>
      </c>
      <c r="F132" s="102" t="s">
        <v>3749</v>
      </c>
      <c r="G132" s="102" t="s">
        <v>3675</v>
      </c>
      <c r="H132" s="98" t="s">
        <v>1088</v>
      </c>
      <c r="I132" s="98" t="s">
        <v>831</v>
      </c>
      <c r="J132" s="98" t="s">
        <v>1089</v>
      </c>
      <c r="K132" s="149">
        <v>50.7162096405405</v>
      </c>
      <c r="L132" s="149">
        <v>-3.53106343111171</v>
      </c>
      <c r="M132" s="106"/>
      <c r="N132" s="151" t="s">
        <v>558</v>
      </c>
      <c r="O132" s="152" t="b">
        <v>0</v>
      </c>
      <c r="P132" s="151" t="s">
        <v>387</v>
      </c>
      <c r="Q132" s="151" t="s">
        <v>387</v>
      </c>
      <c r="R132" s="109">
        <v>0.4166666666666667</v>
      </c>
      <c r="S132" s="109">
        <v>1.0</v>
      </c>
      <c r="T132" s="109">
        <v>0.4166666666666667</v>
      </c>
      <c r="U132" s="109">
        <v>1.0</v>
      </c>
      <c r="V132" s="109">
        <v>0.4166666666666667</v>
      </c>
      <c r="W132" s="109">
        <v>1.0</v>
      </c>
      <c r="X132" s="109">
        <v>0.4166666666666667</v>
      </c>
      <c r="Y132" s="109">
        <v>1.0</v>
      </c>
      <c r="Z132" s="109">
        <v>0.4166666666666667</v>
      </c>
      <c r="AA132" s="109">
        <v>0.041666666666666664</v>
      </c>
      <c r="AB132" s="109">
        <v>0.4166666666666667</v>
      </c>
      <c r="AC132" s="109">
        <v>0.041666666666666664</v>
      </c>
      <c r="AD132" s="109">
        <v>0.4166666666666667</v>
      </c>
      <c r="AE132" s="109">
        <v>1.0</v>
      </c>
      <c r="AF132" s="107" t="s">
        <v>387</v>
      </c>
      <c r="AG132" s="107" t="s">
        <v>678</v>
      </c>
      <c r="AH132" s="108" t="b">
        <v>1</v>
      </c>
      <c r="AI132" s="154" t="b">
        <v>0</v>
      </c>
      <c r="AJ132" s="107" t="s">
        <v>2440</v>
      </c>
      <c r="AK132" s="113" t="s">
        <v>730</v>
      </c>
      <c r="AL132" s="102" t="s">
        <v>387</v>
      </c>
      <c r="AM132" s="157" t="s">
        <v>387</v>
      </c>
      <c r="AN132" s="157" t="s">
        <v>3774</v>
      </c>
      <c r="AO132" s="138">
        <v>7.75</v>
      </c>
      <c r="AP132" s="157" t="s">
        <v>387</v>
      </c>
      <c r="AQ132" s="157" t="s">
        <v>387</v>
      </c>
      <c r="AR132" s="157" t="s">
        <v>387</v>
      </c>
      <c r="AS132" s="157" t="s">
        <v>387</v>
      </c>
      <c r="AT132" s="157" t="s">
        <v>583</v>
      </c>
      <c r="AU132" s="138">
        <v>9.25</v>
      </c>
      <c r="AV132" s="157" t="s">
        <v>387</v>
      </c>
      <c r="AW132" s="157" t="s">
        <v>387</v>
      </c>
      <c r="AX132" s="157" t="s">
        <v>387</v>
      </c>
      <c r="AY132" s="157" t="s">
        <v>387</v>
      </c>
      <c r="AZ132" s="107" t="s">
        <v>1826</v>
      </c>
      <c r="BA132" s="107" t="s">
        <v>3707</v>
      </c>
      <c r="BB132" s="107" t="s">
        <v>3710</v>
      </c>
      <c r="BC132" s="107" t="s">
        <v>3714</v>
      </c>
      <c r="BD132" s="106"/>
      <c r="BE132" s="108" t="b">
        <v>0</v>
      </c>
      <c r="BF132" s="108" t="b">
        <v>0</v>
      </c>
      <c r="BG132" s="108" t="b">
        <v>0</v>
      </c>
      <c r="BH132" s="108" t="b">
        <v>1</v>
      </c>
      <c r="BI132" s="108" t="b">
        <v>1</v>
      </c>
      <c r="BJ132" s="108" t="b">
        <v>1</v>
      </c>
      <c r="BK132" s="108" t="b">
        <v>1</v>
      </c>
      <c r="BL132" s="107" t="s">
        <v>649</v>
      </c>
      <c r="BM132" s="107" t="s">
        <v>2445</v>
      </c>
      <c r="BN132" s="107" t="s">
        <v>654</v>
      </c>
      <c r="BO132" s="102" t="s">
        <v>3799</v>
      </c>
      <c r="BP132" s="106"/>
      <c r="BQ132" s="106"/>
      <c r="BR132" s="107" t="s">
        <v>3801</v>
      </c>
      <c r="BS132" s="106"/>
      <c r="BT132" s="102" t="s">
        <v>3804</v>
      </c>
      <c r="BU132" s="102" t="s">
        <v>530</v>
      </c>
      <c r="BV132" s="123">
        <v>46260.0</v>
      </c>
      <c r="BW132" s="108" t="b">
        <v>0</v>
      </c>
      <c r="BX132" s="106"/>
    </row>
    <row r="133" ht="24.75" customHeight="1">
      <c r="A133" s="89" t="s">
        <v>348</v>
      </c>
      <c r="B133" s="89" t="s">
        <v>2654</v>
      </c>
      <c r="C133" s="95" t="s">
        <v>2696</v>
      </c>
      <c r="D133" s="125" t="s">
        <v>3809</v>
      </c>
      <c r="E133" s="102" t="s">
        <v>341</v>
      </c>
      <c r="F133" s="102" t="s">
        <v>3813</v>
      </c>
      <c r="G133" s="107" t="s">
        <v>3814</v>
      </c>
      <c r="H133" s="98" t="s">
        <v>1088</v>
      </c>
      <c r="I133" s="98" t="s">
        <v>831</v>
      </c>
      <c r="J133" s="98" t="s">
        <v>1089</v>
      </c>
      <c r="K133" s="105">
        <v>50.7162775713943</v>
      </c>
      <c r="L133" s="105">
        <v>-3.5310741599481</v>
      </c>
      <c r="M133" s="106"/>
      <c r="N133" s="107" t="s">
        <v>558</v>
      </c>
      <c r="O133" s="108" t="b">
        <v>1</v>
      </c>
      <c r="P133" s="109">
        <v>0.4166666666666667</v>
      </c>
      <c r="Q133" s="109">
        <v>0.9166666666666666</v>
      </c>
      <c r="R133" s="151" t="s">
        <v>387</v>
      </c>
      <c r="S133" s="151" t="s">
        <v>387</v>
      </c>
      <c r="T133" s="151" t="s">
        <v>387</v>
      </c>
      <c r="U133" s="151" t="s">
        <v>387</v>
      </c>
      <c r="V133" s="151" t="s">
        <v>387</v>
      </c>
      <c r="W133" s="151" t="s">
        <v>387</v>
      </c>
      <c r="X133" s="151" t="s">
        <v>387</v>
      </c>
      <c r="Y133" s="151" t="s">
        <v>387</v>
      </c>
      <c r="Z133" s="151" t="s">
        <v>387</v>
      </c>
      <c r="AA133" s="151" t="s">
        <v>387</v>
      </c>
      <c r="AB133" s="151" t="s">
        <v>387</v>
      </c>
      <c r="AC133" s="151" t="s">
        <v>387</v>
      </c>
      <c r="AD133" s="151" t="s">
        <v>387</v>
      </c>
      <c r="AE133" s="151" t="s">
        <v>387</v>
      </c>
      <c r="AF133" s="106"/>
      <c r="AG133" s="106"/>
      <c r="AH133" s="108" t="b">
        <v>1</v>
      </c>
      <c r="AI133" s="108" t="b">
        <v>1</v>
      </c>
      <c r="AJ133" s="107" t="s">
        <v>587</v>
      </c>
      <c r="AK133" s="140" t="s">
        <v>3827</v>
      </c>
      <c r="AL133" s="135" t="s">
        <v>387</v>
      </c>
      <c r="AM133" s="137" t="s">
        <v>387</v>
      </c>
      <c r="AN133" s="102" t="s">
        <v>3831</v>
      </c>
      <c r="AO133" s="138">
        <v>30.0</v>
      </c>
      <c r="AP133" s="188" t="s">
        <v>387</v>
      </c>
      <c r="AQ133" s="258" t="s">
        <v>387</v>
      </c>
      <c r="AR133" s="259" t="s">
        <v>387</v>
      </c>
      <c r="AS133" s="259" t="s">
        <v>387</v>
      </c>
      <c r="AT133" s="157" t="s">
        <v>596</v>
      </c>
      <c r="AU133" s="138">
        <v>30.0</v>
      </c>
      <c r="AV133" s="135" t="s">
        <v>387</v>
      </c>
      <c r="AW133" s="137" t="s">
        <v>387</v>
      </c>
      <c r="AX133" s="102" t="s">
        <v>3867</v>
      </c>
      <c r="AY133" s="137" t="s">
        <v>387</v>
      </c>
      <c r="AZ133" s="107" t="s">
        <v>648</v>
      </c>
      <c r="BA133" s="107" t="s">
        <v>3871</v>
      </c>
      <c r="BB133" s="106"/>
      <c r="BC133" s="107" t="s">
        <v>3874</v>
      </c>
      <c r="BD133" s="106"/>
      <c r="BE133" s="108" t="b">
        <v>0</v>
      </c>
      <c r="BF133" s="108" t="b">
        <v>0</v>
      </c>
      <c r="BG133" s="108" t="b">
        <v>0</v>
      </c>
      <c r="BH133" s="108" t="b">
        <v>1</v>
      </c>
      <c r="BI133" s="108" t="b">
        <v>1</v>
      </c>
      <c r="BJ133" s="108" t="b">
        <v>1</v>
      </c>
      <c r="BK133" s="108" t="b">
        <v>1</v>
      </c>
      <c r="BL133" s="107" t="s">
        <v>649</v>
      </c>
      <c r="BM133" s="107" t="s">
        <v>3011</v>
      </c>
      <c r="BN133" s="107" t="s">
        <v>507</v>
      </c>
      <c r="BO133" s="102" t="s">
        <v>3883</v>
      </c>
      <c r="BP133" s="106"/>
      <c r="BQ133" s="106"/>
      <c r="BR133" s="107" t="s">
        <v>2696</v>
      </c>
      <c r="BS133" s="106"/>
      <c r="BT133" s="102" t="s">
        <v>3889</v>
      </c>
      <c r="BU133" s="102" t="s">
        <v>629</v>
      </c>
      <c r="BV133" s="123">
        <v>46260.0</v>
      </c>
      <c r="BW133" s="108" t="b">
        <v>0</v>
      </c>
      <c r="BX133" s="106"/>
    </row>
    <row r="134" ht="24.75" customHeight="1">
      <c r="A134" s="89" t="s">
        <v>348</v>
      </c>
      <c r="B134" s="89" t="s">
        <v>2351</v>
      </c>
      <c r="C134" s="89" t="s">
        <v>3894</v>
      </c>
      <c r="D134" s="98" t="s">
        <v>3895</v>
      </c>
      <c r="E134" s="107" t="s">
        <v>734</v>
      </c>
      <c r="F134" s="102" t="s">
        <v>3897</v>
      </c>
      <c r="G134" s="102" t="s">
        <v>3675</v>
      </c>
      <c r="H134" s="98" t="s">
        <v>1088</v>
      </c>
      <c r="I134" s="98" t="s">
        <v>831</v>
      </c>
      <c r="J134" s="98" t="s">
        <v>1089</v>
      </c>
      <c r="K134" s="149">
        <v>50.7162096405405</v>
      </c>
      <c r="L134" s="149">
        <v>-3.53106343111171</v>
      </c>
      <c r="M134" s="106"/>
      <c r="N134" s="107" t="s">
        <v>558</v>
      </c>
      <c r="O134" s="108" t="b">
        <v>0</v>
      </c>
      <c r="P134" s="223" t="s">
        <v>387</v>
      </c>
      <c r="Q134" s="260" t="s">
        <v>387</v>
      </c>
      <c r="R134" s="109">
        <v>0.4166666666666667</v>
      </c>
      <c r="S134" s="109">
        <v>0.7083333333333334</v>
      </c>
      <c r="T134" s="109">
        <v>0.4166666666666667</v>
      </c>
      <c r="U134" s="109">
        <v>0.7083333333333334</v>
      </c>
      <c r="V134" s="109">
        <v>0.4166666666666667</v>
      </c>
      <c r="W134" s="109">
        <v>0.7083333333333334</v>
      </c>
      <c r="X134" s="109">
        <v>0.4166666666666667</v>
      </c>
      <c r="Y134" s="109">
        <v>0.7083333333333334</v>
      </c>
      <c r="Z134" s="109">
        <v>0.4166666666666667</v>
      </c>
      <c r="AA134" s="109">
        <v>0.7083333333333334</v>
      </c>
      <c r="AB134" s="109">
        <v>0.4166666666666667</v>
      </c>
      <c r="AC134" s="109">
        <v>0.7708333333333334</v>
      </c>
      <c r="AD134" s="109">
        <v>0.4166666666666667</v>
      </c>
      <c r="AE134" s="109">
        <v>0.7708333333333334</v>
      </c>
      <c r="AF134" s="106"/>
      <c r="AG134" s="107" t="s">
        <v>678</v>
      </c>
      <c r="AH134" s="108" t="b">
        <v>1</v>
      </c>
      <c r="AI134" s="108" t="b">
        <v>1</v>
      </c>
      <c r="AJ134" s="107" t="s">
        <v>571</v>
      </c>
      <c r="AK134" s="107" t="s">
        <v>3910</v>
      </c>
      <c r="AL134" s="106" t="s">
        <v>387</v>
      </c>
      <c r="AM134" s="157" t="s">
        <v>387</v>
      </c>
      <c r="AN134" s="157" t="s">
        <v>387</v>
      </c>
      <c r="AO134" s="157" t="s">
        <v>387</v>
      </c>
      <c r="AP134" s="225">
        <v>46054.0</v>
      </c>
      <c r="AQ134" s="138">
        <v>3.5</v>
      </c>
      <c r="AR134" s="225">
        <v>46359.0</v>
      </c>
      <c r="AS134" s="138">
        <v>4.5</v>
      </c>
      <c r="AT134" s="157" t="s">
        <v>387</v>
      </c>
      <c r="AU134" s="157" t="s">
        <v>387</v>
      </c>
      <c r="AV134" s="102" t="s">
        <v>387</v>
      </c>
      <c r="AW134" s="157" t="s">
        <v>387</v>
      </c>
      <c r="AX134" s="102" t="s">
        <v>387</v>
      </c>
      <c r="AY134" s="157" t="s">
        <v>387</v>
      </c>
      <c r="AZ134" s="107" t="s">
        <v>1826</v>
      </c>
      <c r="BA134" s="107" t="s">
        <v>2664</v>
      </c>
      <c r="BB134" s="107" t="s">
        <v>3710</v>
      </c>
      <c r="BC134" s="107" t="s">
        <v>3714</v>
      </c>
      <c r="BD134" s="106"/>
      <c r="BE134" s="108" t="b">
        <v>0</v>
      </c>
      <c r="BF134" s="108" t="b">
        <v>1</v>
      </c>
      <c r="BG134" s="108" t="b">
        <v>1</v>
      </c>
      <c r="BH134" s="108" t="b">
        <v>1</v>
      </c>
      <c r="BI134" s="108" t="b">
        <v>1</v>
      </c>
      <c r="BJ134" s="108" t="b">
        <v>0</v>
      </c>
      <c r="BK134" s="108" t="b">
        <v>0</v>
      </c>
      <c r="BL134" s="107" t="s">
        <v>649</v>
      </c>
      <c r="BM134" s="107" t="s">
        <v>2445</v>
      </c>
      <c r="BN134" s="107" t="s">
        <v>654</v>
      </c>
      <c r="BO134" s="102" t="s">
        <v>3924</v>
      </c>
      <c r="BP134" s="106"/>
      <c r="BQ134" s="106"/>
      <c r="BR134" s="107" t="s">
        <v>2673</v>
      </c>
      <c r="BS134" s="106"/>
      <c r="BT134" s="102" t="s">
        <v>3926</v>
      </c>
      <c r="BU134" s="102" t="s">
        <v>530</v>
      </c>
      <c r="BV134" s="123">
        <v>46260.0</v>
      </c>
      <c r="BW134" s="108" t="b">
        <v>0</v>
      </c>
      <c r="BX134" s="106"/>
    </row>
    <row r="135" ht="24.75" customHeight="1">
      <c r="A135" s="89" t="s">
        <v>348</v>
      </c>
      <c r="B135" s="89" t="s">
        <v>352</v>
      </c>
      <c r="C135" s="95" t="s">
        <v>358</v>
      </c>
      <c r="D135" s="175" t="s">
        <v>3930</v>
      </c>
      <c r="E135" s="102" t="s">
        <v>3932</v>
      </c>
      <c r="F135" s="102" t="s">
        <v>3934</v>
      </c>
      <c r="G135" s="102" t="s">
        <v>3935</v>
      </c>
      <c r="H135" s="148"/>
      <c r="I135" s="98" t="s">
        <v>1658</v>
      </c>
      <c r="J135" s="98" t="s">
        <v>3937</v>
      </c>
      <c r="K135" s="106"/>
      <c r="L135" s="106"/>
      <c r="M135" s="106"/>
      <c r="N135" s="107" t="s">
        <v>2384</v>
      </c>
      <c r="O135" s="108" t="b">
        <v>0</v>
      </c>
      <c r="P135" s="151" t="s">
        <v>387</v>
      </c>
      <c r="Q135" s="224" t="s">
        <v>387</v>
      </c>
      <c r="R135" s="109">
        <v>0.3958333333333333</v>
      </c>
      <c r="S135" s="109">
        <v>0.625</v>
      </c>
      <c r="T135" s="109">
        <v>0.3958333333333333</v>
      </c>
      <c r="U135" s="109">
        <v>0.625</v>
      </c>
      <c r="V135" s="109">
        <v>0.3958333333333333</v>
      </c>
      <c r="W135" s="109">
        <v>0.625</v>
      </c>
      <c r="X135" s="109">
        <v>0.3958333333333333</v>
      </c>
      <c r="Y135" s="109">
        <v>0.625</v>
      </c>
      <c r="Z135" s="109">
        <v>0.375</v>
      </c>
      <c r="AA135" s="109">
        <v>0.625</v>
      </c>
      <c r="AB135" s="109">
        <v>0.375</v>
      </c>
      <c r="AC135" s="109">
        <v>0.5833333333333334</v>
      </c>
      <c r="AD135" s="151" t="s">
        <v>387</v>
      </c>
      <c r="AE135" s="151" t="s">
        <v>387</v>
      </c>
      <c r="AF135" s="207" t="s">
        <v>3942</v>
      </c>
      <c r="AG135" s="107" t="s">
        <v>1968</v>
      </c>
      <c r="AH135" s="108" t="b">
        <v>1</v>
      </c>
      <c r="AI135" s="108" t="b">
        <v>0</v>
      </c>
      <c r="AJ135" s="107" t="s">
        <v>571</v>
      </c>
      <c r="AK135" s="107" t="s">
        <v>590</v>
      </c>
      <c r="AL135" s="102" t="s">
        <v>387</v>
      </c>
      <c r="AM135" s="157" t="s">
        <v>387</v>
      </c>
      <c r="AN135" s="157" t="s">
        <v>1419</v>
      </c>
      <c r="AO135" s="138">
        <v>1.5</v>
      </c>
      <c r="AP135" s="102" t="s">
        <v>387</v>
      </c>
      <c r="AQ135" s="157" t="s">
        <v>387</v>
      </c>
      <c r="AR135" s="102" t="s">
        <v>387</v>
      </c>
      <c r="AS135" s="157" t="s">
        <v>387</v>
      </c>
      <c r="AT135" s="157" t="s">
        <v>387</v>
      </c>
      <c r="AU135" s="157" t="s">
        <v>387</v>
      </c>
      <c r="AV135" s="102" t="s">
        <v>387</v>
      </c>
      <c r="AW135" s="157" t="s">
        <v>387</v>
      </c>
      <c r="AX135" s="102" t="s">
        <v>387</v>
      </c>
      <c r="AY135" s="157" t="s">
        <v>387</v>
      </c>
      <c r="AZ135" s="107" t="s">
        <v>588</v>
      </c>
      <c r="BA135" s="107" t="s">
        <v>3947</v>
      </c>
      <c r="BB135" s="107" t="s">
        <v>3949</v>
      </c>
      <c r="BC135" s="107" t="s">
        <v>3951</v>
      </c>
      <c r="BD135" s="106"/>
      <c r="BE135" s="108" t="b">
        <v>1</v>
      </c>
      <c r="BF135" s="108" t="b">
        <v>1</v>
      </c>
      <c r="BG135" s="108" t="b">
        <v>1</v>
      </c>
      <c r="BH135" s="108" t="b">
        <v>0</v>
      </c>
      <c r="BI135" s="108" t="b">
        <v>0</v>
      </c>
      <c r="BJ135" s="108" t="b">
        <v>0</v>
      </c>
      <c r="BK135" s="108" t="b">
        <v>1</v>
      </c>
      <c r="BL135" s="107" t="s">
        <v>649</v>
      </c>
      <c r="BM135" s="107" t="s">
        <v>1119</v>
      </c>
      <c r="BN135" s="107" t="s">
        <v>1596</v>
      </c>
      <c r="BO135" s="102" t="s">
        <v>3957</v>
      </c>
      <c r="BP135" s="106"/>
      <c r="BQ135" s="106"/>
      <c r="BR135" s="102" t="s">
        <v>3959</v>
      </c>
      <c r="BS135" s="106"/>
      <c r="BT135" s="102" t="s">
        <v>3961</v>
      </c>
      <c r="BU135" s="102" t="s">
        <v>530</v>
      </c>
      <c r="BV135" s="123">
        <v>46260.0</v>
      </c>
      <c r="BW135" s="108" t="b">
        <v>0</v>
      </c>
      <c r="BX135" s="106"/>
    </row>
    <row r="136" ht="24.75" customHeight="1">
      <c r="A136" s="89" t="s">
        <v>348</v>
      </c>
      <c r="B136" s="89" t="s">
        <v>964</v>
      </c>
      <c r="C136" s="95" t="s">
        <v>967</v>
      </c>
      <c r="D136" s="102" t="s">
        <v>3962</v>
      </c>
      <c r="E136" s="102" t="s">
        <v>1333</v>
      </c>
      <c r="F136" s="98" t="s">
        <v>3964</v>
      </c>
      <c r="G136" s="102" t="s">
        <v>3965</v>
      </c>
      <c r="H136" s="106"/>
      <c r="I136" s="102" t="s">
        <v>437</v>
      </c>
      <c r="J136" s="102" t="s">
        <v>3966</v>
      </c>
      <c r="K136" s="188">
        <v>50.6796618434886</v>
      </c>
      <c r="L136" s="188">
        <v>-3.23490318823437</v>
      </c>
      <c r="M136" s="106"/>
      <c r="N136" s="107" t="s">
        <v>558</v>
      </c>
      <c r="O136" s="108" t="b">
        <v>1</v>
      </c>
      <c r="P136" s="180" t="s">
        <v>812</v>
      </c>
      <c r="Q136" s="180" t="s">
        <v>674</v>
      </c>
      <c r="R136" s="107" t="s">
        <v>387</v>
      </c>
      <c r="S136" s="107" t="s">
        <v>387</v>
      </c>
      <c r="T136" s="107" t="s">
        <v>387</v>
      </c>
      <c r="U136" s="107" t="s">
        <v>387</v>
      </c>
      <c r="V136" s="107" t="s">
        <v>387</v>
      </c>
      <c r="W136" s="107" t="s">
        <v>387</v>
      </c>
      <c r="X136" s="107" t="s">
        <v>387</v>
      </c>
      <c r="Y136" s="107" t="s">
        <v>387</v>
      </c>
      <c r="Z136" s="107" t="s">
        <v>387</v>
      </c>
      <c r="AA136" s="107" t="s">
        <v>387</v>
      </c>
      <c r="AB136" s="107" t="s">
        <v>387</v>
      </c>
      <c r="AC136" s="107" t="s">
        <v>387</v>
      </c>
      <c r="AD136" s="107" t="s">
        <v>387</v>
      </c>
      <c r="AE136" s="107" t="s">
        <v>387</v>
      </c>
      <c r="AF136" s="207" t="s">
        <v>387</v>
      </c>
      <c r="AG136" s="106"/>
      <c r="AH136" s="108" t="b">
        <v>0</v>
      </c>
      <c r="AI136" s="108" t="b">
        <v>0</v>
      </c>
      <c r="AJ136" s="107" t="s">
        <v>412</v>
      </c>
      <c r="AK136" s="106"/>
      <c r="AL136" s="107" t="s">
        <v>387</v>
      </c>
      <c r="AM136" s="113" t="s">
        <v>387</v>
      </c>
      <c r="AN136" s="107" t="s">
        <v>387</v>
      </c>
      <c r="AO136" s="113" t="s">
        <v>387</v>
      </c>
      <c r="AP136" s="107" t="s">
        <v>387</v>
      </c>
      <c r="AQ136" s="113" t="s">
        <v>387</v>
      </c>
      <c r="AR136" s="107" t="s">
        <v>387</v>
      </c>
      <c r="AS136" s="113" t="s">
        <v>387</v>
      </c>
      <c r="AT136" s="107" t="s">
        <v>387</v>
      </c>
      <c r="AU136" s="113" t="s">
        <v>387</v>
      </c>
      <c r="AV136" s="107" t="s">
        <v>387</v>
      </c>
      <c r="AW136" s="113" t="s">
        <v>387</v>
      </c>
      <c r="AX136" s="107" t="s">
        <v>387</v>
      </c>
      <c r="AY136" s="113" t="s">
        <v>387</v>
      </c>
      <c r="AZ136" s="107" t="s">
        <v>648</v>
      </c>
      <c r="BA136" s="140" t="s">
        <v>1235</v>
      </c>
      <c r="BB136" s="107" t="s">
        <v>3978</v>
      </c>
      <c r="BC136" s="106"/>
      <c r="BD136" s="106"/>
      <c r="BE136" s="108" t="b">
        <v>0</v>
      </c>
      <c r="BF136" s="108" t="b">
        <v>1</v>
      </c>
      <c r="BG136" s="108" t="b">
        <v>1</v>
      </c>
      <c r="BH136" s="108" t="b">
        <v>1</v>
      </c>
      <c r="BI136" s="108" t="b">
        <v>1</v>
      </c>
      <c r="BJ136" s="108" t="b">
        <v>0</v>
      </c>
      <c r="BK136" s="108" t="b">
        <v>0</v>
      </c>
      <c r="BL136" s="107" t="s">
        <v>519</v>
      </c>
      <c r="BM136" s="107" t="s">
        <v>543</v>
      </c>
      <c r="BN136" s="107" t="s">
        <v>1321</v>
      </c>
      <c r="BO136" s="102" t="s">
        <v>3982</v>
      </c>
      <c r="BP136" s="106"/>
      <c r="BQ136" s="106"/>
      <c r="BR136" s="102" t="s">
        <v>3986</v>
      </c>
      <c r="BS136" s="107" t="s">
        <v>2712</v>
      </c>
      <c r="BT136" s="102" t="s">
        <v>3988</v>
      </c>
      <c r="BU136" s="102" t="s">
        <v>530</v>
      </c>
      <c r="BV136" s="123">
        <v>46260.0</v>
      </c>
      <c r="BW136" s="108" t="b">
        <v>0</v>
      </c>
      <c r="BX136" s="217"/>
    </row>
    <row r="137" ht="24.75" customHeight="1">
      <c r="A137" s="89" t="s">
        <v>348</v>
      </c>
      <c r="B137" s="89" t="s">
        <v>2654</v>
      </c>
      <c r="C137" s="95" t="s">
        <v>2696</v>
      </c>
      <c r="D137" s="146" t="s">
        <v>3992</v>
      </c>
      <c r="E137" s="102" t="s">
        <v>341</v>
      </c>
      <c r="F137" s="102" t="s">
        <v>3995</v>
      </c>
      <c r="G137" s="102" t="s">
        <v>3996</v>
      </c>
      <c r="H137" s="148"/>
      <c r="I137" s="98" t="s">
        <v>831</v>
      </c>
      <c r="J137" s="98" t="s">
        <v>3999</v>
      </c>
      <c r="K137" s="149">
        <v>50.7274138756334</v>
      </c>
      <c r="L137" s="149">
        <v>-3.51549643120406</v>
      </c>
      <c r="M137" s="106"/>
      <c r="N137" s="151" t="s">
        <v>558</v>
      </c>
      <c r="O137" s="152" t="b">
        <v>0</v>
      </c>
      <c r="P137" s="151" t="s">
        <v>387</v>
      </c>
      <c r="Q137" s="151" t="s">
        <v>387</v>
      </c>
      <c r="R137" s="109">
        <v>0.4166666666666667</v>
      </c>
      <c r="S137" s="109">
        <v>0.8333333333333334</v>
      </c>
      <c r="T137" s="109">
        <v>0.4166666666666667</v>
      </c>
      <c r="U137" s="109">
        <v>0.8333333333333334</v>
      </c>
      <c r="V137" s="109">
        <v>0.4166666666666667</v>
      </c>
      <c r="W137" s="109">
        <v>0.8333333333333334</v>
      </c>
      <c r="X137" s="109">
        <v>0.4166666666666667</v>
      </c>
      <c r="Y137" s="109">
        <v>0.8333333333333334</v>
      </c>
      <c r="Z137" s="109">
        <v>0.4166666666666667</v>
      </c>
      <c r="AA137" s="109">
        <v>0.8333333333333334</v>
      </c>
      <c r="AB137" s="109">
        <v>0.4166666666666667</v>
      </c>
      <c r="AC137" s="109">
        <v>0.8333333333333334</v>
      </c>
      <c r="AD137" s="109">
        <v>0.4166666666666667</v>
      </c>
      <c r="AE137" s="109">
        <v>0.75</v>
      </c>
      <c r="AF137" s="106"/>
      <c r="AG137" s="106"/>
      <c r="AH137" s="108" t="b">
        <v>1</v>
      </c>
      <c r="AI137" s="154" t="b">
        <v>1</v>
      </c>
      <c r="AJ137" s="107" t="s">
        <v>587</v>
      </c>
      <c r="AK137" s="113" t="s">
        <v>2231</v>
      </c>
      <c r="AL137" s="102" t="s">
        <v>387</v>
      </c>
      <c r="AM137" s="157" t="s">
        <v>387</v>
      </c>
      <c r="AN137" s="157" t="s">
        <v>4013</v>
      </c>
      <c r="AO137" s="157" t="s">
        <v>387</v>
      </c>
      <c r="AP137" s="157" t="s">
        <v>387</v>
      </c>
      <c r="AQ137" s="157" t="s">
        <v>387</v>
      </c>
      <c r="AR137" s="157" t="s">
        <v>387</v>
      </c>
      <c r="AS137" s="157" t="s">
        <v>387</v>
      </c>
      <c r="AT137" s="157" t="s">
        <v>583</v>
      </c>
      <c r="AU137" s="138">
        <v>30.0</v>
      </c>
      <c r="AV137" s="157" t="s">
        <v>387</v>
      </c>
      <c r="AW137" s="157" t="s">
        <v>387</v>
      </c>
      <c r="AX137" s="157" t="s">
        <v>4018</v>
      </c>
      <c r="AY137" s="138">
        <v>25.0</v>
      </c>
      <c r="AZ137" s="107" t="s">
        <v>433</v>
      </c>
      <c r="BA137" s="107" t="s">
        <v>983</v>
      </c>
      <c r="BB137" s="107" t="s">
        <v>3764</v>
      </c>
      <c r="BC137" s="106"/>
      <c r="BD137" s="106"/>
      <c r="BE137" s="108" t="b">
        <v>0</v>
      </c>
      <c r="BF137" s="108" t="b">
        <v>0</v>
      </c>
      <c r="BG137" s="108" t="b">
        <v>0</v>
      </c>
      <c r="BH137" s="108" t="b">
        <v>0</v>
      </c>
      <c r="BI137" s="108" t="b">
        <v>1</v>
      </c>
      <c r="BJ137" s="108" t="b">
        <v>1</v>
      </c>
      <c r="BK137" s="108" t="b">
        <v>1</v>
      </c>
      <c r="BL137" s="107" t="s">
        <v>649</v>
      </c>
      <c r="BM137" s="107" t="s">
        <v>1119</v>
      </c>
      <c r="BN137" s="107" t="s">
        <v>507</v>
      </c>
      <c r="BO137" s="102" t="s">
        <v>4030</v>
      </c>
      <c r="BP137" s="106"/>
      <c r="BQ137" s="106"/>
      <c r="BR137" s="102" t="s">
        <v>4034</v>
      </c>
      <c r="BS137" s="106"/>
      <c r="BT137" s="102" t="s">
        <v>4035</v>
      </c>
      <c r="BU137" s="102" t="s">
        <v>4037</v>
      </c>
      <c r="BV137" s="123">
        <v>46260.0</v>
      </c>
      <c r="BW137" s="108" t="b">
        <v>0</v>
      </c>
      <c r="BX137" s="106"/>
    </row>
    <row r="138" ht="24.75" customHeight="1">
      <c r="A138" s="89" t="s">
        <v>348</v>
      </c>
      <c r="B138" s="89" t="s">
        <v>1062</v>
      </c>
      <c r="C138" s="89" t="s">
        <v>1579</v>
      </c>
      <c r="D138" s="98" t="s">
        <v>4044</v>
      </c>
      <c r="E138" s="107" t="s">
        <v>337</v>
      </c>
      <c r="F138" s="102" t="s">
        <v>4046</v>
      </c>
      <c r="G138" s="107" t="s">
        <v>4044</v>
      </c>
      <c r="H138" s="98" t="s">
        <v>1944</v>
      </c>
      <c r="I138" s="175" t="s">
        <v>669</v>
      </c>
      <c r="J138" s="175" t="s">
        <v>4048</v>
      </c>
      <c r="K138" s="105">
        <v>50.612814889742</v>
      </c>
      <c r="L138" s="105">
        <v>-3.40225484646177</v>
      </c>
      <c r="M138" s="106"/>
      <c r="N138" s="107" t="s">
        <v>558</v>
      </c>
      <c r="O138" s="108" t="b">
        <v>1</v>
      </c>
      <c r="P138" s="109">
        <v>0.0</v>
      </c>
      <c r="Q138" s="171" t="s">
        <v>674</v>
      </c>
      <c r="R138" s="151" t="s">
        <v>387</v>
      </c>
      <c r="S138" s="151" t="s">
        <v>387</v>
      </c>
      <c r="T138" s="151" t="s">
        <v>387</v>
      </c>
      <c r="U138" s="151" t="s">
        <v>387</v>
      </c>
      <c r="V138" s="151" t="s">
        <v>387</v>
      </c>
      <c r="W138" s="151" t="s">
        <v>387</v>
      </c>
      <c r="X138" s="151" t="s">
        <v>387</v>
      </c>
      <c r="Y138" s="151" t="s">
        <v>387</v>
      </c>
      <c r="Z138" s="151" t="s">
        <v>387</v>
      </c>
      <c r="AA138" s="151" t="s">
        <v>387</v>
      </c>
      <c r="AB138" s="151" t="s">
        <v>387</v>
      </c>
      <c r="AC138" s="151" t="s">
        <v>387</v>
      </c>
      <c r="AD138" s="151" t="s">
        <v>387</v>
      </c>
      <c r="AE138" s="151" t="s">
        <v>387</v>
      </c>
      <c r="AF138" s="102" t="s">
        <v>387</v>
      </c>
      <c r="AG138" s="107" t="s">
        <v>678</v>
      </c>
      <c r="AH138" s="108" t="b">
        <v>0</v>
      </c>
      <c r="AI138" s="108" t="b">
        <v>0</v>
      </c>
      <c r="AJ138" s="107" t="s">
        <v>412</v>
      </c>
      <c r="AK138" s="106"/>
      <c r="AL138" s="102" t="s">
        <v>387</v>
      </c>
      <c r="AM138" s="157" t="s">
        <v>387</v>
      </c>
      <c r="AN138" s="157" t="s">
        <v>387</v>
      </c>
      <c r="AO138" s="157" t="s">
        <v>387</v>
      </c>
      <c r="AP138" s="102" t="s">
        <v>387</v>
      </c>
      <c r="AQ138" s="157" t="s">
        <v>387</v>
      </c>
      <c r="AR138" s="102" t="s">
        <v>387</v>
      </c>
      <c r="AS138" s="157" t="s">
        <v>387</v>
      </c>
      <c r="AT138" s="157" t="s">
        <v>387</v>
      </c>
      <c r="AU138" s="157" t="s">
        <v>387</v>
      </c>
      <c r="AV138" s="102" t="s">
        <v>387</v>
      </c>
      <c r="AW138" s="157" t="s">
        <v>387</v>
      </c>
      <c r="AX138" s="102" t="s">
        <v>387</v>
      </c>
      <c r="AY138" s="157" t="s">
        <v>387</v>
      </c>
      <c r="AZ138" s="107" t="s">
        <v>1826</v>
      </c>
      <c r="BA138" s="140" t="s">
        <v>1249</v>
      </c>
      <c r="BB138" s="107" t="s">
        <v>1345</v>
      </c>
      <c r="BC138" s="107" t="s">
        <v>483</v>
      </c>
      <c r="BD138" s="106"/>
      <c r="BE138" s="108" t="b">
        <v>1</v>
      </c>
      <c r="BF138" s="108" t="b">
        <v>1</v>
      </c>
      <c r="BG138" s="108" t="b">
        <v>1</v>
      </c>
      <c r="BH138" s="108" t="b">
        <v>1</v>
      </c>
      <c r="BI138" s="108" t="b">
        <v>1</v>
      </c>
      <c r="BJ138" s="108" t="b">
        <v>1</v>
      </c>
      <c r="BK138" s="108" t="b">
        <v>1</v>
      </c>
      <c r="BL138" s="107" t="s">
        <v>519</v>
      </c>
      <c r="BM138" s="107" t="s">
        <v>543</v>
      </c>
      <c r="BN138" s="107" t="s">
        <v>818</v>
      </c>
      <c r="BO138" s="102" t="s">
        <v>4068</v>
      </c>
      <c r="BP138" s="106"/>
      <c r="BQ138" s="106"/>
      <c r="BR138" s="107" t="s">
        <v>4070</v>
      </c>
      <c r="BS138" s="106"/>
      <c r="BT138" s="102" t="s">
        <v>4073</v>
      </c>
      <c r="BU138" s="102" t="s">
        <v>725</v>
      </c>
      <c r="BV138" s="123">
        <v>46260.0</v>
      </c>
      <c r="BW138" s="108" t="b">
        <v>0</v>
      </c>
      <c r="BX138" s="106"/>
    </row>
    <row r="139" ht="24.75" customHeight="1">
      <c r="A139" s="89" t="s">
        <v>348</v>
      </c>
      <c r="B139" s="89" t="s">
        <v>2654</v>
      </c>
      <c r="C139" s="95" t="s">
        <v>2696</v>
      </c>
      <c r="D139" s="146" t="s">
        <v>4078</v>
      </c>
      <c r="E139" s="102" t="s">
        <v>341</v>
      </c>
      <c r="F139" s="102" t="s">
        <v>4080</v>
      </c>
      <c r="G139" s="102" t="s">
        <v>3996</v>
      </c>
      <c r="H139" s="148"/>
      <c r="I139" s="98" t="s">
        <v>831</v>
      </c>
      <c r="J139" s="98" t="s">
        <v>3999</v>
      </c>
      <c r="K139" s="149">
        <v>50.7274138756334</v>
      </c>
      <c r="L139" s="149">
        <v>-3.51549643120406</v>
      </c>
      <c r="M139" s="106"/>
      <c r="N139" s="151" t="s">
        <v>558</v>
      </c>
      <c r="O139" s="152" t="b">
        <v>0</v>
      </c>
      <c r="P139" s="151" t="s">
        <v>387</v>
      </c>
      <c r="Q139" s="151" t="s">
        <v>387</v>
      </c>
      <c r="R139" s="109">
        <v>0.4166666666666667</v>
      </c>
      <c r="S139" s="109">
        <v>0.8333333333333334</v>
      </c>
      <c r="T139" s="109">
        <v>0.4166666666666667</v>
      </c>
      <c r="U139" s="109">
        <v>0.8333333333333334</v>
      </c>
      <c r="V139" s="109">
        <v>0.4166666666666667</v>
      </c>
      <c r="W139" s="109">
        <v>0.8333333333333334</v>
      </c>
      <c r="X139" s="109">
        <v>0.4166666666666667</v>
      </c>
      <c r="Y139" s="109">
        <v>0.8333333333333334</v>
      </c>
      <c r="Z139" s="109">
        <v>0.4166666666666667</v>
      </c>
      <c r="AA139" s="109">
        <v>0.8333333333333334</v>
      </c>
      <c r="AB139" s="109">
        <v>0.4166666666666667</v>
      </c>
      <c r="AC139" s="109">
        <v>0.8333333333333334</v>
      </c>
      <c r="AD139" s="109">
        <v>0.4166666666666667</v>
      </c>
      <c r="AE139" s="109">
        <v>0.75</v>
      </c>
      <c r="AF139" s="106"/>
      <c r="AG139" s="106"/>
      <c r="AH139" s="108" t="b">
        <v>1</v>
      </c>
      <c r="AI139" s="154" t="b">
        <v>1</v>
      </c>
      <c r="AJ139" s="107" t="s">
        <v>587</v>
      </c>
      <c r="AK139" s="113" t="s">
        <v>2231</v>
      </c>
      <c r="AL139" s="102" t="s">
        <v>387</v>
      </c>
      <c r="AM139" s="157" t="s">
        <v>387</v>
      </c>
      <c r="AN139" s="157" t="s">
        <v>4013</v>
      </c>
      <c r="AO139" s="157" t="s">
        <v>387</v>
      </c>
      <c r="AP139" s="157" t="s">
        <v>387</v>
      </c>
      <c r="AQ139" s="157" t="s">
        <v>387</v>
      </c>
      <c r="AR139" s="157" t="s">
        <v>387</v>
      </c>
      <c r="AS139" s="157" t="s">
        <v>387</v>
      </c>
      <c r="AT139" s="157" t="s">
        <v>583</v>
      </c>
      <c r="AU139" s="138">
        <v>30.0</v>
      </c>
      <c r="AV139" s="157" t="s">
        <v>387</v>
      </c>
      <c r="AW139" s="157" t="s">
        <v>387</v>
      </c>
      <c r="AX139" s="157" t="s">
        <v>4018</v>
      </c>
      <c r="AY139" s="138">
        <v>25.0</v>
      </c>
      <c r="AZ139" s="107" t="s">
        <v>433</v>
      </c>
      <c r="BA139" s="107" t="s">
        <v>983</v>
      </c>
      <c r="BB139" s="107" t="s">
        <v>3764</v>
      </c>
      <c r="BC139" s="106"/>
      <c r="BD139" s="106"/>
      <c r="BE139" s="108" t="b">
        <v>0</v>
      </c>
      <c r="BF139" s="108" t="b">
        <v>0</v>
      </c>
      <c r="BG139" s="108" t="b">
        <v>0</v>
      </c>
      <c r="BH139" s="108" t="b">
        <v>0</v>
      </c>
      <c r="BI139" s="108" t="b">
        <v>1</v>
      </c>
      <c r="BJ139" s="108" t="b">
        <v>1</v>
      </c>
      <c r="BK139" s="108" t="b">
        <v>1</v>
      </c>
      <c r="BL139" s="107" t="s">
        <v>649</v>
      </c>
      <c r="BM139" s="107" t="s">
        <v>1119</v>
      </c>
      <c r="BN139" s="107" t="s">
        <v>507</v>
      </c>
      <c r="BO139" s="102" t="s">
        <v>4106</v>
      </c>
      <c r="BP139" s="106"/>
      <c r="BQ139" s="106"/>
      <c r="BR139" s="102" t="s">
        <v>4034</v>
      </c>
      <c r="BS139" s="106"/>
      <c r="BT139" s="188" t="s">
        <v>4112</v>
      </c>
      <c r="BU139" s="102" t="s">
        <v>4037</v>
      </c>
      <c r="BV139" s="123">
        <v>46260.0</v>
      </c>
      <c r="BW139" s="108" t="b">
        <v>0</v>
      </c>
      <c r="BX139" s="106"/>
    </row>
    <row r="140" ht="24.75" customHeight="1">
      <c r="A140" s="89" t="s">
        <v>348</v>
      </c>
      <c r="B140" s="89" t="s">
        <v>352</v>
      </c>
      <c r="C140" s="95" t="s">
        <v>4120</v>
      </c>
      <c r="D140" s="98" t="s">
        <v>4121</v>
      </c>
      <c r="E140" s="102" t="s">
        <v>2724</v>
      </c>
      <c r="F140" s="102" t="s">
        <v>4124</v>
      </c>
      <c r="G140" s="102" t="s">
        <v>4125</v>
      </c>
      <c r="H140" s="102" t="s">
        <v>4127</v>
      </c>
      <c r="I140" s="102" t="s">
        <v>4128</v>
      </c>
      <c r="J140" s="95" t="s">
        <v>4129</v>
      </c>
      <c r="K140" s="105">
        <v>50.8326621244826</v>
      </c>
      <c r="L140" s="105">
        <v>-3.59320654459738</v>
      </c>
      <c r="M140" s="106"/>
      <c r="N140" s="107" t="s">
        <v>558</v>
      </c>
      <c r="O140" s="106"/>
      <c r="P140" s="105" t="s">
        <v>387</v>
      </c>
      <c r="Q140" s="105" t="s">
        <v>387</v>
      </c>
      <c r="R140" s="109">
        <v>0.375</v>
      </c>
      <c r="S140" s="109">
        <v>0.7083333333333334</v>
      </c>
      <c r="T140" s="109">
        <v>0.375</v>
      </c>
      <c r="U140" s="109">
        <v>0.7083333333333334</v>
      </c>
      <c r="V140" s="109">
        <v>0.375</v>
      </c>
      <c r="W140" s="109">
        <v>0.7083333333333334</v>
      </c>
      <c r="X140" s="109">
        <v>0.375</v>
      </c>
      <c r="Y140" s="109">
        <v>0.7083333333333334</v>
      </c>
      <c r="Z140" s="109">
        <v>0.375</v>
      </c>
      <c r="AA140" s="109">
        <v>0.7083333333333334</v>
      </c>
      <c r="AB140" s="109">
        <v>0.375</v>
      </c>
      <c r="AC140" s="109">
        <v>0.7083333333333334</v>
      </c>
      <c r="AD140" s="109">
        <v>0.4166666666666667</v>
      </c>
      <c r="AE140" s="109">
        <v>0.6666666666666666</v>
      </c>
      <c r="AF140" s="106"/>
      <c r="AG140" s="106"/>
      <c r="AH140" s="106"/>
      <c r="AI140" s="155"/>
      <c r="AJ140" s="107" t="s">
        <v>412</v>
      </c>
      <c r="AK140" s="106"/>
      <c r="AL140" s="107" t="s">
        <v>387</v>
      </c>
      <c r="AM140" s="113" t="s">
        <v>387</v>
      </c>
      <c r="AN140" s="107" t="s">
        <v>387</v>
      </c>
      <c r="AO140" s="113" t="s">
        <v>387</v>
      </c>
      <c r="AP140" s="107" t="s">
        <v>387</v>
      </c>
      <c r="AQ140" s="113" t="s">
        <v>387</v>
      </c>
      <c r="AR140" s="107" t="s">
        <v>387</v>
      </c>
      <c r="AS140" s="113" t="s">
        <v>387</v>
      </c>
      <c r="AT140" s="107" t="s">
        <v>387</v>
      </c>
      <c r="AU140" s="113" t="s">
        <v>387</v>
      </c>
      <c r="AV140" s="107" t="s">
        <v>387</v>
      </c>
      <c r="AW140" s="113" t="s">
        <v>387</v>
      </c>
      <c r="AX140" s="107" t="s">
        <v>387</v>
      </c>
      <c r="AY140" s="113" t="s">
        <v>387</v>
      </c>
      <c r="AZ140" s="107" t="s">
        <v>433</v>
      </c>
      <c r="BA140" s="107" t="s">
        <v>4138</v>
      </c>
      <c r="BB140" s="107" t="s">
        <v>4139</v>
      </c>
      <c r="BC140" s="107" t="s">
        <v>4140</v>
      </c>
      <c r="BD140" s="107" t="s">
        <v>656</v>
      </c>
      <c r="BE140" s="108" t="b">
        <v>1</v>
      </c>
      <c r="BF140" s="108" t="b">
        <v>1</v>
      </c>
      <c r="BG140" s="108" t="b">
        <v>1</v>
      </c>
      <c r="BH140" s="108" t="b">
        <v>1</v>
      </c>
      <c r="BI140" s="108" t="b">
        <v>1</v>
      </c>
      <c r="BJ140" s="108" t="b">
        <v>1</v>
      </c>
      <c r="BK140" s="108" t="b">
        <v>1</v>
      </c>
      <c r="BL140" s="107" t="s">
        <v>649</v>
      </c>
      <c r="BM140" s="107" t="s">
        <v>502</v>
      </c>
      <c r="BN140" s="107" t="s">
        <v>507</v>
      </c>
      <c r="BO140" s="102" t="s">
        <v>4141</v>
      </c>
      <c r="BP140" s="107" t="s">
        <v>514</v>
      </c>
      <c r="BQ140" s="107" t="s">
        <v>4142</v>
      </c>
      <c r="BR140" s="102" t="s">
        <v>4143</v>
      </c>
      <c r="BS140" s="106"/>
      <c r="BT140" s="107" t="s">
        <v>4144</v>
      </c>
      <c r="BU140" s="102" t="s">
        <v>530</v>
      </c>
      <c r="BV140" s="123">
        <v>46260.0</v>
      </c>
      <c r="BW140" s="108" t="b">
        <v>0</v>
      </c>
      <c r="BX140" s="106"/>
    </row>
    <row r="141" ht="24.75" customHeight="1">
      <c r="A141" s="250" t="s">
        <v>348</v>
      </c>
      <c r="B141" s="89" t="s">
        <v>964</v>
      </c>
      <c r="C141" s="89" t="s">
        <v>967</v>
      </c>
      <c r="D141" s="98" t="s">
        <v>4145</v>
      </c>
      <c r="E141" s="107" t="s">
        <v>337</v>
      </c>
      <c r="F141" s="102" t="s">
        <v>4146</v>
      </c>
      <c r="G141" s="102" t="s">
        <v>4147</v>
      </c>
      <c r="H141" s="98" t="s">
        <v>4148</v>
      </c>
      <c r="I141" s="98" t="s">
        <v>831</v>
      </c>
      <c r="J141" s="98" t="s">
        <v>4149</v>
      </c>
      <c r="K141" s="149">
        <v>50.6853461741411</v>
      </c>
      <c r="L141" s="149">
        <v>-3.47109312781094</v>
      </c>
      <c r="M141" s="106"/>
      <c r="N141" s="107" t="s">
        <v>558</v>
      </c>
      <c r="O141" s="108" t="b">
        <v>1</v>
      </c>
      <c r="P141" s="109">
        <v>0.0</v>
      </c>
      <c r="Q141" s="171" t="s">
        <v>674</v>
      </c>
      <c r="R141" s="151" t="s">
        <v>387</v>
      </c>
      <c r="S141" s="151" t="s">
        <v>387</v>
      </c>
      <c r="T141" s="151" t="s">
        <v>387</v>
      </c>
      <c r="U141" s="151" t="s">
        <v>387</v>
      </c>
      <c r="V141" s="151" t="s">
        <v>387</v>
      </c>
      <c r="W141" s="151" t="s">
        <v>387</v>
      </c>
      <c r="X141" s="151" t="s">
        <v>387</v>
      </c>
      <c r="Y141" s="151" t="s">
        <v>387</v>
      </c>
      <c r="Z141" s="151" t="s">
        <v>387</v>
      </c>
      <c r="AA141" s="151" t="s">
        <v>387</v>
      </c>
      <c r="AB141" s="151" t="s">
        <v>387</v>
      </c>
      <c r="AC141" s="151" t="s">
        <v>387</v>
      </c>
      <c r="AD141" s="151" t="s">
        <v>387</v>
      </c>
      <c r="AE141" s="151" t="s">
        <v>387</v>
      </c>
      <c r="AF141" s="106"/>
      <c r="AG141" s="106"/>
      <c r="AH141" s="108" t="b">
        <v>0</v>
      </c>
      <c r="AI141" s="108" t="b">
        <v>0</v>
      </c>
      <c r="AJ141" s="107" t="s">
        <v>412</v>
      </c>
      <c r="AK141" s="106"/>
      <c r="AL141" s="102" t="s">
        <v>387</v>
      </c>
      <c r="AM141" s="157" t="s">
        <v>387</v>
      </c>
      <c r="AN141" s="157" t="s">
        <v>387</v>
      </c>
      <c r="AO141" s="157" t="s">
        <v>387</v>
      </c>
      <c r="AP141" s="102" t="s">
        <v>387</v>
      </c>
      <c r="AQ141" s="157" t="s">
        <v>387</v>
      </c>
      <c r="AR141" s="102" t="s">
        <v>387</v>
      </c>
      <c r="AS141" s="157" t="s">
        <v>387</v>
      </c>
      <c r="AT141" s="157" t="s">
        <v>387</v>
      </c>
      <c r="AU141" s="157" t="s">
        <v>387</v>
      </c>
      <c r="AV141" s="102" t="s">
        <v>387</v>
      </c>
      <c r="AW141" s="157" t="s">
        <v>387</v>
      </c>
      <c r="AX141" s="102" t="s">
        <v>387</v>
      </c>
      <c r="AY141" s="157" t="s">
        <v>387</v>
      </c>
      <c r="AZ141" s="107" t="s">
        <v>588</v>
      </c>
      <c r="BA141" s="140" t="s">
        <v>4150</v>
      </c>
      <c r="BB141" s="106"/>
      <c r="BC141" s="107" t="s">
        <v>483</v>
      </c>
      <c r="BD141" s="107" t="s">
        <v>490</v>
      </c>
      <c r="BE141" s="108" t="b">
        <v>0</v>
      </c>
      <c r="BF141" s="108" t="b">
        <v>1</v>
      </c>
      <c r="BG141" s="108" t="b">
        <v>1</v>
      </c>
      <c r="BH141" s="108" t="b">
        <v>1</v>
      </c>
      <c r="BI141" s="108" t="b">
        <v>1</v>
      </c>
      <c r="BJ141" s="108" t="b">
        <v>0</v>
      </c>
      <c r="BK141" s="108" t="b">
        <v>0</v>
      </c>
      <c r="BL141" s="107" t="s">
        <v>519</v>
      </c>
      <c r="BM141" s="107" t="s">
        <v>597</v>
      </c>
      <c r="BN141" s="107" t="s">
        <v>1457</v>
      </c>
      <c r="BO141" s="102" t="s">
        <v>4151</v>
      </c>
      <c r="BP141" s="106"/>
      <c r="BQ141" s="106"/>
      <c r="BR141" s="107" t="s">
        <v>4152</v>
      </c>
      <c r="BS141" s="106"/>
      <c r="BT141" s="102" t="s">
        <v>4153</v>
      </c>
      <c r="BU141" s="102" t="s">
        <v>530</v>
      </c>
      <c r="BV141" s="123">
        <v>46260.0</v>
      </c>
      <c r="BW141" s="108" t="b">
        <v>0</v>
      </c>
      <c r="BX141" s="106"/>
    </row>
    <row r="142" ht="24.75" customHeight="1">
      <c r="A142" s="250" t="s">
        <v>348</v>
      </c>
      <c r="B142" s="89" t="s">
        <v>772</v>
      </c>
      <c r="C142" s="89" t="s">
        <v>4154</v>
      </c>
      <c r="D142" s="98" t="s">
        <v>4155</v>
      </c>
      <c r="E142" s="107" t="s">
        <v>1442</v>
      </c>
      <c r="F142" s="102" t="s">
        <v>4156</v>
      </c>
      <c r="G142" s="102" t="s">
        <v>4155</v>
      </c>
      <c r="H142" s="98" t="s">
        <v>4157</v>
      </c>
      <c r="I142" s="98" t="s">
        <v>550</v>
      </c>
      <c r="J142" s="98" t="s">
        <v>4158</v>
      </c>
      <c r="K142" s="149">
        <v>50.4626557616032</v>
      </c>
      <c r="L142" s="149">
        <v>-3.53507447129942</v>
      </c>
      <c r="M142" s="106"/>
      <c r="N142" s="151" t="s">
        <v>558</v>
      </c>
      <c r="O142" s="204" t="b">
        <v>1</v>
      </c>
      <c r="P142" s="180" t="s">
        <v>812</v>
      </c>
      <c r="Q142" s="180" t="s">
        <v>674</v>
      </c>
      <c r="R142" s="151" t="s">
        <v>387</v>
      </c>
      <c r="S142" s="151" t="s">
        <v>387</v>
      </c>
      <c r="T142" s="151" t="s">
        <v>387</v>
      </c>
      <c r="U142" s="151" t="s">
        <v>387</v>
      </c>
      <c r="V142" s="151" t="s">
        <v>387</v>
      </c>
      <c r="W142" s="151" t="s">
        <v>387</v>
      </c>
      <c r="X142" s="151" t="s">
        <v>387</v>
      </c>
      <c r="Y142" s="151" t="s">
        <v>387</v>
      </c>
      <c r="Z142" s="151" t="s">
        <v>387</v>
      </c>
      <c r="AA142" s="151" t="s">
        <v>387</v>
      </c>
      <c r="AB142" s="151" t="s">
        <v>387</v>
      </c>
      <c r="AC142" s="151" t="s">
        <v>387</v>
      </c>
      <c r="AD142" s="151" t="s">
        <v>387</v>
      </c>
      <c r="AE142" s="151" t="s">
        <v>387</v>
      </c>
      <c r="AF142" s="107" t="s">
        <v>387</v>
      </c>
      <c r="AG142" s="107" t="s">
        <v>678</v>
      </c>
      <c r="AH142" s="108" t="b">
        <v>0</v>
      </c>
      <c r="AI142" s="154" t="b">
        <v>0</v>
      </c>
      <c r="AJ142" s="107" t="s">
        <v>412</v>
      </c>
      <c r="AK142" s="155"/>
      <c r="AL142" s="102" t="s">
        <v>387</v>
      </c>
      <c r="AM142" s="157" t="s">
        <v>387</v>
      </c>
      <c r="AN142" s="157" t="s">
        <v>387</v>
      </c>
      <c r="AO142" s="157" t="s">
        <v>387</v>
      </c>
      <c r="AP142" s="157" t="s">
        <v>387</v>
      </c>
      <c r="AQ142" s="157" t="s">
        <v>387</v>
      </c>
      <c r="AR142" s="157" t="s">
        <v>387</v>
      </c>
      <c r="AS142" s="157" t="s">
        <v>387</v>
      </c>
      <c r="AT142" s="157" t="s">
        <v>387</v>
      </c>
      <c r="AU142" s="157" t="s">
        <v>387</v>
      </c>
      <c r="AV142" s="157" t="s">
        <v>387</v>
      </c>
      <c r="AW142" s="157" t="s">
        <v>387</v>
      </c>
      <c r="AX142" s="157" t="s">
        <v>387</v>
      </c>
      <c r="AY142" s="157" t="s">
        <v>387</v>
      </c>
      <c r="AZ142" s="107" t="s">
        <v>1826</v>
      </c>
      <c r="BA142" s="107" t="s">
        <v>1846</v>
      </c>
      <c r="BB142" s="107" t="s">
        <v>1005</v>
      </c>
      <c r="BC142" s="107" t="s">
        <v>483</v>
      </c>
      <c r="BD142" s="106"/>
      <c r="BE142" s="108" t="b">
        <v>1</v>
      </c>
      <c r="BF142" s="108" t="b">
        <v>1</v>
      </c>
      <c r="BG142" s="108" t="b">
        <v>1</v>
      </c>
      <c r="BH142" s="108" t="b">
        <v>1</v>
      </c>
      <c r="BI142" s="108" t="b">
        <v>1</v>
      </c>
      <c r="BJ142" s="108" t="b">
        <v>1</v>
      </c>
      <c r="BK142" s="108" t="b">
        <v>1</v>
      </c>
      <c r="BL142" s="107" t="s">
        <v>519</v>
      </c>
      <c r="BM142" s="107" t="s">
        <v>950</v>
      </c>
      <c r="BN142" s="107" t="s">
        <v>1355</v>
      </c>
      <c r="BO142" s="102" t="s">
        <v>4166</v>
      </c>
      <c r="BP142" s="107" t="s">
        <v>514</v>
      </c>
      <c r="BQ142" s="106"/>
      <c r="BR142" s="107" t="s">
        <v>4168</v>
      </c>
      <c r="BS142" s="106"/>
      <c r="BT142" s="102" t="s">
        <v>4171</v>
      </c>
      <c r="BU142" s="102" t="s">
        <v>1809</v>
      </c>
      <c r="BV142" s="123">
        <v>46260.0</v>
      </c>
      <c r="BW142" s="108" t="b">
        <v>0</v>
      </c>
      <c r="BX142" s="106"/>
    </row>
    <row r="143" ht="24.75" customHeight="1">
      <c r="A143" s="89" t="s">
        <v>348</v>
      </c>
      <c r="B143" s="89" t="s">
        <v>964</v>
      </c>
      <c r="C143" s="95" t="s">
        <v>967</v>
      </c>
      <c r="D143" s="98" t="s">
        <v>4177</v>
      </c>
      <c r="E143" s="102" t="s">
        <v>339</v>
      </c>
      <c r="F143" s="102" t="s">
        <v>4180</v>
      </c>
      <c r="G143" s="102" t="s">
        <v>4181</v>
      </c>
      <c r="H143" s="98" t="s">
        <v>1042</v>
      </c>
      <c r="I143" s="98" t="s">
        <v>669</v>
      </c>
      <c r="J143" s="98" t="s">
        <v>4183</v>
      </c>
      <c r="K143" s="105">
        <v>50.6516151372738</v>
      </c>
      <c r="L143" s="105">
        <v>-3.4263000242297</v>
      </c>
      <c r="M143" s="106"/>
      <c r="N143" s="151" t="s">
        <v>558</v>
      </c>
      <c r="O143" s="152" t="b">
        <v>1</v>
      </c>
      <c r="P143" s="180" t="s">
        <v>812</v>
      </c>
      <c r="Q143" s="180" t="s">
        <v>674</v>
      </c>
      <c r="R143" s="151" t="s">
        <v>387</v>
      </c>
      <c r="S143" s="151" t="s">
        <v>387</v>
      </c>
      <c r="T143" s="151" t="s">
        <v>387</v>
      </c>
      <c r="U143" s="151" t="s">
        <v>387</v>
      </c>
      <c r="V143" s="151" t="s">
        <v>387</v>
      </c>
      <c r="W143" s="151" t="s">
        <v>387</v>
      </c>
      <c r="X143" s="151" t="s">
        <v>387</v>
      </c>
      <c r="Y143" s="151" t="s">
        <v>387</v>
      </c>
      <c r="Z143" s="151" t="s">
        <v>387</v>
      </c>
      <c r="AA143" s="151" t="s">
        <v>387</v>
      </c>
      <c r="AB143" s="151" t="s">
        <v>387</v>
      </c>
      <c r="AC143" s="151" t="s">
        <v>387</v>
      </c>
      <c r="AD143" s="151" t="s">
        <v>387</v>
      </c>
      <c r="AE143" s="151" t="s">
        <v>387</v>
      </c>
      <c r="AF143" s="107" t="s">
        <v>678</v>
      </c>
      <c r="AG143" s="107" t="s">
        <v>678</v>
      </c>
      <c r="AH143" s="108" t="b">
        <v>0</v>
      </c>
      <c r="AI143" s="154" t="b">
        <v>0</v>
      </c>
      <c r="AJ143" s="107" t="s">
        <v>412</v>
      </c>
      <c r="AK143" s="155"/>
      <c r="AL143" s="102" t="s">
        <v>387</v>
      </c>
      <c r="AM143" s="157" t="s">
        <v>387</v>
      </c>
      <c r="AN143" s="157" t="s">
        <v>387</v>
      </c>
      <c r="AO143" s="157" t="s">
        <v>387</v>
      </c>
      <c r="AP143" s="157" t="s">
        <v>387</v>
      </c>
      <c r="AQ143" s="157" t="s">
        <v>387</v>
      </c>
      <c r="AR143" s="157" t="s">
        <v>387</v>
      </c>
      <c r="AS143" s="157" t="s">
        <v>387</v>
      </c>
      <c r="AT143" s="157" t="s">
        <v>387</v>
      </c>
      <c r="AU143" s="157" t="s">
        <v>387</v>
      </c>
      <c r="AV143" s="157" t="s">
        <v>387</v>
      </c>
      <c r="AW143" s="157" t="s">
        <v>387</v>
      </c>
      <c r="AX143" s="157" t="s">
        <v>387</v>
      </c>
      <c r="AY143" s="157" t="s">
        <v>387</v>
      </c>
      <c r="AZ143" s="107" t="s">
        <v>588</v>
      </c>
      <c r="BA143" s="107" t="s">
        <v>1235</v>
      </c>
      <c r="BB143" s="107" t="s">
        <v>1505</v>
      </c>
      <c r="BC143" s="107" t="s">
        <v>483</v>
      </c>
      <c r="BD143" s="106"/>
      <c r="BE143" s="108" t="b">
        <v>0</v>
      </c>
      <c r="BF143" s="108" t="b">
        <v>1</v>
      </c>
      <c r="BG143" s="108" t="b">
        <v>1</v>
      </c>
      <c r="BH143" s="108" t="b">
        <v>1</v>
      </c>
      <c r="BI143" s="108" t="b">
        <v>0</v>
      </c>
      <c r="BJ143" s="108" t="b">
        <v>0</v>
      </c>
      <c r="BK143" s="108" t="b">
        <v>0</v>
      </c>
      <c r="BL143" s="107" t="s">
        <v>519</v>
      </c>
      <c r="BM143" s="107" t="s">
        <v>1090</v>
      </c>
      <c r="BN143" s="107" t="s">
        <v>1321</v>
      </c>
      <c r="BO143" s="102" t="s">
        <v>4208</v>
      </c>
      <c r="BP143" s="106"/>
      <c r="BQ143" s="106"/>
      <c r="BR143" s="102" t="s">
        <v>4210</v>
      </c>
      <c r="BS143" s="106"/>
      <c r="BT143" s="102" t="s">
        <v>4212</v>
      </c>
      <c r="BU143" s="102" t="s">
        <v>530</v>
      </c>
      <c r="BV143" s="123">
        <v>46260.0</v>
      </c>
      <c r="BW143" s="108" t="b">
        <v>0</v>
      </c>
      <c r="BX143" s="106"/>
    </row>
    <row r="144" ht="24.75" customHeight="1">
      <c r="A144" s="89" t="s">
        <v>348</v>
      </c>
      <c r="B144" s="89" t="s">
        <v>610</v>
      </c>
      <c r="C144" s="95" t="s">
        <v>612</v>
      </c>
      <c r="D144" s="98" t="s">
        <v>4216</v>
      </c>
      <c r="E144" s="102" t="s">
        <v>2724</v>
      </c>
      <c r="F144" s="102" t="s">
        <v>4218</v>
      </c>
      <c r="G144" s="102" t="s">
        <v>4219</v>
      </c>
      <c r="H144" s="102" t="s">
        <v>2309</v>
      </c>
      <c r="I144" s="102" t="s">
        <v>382</v>
      </c>
      <c r="J144" s="95" t="s">
        <v>4222</v>
      </c>
      <c r="K144" s="105">
        <v>50.5866856680727</v>
      </c>
      <c r="L144" s="105">
        <v>-3.72010490237313</v>
      </c>
      <c r="M144" s="106"/>
      <c r="N144" s="107" t="s">
        <v>1446</v>
      </c>
      <c r="O144" s="108" t="b">
        <v>1</v>
      </c>
      <c r="P144" s="109">
        <v>0.375</v>
      </c>
      <c r="Q144" s="109">
        <v>0.7083333333333334</v>
      </c>
      <c r="R144" s="107" t="s">
        <v>387</v>
      </c>
      <c r="S144" s="107" t="s">
        <v>387</v>
      </c>
      <c r="T144" s="107" t="s">
        <v>387</v>
      </c>
      <c r="U144" s="107" t="s">
        <v>387</v>
      </c>
      <c r="V144" s="107" t="s">
        <v>387</v>
      </c>
      <c r="W144" s="107" t="s">
        <v>387</v>
      </c>
      <c r="X144" s="107" t="s">
        <v>387</v>
      </c>
      <c r="Y144" s="107" t="s">
        <v>387</v>
      </c>
      <c r="Z144" s="107" t="s">
        <v>387</v>
      </c>
      <c r="AA144" s="107" t="s">
        <v>387</v>
      </c>
      <c r="AB144" s="107" t="s">
        <v>387</v>
      </c>
      <c r="AC144" s="107" t="s">
        <v>387</v>
      </c>
      <c r="AD144" s="107" t="s">
        <v>387</v>
      </c>
      <c r="AE144" s="107" t="s">
        <v>387</v>
      </c>
      <c r="AF144" s="106"/>
      <c r="AG144" s="106"/>
      <c r="AH144" s="108" t="b">
        <v>0</v>
      </c>
      <c r="AI144" s="108" t="b">
        <v>0</v>
      </c>
      <c r="AJ144" s="107" t="s">
        <v>412</v>
      </c>
      <c r="AK144" s="106"/>
      <c r="AL144" s="107" t="s">
        <v>387</v>
      </c>
      <c r="AM144" s="113" t="s">
        <v>387</v>
      </c>
      <c r="AN144" s="107" t="s">
        <v>387</v>
      </c>
      <c r="AO144" s="113" t="s">
        <v>387</v>
      </c>
      <c r="AP144" s="107" t="s">
        <v>387</v>
      </c>
      <c r="AQ144" s="113" t="s">
        <v>387</v>
      </c>
      <c r="AR144" s="107" t="s">
        <v>387</v>
      </c>
      <c r="AS144" s="113" t="s">
        <v>387</v>
      </c>
      <c r="AT144" s="107" t="s">
        <v>387</v>
      </c>
      <c r="AU144" s="113" t="s">
        <v>387</v>
      </c>
      <c r="AV144" s="107" t="s">
        <v>387</v>
      </c>
      <c r="AW144" s="113" t="s">
        <v>387</v>
      </c>
      <c r="AX144" s="107" t="s">
        <v>387</v>
      </c>
      <c r="AY144" s="113" t="s">
        <v>387</v>
      </c>
      <c r="AZ144" s="107" t="s">
        <v>433</v>
      </c>
      <c r="BA144" s="107" t="s">
        <v>4231</v>
      </c>
      <c r="BB144" s="107" t="s">
        <v>4233</v>
      </c>
      <c r="BC144" s="107" t="s">
        <v>1795</v>
      </c>
      <c r="BD144" s="107" t="s">
        <v>656</v>
      </c>
      <c r="BE144" s="108" t="b">
        <v>1</v>
      </c>
      <c r="BF144" s="108" t="b">
        <v>1</v>
      </c>
      <c r="BG144" s="108" t="b">
        <v>1</v>
      </c>
      <c r="BH144" s="108" t="b">
        <v>1</v>
      </c>
      <c r="BI144" s="108" t="b">
        <v>1</v>
      </c>
      <c r="BJ144" s="108" t="b">
        <v>1</v>
      </c>
      <c r="BK144" s="108" t="b">
        <v>1</v>
      </c>
      <c r="BL144" s="107" t="s">
        <v>496</v>
      </c>
      <c r="BM144" s="107" t="s">
        <v>502</v>
      </c>
      <c r="BN144" s="107" t="s">
        <v>598</v>
      </c>
      <c r="BO144" s="102" t="s">
        <v>4242</v>
      </c>
      <c r="BP144" s="106"/>
      <c r="BQ144" s="106"/>
      <c r="BR144" s="102" t="s">
        <v>2223</v>
      </c>
      <c r="BS144" s="106"/>
      <c r="BT144" s="102" t="s">
        <v>4246</v>
      </c>
      <c r="BU144" s="102" t="s">
        <v>530</v>
      </c>
      <c r="BV144" s="123">
        <v>46260.0</v>
      </c>
      <c r="BW144" s="108" t="b">
        <v>0</v>
      </c>
      <c r="BX144" s="106"/>
    </row>
    <row r="145" ht="24.75" customHeight="1">
      <c r="A145" s="250" t="s">
        <v>348</v>
      </c>
      <c r="B145" s="89" t="s">
        <v>1438</v>
      </c>
      <c r="C145" s="95" t="s">
        <v>4255</v>
      </c>
      <c r="D145" s="275" t="s">
        <v>4256</v>
      </c>
      <c r="E145" s="102" t="s">
        <v>341</v>
      </c>
      <c r="F145" s="102" t="s">
        <v>4259</v>
      </c>
      <c r="G145" s="102" t="s">
        <v>4260</v>
      </c>
      <c r="H145" s="148"/>
      <c r="I145" s="98" t="s">
        <v>831</v>
      </c>
      <c r="J145" s="98" t="s">
        <v>4263</v>
      </c>
      <c r="K145" s="105">
        <v>50.7252660909942</v>
      </c>
      <c r="L145" s="105">
        <v>-3.52702230412965</v>
      </c>
      <c r="M145" s="106"/>
      <c r="N145" s="107" t="s">
        <v>2701</v>
      </c>
      <c r="O145" s="108" t="b">
        <v>0</v>
      </c>
      <c r="P145" s="107" t="s">
        <v>387</v>
      </c>
      <c r="Q145" s="107" t="s">
        <v>387</v>
      </c>
      <c r="R145" s="151" t="s">
        <v>387</v>
      </c>
      <c r="S145" s="151" t="s">
        <v>387</v>
      </c>
      <c r="T145" s="151" t="s">
        <v>387</v>
      </c>
      <c r="U145" s="151" t="s">
        <v>387</v>
      </c>
      <c r="V145" s="151" t="s">
        <v>387</v>
      </c>
      <c r="W145" s="151" t="s">
        <v>387</v>
      </c>
      <c r="X145" s="109">
        <v>0.4583333333333333</v>
      </c>
      <c r="Y145" s="109">
        <v>0.6666666666666666</v>
      </c>
      <c r="Z145" s="109">
        <v>0.4583333333333333</v>
      </c>
      <c r="AA145" s="109">
        <v>0.6666666666666666</v>
      </c>
      <c r="AB145" s="109">
        <v>0.4583333333333333</v>
      </c>
      <c r="AC145" s="109">
        <v>0.6666666666666666</v>
      </c>
      <c r="AD145" s="109">
        <v>0.4583333333333333</v>
      </c>
      <c r="AE145" s="109">
        <v>0.6666666666666666</v>
      </c>
      <c r="AF145" s="106"/>
      <c r="AG145" s="106"/>
      <c r="AH145" s="108" t="b">
        <v>1</v>
      </c>
      <c r="AI145" s="108" t="b">
        <v>1</v>
      </c>
      <c r="AJ145" s="107" t="s">
        <v>587</v>
      </c>
      <c r="AK145" s="107" t="s">
        <v>4264</v>
      </c>
      <c r="AL145" s="188" t="s">
        <v>387</v>
      </c>
      <c r="AM145" s="137" t="s">
        <v>387</v>
      </c>
      <c r="AN145" s="102" t="s">
        <v>1420</v>
      </c>
      <c r="AO145" s="138">
        <v>6.0</v>
      </c>
      <c r="AP145" s="135" t="s">
        <v>387</v>
      </c>
      <c r="AQ145" s="135" t="s">
        <v>387</v>
      </c>
      <c r="AR145" s="135" t="s">
        <v>387</v>
      </c>
      <c r="AS145" s="135" t="s">
        <v>387</v>
      </c>
      <c r="AT145" s="102" t="s">
        <v>596</v>
      </c>
      <c r="AU145" s="138">
        <v>9.0</v>
      </c>
      <c r="AV145" s="102" t="s">
        <v>3006</v>
      </c>
      <c r="AW145" s="138">
        <v>7.0</v>
      </c>
      <c r="AX145" s="102" t="s">
        <v>1424</v>
      </c>
      <c r="AY145" s="138">
        <v>25.0</v>
      </c>
      <c r="AZ145" s="107" t="s">
        <v>588</v>
      </c>
      <c r="BA145" s="107" t="s">
        <v>3685</v>
      </c>
      <c r="BB145" s="106"/>
      <c r="BC145" s="106"/>
      <c r="BD145" s="106"/>
      <c r="BE145" s="108" t="b">
        <v>0</v>
      </c>
      <c r="BF145" s="108" t="b">
        <v>0</v>
      </c>
      <c r="BG145" s="108" t="b">
        <v>0</v>
      </c>
      <c r="BH145" s="108" t="b">
        <v>1</v>
      </c>
      <c r="BI145" s="108" t="b">
        <v>1</v>
      </c>
      <c r="BJ145" s="108" t="b">
        <v>1</v>
      </c>
      <c r="BK145" s="108" t="b">
        <v>1</v>
      </c>
      <c r="BL145" s="107" t="s">
        <v>649</v>
      </c>
      <c r="BM145" s="107" t="s">
        <v>3011</v>
      </c>
      <c r="BN145" s="107" t="s">
        <v>870</v>
      </c>
      <c r="BO145" s="102" t="s">
        <v>4267</v>
      </c>
      <c r="BP145" s="106"/>
      <c r="BQ145" s="106"/>
      <c r="BR145" s="107" t="s">
        <v>4268</v>
      </c>
      <c r="BS145" s="106"/>
      <c r="BT145" s="188" t="s">
        <v>4269</v>
      </c>
      <c r="BU145" s="102" t="s">
        <v>607</v>
      </c>
      <c r="BV145" s="123">
        <v>46260.0</v>
      </c>
      <c r="BW145" s="108" t="b">
        <v>0</v>
      </c>
      <c r="BX145" s="106"/>
    </row>
    <row r="146" ht="24.75" customHeight="1">
      <c r="A146" s="250" t="s">
        <v>348</v>
      </c>
      <c r="B146" s="89" t="s">
        <v>899</v>
      </c>
      <c r="C146" s="89" t="s">
        <v>1196</v>
      </c>
      <c r="D146" s="98" t="s">
        <v>4270</v>
      </c>
      <c r="E146" s="107" t="s">
        <v>337</v>
      </c>
      <c r="F146" s="102" t="s">
        <v>4271</v>
      </c>
      <c r="G146" s="102" t="s">
        <v>4272</v>
      </c>
      <c r="H146" s="98" t="s">
        <v>4273</v>
      </c>
      <c r="I146" s="98" t="s">
        <v>4274</v>
      </c>
      <c r="J146" s="98" t="s">
        <v>4275</v>
      </c>
      <c r="K146" s="149">
        <v>50.46462896156</v>
      </c>
      <c r="L146" s="149">
        <v>-3.53929347354365</v>
      </c>
      <c r="M146" s="106"/>
      <c r="N146" s="107" t="s">
        <v>558</v>
      </c>
      <c r="O146" s="108" t="b">
        <v>0</v>
      </c>
      <c r="P146" s="151" t="s">
        <v>387</v>
      </c>
      <c r="Q146" s="224" t="s">
        <v>387</v>
      </c>
      <c r="R146" s="109">
        <v>0.2708333333333333</v>
      </c>
      <c r="S146" s="109">
        <v>0.875</v>
      </c>
      <c r="T146" s="109">
        <v>0.2708333333333333</v>
      </c>
      <c r="U146" s="109">
        <v>0.875</v>
      </c>
      <c r="V146" s="109">
        <v>0.2708333333333333</v>
      </c>
      <c r="W146" s="109">
        <v>0.875</v>
      </c>
      <c r="X146" s="109">
        <v>0.2708333333333333</v>
      </c>
      <c r="Y146" s="109">
        <v>0.875</v>
      </c>
      <c r="Z146" s="109">
        <v>0.2708333333333333</v>
      </c>
      <c r="AA146" s="109">
        <v>0.875</v>
      </c>
      <c r="AB146" s="109">
        <v>0.3125</v>
      </c>
      <c r="AC146" s="109">
        <v>0.7083333333333334</v>
      </c>
      <c r="AD146" s="109">
        <v>0.3541666666666667</v>
      </c>
      <c r="AE146" s="109">
        <v>0.75</v>
      </c>
      <c r="AF146" s="106"/>
      <c r="AG146" s="106"/>
      <c r="AH146" s="108" t="b">
        <v>1</v>
      </c>
      <c r="AI146" s="108" t="b">
        <v>1</v>
      </c>
      <c r="AJ146" s="107" t="s">
        <v>731</v>
      </c>
      <c r="AK146" s="107" t="s">
        <v>2466</v>
      </c>
      <c r="AL146" s="102" t="s">
        <v>387</v>
      </c>
      <c r="AM146" s="157" t="s">
        <v>387</v>
      </c>
      <c r="AN146" s="157" t="s">
        <v>387</v>
      </c>
      <c r="AO146" s="157" t="s">
        <v>387</v>
      </c>
      <c r="AP146" s="102" t="s">
        <v>1791</v>
      </c>
      <c r="AQ146" s="138">
        <v>0.0</v>
      </c>
      <c r="AR146" s="102" t="s">
        <v>736</v>
      </c>
      <c r="AS146" s="138">
        <v>6.1</v>
      </c>
      <c r="AT146" s="157" t="s">
        <v>583</v>
      </c>
      <c r="AU146" s="138">
        <v>7.4</v>
      </c>
      <c r="AV146" s="102" t="s">
        <v>4277</v>
      </c>
      <c r="AW146" s="138">
        <v>6.1</v>
      </c>
      <c r="AX146" s="102" t="s">
        <v>387</v>
      </c>
      <c r="AY146" s="157" t="s">
        <v>387</v>
      </c>
      <c r="AZ146" s="107" t="s">
        <v>1826</v>
      </c>
      <c r="BA146" s="107" t="s">
        <v>4278</v>
      </c>
      <c r="BB146" s="107" t="s">
        <v>3008</v>
      </c>
      <c r="BC146" s="107" t="s">
        <v>1795</v>
      </c>
      <c r="BD146" s="106"/>
      <c r="BE146" s="108" t="b">
        <v>0</v>
      </c>
      <c r="BF146" s="108" t="b">
        <v>0</v>
      </c>
      <c r="BG146" s="108" t="b">
        <v>1</v>
      </c>
      <c r="BH146" s="108" t="b">
        <v>1</v>
      </c>
      <c r="BI146" s="108" t="b">
        <v>1</v>
      </c>
      <c r="BJ146" s="108" t="b">
        <v>1</v>
      </c>
      <c r="BK146" s="108" t="b">
        <v>1</v>
      </c>
      <c r="BL146" s="107" t="s">
        <v>649</v>
      </c>
      <c r="BM146" s="107" t="s">
        <v>4279</v>
      </c>
      <c r="BN146" s="107" t="s">
        <v>1120</v>
      </c>
      <c r="BO146" s="102" t="s">
        <v>4280</v>
      </c>
      <c r="BP146" s="106"/>
      <c r="BQ146" s="106"/>
      <c r="BR146" s="107" t="s">
        <v>4281</v>
      </c>
      <c r="BS146" s="106"/>
      <c r="BT146" s="102" t="s">
        <v>4282</v>
      </c>
      <c r="BU146" s="102" t="s">
        <v>530</v>
      </c>
      <c r="BV146" s="123">
        <v>46260.0</v>
      </c>
      <c r="BW146" s="108" t="b">
        <v>0</v>
      </c>
      <c r="BX146" s="106"/>
    </row>
    <row r="147" ht="24.75" customHeight="1">
      <c r="A147" s="250" t="s">
        <v>348</v>
      </c>
      <c r="B147" s="89" t="s">
        <v>899</v>
      </c>
      <c r="C147" s="89" t="s">
        <v>900</v>
      </c>
      <c r="D147" s="167" t="s">
        <v>4283</v>
      </c>
      <c r="E147" s="107" t="s">
        <v>3155</v>
      </c>
      <c r="F147" s="102" t="s">
        <v>4284</v>
      </c>
      <c r="G147" s="106"/>
      <c r="H147" s="175" t="s">
        <v>4285</v>
      </c>
      <c r="I147" s="175" t="s">
        <v>646</v>
      </c>
      <c r="J147" s="148"/>
      <c r="K147" s="105">
        <v>50.5405436090254</v>
      </c>
      <c r="L147" s="105">
        <v>-3.89360126730391</v>
      </c>
      <c r="M147" s="106"/>
      <c r="N147" s="151" t="s">
        <v>558</v>
      </c>
      <c r="O147" s="152" t="b">
        <v>1</v>
      </c>
      <c r="P147" s="180" t="s">
        <v>812</v>
      </c>
      <c r="Q147" s="180" t="s">
        <v>674</v>
      </c>
      <c r="R147" s="151" t="s">
        <v>387</v>
      </c>
      <c r="S147" s="151" t="s">
        <v>387</v>
      </c>
      <c r="T147" s="151" t="s">
        <v>387</v>
      </c>
      <c r="U147" s="151" t="s">
        <v>387</v>
      </c>
      <c r="V147" s="151" t="s">
        <v>387</v>
      </c>
      <c r="W147" s="151" t="s">
        <v>387</v>
      </c>
      <c r="X147" s="151" t="s">
        <v>387</v>
      </c>
      <c r="Y147" s="151" t="s">
        <v>387</v>
      </c>
      <c r="Z147" s="151" t="s">
        <v>387</v>
      </c>
      <c r="AA147" s="151" t="s">
        <v>387</v>
      </c>
      <c r="AB147" s="151" t="s">
        <v>387</v>
      </c>
      <c r="AC147" s="151" t="s">
        <v>387</v>
      </c>
      <c r="AD147" s="151" t="s">
        <v>387</v>
      </c>
      <c r="AE147" s="151" t="s">
        <v>387</v>
      </c>
      <c r="AF147" s="107" t="s">
        <v>678</v>
      </c>
      <c r="AG147" s="107" t="s">
        <v>678</v>
      </c>
      <c r="AH147" s="108" t="b">
        <v>0</v>
      </c>
      <c r="AI147" s="154" t="b">
        <v>0</v>
      </c>
      <c r="AJ147" s="107" t="s">
        <v>412</v>
      </c>
      <c r="AK147" s="155"/>
      <c r="AL147" s="102" t="s">
        <v>387</v>
      </c>
      <c r="AM147" s="157" t="s">
        <v>387</v>
      </c>
      <c r="AN147" s="157" t="s">
        <v>387</v>
      </c>
      <c r="AO147" s="157" t="s">
        <v>387</v>
      </c>
      <c r="AP147" s="157" t="s">
        <v>387</v>
      </c>
      <c r="AQ147" s="157" t="s">
        <v>387</v>
      </c>
      <c r="AR147" s="157" t="s">
        <v>387</v>
      </c>
      <c r="AS147" s="157" t="s">
        <v>387</v>
      </c>
      <c r="AT147" s="157" t="s">
        <v>387</v>
      </c>
      <c r="AU147" s="157" t="s">
        <v>387</v>
      </c>
      <c r="AV147" s="157" t="s">
        <v>387</v>
      </c>
      <c r="AW147" s="157" t="s">
        <v>387</v>
      </c>
      <c r="AX147" s="157" t="s">
        <v>387</v>
      </c>
      <c r="AY147" s="157" t="s">
        <v>387</v>
      </c>
      <c r="AZ147" s="107" t="s">
        <v>588</v>
      </c>
      <c r="BA147" s="107" t="s">
        <v>1611</v>
      </c>
      <c r="BB147" s="106"/>
      <c r="BC147" s="106"/>
      <c r="BD147" s="106"/>
      <c r="BE147" s="108" t="b">
        <v>0</v>
      </c>
      <c r="BF147" s="108" t="b">
        <v>0</v>
      </c>
      <c r="BG147" s="108" t="b">
        <v>0</v>
      </c>
      <c r="BH147" s="108" t="b">
        <v>1</v>
      </c>
      <c r="BI147" s="108" t="b">
        <v>1</v>
      </c>
      <c r="BJ147" s="108" t="b">
        <v>1</v>
      </c>
      <c r="BK147" s="108" t="b">
        <v>1</v>
      </c>
      <c r="BL147" s="107" t="s">
        <v>519</v>
      </c>
      <c r="BM147" s="107" t="s">
        <v>950</v>
      </c>
      <c r="BN147" s="107" t="s">
        <v>654</v>
      </c>
      <c r="BO147" s="102" t="s">
        <v>951</v>
      </c>
      <c r="BP147" s="107" t="s">
        <v>514</v>
      </c>
      <c r="BQ147" s="107" t="s">
        <v>952</v>
      </c>
      <c r="BR147" s="107" t="s">
        <v>4293</v>
      </c>
      <c r="BS147" s="107" t="s">
        <v>954</v>
      </c>
      <c r="BT147" s="102" t="s">
        <v>4294</v>
      </c>
      <c r="BU147" s="102" t="s">
        <v>530</v>
      </c>
      <c r="BV147" s="123">
        <v>46260.0</v>
      </c>
      <c r="BW147" s="108" t="b">
        <v>0</v>
      </c>
      <c r="BX147" s="106"/>
    </row>
    <row r="148" ht="24.75" customHeight="1">
      <c r="A148" s="250" t="s">
        <v>348</v>
      </c>
      <c r="B148" s="89" t="s">
        <v>964</v>
      </c>
      <c r="C148" s="89" t="s">
        <v>967</v>
      </c>
      <c r="D148" s="98" t="s">
        <v>4295</v>
      </c>
      <c r="E148" s="107" t="s">
        <v>734</v>
      </c>
      <c r="F148" s="102" t="s">
        <v>4296</v>
      </c>
      <c r="G148" s="102" t="s">
        <v>4297</v>
      </c>
      <c r="H148" s="98" t="s">
        <v>4298</v>
      </c>
      <c r="I148" s="98" t="s">
        <v>831</v>
      </c>
      <c r="J148" s="98" t="s">
        <v>4299</v>
      </c>
      <c r="K148" s="149">
        <v>50.7703482471877</v>
      </c>
      <c r="L148" s="149">
        <v>-3.35653686003797</v>
      </c>
      <c r="M148" s="106"/>
      <c r="N148" s="107" t="s">
        <v>558</v>
      </c>
      <c r="O148" s="108" t="b">
        <v>1</v>
      </c>
      <c r="P148" s="109">
        <v>0.0</v>
      </c>
      <c r="Q148" s="171" t="s">
        <v>674</v>
      </c>
      <c r="R148" s="151" t="s">
        <v>387</v>
      </c>
      <c r="S148" s="151" t="s">
        <v>387</v>
      </c>
      <c r="T148" s="151" t="s">
        <v>387</v>
      </c>
      <c r="U148" s="151" t="s">
        <v>387</v>
      </c>
      <c r="V148" s="151" t="s">
        <v>387</v>
      </c>
      <c r="W148" s="151" t="s">
        <v>387</v>
      </c>
      <c r="X148" s="151" t="s">
        <v>387</v>
      </c>
      <c r="Y148" s="151" t="s">
        <v>387</v>
      </c>
      <c r="Z148" s="151" t="s">
        <v>387</v>
      </c>
      <c r="AA148" s="151" t="s">
        <v>387</v>
      </c>
      <c r="AB148" s="151" t="s">
        <v>387</v>
      </c>
      <c r="AC148" s="151" t="s">
        <v>387</v>
      </c>
      <c r="AD148" s="151" t="s">
        <v>387</v>
      </c>
      <c r="AE148" s="151" t="s">
        <v>387</v>
      </c>
      <c r="AF148" s="106"/>
      <c r="AG148" s="106"/>
      <c r="AH148" s="108" t="b">
        <v>0</v>
      </c>
      <c r="AI148" s="108" t="b">
        <v>0</v>
      </c>
      <c r="AJ148" s="107" t="s">
        <v>412</v>
      </c>
      <c r="AK148" s="106"/>
      <c r="AL148" s="102" t="s">
        <v>387</v>
      </c>
      <c r="AM148" s="157" t="s">
        <v>387</v>
      </c>
      <c r="AN148" s="157" t="s">
        <v>387</v>
      </c>
      <c r="AO148" s="157" t="s">
        <v>387</v>
      </c>
      <c r="AP148" s="102" t="s">
        <v>387</v>
      </c>
      <c r="AQ148" s="157" t="s">
        <v>387</v>
      </c>
      <c r="AR148" s="102" t="s">
        <v>387</v>
      </c>
      <c r="AS148" s="157" t="s">
        <v>387</v>
      </c>
      <c r="AT148" s="157" t="s">
        <v>387</v>
      </c>
      <c r="AU148" s="157" t="s">
        <v>387</v>
      </c>
      <c r="AV148" s="102" t="s">
        <v>387</v>
      </c>
      <c r="AW148" s="157" t="s">
        <v>387</v>
      </c>
      <c r="AX148" s="102" t="s">
        <v>387</v>
      </c>
      <c r="AY148" s="157" t="s">
        <v>387</v>
      </c>
      <c r="AZ148" s="107" t="s">
        <v>588</v>
      </c>
      <c r="BA148" s="140" t="s">
        <v>1235</v>
      </c>
      <c r="BB148" s="107" t="s">
        <v>1345</v>
      </c>
      <c r="BC148" s="107" t="s">
        <v>483</v>
      </c>
      <c r="BD148" s="106"/>
      <c r="BE148" s="108" t="b">
        <v>0</v>
      </c>
      <c r="BF148" s="108" t="b">
        <v>1</v>
      </c>
      <c r="BG148" s="108" t="b">
        <v>1</v>
      </c>
      <c r="BH148" s="108" t="b">
        <v>1</v>
      </c>
      <c r="BI148" s="108" t="b">
        <v>0</v>
      </c>
      <c r="BJ148" s="108" t="b">
        <v>0</v>
      </c>
      <c r="BK148" s="108" t="b">
        <v>0</v>
      </c>
      <c r="BL148" s="107" t="s">
        <v>519</v>
      </c>
      <c r="BM148" s="107" t="s">
        <v>1888</v>
      </c>
      <c r="BN148" s="107" t="s">
        <v>851</v>
      </c>
      <c r="BO148" s="102" t="s">
        <v>4301</v>
      </c>
      <c r="BP148" s="106"/>
      <c r="BQ148" s="106"/>
      <c r="BR148" s="107" t="s">
        <v>4302</v>
      </c>
      <c r="BS148" s="106"/>
      <c r="BT148" s="102" t="s">
        <v>4303</v>
      </c>
      <c r="BU148" s="102" t="s">
        <v>530</v>
      </c>
      <c r="BV148" s="123">
        <v>46260.0</v>
      </c>
      <c r="BW148" s="108" t="b">
        <v>0</v>
      </c>
      <c r="BX148" s="106"/>
    </row>
    <row r="149" ht="24.75" customHeight="1">
      <c r="A149" s="250" t="s">
        <v>348</v>
      </c>
      <c r="B149" s="89" t="s">
        <v>964</v>
      </c>
      <c r="C149" s="89" t="s">
        <v>1556</v>
      </c>
      <c r="D149" s="98" t="s">
        <v>4304</v>
      </c>
      <c r="E149" s="107" t="s">
        <v>734</v>
      </c>
      <c r="F149" s="102" t="s">
        <v>4305</v>
      </c>
      <c r="G149" s="102" t="s">
        <v>4306</v>
      </c>
      <c r="H149" s="98" t="s">
        <v>4298</v>
      </c>
      <c r="I149" s="98" t="s">
        <v>831</v>
      </c>
      <c r="J149" s="98" t="s">
        <v>4299</v>
      </c>
      <c r="K149" s="149">
        <v>50.7704277384059</v>
      </c>
      <c r="L149" s="149">
        <v>-3.35837747116424</v>
      </c>
      <c r="M149" s="106"/>
      <c r="N149" s="107" t="s">
        <v>558</v>
      </c>
      <c r="O149" s="108" t="b">
        <v>1</v>
      </c>
      <c r="P149" s="109">
        <v>0.0</v>
      </c>
      <c r="Q149" s="171" t="s">
        <v>674</v>
      </c>
      <c r="R149" s="151" t="s">
        <v>387</v>
      </c>
      <c r="S149" s="151" t="s">
        <v>387</v>
      </c>
      <c r="T149" s="151" t="s">
        <v>387</v>
      </c>
      <c r="U149" s="151" t="s">
        <v>387</v>
      </c>
      <c r="V149" s="151" t="s">
        <v>387</v>
      </c>
      <c r="W149" s="151" t="s">
        <v>387</v>
      </c>
      <c r="X149" s="151" t="s">
        <v>387</v>
      </c>
      <c r="Y149" s="151" t="s">
        <v>387</v>
      </c>
      <c r="Z149" s="151" t="s">
        <v>387</v>
      </c>
      <c r="AA149" s="151" t="s">
        <v>387</v>
      </c>
      <c r="AB149" s="151" t="s">
        <v>387</v>
      </c>
      <c r="AC149" s="151" t="s">
        <v>387</v>
      </c>
      <c r="AD149" s="151" t="s">
        <v>387</v>
      </c>
      <c r="AE149" s="151" t="s">
        <v>387</v>
      </c>
      <c r="AF149" s="106"/>
      <c r="AG149" s="106"/>
      <c r="AH149" s="108" t="b">
        <v>0</v>
      </c>
      <c r="AI149" s="108" t="b">
        <v>0</v>
      </c>
      <c r="AJ149" s="107" t="s">
        <v>412</v>
      </c>
      <c r="AK149" s="106"/>
      <c r="AL149" s="102" t="s">
        <v>387</v>
      </c>
      <c r="AM149" s="157" t="s">
        <v>387</v>
      </c>
      <c r="AN149" s="157" t="s">
        <v>387</v>
      </c>
      <c r="AO149" s="157" t="s">
        <v>387</v>
      </c>
      <c r="AP149" s="102" t="s">
        <v>387</v>
      </c>
      <c r="AQ149" s="157" t="s">
        <v>387</v>
      </c>
      <c r="AR149" s="102" t="s">
        <v>387</v>
      </c>
      <c r="AS149" s="157" t="s">
        <v>387</v>
      </c>
      <c r="AT149" s="157" t="s">
        <v>387</v>
      </c>
      <c r="AU149" s="157" t="s">
        <v>387</v>
      </c>
      <c r="AV149" s="102" t="s">
        <v>387</v>
      </c>
      <c r="AW149" s="157" t="s">
        <v>387</v>
      </c>
      <c r="AX149" s="102" t="s">
        <v>387</v>
      </c>
      <c r="AY149" s="157" t="s">
        <v>387</v>
      </c>
      <c r="AZ149" s="107" t="s">
        <v>588</v>
      </c>
      <c r="BA149" s="140" t="s">
        <v>861</v>
      </c>
      <c r="BB149" s="107" t="s">
        <v>1345</v>
      </c>
      <c r="BC149" s="107" t="s">
        <v>483</v>
      </c>
      <c r="BD149" s="106"/>
      <c r="BE149" s="108" t="b">
        <v>0</v>
      </c>
      <c r="BF149" s="108" t="b">
        <v>0</v>
      </c>
      <c r="BG149" s="108" t="b">
        <v>1</v>
      </c>
      <c r="BH149" s="108" t="b">
        <v>1</v>
      </c>
      <c r="BI149" s="108" t="b">
        <v>1</v>
      </c>
      <c r="BJ149" s="108" t="b">
        <v>0</v>
      </c>
      <c r="BK149" s="108" t="b">
        <v>0</v>
      </c>
      <c r="BL149" s="107" t="s">
        <v>519</v>
      </c>
      <c r="BM149" s="107" t="s">
        <v>4307</v>
      </c>
      <c r="BN149" s="107" t="s">
        <v>818</v>
      </c>
      <c r="BO149" s="102" t="s">
        <v>4309</v>
      </c>
      <c r="BP149" s="106"/>
      <c r="BQ149" s="106"/>
      <c r="BR149" s="107" t="s">
        <v>4310</v>
      </c>
      <c r="BS149" s="106"/>
      <c r="BT149" s="102" t="s">
        <v>4311</v>
      </c>
      <c r="BU149" s="102" t="s">
        <v>530</v>
      </c>
      <c r="BV149" s="123">
        <v>46260.0</v>
      </c>
      <c r="BW149" s="108" t="b">
        <v>0</v>
      </c>
      <c r="BX149" s="106"/>
    </row>
    <row r="150" ht="24.75" customHeight="1">
      <c r="A150" s="89" t="s">
        <v>348</v>
      </c>
      <c r="B150" s="89" t="s">
        <v>498</v>
      </c>
      <c r="C150" s="95" t="s">
        <v>1672</v>
      </c>
      <c r="D150" s="167" t="s">
        <v>4312</v>
      </c>
      <c r="E150" s="102" t="s">
        <v>2100</v>
      </c>
      <c r="F150" s="102" t="s">
        <v>4313</v>
      </c>
      <c r="G150" s="107" t="s">
        <v>4312</v>
      </c>
      <c r="H150" s="102" t="s">
        <v>1658</v>
      </c>
      <c r="I150" s="106"/>
      <c r="J150" s="95" t="s">
        <v>4314</v>
      </c>
      <c r="K150" s="105">
        <v>50.7742485418881</v>
      </c>
      <c r="L150" s="105">
        <v>-3.30522482935458</v>
      </c>
      <c r="M150" s="106"/>
      <c r="N150" s="107" t="s">
        <v>558</v>
      </c>
      <c r="O150" s="108" t="b">
        <v>1</v>
      </c>
      <c r="P150" s="109">
        <v>0.4166666666666667</v>
      </c>
      <c r="Q150" s="109">
        <v>0.7083333333333334</v>
      </c>
      <c r="R150" s="107" t="s">
        <v>387</v>
      </c>
      <c r="S150" s="107" t="s">
        <v>387</v>
      </c>
      <c r="T150" s="107" t="s">
        <v>387</v>
      </c>
      <c r="U150" s="107" t="s">
        <v>387</v>
      </c>
      <c r="V150" s="107" t="s">
        <v>387</v>
      </c>
      <c r="W150" s="107" t="s">
        <v>387</v>
      </c>
      <c r="X150" s="107" t="s">
        <v>387</v>
      </c>
      <c r="Y150" s="107" t="s">
        <v>387</v>
      </c>
      <c r="Z150" s="107" t="s">
        <v>387</v>
      </c>
      <c r="AA150" s="107" t="s">
        <v>387</v>
      </c>
      <c r="AB150" s="107" t="s">
        <v>387</v>
      </c>
      <c r="AC150" s="107" t="s">
        <v>387</v>
      </c>
      <c r="AD150" s="107" t="s">
        <v>387</v>
      </c>
      <c r="AE150" s="107" t="s">
        <v>387</v>
      </c>
      <c r="AF150" s="102" t="s">
        <v>1858</v>
      </c>
      <c r="AG150" s="107" t="s">
        <v>678</v>
      </c>
      <c r="AH150" s="108" t="b">
        <v>1</v>
      </c>
      <c r="AI150" s="108" t="b">
        <v>1</v>
      </c>
      <c r="AJ150" s="107" t="s">
        <v>2367</v>
      </c>
      <c r="AK150" s="107" t="s">
        <v>4315</v>
      </c>
      <c r="AL150" s="107" t="s">
        <v>1039</v>
      </c>
      <c r="AM150" s="210">
        <v>0.0</v>
      </c>
      <c r="AN150" s="107" t="s">
        <v>1041</v>
      </c>
      <c r="AO150" s="210">
        <v>12.73</v>
      </c>
      <c r="AP150" s="107" t="s">
        <v>387</v>
      </c>
      <c r="AQ150" s="210">
        <v>0.0</v>
      </c>
      <c r="AR150" s="107" t="s">
        <v>387</v>
      </c>
      <c r="AS150" s="210">
        <v>0.0</v>
      </c>
      <c r="AT150" s="107" t="s">
        <v>596</v>
      </c>
      <c r="AU150" s="210">
        <v>16.36</v>
      </c>
      <c r="AV150" s="107" t="s">
        <v>3006</v>
      </c>
      <c r="AW150" s="210">
        <v>14.55</v>
      </c>
      <c r="AX150" s="102" t="s">
        <v>742</v>
      </c>
      <c r="AY150" s="210">
        <v>48.18</v>
      </c>
      <c r="AZ150" s="107" t="s">
        <v>433</v>
      </c>
      <c r="BA150" s="140" t="s">
        <v>4316</v>
      </c>
      <c r="BB150" s="107" t="s">
        <v>4317</v>
      </c>
      <c r="BC150" s="107" t="s">
        <v>1643</v>
      </c>
      <c r="BD150" s="106"/>
      <c r="BE150" s="108" t="b">
        <v>1</v>
      </c>
      <c r="BF150" s="108" t="b">
        <v>1</v>
      </c>
      <c r="BG150" s="108" t="b">
        <v>1</v>
      </c>
      <c r="BH150" s="108" t="b">
        <v>1</v>
      </c>
      <c r="BI150" s="108" t="b">
        <v>1</v>
      </c>
      <c r="BJ150" s="108" t="b">
        <v>1</v>
      </c>
      <c r="BK150" s="108" t="b">
        <v>1</v>
      </c>
      <c r="BL150" s="107" t="s">
        <v>496</v>
      </c>
      <c r="BM150" s="107" t="s">
        <v>543</v>
      </c>
      <c r="BN150" s="107" t="s">
        <v>1494</v>
      </c>
      <c r="BO150" s="102" t="s">
        <v>4318</v>
      </c>
      <c r="BP150" s="107" t="s">
        <v>737</v>
      </c>
      <c r="BQ150" s="106"/>
      <c r="BR150" s="102" t="s">
        <v>4319</v>
      </c>
      <c r="BS150" s="102" t="s">
        <v>4321</v>
      </c>
      <c r="BT150" s="102" t="s">
        <v>4322</v>
      </c>
      <c r="BU150" s="102" t="s">
        <v>530</v>
      </c>
      <c r="BV150" s="123">
        <v>46260.0</v>
      </c>
      <c r="BW150" s="108" t="b">
        <v>0</v>
      </c>
      <c r="BX150" s="106"/>
    </row>
    <row r="151" ht="24.75" customHeight="1">
      <c r="A151" s="89" t="s">
        <v>348</v>
      </c>
      <c r="B151" s="89" t="s">
        <v>964</v>
      </c>
      <c r="C151" s="95" t="s">
        <v>967</v>
      </c>
      <c r="D151" s="175" t="s">
        <v>4323</v>
      </c>
      <c r="E151" s="102" t="s">
        <v>808</v>
      </c>
      <c r="F151" s="102" t="s">
        <v>4324</v>
      </c>
      <c r="G151" s="102" t="s">
        <v>4325</v>
      </c>
      <c r="H151" s="102" t="s">
        <v>4326</v>
      </c>
      <c r="I151" s="102" t="s">
        <v>831</v>
      </c>
      <c r="J151" s="95" t="s">
        <v>4327</v>
      </c>
      <c r="K151" s="105">
        <v>50.6909902488514</v>
      </c>
      <c r="L151" s="105">
        <v>-3.39652260168214</v>
      </c>
      <c r="M151" s="106"/>
      <c r="N151" s="107" t="s">
        <v>4328</v>
      </c>
      <c r="O151" s="108" t="b">
        <v>1</v>
      </c>
      <c r="P151" s="180" t="s">
        <v>812</v>
      </c>
      <c r="Q151" s="180" t="s">
        <v>674</v>
      </c>
      <c r="R151" s="151" t="s">
        <v>387</v>
      </c>
      <c r="S151" s="151" t="s">
        <v>387</v>
      </c>
      <c r="T151" s="151" t="s">
        <v>387</v>
      </c>
      <c r="U151" s="151" t="s">
        <v>387</v>
      </c>
      <c r="V151" s="151" t="s">
        <v>387</v>
      </c>
      <c r="W151" s="151" t="s">
        <v>387</v>
      </c>
      <c r="X151" s="151" t="s">
        <v>387</v>
      </c>
      <c r="Y151" s="151" t="s">
        <v>387</v>
      </c>
      <c r="Z151" s="151" t="s">
        <v>387</v>
      </c>
      <c r="AA151" s="151" t="s">
        <v>387</v>
      </c>
      <c r="AB151" s="151" t="s">
        <v>387</v>
      </c>
      <c r="AC151" s="151" t="s">
        <v>387</v>
      </c>
      <c r="AD151" s="151" t="s">
        <v>387</v>
      </c>
      <c r="AE151" s="151" t="s">
        <v>387</v>
      </c>
      <c r="AF151" s="102" t="s">
        <v>387</v>
      </c>
      <c r="AG151" s="107" t="s">
        <v>678</v>
      </c>
      <c r="AH151" s="108" t="b">
        <v>0</v>
      </c>
      <c r="AI151" s="108" t="b">
        <v>0</v>
      </c>
      <c r="AJ151" s="107" t="s">
        <v>412</v>
      </c>
      <c r="AK151" s="106"/>
      <c r="AL151" s="107" t="s">
        <v>387</v>
      </c>
      <c r="AM151" s="113" t="s">
        <v>387</v>
      </c>
      <c r="AN151" s="107" t="s">
        <v>387</v>
      </c>
      <c r="AO151" s="113" t="s">
        <v>387</v>
      </c>
      <c r="AP151" s="107" t="s">
        <v>387</v>
      </c>
      <c r="AQ151" s="113" t="s">
        <v>387</v>
      </c>
      <c r="AR151" s="107" t="s">
        <v>387</v>
      </c>
      <c r="AS151" s="113" t="s">
        <v>387</v>
      </c>
      <c r="AT151" s="107" t="s">
        <v>387</v>
      </c>
      <c r="AU151" s="113" t="s">
        <v>387</v>
      </c>
      <c r="AV151" s="107" t="s">
        <v>387</v>
      </c>
      <c r="AW151" s="113" t="s">
        <v>387</v>
      </c>
      <c r="AX151" s="107" t="s">
        <v>387</v>
      </c>
      <c r="AY151" s="113" t="s">
        <v>387</v>
      </c>
      <c r="AZ151" s="107" t="s">
        <v>588</v>
      </c>
      <c r="BA151" s="140" t="s">
        <v>1235</v>
      </c>
      <c r="BB151" s="107" t="s">
        <v>2633</v>
      </c>
      <c r="BC151" s="107" t="s">
        <v>483</v>
      </c>
      <c r="BD151" s="107" t="s">
        <v>490</v>
      </c>
      <c r="BE151" s="108" t="b">
        <v>0</v>
      </c>
      <c r="BF151" s="108" t="b">
        <v>0</v>
      </c>
      <c r="BG151" s="108" t="b">
        <v>1</v>
      </c>
      <c r="BH151" s="108" t="b">
        <v>1</v>
      </c>
      <c r="BI151" s="108" t="b">
        <v>1</v>
      </c>
      <c r="BJ151" s="108" t="b">
        <v>0</v>
      </c>
      <c r="BK151" s="108" t="b">
        <v>0</v>
      </c>
      <c r="BL151" s="107" t="s">
        <v>519</v>
      </c>
      <c r="BM151" s="107" t="s">
        <v>543</v>
      </c>
      <c r="BN151" s="107" t="s">
        <v>1321</v>
      </c>
      <c r="BO151" s="188" t="s">
        <v>4330</v>
      </c>
      <c r="BP151" s="106"/>
      <c r="BQ151" s="106"/>
      <c r="BR151" s="102" t="s">
        <v>4331</v>
      </c>
      <c r="BS151" s="106"/>
      <c r="BT151" s="102" t="s">
        <v>4332</v>
      </c>
      <c r="BU151" s="102" t="s">
        <v>530</v>
      </c>
      <c r="BV151" s="123">
        <v>46260.0</v>
      </c>
      <c r="BW151" s="108" t="b">
        <v>0</v>
      </c>
      <c r="BX151" s="106"/>
    </row>
    <row r="152" ht="24.75" customHeight="1">
      <c r="A152" s="89" t="s">
        <v>348</v>
      </c>
      <c r="B152" s="89" t="s">
        <v>964</v>
      </c>
      <c r="C152" s="95" t="s">
        <v>967</v>
      </c>
      <c r="D152" s="175" t="s">
        <v>4333</v>
      </c>
      <c r="E152" s="102" t="s">
        <v>653</v>
      </c>
      <c r="F152" s="102" t="s">
        <v>4334</v>
      </c>
      <c r="G152" s="102" t="s">
        <v>4335</v>
      </c>
      <c r="H152" s="102" t="s">
        <v>843</v>
      </c>
      <c r="I152" s="102" t="s">
        <v>831</v>
      </c>
      <c r="J152" s="95" t="s">
        <v>4336</v>
      </c>
      <c r="K152" s="105">
        <v>50.6758957403088</v>
      </c>
      <c r="L152" s="105">
        <v>-3.40362205391833</v>
      </c>
      <c r="M152" s="106"/>
      <c r="N152" s="107" t="s">
        <v>4328</v>
      </c>
      <c r="O152" s="108" t="b">
        <v>1</v>
      </c>
      <c r="P152" s="180" t="s">
        <v>812</v>
      </c>
      <c r="Q152" s="180" t="s">
        <v>674</v>
      </c>
      <c r="R152" s="151" t="s">
        <v>387</v>
      </c>
      <c r="S152" s="151" t="s">
        <v>387</v>
      </c>
      <c r="T152" s="151" t="s">
        <v>387</v>
      </c>
      <c r="U152" s="151" t="s">
        <v>387</v>
      </c>
      <c r="V152" s="151" t="s">
        <v>387</v>
      </c>
      <c r="W152" s="151" t="s">
        <v>387</v>
      </c>
      <c r="X152" s="151" t="s">
        <v>387</v>
      </c>
      <c r="Y152" s="151" t="s">
        <v>387</v>
      </c>
      <c r="Z152" s="151" t="s">
        <v>387</v>
      </c>
      <c r="AA152" s="151" t="s">
        <v>387</v>
      </c>
      <c r="AB152" s="151" t="s">
        <v>387</v>
      </c>
      <c r="AC152" s="151" t="s">
        <v>387</v>
      </c>
      <c r="AD152" s="151" t="s">
        <v>387</v>
      </c>
      <c r="AE152" s="151" t="s">
        <v>387</v>
      </c>
      <c r="AF152" s="102" t="s">
        <v>387</v>
      </c>
      <c r="AG152" s="107" t="s">
        <v>678</v>
      </c>
      <c r="AH152" s="108" t="b">
        <v>0</v>
      </c>
      <c r="AI152" s="108" t="b">
        <v>0</v>
      </c>
      <c r="AJ152" s="107" t="s">
        <v>412</v>
      </c>
      <c r="AK152" s="106"/>
      <c r="AL152" s="107" t="s">
        <v>387</v>
      </c>
      <c r="AM152" s="113" t="s">
        <v>387</v>
      </c>
      <c r="AN152" s="107" t="s">
        <v>387</v>
      </c>
      <c r="AO152" s="113" t="s">
        <v>387</v>
      </c>
      <c r="AP152" s="107" t="s">
        <v>387</v>
      </c>
      <c r="AQ152" s="113" t="s">
        <v>387</v>
      </c>
      <c r="AR152" s="107" t="s">
        <v>387</v>
      </c>
      <c r="AS152" s="113" t="s">
        <v>387</v>
      </c>
      <c r="AT152" s="107" t="s">
        <v>387</v>
      </c>
      <c r="AU152" s="113" t="s">
        <v>387</v>
      </c>
      <c r="AV152" s="107" t="s">
        <v>387</v>
      </c>
      <c r="AW152" s="113" t="s">
        <v>387</v>
      </c>
      <c r="AX152" s="107" t="s">
        <v>387</v>
      </c>
      <c r="AY152" s="113" t="s">
        <v>387</v>
      </c>
      <c r="AZ152" s="107" t="s">
        <v>588</v>
      </c>
      <c r="BA152" s="140" t="s">
        <v>1235</v>
      </c>
      <c r="BB152" s="107" t="s">
        <v>925</v>
      </c>
      <c r="BC152" s="107" t="s">
        <v>483</v>
      </c>
      <c r="BD152" s="107" t="s">
        <v>490</v>
      </c>
      <c r="BE152" s="108" t="b">
        <v>0</v>
      </c>
      <c r="BF152" s="108" t="b">
        <v>1</v>
      </c>
      <c r="BG152" s="108" t="b">
        <v>1</v>
      </c>
      <c r="BH152" s="108" t="b">
        <v>0</v>
      </c>
      <c r="BI152" s="108" t="b">
        <v>0</v>
      </c>
      <c r="BJ152" s="108" t="b">
        <v>0</v>
      </c>
      <c r="BK152" s="108" t="b">
        <v>0</v>
      </c>
      <c r="BL152" s="107" t="s">
        <v>519</v>
      </c>
      <c r="BM152" s="107" t="s">
        <v>543</v>
      </c>
      <c r="BN152" s="107" t="s">
        <v>1091</v>
      </c>
      <c r="BO152" s="102" t="s">
        <v>4337</v>
      </c>
      <c r="BP152" s="106"/>
      <c r="BQ152" s="106"/>
      <c r="BR152" s="102" t="s">
        <v>4339</v>
      </c>
      <c r="BS152" s="106"/>
      <c r="BT152" s="102" t="s">
        <v>4340</v>
      </c>
      <c r="BU152" s="102" t="s">
        <v>530</v>
      </c>
      <c r="BV152" s="123">
        <v>46260.0</v>
      </c>
      <c r="BW152" s="108" t="b">
        <v>0</v>
      </c>
      <c r="BX152" s="106"/>
    </row>
    <row r="153" ht="24.75" customHeight="1">
      <c r="A153" s="89" t="s">
        <v>348</v>
      </c>
      <c r="B153" s="89" t="s">
        <v>772</v>
      </c>
      <c r="C153" s="95" t="s">
        <v>4341</v>
      </c>
      <c r="D153" s="98" t="s">
        <v>4342</v>
      </c>
      <c r="E153" s="107" t="s">
        <v>337</v>
      </c>
      <c r="F153" s="102" t="s">
        <v>4343</v>
      </c>
      <c r="G153" s="107" t="s">
        <v>4344</v>
      </c>
      <c r="H153" s="98" t="s">
        <v>1350</v>
      </c>
      <c r="I153" s="148"/>
      <c r="J153" s="175" t="s">
        <v>4345</v>
      </c>
      <c r="K153" s="105">
        <v>51.1627979601634</v>
      </c>
      <c r="L153" s="105">
        <v>-4.21386314601407</v>
      </c>
      <c r="M153" s="106"/>
      <c r="N153" s="107" t="s">
        <v>558</v>
      </c>
      <c r="O153" s="108" t="b">
        <v>1</v>
      </c>
      <c r="P153" s="109">
        <v>0.0</v>
      </c>
      <c r="Q153" s="171" t="s">
        <v>674</v>
      </c>
      <c r="R153" s="151" t="s">
        <v>387</v>
      </c>
      <c r="S153" s="151" t="s">
        <v>387</v>
      </c>
      <c r="T153" s="151" t="s">
        <v>387</v>
      </c>
      <c r="U153" s="151" t="s">
        <v>387</v>
      </c>
      <c r="V153" s="151" t="s">
        <v>387</v>
      </c>
      <c r="W153" s="151" t="s">
        <v>387</v>
      </c>
      <c r="X153" s="151" t="s">
        <v>387</v>
      </c>
      <c r="Y153" s="151" t="s">
        <v>387</v>
      </c>
      <c r="Z153" s="151" t="s">
        <v>387</v>
      </c>
      <c r="AA153" s="151" t="s">
        <v>387</v>
      </c>
      <c r="AB153" s="151" t="s">
        <v>387</v>
      </c>
      <c r="AC153" s="151" t="s">
        <v>387</v>
      </c>
      <c r="AD153" s="151" t="s">
        <v>387</v>
      </c>
      <c r="AE153" s="151" t="s">
        <v>387</v>
      </c>
      <c r="AF153" s="102" t="s">
        <v>387</v>
      </c>
      <c r="AG153" s="107" t="s">
        <v>678</v>
      </c>
      <c r="AH153" s="108" t="b">
        <v>0</v>
      </c>
      <c r="AI153" s="106"/>
      <c r="AJ153" s="107" t="s">
        <v>412</v>
      </c>
      <c r="AK153" s="106"/>
      <c r="AL153" s="102" t="s">
        <v>387</v>
      </c>
      <c r="AM153" s="157" t="s">
        <v>387</v>
      </c>
      <c r="AN153" s="157" t="s">
        <v>387</v>
      </c>
      <c r="AO153" s="157" t="s">
        <v>387</v>
      </c>
      <c r="AP153" s="102" t="s">
        <v>387</v>
      </c>
      <c r="AQ153" s="157" t="s">
        <v>387</v>
      </c>
      <c r="AR153" s="102" t="s">
        <v>387</v>
      </c>
      <c r="AS153" s="157" t="s">
        <v>387</v>
      </c>
      <c r="AT153" s="157" t="s">
        <v>387</v>
      </c>
      <c r="AU153" s="157" t="s">
        <v>387</v>
      </c>
      <c r="AV153" s="102" t="s">
        <v>387</v>
      </c>
      <c r="AW153" s="157" t="s">
        <v>387</v>
      </c>
      <c r="AX153" s="102" t="s">
        <v>387</v>
      </c>
      <c r="AY153" s="157" t="s">
        <v>387</v>
      </c>
      <c r="AZ153" s="107" t="s">
        <v>4346</v>
      </c>
      <c r="BA153" s="140" t="s">
        <v>4347</v>
      </c>
      <c r="BB153" s="107" t="s">
        <v>1005</v>
      </c>
      <c r="BC153" s="107" t="s">
        <v>4348</v>
      </c>
      <c r="BD153" s="107" t="s">
        <v>656</v>
      </c>
      <c r="BE153" s="108" t="b">
        <v>1</v>
      </c>
      <c r="BF153" s="108" t="b">
        <v>1</v>
      </c>
      <c r="BG153" s="108" t="b">
        <v>1</v>
      </c>
      <c r="BH153" s="108" t="b">
        <v>1</v>
      </c>
      <c r="BI153" s="108" t="b">
        <v>1</v>
      </c>
      <c r="BJ153" s="108" t="b">
        <v>1</v>
      </c>
      <c r="BK153" s="108" t="b">
        <v>1</v>
      </c>
      <c r="BL153" s="107" t="s">
        <v>519</v>
      </c>
      <c r="BM153" s="107" t="s">
        <v>597</v>
      </c>
      <c r="BN153" s="107" t="s">
        <v>2718</v>
      </c>
      <c r="BO153" s="102" t="s">
        <v>4350</v>
      </c>
      <c r="BP153" s="106"/>
      <c r="BQ153" s="106"/>
      <c r="BR153" s="107" t="s">
        <v>4351</v>
      </c>
      <c r="BS153" s="107" t="s">
        <v>4352</v>
      </c>
      <c r="BT153" s="102" t="s">
        <v>4353</v>
      </c>
      <c r="BU153" s="102" t="s">
        <v>725</v>
      </c>
      <c r="BV153" s="123">
        <v>46260.0</v>
      </c>
      <c r="BW153" s="108" t="b">
        <v>0</v>
      </c>
      <c r="BX153" s="106"/>
    </row>
    <row r="154" ht="24.75" customHeight="1">
      <c r="A154" s="89" t="s">
        <v>348</v>
      </c>
      <c r="B154" s="89" t="s">
        <v>707</v>
      </c>
      <c r="C154" s="95" t="s">
        <v>1357</v>
      </c>
      <c r="D154" s="98" t="s">
        <v>4354</v>
      </c>
      <c r="E154" s="102" t="s">
        <v>341</v>
      </c>
      <c r="F154" s="102" t="s">
        <v>4355</v>
      </c>
      <c r="G154" s="102" t="s">
        <v>4356</v>
      </c>
      <c r="H154" s="102" t="s">
        <v>4357</v>
      </c>
      <c r="I154" s="102" t="s">
        <v>985</v>
      </c>
      <c r="J154" s="95" t="s">
        <v>4358</v>
      </c>
      <c r="K154" s="105">
        <v>50.6191483894532</v>
      </c>
      <c r="L154" s="105">
        <v>-3.36571421749796</v>
      </c>
      <c r="M154" s="106"/>
      <c r="N154" s="107" t="s">
        <v>558</v>
      </c>
      <c r="O154" s="108" t="b">
        <v>1</v>
      </c>
      <c r="P154" s="109">
        <v>0.4166666666666667</v>
      </c>
      <c r="Q154" s="109">
        <v>0.7083333333333334</v>
      </c>
      <c r="R154" s="151" t="s">
        <v>387</v>
      </c>
      <c r="S154" s="151" t="s">
        <v>387</v>
      </c>
      <c r="T154" s="151" t="s">
        <v>387</v>
      </c>
      <c r="U154" s="151" t="s">
        <v>387</v>
      </c>
      <c r="V154" s="151" t="s">
        <v>387</v>
      </c>
      <c r="W154" s="151" t="s">
        <v>387</v>
      </c>
      <c r="X154" s="151" t="s">
        <v>387</v>
      </c>
      <c r="Y154" s="151" t="s">
        <v>387</v>
      </c>
      <c r="Z154" s="151" t="s">
        <v>387</v>
      </c>
      <c r="AA154" s="151" t="s">
        <v>387</v>
      </c>
      <c r="AB154" s="151" t="s">
        <v>387</v>
      </c>
      <c r="AC154" s="151" t="s">
        <v>387</v>
      </c>
      <c r="AD154" s="151" t="s">
        <v>387</v>
      </c>
      <c r="AE154" s="151" t="s">
        <v>387</v>
      </c>
      <c r="AF154" s="207" t="s">
        <v>4359</v>
      </c>
      <c r="AG154" s="106"/>
      <c r="AH154" s="108" t="b">
        <v>1</v>
      </c>
      <c r="AI154" s="108" t="b">
        <v>1</v>
      </c>
      <c r="AJ154" s="107" t="s">
        <v>1366</v>
      </c>
      <c r="AK154" s="107" t="s">
        <v>4361</v>
      </c>
      <c r="AL154" s="107" t="s">
        <v>387</v>
      </c>
      <c r="AM154" s="107" t="s">
        <v>387</v>
      </c>
      <c r="AN154" s="107" t="s">
        <v>387</v>
      </c>
      <c r="AO154" s="107" t="s">
        <v>387</v>
      </c>
      <c r="AP154" s="107" t="s">
        <v>735</v>
      </c>
      <c r="AQ154" s="210">
        <v>0.0</v>
      </c>
      <c r="AR154" s="107" t="s">
        <v>4362</v>
      </c>
      <c r="AS154" s="210">
        <v>17.25</v>
      </c>
      <c r="AT154" s="107" t="s">
        <v>596</v>
      </c>
      <c r="AU154" s="279">
        <v>21.0</v>
      </c>
      <c r="AV154" s="107" t="s">
        <v>4366</v>
      </c>
      <c r="AW154" s="210">
        <v>16.5</v>
      </c>
      <c r="AX154" s="102" t="s">
        <v>742</v>
      </c>
      <c r="AY154" s="210">
        <v>70.8</v>
      </c>
      <c r="AZ154" s="107" t="s">
        <v>433</v>
      </c>
      <c r="BA154" s="140" t="s">
        <v>4369</v>
      </c>
      <c r="BB154" s="107" t="s">
        <v>4371</v>
      </c>
      <c r="BC154" s="107" t="s">
        <v>4372</v>
      </c>
      <c r="BD154" s="106"/>
      <c r="BE154" s="108" t="b">
        <v>1</v>
      </c>
      <c r="BF154" s="108" t="b">
        <v>1</v>
      </c>
      <c r="BG154" s="108" t="b">
        <v>1</v>
      </c>
      <c r="BH154" s="108" t="b">
        <v>1</v>
      </c>
      <c r="BI154" s="108" t="b">
        <v>1</v>
      </c>
      <c r="BJ154" s="108" t="b">
        <v>1</v>
      </c>
      <c r="BK154" s="108" t="b">
        <v>1</v>
      </c>
      <c r="BL154" s="107" t="s">
        <v>496</v>
      </c>
      <c r="BM154" s="107" t="s">
        <v>543</v>
      </c>
      <c r="BN154" s="107" t="s">
        <v>2777</v>
      </c>
      <c r="BO154" s="102" t="s">
        <v>4379</v>
      </c>
      <c r="BP154" s="106"/>
      <c r="BQ154" s="106"/>
      <c r="BR154" s="102" t="s">
        <v>4383</v>
      </c>
      <c r="BS154" s="106"/>
      <c r="BT154" s="102" t="s">
        <v>4384</v>
      </c>
      <c r="BU154" s="102" t="s">
        <v>607</v>
      </c>
      <c r="BV154" s="123">
        <v>46260.0</v>
      </c>
      <c r="BW154" s="108" t="b">
        <v>0</v>
      </c>
      <c r="BX154" s="106"/>
    </row>
  </sheetData>
  <mergeCells count="21">
    <mergeCell ref="BL1:BN2"/>
    <mergeCell ref="BO1:BT2"/>
    <mergeCell ref="BU1:BU2"/>
    <mergeCell ref="BV1:BX2"/>
    <mergeCell ref="N2:P2"/>
    <mergeCell ref="Q2:AE2"/>
    <mergeCell ref="AF2:AG2"/>
    <mergeCell ref="AL2:AM2"/>
    <mergeCell ref="AN2:AO2"/>
    <mergeCell ref="AP2:AQ2"/>
    <mergeCell ref="AR2:AS2"/>
    <mergeCell ref="AT2:AU2"/>
    <mergeCell ref="AV2:AW2"/>
    <mergeCell ref="AX2:AY2"/>
    <mergeCell ref="E1:F2"/>
    <mergeCell ref="N1:AF1"/>
    <mergeCell ref="AH1:AY1"/>
    <mergeCell ref="AZ1:BD2"/>
    <mergeCell ref="BE1:BK2"/>
    <mergeCell ref="A1:D2"/>
    <mergeCell ref="G1:M2"/>
  </mergeCells>
  <dataValidations>
    <dataValidation type="list" allowBlank="1" showErrorMessage="1" sqref="BR45 BR67 BR137">
      <formula1>VHelper2!A38:CZ38</formula1>
    </dataValidation>
    <dataValidation type="list" allowBlank="1" showErrorMessage="1" sqref="BR76">
      <formula1>VHelper2!A139:CZ139</formula1>
    </dataValidation>
    <dataValidation type="list" allowBlank="1" showErrorMessage="1" sqref="BR23">
      <formula1>VHelper2!A71:CZ71</formula1>
    </dataValidation>
    <dataValidation type="list" allowBlank="1" showErrorMessage="1" sqref="BR95 BR102">
      <formula1>VHelper2!A128:CZ128</formula1>
    </dataValidation>
    <dataValidation type="list" allowBlank="1" showErrorMessage="1" sqref="BR100">
      <formula1>VHelper2!A58:CZ58</formula1>
    </dataValidation>
    <dataValidation type="list" allowBlank="1" showErrorMessage="1" sqref="BR114 BR151">
      <formula1>VHelper2!A9:CZ9</formula1>
    </dataValidation>
    <dataValidation type="list" allowBlank="1" showErrorMessage="1" sqref="BR21">
      <formula1>VHelper2!A94:CZ94</formula1>
    </dataValidation>
    <dataValidation type="list" allowBlank="1" showErrorMessage="1" sqref="BR107">
      <formula1>VHelper2!A52:CZ52</formula1>
    </dataValidation>
    <dataValidation type="list" allowBlank="1" showErrorMessage="1" sqref="BR123">
      <formula1>VHelper2!A55:CZ55</formula1>
    </dataValidation>
    <dataValidation type="list" allowBlank="1" showErrorMessage="1" sqref="BR38">
      <formula1>VHelper2!A149:CZ149</formula1>
    </dataValidation>
    <dataValidation type="list" allowBlank="1" showErrorMessage="1" sqref="BR36:BR37">
      <formula1>VHelper2!A22:CZ22</formula1>
    </dataValidation>
    <dataValidation type="list" allowBlank="1" showErrorMessage="1" sqref="BR7">
      <formula1>VHelper2!A131:CZ131</formula1>
    </dataValidation>
    <dataValidation type="list" allowBlank="1" showErrorMessage="1" sqref="BR113 BR122 BR128">
      <formula1>VHelper2!A86:CZ86</formula1>
    </dataValidation>
    <dataValidation type="list" allowBlank="1" showErrorMessage="1" sqref="BL5:BL154">
      <formula1>Enums!$D$427:$D$429</formula1>
    </dataValidation>
    <dataValidation type="list" allowBlank="1" showErrorMessage="1" sqref="C6:C93 C95:C154">
      <formula1>VHelper!A6:ZZ6</formula1>
    </dataValidation>
    <dataValidation type="list" allowBlank="1" showErrorMessage="1" sqref="BB5:BB154">
      <formula1>Enums!$D$487:$D$503</formula1>
    </dataValidation>
    <dataValidation type="custom" allowBlank="1" showInputMessage="1" showErrorMessage="1" prompt="Text - Maximum Length: 250 characters." sqref="G6 H7:I7 H9:I9 H11:H12 H13:I14 H16:H17 H20:H22 H25 H28:I29 H33:H34 H38 H42:H43 H44:I44 H46:I46 H47 H49 H50:I50 H51 H55:I55 H56:H59 G61 H62:I63 H64 H66 H69:I70 G71 H72 H73:I73 H74 H76:I76 H77 H79 H82:I82 H87:H88 H89:I89 H93:I93 H94:H95 I98 H99:I99 H102:I102 H104:H105 H108 H112:H113 H117 H119:I119 H122 H124 H125:I125 H127:I127 H128 H129:I129 H130 H131:I132 H133:H135 H137:I137 H138 H139:I139 H141 H142:I143 H145:H149 H153">
      <formula1>LTE(LEN(G6),(250))</formula1>
    </dataValidation>
    <dataValidation type="list" allowBlank="1" showErrorMessage="1" sqref="BR15">
      <formula1>VHelper2!A42:CZ42</formula1>
    </dataValidation>
    <dataValidation type="list" allowBlank="1" showErrorMessage="1" sqref="BR58 BR131:BR132">
      <formula1>VHelper2!A70:CZ70</formula1>
    </dataValidation>
    <dataValidation type="list" allowBlank="1" showErrorMessage="1" sqref="BR139">
      <formula1>VHelper2!A129:CZ129</formula1>
    </dataValidation>
    <dataValidation type="list" allowBlank="1" showErrorMessage="1" sqref="BN5:BN154">
      <formula1>Enums!$D$449:$D$454</formula1>
    </dataValidation>
    <dataValidation type="list" allowBlank="1" showErrorMessage="1" sqref="BR34">
      <formula1>VHelper2!A143:CZ143</formula1>
    </dataValidation>
    <dataValidation type="list" allowBlank="1" showErrorMessage="1" sqref="AJ5:AJ154">
      <formula1>Enums!$D$779:$D$783</formula1>
    </dataValidation>
    <dataValidation type="list" allowBlank="1" showErrorMessage="1" sqref="BR121">
      <formula1>VHelper2!A11:CZ11</formula1>
    </dataValidation>
    <dataValidation type="list" allowBlank="1" showErrorMessage="1" sqref="BR85">
      <formula1>VHelper2!A48:CZ48</formula1>
    </dataValidation>
    <dataValidation type="custom" allowBlank="1" showInputMessage="1" showErrorMessage="1" prompt="Text (required) - Maximum Length: 20 characters." sqref="J6:J7 J9 J11:J14 J16:J17 J20:J22 J25 J28:J29 J33:J34 J38 J42:J44 J46:J47 J49:J51 J55:J59 I61:J61 J62:J64 J66 J69:J74 J76:J77 J79 J82 J87:J89 J93:J95 J98:J99 J102 J104:J105 J108 J112:J113 J117 J119 J122 J124:J125 J127:J135 J137:J139 J141:J143 J145:J149 J153">
      <formula1>LTE(LEN(I6),(20))</formula1>
    </dataValidation>
    <dataValidation type="list" allowBlank="1" showErrorMessage="1" sqref="BR54 BR111">
      <formula1>VHelper2!A5:CZ5</formula1>
    </dataValidation>
    <dataValidation type="list" allowBlank="1" showErrorMessage="1" sqref="BR106 BR112 BR130">
      <formula1>VHelper2!A73:CZ73</formula1>
    </dataValidation>
    <dataValidation type="list" allowBlank="1" showErrorMessage="1" sqref="BR33">
      <formula1>VHelper2!A151:CZ151</formula1>
    </dataValidation>
    <dataValidation type="list" allowBlank="1" showErrorMessage="1" sqref="BR103 BR109">
      <formula1>VHelper2!A57:CZ57</formula1>
    </dataValidation>
    <dataValidation type="list" allowBlank="1" showErrorMessage="1" sqref="BR135">
      <formula1>VHelper2!A103:CZ103</formula1>
    </dataValidation>
    <dataValidation type="list" allowBlank="1" showErrorMessage="1" sqref="BR134">
      <formula1>VHelper2!A104:CZ104</formula1>
    </dataValidation>
    <dataValidation type="list" allowBlank="1" showErrorMessage="1" sqref="BR9">
      <formula1>VHelper2!A125:CZ125</formula1>
    </dataValidation>
    <dataValidation type="list" allowBlank="1" showErrorMessage="1" sqref="BR72">
      <formula1>VHelper2!A91:CZ91</formula1>
    </dataValidation>
    <dataValidation type="list" allowBlank="1" showErrorMessage="1" sqref="BR25 BR119">
      <formula1>VHelper2!A59:CZ59</formula1>
    </dataValidation>
    <dataValidation type="list" allowBlank="1" showErrorMessage="1" sqref="E5:E154">
      <formula1>Enums!$D$12:$D$18</formula1>
    </dataValidation>
    <dataValidation type="list" allowBlank="1" showErrorMessage="1" sqref="BR31 BR71">
      <formula1>VHelper2!A28:CZ28</formula1>
    </dataValidation>
    <dataValidation type="list" allowBlank="1" showErrorMessage="1" sqref="BR83">
      <formula1>VHelper2!A27:CZ27</formula1>
    </dataValidation>
    <dataValidation type="list" allowBlank="1" showErrorMessage="1" sqref="BR110">
      <formula1>VHelper2!A56:CZ56</formula1>
    </dataValidation>
    <dataValidation type="list" allowBlank="1" showErrorMessage="1" sqref="BR48 BR60 BR117">
      <formula1>VHelper2!A20:CZ20</formula1>
    </dataValidation>
    <dataValidation type="list" allowBlank="1" showErrorMessage="1" sqref="N5:N154">
      <formula1>"Monday,Tuesday,Wednesday,Thursday,Friday,Saturday,Sunday"</formula1>
    </dataValidation>
    <dataValidation type="list" allowBlank="1" showErrorMessage="1" sqref="BR147">
      <formula1>VHelper2!A154:CZ154</formula1>
    </dataValidation>
    <dataValidation type="list" allowBlank="1" showErrorMessage="1" sqref="BR152">
      <formula1>VHelper2!A45:CZ45</formula1>
    </dataValidation>
    <dataValidation type="list" allowBlank="1" showErrorMessage="1" sqref="BR19">
      <formula1>VHelper2!A33:CZ33</formula1>
    </dataValidation>
    <dataValidation type="list" allowBlank="1" showErrorMessage="1" sqref="BR81">
      <formula1>VHelper2!A29:CZ29</formula1>
    </dataValidation>
    <dataValidation type="list" allowBlank="1" showErrorMessage="1" sqref="BR138">
      <formula1>VHelper2!A87:CZ87</formula1>
    </dataValidation>
    <dataValidation type="list" allowBlank="1" showErrorMessage="1" sqref="BR80 BR97 BR133">
      <formula1>VHelper2!A30:CZ30</formula1>
    </dataValidation>
    <dataValidation type="list" allowBlank="1" showErrorMessage="1" sqref="BR18">
      <formula1>VHelper2!A31:CZ31</formula1>
    </dataValidation>
    <dataValidation type="list" allowBlank="1" showErrorMessage="1" sqref="BR99">
      <formula1>VHelper2!A145:CZ145</formula1>
    </dataValidation>
    <dataValidation type="list" allowBlank="1" showErrorMessage="1" sqref="BR101">
      <formula1>VHelper2!A25:CZ25</formula1>
    </dataValidation>
    <dataValidation type="list" allowBlank="1" showErrorMessage="1" sqref="AK5:AK154">
      <formula1>Enums!$D$785:$D$791</formula1>
    </dataValidation>
    <dataValidation type="list" allowBlank="1" showErrorMessage="1" sqref="BR5">
      <formula1>VHelper2!A26:CZ26</formula1>
    </dataValidation>
    <dataValidation type="list" allowBlank="1" showErrorMessage="1" sqref="BR93">
      <formula1>VHelper2!A147:CZ147</formula1>
    </dataValidation>
    <dataValidation type="list" allowBlank="1" showErrorMessage="1" sqref="BR91">
      <formula1>VHelper2!A18:CZ18</formula1>
    </dataValidation>
    <dataValidation type="list" allowBlank="1" showErrorMessage="1" sqref="BR49 BR57 BR62:BR63">
      <formula1>VHelper2!A108:CZ108</formula1>
    </dataValidation>
    <dataValidation type="list" allowBlank="1" showErrorMessage="1" sqref="BR28 BR61">
      <formula1>VHelper2!A123:CZ123</formula1>
    </dataValidation>
    <dataValidation type="list" allowBlank="1" showErrorMessage="1" sqref="BR86">
      <formula1>VHelper2!A14:CZ14</formula1>
    </dataValidation>
    <dataValidation type="list" allowBlank="1" showErrorMessage="1" sqref="BR90">
      <formula1>VHelper2!A19:CZ19</formula1>
    </dataValidation>
    <dataValidation type="list" allowBlank="1" showErrorMessage="1" sqref="BR53 BR59">
      <formula1>VHelper2!A61:CZ61</formula1>
    </dataValidation>
    <dataValidation type="list" allowBlank="1" showErrorMessage="1" sqref="BQ5:BQ154">
      <formula1>Enums!$D$569:$D$615</formula1>
    </dataValidation>
    <dataValidation type="list" allowBlank="1" showErrorMessage="1" sqref="BR94">
      <formula1>VHelper2!A114:CZ114</formula1>
    </dataValidation>
    <dataValidation type="list" allowBlank="1" showErrorMessage="1" sqref="BR11">
      <formula1>VHelper2!A152:CZ152</formula1>
    </dataValidation>
    <dataValidation type="list" allowBlank="1" showErrorMessage="1" sqref="BR108">
      <formula1>VHelper2!A64:CZ64</formula1>
    </dataValidation>
    <dataValidation type="list" allowBlank="1" showErrorMessage="1" sqref="BR77">
      <formula1>VHelper2!A107:CZ107</formula1>
    </dataValidation>
    <dataValidation type="list" allowBlank="1" showErrorMessage="1" sqref="BR17">
      <formula1>VHelper2!A98:CZ98</formula1>
    </dataValidation>
    <dataValidation type="list" allowBlank="1" showErrorMessage="1" sqref="BR12">
      <formula1>VHelper2!A112:CZ112</formula1>
    </dataValidation>
    <dataValidation type="list" allowBlank="1" showErrorMessage="1" sqref="BR87 BR125">
      <formula1>VHelper2!A102:CZ102</formula1>
    </dataValidation>
    <dataValidation type="list" allowBlank="1" showErrorMessage="1" sqref="BR118">
      <formula1>VHelper2!A37:CZ37</formula1>
    </dataValidation>
    <dataValidation type="list" allowBlank="1" showErrorMessage="1" sqref="BR13">
      <formula1>VHelper2!A126:CZ126</formula1>
    </dataValidation>
    <dataValidation type="list" allowBlank="1" showErrorMessage="1" sqref="BR22">
      <formula1>VHelper2!A118:CZ118</formula1>
    </dataValidation>
    <dataValidation type="list" allowBlank="1" showErrorMessage="1" sqref="BR79 BR88">
      <formula1>VHelper2!A84:CZ84</formula1>
    </dataValidation>
    <dataValidation type="list" allowBlank="1" showErrorMessage="1" sqref="BR24 BR65">
      <formula1>VHelper2!A8:CZ8</formula1>
    </dataValidation>
    <dataValidation type="list" allowBlank="1" showErrorMessage="1" sqref="BR144">
      <formula1>VHelper2!A24:CZ24</formula1>
    </dataValidation>
    <dataValidation type="list" allowBlank="1" showErrorMessage="1" sqref="BR52 BR149">
      <formula1>VHelper2!A12:CZ12</formula1>
    </dataValidation>
    <dataValidation type="list" allowBlank="1" showErrorMessage="1" sqref="BR26">
      <formula1>VHelper2!A66:CZ66</formula1>
    </dataValidation>
    <dataValidation type="list" allowBlank="1" showErrorMessage="1" sqref="BR105">
      <formula1>VHelper2!A76:CZ76</formula1>
    </dataValidation>
    <dataValidation type="list" allowBlank="1" showErrorMessage="1" sqref="BC5:BC154">
      <formula1>Enums!$D$474:$D$486</formula1>
    </dataValidation>
    <dataValidation type="list" allowBlank="1" showErrorMessage="1" sqref="BR124">
      <formula1>VHelper2!A85:CZ85</formula1>
    </dataValidation>
    <dataValidation type="list" allowBlank="1" showErrorMessage="1" sqref="BR41 BR68">
      <formula1>VHelper2!A16:CZ16</formula1>
    </dataValidation>
    <dataValidation type="list" allowBlank="1" showErrorMessage="1" sqref="BR148">
      <formula1>VHelper2!A110:CZ110</formula1>
    </dataValidation>
    <dataValidation type="list" allowBlank="1" showErrorMessage="1" sqref="BR42">
      <formula1>VHelper2!A150:CZ150</formula1>
    </dataValidation>
    <dataValidation type="list" allowBlank="1" showErrorMessage="1" sqref="BR73 BR104">
      <formula1>VHelper2!A124:CZ124</formula1>
    </dataValidation>
    <dataValidation type="list" allowBlank="1" showErrorMessage="1" sqref="BR6">
      <formula1>VHelper2!A77:CZ77</formula1>
    </dataValidation>
    <dataValidation type="list" allowBlank="1" showErrorMessage="1" sqref="BR27">
      <formula1>VHelper2!A6:CZ6</formula1>
    </dataValidation>
    <dataValidation type="list" allowBlank="1" showErrorMessage="1" sqref="BR43">
      <formula1>VHelper2!A78:CZ78</formula1>
    </dataValidation>
    <dataValidation type="list" allowBlank="1" showErrorMessage="1" sqref="BR141 BR146">
      <formula1>VHelper2!A106:CZ106</formula1>
    </dataValidation>
    <dataValidation type="list" allowBlank="1" showErrorMessage="1" sqref="BM5:BM154">
      <formula1>Enums!$D$415:$D$424</formula1>
    </dataValidation>
    <dataValidation type="list" allowBlank="1" showErrorMessage="1" sqref="BR35">
      <formula1>VHelper2!A41:CZ41</formula1>
    </dataValidation>
    <dataValidation type="list" allowBlank="1" showErrorMessage="1" sqref="BR92 BR120">
      <formula1>VHelper2!A44:CZ44</formula1>
    </dataValidation>
    <dataValidation type="list" allowBlank="1" showErrorMessage="1" sqref="BR56">
      <formula1>VHelper2!A117:CZ117</formula1>
    </dataValidation>
    <dataValidation type="list" allowBlank="1" showErrorMessage="1" sqref="B5:B154">
      <formula1>Enums!$D$29:$D$51</formula1>
    </dataValidation>
    <dataValidation type="list" allowBlank="1" showErrorMessage="1" sqref="BR20">
      <formula1>VHelper2!A92:CZ92</formula1>
    </dataValidation>
    <dataValidation type="list" allowBlank="1" showErrorMessage="1" sqref="BR29">
      <formula1>VHelper2!A132:CZ132</formula1>
    </dataValidation>
    <dataValidation type="list" allowBlank="1" showErrorMessage="1" sqref="BR96">
      <formula1>VHelper2!A51:CZ51</formula1>
    </dataValidation>
    <dataValidation type="list" allowBlank="1" showErrorMessage="1" sqref="BR154">
      <formula1>VHelper2!A53:CZ53</formula1>
    </dataValidation>
    <dataValidation type="list" allowBlank="1" showErrorMessage="1" sqref="BR78">
      <formula1>VHelper2!A35:CZ35</formula1>
    </dataValidation>
    <dataValidation type="list" allowBlank="1" showErrorMessage="1" sqref="BR143">
      <formula1>VHelper2!A146:CZ146</formula1>
    </dataValidation>
    <dataValidation type="list" allowBlank="1" showErrorMessage="1" sqref="BR142">
      <formula1>VHelper2!A136:CZ136</formula1>
    </dataValidation>
    <dataValidation type="custom" allowBlank="1" showInputMessage="1" showErrorMessage="1" prompt="Text - Maximum Length: 80 characters." sqref="H6 I11:I12 I16:I17 I20:I22 I25 I33:I34 I38 I42:I43 I47 I49 I51 I56:I59 H61 I64 I66 I71:I72 I74 I77 I79 I87:I88 I94:I95 I104:I105 I108 I112:I113 I117 I122 I124 I128 I130 I133:I135 I138 I141 I145:I149 I153">
      <formula1>LTE(LEN(H6),(80))</formula1>
    </dataValidation>
    <dataValidation type="list" allowBlank="1" showErrorMessage="1" sqref="BR66">
      <formula1>VHelper2!A90:CZ90</formula1>
    </dataValidation>
    <dataValidation type="list" allowBlank="1" showErrorMessage="1" sqref="BD5:BD154">
      <formula1>Enums!$D$504:$D$507</formula1>
    </dataValidation>
    <dataValidation type="list" allowBlank="1" showErrorMessage="1" sqref="BR8">
      <formula1>VHelper2!A65:CZ65</formula1>
    </dataValidation>
    <dataValidation type="list" allowBlank="1" showErrorMessage="1" sqref="BR14">
      <formula1>VHelper2!A141:CZ141</formula1>
    </dataValidation>
    <dataValidation type="list" allowBlank="1" showErrorMessage="1" sqref="BR98">
      <formula1>VHelper2!A81:CZ81</formula1>
    </dataValidation>
    <dataValidation type="list" allowBlank="1" showErrorMessage="1" sqref="BR84">
      <formula1>VHelper2!A15:CZ15</formula1>
    </dataValidation>
    <dataValidation type="list" allowBlank="1" showErrorMessage="1" sqref="BR115">
      <formula1>VHelper2!A74:CZ74</formula1>
    </dataValidation>
    <dataValidation type="list" allowBlank="1" showErrorMessage="1" sqref="BR116">
      <formula1>VHelper2!A36:CZ36</formula1>
    </dataValidation>
    <dataValidation type="list" allowBlank="1" showErrorMessage="1" sqref="BR136 BR150">
      <formula1>VHelper2!A7:CZ7</formula1>
    </dataValidation>
    <dataValidation type="list" allowBlank="1" showErrorMessage="1" sqref="BR32">
      <formula1>VHelper2!A17:CZ17</formula1>
    </dataValidation>
    <dataValidation type="list" allowBlank="1" showErrorMessage="1" sqref="BR40">
      <formula1>VHelper2!A39:CZ39</formula1>
    </dataValidation>
    <dataValidation type="list" allowBlank="1" showErrorMessage="1" sqref="BP5:BP154">
      <formula1>Enums!$D$552:$D$567</formula1>
    </dataValidation>
    <dataValidation type="list" allowBlank="1" showErrorMessage="1" sqref="BR51 BR74 BR89">
      <formula1>VHelper2!A82:CZ82</formula1>
    </dataValidation>
    <dataValidation type="list" allowBlank="1" showErrorMessage="1" sqref="BR69">
      <formula1>VHelper2!A134:CZ134</formula1>
    </dataValidation>
    <dataValidation type="list" allowBlank="1" showErrorMessage="1" sqref="BR46">
      <formula1>VHelper2!A115:CZ115</formula1>
    </dataValidation>
    <dataValidation type="list" allowBlank="1" showErrorMessage="1" sqref="BR140 BR145 BR153">
      <formula1>VHelper2!A75:CZ75</formula1>
    </dataValidation>
    <dataValidation type="list" allowBlank="1" showErrorMessage="1" sqref="BR75">
      <formula1>VHelper2!A13:CZ13</formula1>
    </dataValidation>
    <dataValidation type="list" allowBlank="1" showErrorMessage="1" sqref="BR30">
      <formula1>VHelper2!A34:CZ34</formula1>
    </dataValidation>
    <dataValidation type="list" allowBlank="1" showErrorMessage="1" sqref="BR44 BR55">
      <formula1>VHelper2!A137:CZ137</formula1>
    </dataValidation>
    <dataValidation type="list" allowBlank="1" showErrorMessage="1" sqref="BR82">
      <formula1>VHelper2!A142:CZ142</formula1>
    </dataValidation>
    <dataValidation type="list" allowBlank="1" showErrorMessage="1" sqref="BR129">
      <formula1>VHelper2!A69:CZ69</formula1>
    </dataValidation>
    <dataValidation type="list" allowBlank="1" showErrorMessage="1" sqref="BA5:BA154">
      <formula1>Enums!$D$457:$D$473</formula1>
    </dataValidation>
    <dataValidation type="list" allowBlank="1" showErrorMessage="1" sqref="BR47">
      <formula1>VHelper2!A99:CZ99</formula1>
    </dataValidation>
    <dataValidation type="list" allowBlank="1" showErrorMessage="1" sqref="BR64 BR70">
      <formula1>VHelper2!A113:CZ113</formula1>
    </dataValidation>
    <dataValidation type="list" allowBlank="1" showErrorMessage="1" sqref="BR39 BR127">
      <formula1>VHelper2!A50:CZ50</formula1>
    </dataValidation>
    <dataValidation type="list" allowBlank="1" showErrorMessage="1" sqref="BR10">
      <formula1>VHelper2!A54:CZ54</formula1>
    </dataValidation>
    <dataValidation type="list" allowBlank="1" showErrorMessage="1" sqref="BR50">
      <formula1>VHelper2!A127:CZ127</formula1>
    </dataValidation>
    <dataValidation type="list" allowBlank="1" showErrorMessage="1" sqref="C5 C94">
      <formula1>VHelper!A26:ZZ26</formula1>
    </dataValidation>
    <dataValidation type="list" allowBlank="1" showErrorMessage="1" sqref="AZ5:AZ154">
      <formula1>Enums!$D$510:$D$516</formula1>
    </dataValidation>
    <dataValidation type="list" allowBlank="1" showErrorMessage="1" sqref="BR16">
      <formula1>VHelper2!A96:CZ96</formula1>
    </dataValidation>
    <dataValidation type="list" allowBlank="1" showErrorMessage="1" sqref="BR126">
      <formula1>VHelper2!A40:CZ40</formula1>
    </dataValidation>
    <dataValidation type="list" allowBlank="1" showErrorMessage="1" sqref="BS5:BS154">
      <formula1>Enums!$D$519:$D$549</formula1>
    </dataValidation>
    <dataValidation type="list" allowBlank="1" showErrorMessage="1" sqref="A5:A154">
      <formula1>Enums!$C$4:$C$7</formula1>
    </dataValidation>
  </dataValidations>
  <hyperlinks>
    <hyperlink r:id="rId1" ref="BT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hidden="1" min="1" max="1" width="13.75"/>
    <col customWidth="1" min="2" max="2" width="22.88"/>
    <col customWidth="1" min="3" max="3" width="13.5"/>
    <col customWidth="1" min="4" max="4" width="24.5"/>
    <col customWidth="1" min="5" max="6" width="16.13"/>
    <col customWidth="1" min="7" max="7" width="18.38"/>
    <col hidden="1" min="13" max="13" width="12.63"/>
    <col customWidth="1" min="16" max="17" width="15.13"/>
    <col customWidth="1" min="18" max="18" width="11.13"/>
    <col customWidth="1" min="19" max="19" width="11.0"/>
    <col customWidth="1" min="20" max="20" width="11.25"/>
    <col customWidth="1" min="21" max="23" width="15.13"/>
    <col customWidth="1" min="30" max="43" width="8.13"/>
    <col customWidth="1" min="47" max="47" width="17.5"/>
    <col customWidth="1" min="48" max="61" width="8.88"/>
    <col customWidth="1" min="62" max="62" width="16.25"/>
    <col customWidth="1" min="63" max="63" width="17.0"/>
    <col customWidth="1" min="64" max="64" width="16.0"/>
    <col customWidth="1" min="65" max="66" width="15.75"/>
    <col customWidth="1" min="67" max="73" width="6.5"/>
    <col customWidth="1" min="74" max="77" width="16.38"/>
    <col customWidth="1" min="78" max="79" width="15.75"/>
    <col customWidth="1" min="80" max="80" width="16.38"/>
    <col customWidth="1" min="81" max="81" width="17.0"/>
    <col customWidth="1" hidden="1" min="86" max="88" width="8.38"/>
    <col customWidth="1" hidden="1" min="89" max="96" width="7.0"/>
    <col customWidth="1" min="97" max="97" width="16.25"/>
    <col customWidth="1" min="98" max="98" width="17.88"/>
    <col customWidth="1" min="99" max="99" width="9.25"/>
  </cols>
  <sheetData>
    <row r="1" ht="16.5" customHeight="1">
      <c r="A1" s="5" t="s">
        <v>0</v>
      </c>
      <c r="E1" s="8" t="s">
        <v>11</v>
      </c>
      <c r="H1" s="10" t="s">
        <v>15</v>
      </c>
      <c r="P1" s="13" t="s">
        <v>7</v>
      </c>
      <c r="R1" s="13" t="s">
        <v>23</v>
      </c>
      <c r="X1" s="13" t="s">
        <v>26</v>
      </c>
      <c r="Z1" s="13" t="s">
        <v>28</v>
      </c>
      <c r="AB1" s="14" t="s">
        <v>31</v>
      </c>
      <c r="AD1" s="13" t="s">
        <v>35</v>
      </c>
      <c r="AR1" s="13" t="s">
        <v>40</v>
      </c>
      <c r="BJ1" s="5" t="s">
        <v>5</v>
      </c>
      <c r="BN1" s="5"/>
      <c r="BO1" s="19" t="s">
        <v>6</v>
      </c>
      <c r="BV1" s="20" t="s">
        <v>7</v>
      </c>
      <c r="BY1" s="5" t="s">
        <v>8</v>
      </c>
      <c r="CD1" s="5" t="s">
        <v>56</v>
      </c>
      <c r="CG1" s="5"/>
      <c r="CH1" s="23" t="s">
        <v>63</v>
      </c>
      <c r="CK1" s="25" t="s">
        <v>73</v>
      </c>
      <c r="CS1" s="9" t="s">
        <v>13</v>
      </c>
      <c r="CU1" s="22"/>
    </row>
    <row r="2" ht="30.75" customHeight="1">
      <c r="AR2" s="13" t="s">
        <v>90</v>
      </c>
      <c r="AV2" s="13" t="s">
        <v>25</v>
      </c>
      <c r="AX2" s="13" t="s">
        <v>27</v>
      </c>
      <c r="AZ2" s="13" t="s">
        <v>29</v>
      </c>
      <c r="BB2" s="13" t="s">
        <v>30</v>
      </c>
      <c r="BD2" s="13" t="s">
        <v>32</v>
      </c>
      <c r="BF2" s="13" t="s">
        <v>33</v>
      </c>
      <c r="BH2" s="13" t="s">
        <v>34</v>
      </c>
      <c r="BN2" s="5"/>
      <c r="CU2" s="22"/>
    </row>
    <row r="3" ht="51.0" customHeight="1">
      <c r="A3" s="37" t="s">
        <v>37</v>
      </c>
      <c r="B3" s="38" t="s">
        <v>116</v>
      </c>
      <c r="C3" s="37" t="s">
        <v>120</v>
      </c>
      <c r="D3" s="39" t="s">
        <v>123</v>
      </c>
      <c r="E3" s="40" t="s">
        <v>43</v>
      </c>
      <c r="F3" s="41" t="s">
        <v>128</v>
      </c>
      <c r="G3" s="42" t="s">
        <v>44</v>
      </c>
      <c r="H3" s="43" t="s">
        <v>45</v>
      </c>
      <c r="I3" s="43" t="s">
        <v>46</v>
      </c>
      <c r="J3" s="43" t="s">
        <v>47</v>
      </c>
      <c r="K3" s="43" t="s">
        <v>130</v>
      </c>
      <c r="L3" s="38" t="s">
        <v>48</v>
      </c>
      <c r="M3" s="43" t="s">
        <v>51</v>
      </c>
      <c r="N3" s="44" t="s">
        <v>49</v>
      </c>
      <c r="O3" s="44" t="s">
        <v>50</v>
      </c>
      <c r="P3" s="45" t="s">
        <v>117</v>
      </c>
      <c r="Q3" s="45" t="s">
        <v>118</v>
      </c>
      <c r="R3" s="47" t="s">
        <v>132</v>
      </c>
      <c r="S3" s="47" t="s">
        <v>135</v>
      </c>
      <c r="T3" s="47" t="s">
        <v>137</v>
      </c>
      <c r="U3" s="49" t="s">
        <v>139</v>
      </c>
      <c r="V3" s="49" t="s">
        <v>141</v>
      </c>
      <c r="W3" s="49" t="s">
        <v>143</v>
      </c>
      <c r="X3" s="47" t="s">
        <v>144</v>
      </c>
      <c r="Y3" s="47" t="s">
        <v>145</v>
      </c>
      <c r="Z3" s="51" t="s">
        <v>148</v>
      </c>
      <c r="AA3" s="51" t="s">
        <v>149</v>
      </c>
      <c r="AB3" s="54" t="s">
        <v>150</v>
      </c>
      <c r="AC3" s="54" t="s">
        <v>152</v>
      </c>
      <c r="AD3" s="54" t="s">
        <v>153</v>
      </c>
      <c r="AE3" s="54" t="s">
        <v>154</v>
      </c>
      <c r="AF3" s="54" t="s">
        <v>157</v>
      </c>
      <c r="AG3" s="54" t="s">
        <v>160</v>
      </c>
      <c r="AH3" s="54" t="s">
        <v>163</v>
      </c>
      <c r="AI3" s="54" t="s">
        <v>166</v>
      </c>
      <c r="AJ3" s="54" t="s">
        <v>168</v>
      </c>
      <c r="AK3" s="54" t="s">
        <v>170</v>
      </c>
      <c r="AL3" s="54" t="s">
        <v>174</v>
      </c>
      <c r="AM3" s="54" t="s">
        <v>175</v>
      </c>
      <c r="AN3" s="54" t="s">
        <v>178</v>
      </c>
      <c r="AO3" s="54" t="s">
        <v>180</v>
      </c>
      <c r="AP3" s="54" t="s">
        <v>183</v>
      </c>
      <c r="AQ3" s="54" t="s">
        <v>186</v>
      </c>
      <c r="AR3" s="49" t="s">
        <v>188</v>
      </c>
      <c r="AS3" s="49" t="s">
        <v>76</v>
      </c>
      <c r="AT3" s="49" t="s">
        <v>79</v>
      </c>
      <c r="AU3" s="43" t="s">
        <v>81</v>
      </c>
      <c r="AV3" s="51" t="s">
        <v>206</v>
      </c>
      <c r="AW3" s="64" t="s">
        <v>83</v>
      </c>
      <c r="AX3" s="51" t="s">
        <v>219</v>
      </c>
      <c r="AY3" s="67" t="s">
        <v>88</v>
      </c>
      <c r="AZ3" s="51" t="s">
        <v>227</v>
      </c>
      <c r="BA3" s="67" t="s">
        <v>93</v>
      </c>
      <c r="BB3" s="51" t="s">
        <v>233</v>
      </c>
      <c r="BC3" s="67" t="s">
        <v>96</v>
      </c>
      <c r="BD3" s="51" t="s">
        <v>238</v>
      </c>
      <c r="BE3" s="67" t="s">
        <v>99</v>
      </c>
      <c r="BF3" s="51" t="s">
        <v>242</v>
      </c>
      <c r="BG3" s="54" t="s">
        <v>101</v>
      </c>
      <c r="BH3" s="54" t="s">
        <v>102</v>
      </c>
      <c r="BI3" s="54" t="s">
        <v>104</v>
      </c>
      <c r="BJ3" s="37" t="s">
        <v>103</v>
      </c>
      <c r="BK3" s="37" t="s">
        <v>105</v>
      </c>
      <c r="BL3" s="37" t="s">
        <v>106</v>
      </c>
      <c r="BM3" s="37" t="s">
        <v>107</v>
      </c>
      <c r="BN3" s="75" t="s">
        <v>108</v>
      </c>
      <c r="BO3" s="49" t="s">
        <v>109</v>
      </c>
      <c r="BP3" s="49" t="s">
        <v>110</v>
      </c>
      <c r="BQ3" s="49" t="s">
        <v>111</v>
      </c>
      <c r="BR3" s="49" t="s">
        <v>112</v>
      </c>
      <c r="BS3" s="49" t="s">
        <v>113</v>
      </c>
      <c r="BT3" s="49" t="s">
        <v>114</v>
      </c>
      <c r="BU3" s="49" t="s">
        <v>115</v>
      </c>
      <c r="BV3" s="78" t="s">
        <v>117</v>
      </c>
      <c r="BW3" s="78" t="s">
        <v>118</v>
      </c>
      <c r="BX3" s="78" t="s">
        <v>119</v>
      </c>
      <c r="BY3" s="37" t="s">
        <v>284</v>
      </c>
      <c r="BZ3" s="37" t="s">
        <v>122</v>
      </c>
      <c r="CA3" s="37" t="s">
        <v>124</v>
      </c>
      <c r="CB3" s="79" t="s">
        <v>298</v>
      </c>
      <c r="CC3" s="37" t="s">
        <v>126</v>
      </c>
      <c r="CD3" s="37" t="s">
        <v>303</v>
      </c>
      <c r="CE3" s="37" t="s">
        <v>306</v>
      </c>
      <c r="CF3" s="37" t="s">
        <v>311</v>
      </c>
      <c r="CG3" s="75" t="s">
        <v>314</v>
      </c>
      <c r="CH3" s="81" t="s">
        <v>319</v>
      </c>
      <c r="CI3" s="81" t="s">
        <v>324</v>
      </c>
      <c r="CJ3" s="81" t="s">
        <v>327</v>
      </c>
      <c r="CK3" s="83" t="s">
        <v>330</v>
      </c>
      <c r="CL3" s="83" t="s">
        <v>337</v>
      </c>
      <c r="CM3" s="83" t="s">
        <v>339</v>
      </c>
      <c r="CN3" s="83" t="s">
        <v>341</v>
      </c>
      <c r="CO3" s="83" t="s">
        <v>342</v>
      </c>
      <c r="CP3" s="83" t="s">
        <v>343</v>
      </c>
      <c r="CQ3" s="83" t="s">
        <v>345</v>
      </c>
      <c r="CR3" s="83" t="s">
        <v>346</v>
      </c>
      <c r="CS3" s="50" t="s">
        <v>140</v>
      </c>
      <c r="CT3" s="50" t="s">
        <v>347</v>
      </c>
      <c r="CU3" s="52"/>
    </row>
    <row r="4" ht="26.25" customHeight="1">
      <c r="A4" s="87" t="s">
        <v>151</v>
      </c>
      <c r="B4" s="70" t="s">
        <v>349</v>
      </c>
      <c r="C4" s="90" t="s">
        <v>350</v>
      </c>
      <c r="D4" s="91" t="s">
        <v>351</v>
      </c>
      <c r="E4" s="70" t="s">
        <v>353</v>
      </c>
      <c r="F4" s="91" t="s">
        <v>354</v>
      </c>
      <c r="G4" s="70" t="s">
        <v>355</v>
      </c>
      <c r="H4" s="94" t="s">
        <v>356</v>
      </c>
      <c r="I4" s="94" t="s">
        <v>357</v>
      </c>
      <c r="J4" s="94" t="s">
        <v>359</v>
      </c>
      <c r="K4" s="94" t="s">
        <v>360</v>
      </c>
      <c r="L4" s="96" t="s">
        <v>361</v>
      </c>
      <c r="M4" s="94" t="s">
        <v>364</v>
      </c>
      <c r="N4" s="90" t="s">
        <v>187</v>
      </c>
      <c r="O4" s="90" t="s">
        <v>189</v>
      </c>
      <c r="P4" s="100" t="s">
        <v>366</v>
      </c>
      <c r="Q4" s="100" t="s">
        <v>367</v>
      </c>
      <c r="R4" s="94" t="s">
        <v>368</v>
      </c>
      <c r="S4" s="94" t="s">
        <v>369</v>
      </c>
      <c r="T4" s="94" t="s">
        <v>370</v>
      </c>
      <c r="U4" s="100" t="s">
        <v>372</v>
      </c>
      <c r="V4" s="103" t="s">
        <v>373</v>
      </c>
      <c r="W4" s="103" t="s">
        <v>376</v>
      </c>
      <c r="X4" s="94" t="s">
        <v>378</v>
      </c>
      <c r="Y4" s="94" t="s">
        <v>380</v>
      </c>
      <c r="Z4" s="104" t="s">
        <v>383</v>
      </c>
      <c r="AA4" s="94" t="s">
        <v>386</v>
      </c>
      <c r="AB4" s="94" t="s">
        <v>388</v>
      </c>
      <c r="AC4" s="94" t="s">
        <v>390</v>
      </c>
      <c r="AD4" s="110" t="s">
        <v>391</v>
      </c>
      <c r="AE4" s="110" t="s">
        <v>392</v>
      </c>
      <c r="AF4" s="110" t="s">
        <v>393</v>
      </c>
      <c r="AG4" s="110" t="s">
        <v>394</v>
      </c>
      <c r="AH4" s="110" t="s">
        <v>395</v>
      </c>
      <c r="AI4" s="110" t="s">
        <v>398</v>
      </c>
      <c r="AJ4" s="110" t="s">
        <v>399</v>
      </c>
      <c r="AK4" s="110" t="s">
        <v>401</v>
      </c>
      <c r="AL4" s="110" t="s">
        <v>402</v>
      </c>
      <c r="AM4" s="110" t="s">
        <v>403</v>
      </c>
      <c r="AN4" s="110" t="s">
        <v>404</v>
      </c>
      <c r="AO4" s="110" t="s">
        <v>405</v>
      </c>
      <c r="AP4" s="110" t="s">
        <v>406</v>
      </c>
      <c r="AQ4" s="110" t="s">
        <v>408</v>
      </c>
      <c r="AR4" s="94" t="s">
        <v>409</v>
      </c>
      <c r="AS4" s="94" t="s">
        <v>410</v>
      </c>
      <c r="AT4" s="94" t="s">
        <v>411</v>
      </c>
      <c r="AU4" s="94" t="s">
        <v>258</v>
      </c>
      <c r="AV4" s="94" t="s">
        <v>260</v>
      </c>
      <c r="AW4" s="112" t="s">
        <v>262</v>
      </c>
      <c r="AX4" s="94" t="s">
        <v>266</v>
      </c>
      <c r="AY4" s="112" t="s">
        <v>268</v>
      </c>
      <c r="AZ4" s="94" t="s">
        <v>270</v>
      </c>
      <c r="BA4" s="112" t="s">
        <v>272</v>
      </c>
      <c r="BB4" s="94" t="s">
        <v>274</v>
      </c>
      <c r="BC4" s="112" t="s">
        <v>276</v>
      </c>
      <c r="BD4" s="94" t="s">
        <v>278</v>
      </c>
      <c r="BE4" s="112" t="s">
        <v>279</v>
      </c>
      <c r="BF4" s="94" t="s">
        <v>281</v>
      </c>
      <c r="BG4" s="94" t="s">
        <v>283</v>
      </c>
      <c r="BH4" s="94" t="s">
        <v>286</v>
      </c>
      <c r="BI4" s="94" t="s">
        <v>288</v>
      </c>
      <c r="BJ4" s="94" t="s">
        <v>419</v>
      </c>
      <c r="BK4" s="94" t="s">
        <v>420</v>
      </c>
      <c r="BL4" s="94" t="s">
        <v>422</v>
      </c>
      <c r="BM4" s="94" t="s">
        <v>423</v>
      </c>
      <c r="BN4" s="104" t="s">
        <v>424</v>
      </c>
      <c r="BO4" s="94" t="s">
        <v>426</v>
      </c>
      <c r="BP4" s="94" t="s">
        <v>427</v>
      </c>
      <c r="BQ4" s="94" t="s">
        <v>428</v>
      </c>
      <c r="BR4" s="94" t="s">
        <v>430</v>
      </c>
      <c r="BS4" s="94" t="s">
        <v>431</v>
      </c>
      <c r="BT4" s="94" t="s">
        <v>432</v>
      </c>
      <c r="BU4" s="94" t="s">
        <v>435</v>
      </c>
      <c r="BV4" s="96" t="s">
        <v>321</v>
      </c>
      <c r="BW4" s="96" t="s">
        <v>323</v>
      </c>
      <c r="BX4" s="96" t="s">
        <v>325</v>
      </c>
      <c r="BY4" s="70" t="s">
        <v>440</v>
      </c>
      <c r="BZ4" s="104" t="s">
        <v>442</v>
      </c>
      <c r="CA4" s="103" t="s">
        <v>444</v>
      </c>
      <c r="CB4" s="94" t="s">
        <v>446</v>
      </c>
      <c r="CC4" s="70" t="s">
        <v>447</v>
      </c>
      <c r="CD4" s="94" t="s">
        <v>448</v>
      </c>
      <c r="CE4" s="104" t="s">
        <v>450</v>
      </c>
      <c r="CF4" s="94" t="s">
        <v>451</v>
      </c>
      <c r="CG4" s="104" t="s">
        <v>236</v>
      </c>
      <c r="CH4" s="70" t="s">
        <v>338</v>
      </c>
      <c r="CI4" s="70" t="s">
        <v>453</v>
      </c>
      <c r="CJ4" s="70" t="s">
        <v>454</v>
      </c>
      <c r="CK4" s="58" t="s">
        <v>455</v>
      </c>
      <c r="CL4" s="58" t="s">
        <v>456</v>
      </c>
      <c r="CM4" s="58" t="s">
        <v>458</v>
      </c>
      <c r="CN4" s="58" t="s">
        <v>459</v>
      </c>
      <c r="CO4" s="58" t="s">
        <v>461</v>
      </c>
      <c r="CP4" s="58" t="s">
        <v>462</v>
      </c>
      <c r="CQ4" s="58" t="s">
        <v>464</v>
      </c>
      <c r="CR4" s="58" t="s">
        <v>466</v>
      </c>
      <c r="CS4" s="70"/>
      <c r="CT4" s="70"/>
      <c r="CU4" s="70"/>
    </row>
    <row r="5" ht="20.25" customHeight="1">
      <c r="A5" s="117" t="s">
        <v>488</v>
      </c>
      <c r="B5" s="117" t="s">
        <v>498</v>
      </c>
      <c r="C5" s="117" t="s">
        <v>506</v>
      </c>
      <c r="D5" s="117" t="s">
        <v>508</v>
      </c>
      <c r="E5" s="117" t="s">
        <v>339</v>
      </c>
      <c r="F5" s="117" t="s">
        <v>521</v>
      </c>
      <c r="G5" s="117" t="s">
        <v>523</v>
      </c>
      <c r="H5" s="117" t="s">
        <v>524</v>
      </c>
      <c r="I5" s="117" t="s">
        <v>526</v>
      </c>
      <c r="J5" s="120" t="s">
        <v>528</v>
      </c>
      <c r="K5" s="117" t="s">
        <v>531</v>
      </c>
      <c r="L5" s="117" t="s">
        <v>532</v>
      </c>
      <c r="M5" s="122"/>
      <c r="N5" s="124">
        <v>50.3181167532234</v>
      </c>
      <c r="O5" s="124">
        <v>-4.08329075356408</v>
      </c>
      <c r="P5" s="117" t="s">
        <v>519</v>
      </c>
      <c r="Q5" s="126" t="s">
        <v>543</v>
      </c>
      <c r="R5" s="127">
        <v>46187.0</v>
      </c>
      <c r="S5" s="127">
        <v>46187.0</v>
      </c>
      <c r="T5" s="128">
        <v>1.0</v>
      </c>
      <c r="U5" s="129" t="b">
        <v>0</v>
      </c>
      <c r="V5" s="122"/>
      <c r="W5" s="129" t="b">
        <v>0</v>
      </c>
      <c r="X5" s="133">
        <v>0.4166666666666667</v>
      </c>
      <c r="Y5" s="133">
        <v>0.4583333333333333</v>
      </c>
      <c r="Z5" s="117" t="s">
        <v>387</v>
      </c>
      <c r="AA5" s="117" t="s">
        <v>387</v>
      </c>
      <c r="AB5" s="117" t="s">
        <v>387</v>
      </c>
      <c r="AC5" s="117" t="s">
        <v>387</v>
      </c>
      <c r="AD5" s="117" t="s">
        <v>387</v>
      </c>
      <c r="AE5" s="117" t="s">
        <v>387</v>
      </c>
      <c r="AF5" s="117" t="s">
        <v>387</v>
      </c>
      <c r="AG5" s="117" t="s">
        <v>387</v>
      </c>
      <c r="AH5" s="117" t="s">
        <v>387</v>
      </c>
      <c r="AI5" s="117" t="s">
        <v>387</v>
      </c>
      <c r="AJ5" s="117" t="s">
        <v>387</v>
      </c>
      <c r="AK5" s="117" t="s">
        <v>387</v>
      </c>
      <c r="AL5" s="117" t="s">
        <v>387</v>
      </c>
      <c r="AM5" s="117" t="s">
        <v>387</v>
      </c>
      <c r="AN5" s="117" t="s">
        <v>387</v>
      </c>
      <c r="AO5" s="117" t="s">
        <v>387</v>
      </c>
      <c r="AP5" s="117" t="s">
        <v>387</v>
      </c>
      <c r="AQ5" s="117" t="s">
        <v>387</v>
      </c>
      <c r="AR5" s="127">
        <v>46152.0</v>
      </c>
      <c r="AS5" s="136" t="b">
        <v>1</v>
      </c>
      <c r="AT5" s="126" t="s">
        <v>587</v>
      </c>
      <c r="AU5" s="126" t="s">
        <v>590</v>
      </c>
      <c r="AV5" s="117" t="s">
        <v>387</v>
      </c>
      <c r="AW5" s="142" t="s">
        <v>387</v>
      </c>
      <c r="AX5" s="117" t="s">
        <v>594</v>
      </c>
      <c r="AY5" s="143">
        <v>5.0</v>
      </c>
      <c r="AZ5" s="117" t="s">
        <v>387</v>
      </c>
      <c r="BA5" s="142" t="s">
        <v>387</v>
      </c>
      <c r="BB5" s="117" t="s">
        <v>387</v>
      </c>
      <c r="BC5" s="142" t="s">
        <v>387</v>
      </c>
      <c r="BD5" s="117" t="s">
        <v>596</v>
      </c>
      <c r="BE5" s="143">
        <v>0.0</v>
      </c>
      <c r="BF5" s="117" t="s">
        <v>387</v>
      </c>
      <c r="BG5" s="117" t="s">
        <v>387</v>
      </c>
      <c r="BH5" s="117" t="s">
        <v>387</v>
      </c>
      <c r="BI5" s="117" t="s">
        <v>387</v>
      </c>
      <c r="BJ5" s="126" t="s">
        <v>602</v>
      </c>
      <c r="BK5" s="126" t="s">
        <v>606</v>
      </c>
      <c r="BL5" s="122"/>
      <c r="BM5" s="126" t="s">
        <v>615</v>
      </c>
      <c r="BN5" s="126"/>
      <c r="BO5" s="129" t="b">
        <v>0</v>
      </c>
      <c r="BP5" s="136" t="b">
        <v>1</v>
      </c>
      <c r="BQ5" s="136" t="b">
        <v>1</v>
      </c>
      <c r="BR5" s="129" t="b">
        <v>0</v>
      </c>
      <c r="BS5" s="129" t="b">
        <v>0</v>
      </c>
      <c r="BT5" s="129" t="b">
        <v>0</v>
      </c>
      <c r="BU5" s="129" t="b">
        <v>0</v>
      </c>
      <c r="BV5" s="117"/>
      <c r="BW5" s="117"/>
      <c r="BX5" s="117"/>
      <c r="BY5" s="117" t="s">
        <v>625</v>
      </c>
      <c r="BZ5" s="122"/>
      <c r="CA5" s="122"/>
      <c r="CB5" s="117" t="s">
        <v>630</v>
      </c>
      <c r="CC5" s="126" t="s">
        <v>631</v>
      </c>
      <c r="CD5" s="126" t="s">
        <v>634</v>
      </c>
      <c r="CE5" s="122"/>
      <c r="CF5" s="117" t="s">
        <v>640</v>
      </c>
      <c r="CG5" s="117" t="s">
        <v>641</v>
      </c>
      <c r="CH5" s="117" t="s">
        <v>530</v>
      </c>
      <c r="CI5" s="120"/>
      <c r="CJ5" s="120"/>
      <c r="CK5" s="120"/>
      <c r="CL5" s="120"/>
      <c r="CM5" s="120"/>
      <c r="CN5" s="120"/>
      <c r="CO5" s="120"/>
      <c r="CP5" s="120"/>
      <c r="CQ5" s="120"/>
      <c r="CR5" s="120"/>
      <c r="CS5" s="136"/>
      <c r="CT5" s="162" t="b">
        <v>0</v>
      </c>
      <c r="CU5" s="120"/>
    </row>
    <row r="6" ht="20.25" customHeight="1">
      <c r="A6" s="163" t="s">
        <v>488</v>
      </c>
      <c r="B6" s="163" t="s">
        <v>595</v>
      </c>
      <c r="C6" s="163" t="s">
        <v>650</v>
      </c>
      <c r="D6" s="163" t="s">
        <v>651</v>
      </c>
      <c r="E6" s="117" t="s">
        <v>653</v>
      </c>
      <c r="F6" s="163" t="s">
        <v>521</v>
      </c>
      <c r="G6" s="117" t="s">
        <v>657</v>
      </c>
      <c r="H6" s="117" t="s">
        <v>524</v>
      </c>
      <c r="I6" s="117" t="s">
        <v>526</v>
      </c>
      <c r="J6" s="163" t="s">
        <v>528</v>
      </c>
      <c r="K6" s="117" t="s">
        <v>531</v>
      </c>
      <c r="L6" s="117" t="s">
        <v>532</v>
      </c>
      <c r="M6" s="122"/>
      <c r="N6" s="124">
        <v>50.3181167532234</v>
      </c>
      <c r="O6" s="124">
        <v>-4.08329075356408</v>
      </c>
      <c r="P6" s="117" t="s">
        <v>519</v>
      </c>
      <c r="Q6" s="126" t="s">
        <v>543</v>
      </c>
      <c r="R6" s="164">
        <v>46220.0</v>
      </c>
      <c r="S6" s="164">
        <v>46220.0</v>
      </c>
      <c r="T6" s="165">
        <v>1.0</v>
      </c>
      <c r="U6" s="166" t="b">
        <v>0</v>
      </c>
      <c r="V6" s="122"/>
      <c r="W6" s="129" t="b">
        <v>0</v>
      </c>
      <c r="X6" s="168">
        <v>0.5625</v>
      </c>
      <c r="Y6" s="168">
        <v>0.6458333333333334</v>
      </c>
      <c r="Z6" s="117" t="s">
        <v>387</v>
      </c>
      <c r="AA6" s="117" t="s">
        <v>387</v>
      </c>
      <c r="AB6" s="117" t="s">
        <v>387</v>
      </c>
      <c r="AC6" s="117" t="s">
        <v>387</v>
      </c>
      <c r="AD6" s="117" t="s">
        <v>387</v>
      </c>
      <c r="AE6" s="117" t="s">
        <v>387</v>
      </c>
      <c r="AF6" s="117" t="s">
        <v>387</v>
      </c>
      <c r="AG6" s="117" t="s">
        <v>387</v>
      </c>
      <c r="AH6" s="117" t="s">
        <v>387</v>
      </c>
      <c r="AI6" s="117" t="s">
        <v>387</v>
      </c>
      <c r="AJ6" s="117" t="s">
        <v>387</v>
      </c>
      <c r="AK6" s="117" t="s">
        <v>387</v>
      </c>
      <c r="AL6" s="117" t="s">
        <v>387</v>
      </c>
      <c r="AM6" s="117" t="s">
        <v>387</v>
      </c>
      <c r="AN6" s="117" t="s">
        <v>387</v>
      </c>
      <c r="AO6" s="117" t="s">
        <v>387</v>
      </c>
      <c r="AP6" s="117" t="s">
        <v>387</v>
      </c>
      <c r="AQ6" s="117" t="s">
        <v>387</v>
      </c>
      <c r="AR6" s="127">
        <v>46152.0</v>
      </c>
      <c r="AS6" s="170" t="b">
        <v>0</v>
      </c>
      <c r="AT6" s="172" t="s">
        <v>587</v>
      </c>
      <c r="AU6" s="172" t="s">
        <v>677</v>
      </c>
      <c r="AV6" s="117" t="s">
        <v>387</v>
      </c>
      <c r="AW6" s="117" t="s">
        <v>387</v>
      </c>
      <c r="AX6" s="117" t="s">
        <v>387</v>
      </c>
      <c r="AY6" s="117" t="s">
        <v>387</v>
      </c>
      <c r="AZ6" s="117" t="s">
        <v>387</v>
      </c>
      <c r="BA6" s="117" t="s">
        <v>387</v>
      </c>
      <c r="BB6" s="117" t="s">
        <v>387</v>
      </c>
      <c r="BC6" s="117" t="s">
        <v>387</v>
      </c>
      <c r="BD6" s="163" t="s">
        <v>596</v>
      </c>
      <c r="BE6" s="174">
        <v>0.0</v>
      </c>
      <c r="BF6" s="117" t="s">
        <v>387</v>
      </c>
      <c r="BG6" s="117" t="s">
        <v>387</v>
      </c>
      <c r="BH6" s="117" t="s">
        <v>387</v>
      </c>
      <c r="BI6" s="117" t="s">
        <v>387</v>
      </c>
      <c r="BJ6" s="126" t="s">
        <v>602</v>
      </c>
      <c r="BK6" s="126" t="s">
        <v>681</v>
      </c>
      <c r="BL6" s="122"/>
      <c r="BM6" s="126" t="s">
        <v>615</v>
      </c>
      <c r="BN6" s="126"/>
      <c r="BO6" s="166" t="b">
        <v>0</v>
      </c>
      <c r="BP6" s="166" t="b">
        <v>0</v>
      </c>
      <c r="BQ6" s="166" t="b">
        <v>0</v>
      </c>
      <c r="BR6" s="166" t="b">
        <v>0</v>
      </c>
      <c r="BS6" s="166" t="b">
        <v>0</v>
      </c>
      <c r="BT6" s="170" t="b">
        <v>1</v>
      </c>
      <c r="BU6" s="170" t="b">
        <v>1</v>
      </c>
      <c r="BV6" s="117"/>
      <c r="BW6" s="117"/>
      <c r="BX6" s="117"/>
      <c r="BY6" s="117" t="s">
        <v>691</v>
      </c>
      <c r="BZ6" s="122"/>
      <c r="CA6" s="172" t="s">
        <v>695</v>
      </c>
      <c r="CB6" s="163" t="s">
        <v>696</v>
      </c>
      <c r="CC6" s="172" t="s">
        <v>698</v>
      </c>
      <c r="CD6" s="172" t="s">
        <v>702</v>
      </c>
      <c r="CE6" s="122"/>
      <c r="CF6" s="163" t="s">
        <v>640</v>
      </c>
      <c r="CG6" s="117" t="s">
        <v>703</v>
      </c>
      <c r="CH6" s="117" t="s">
        <v>530</v>
      </c>
      <c r="CI6" s="120"/>
      <c r="CJ6" s="120"/>
      <c r="CK6" s="120"/>
      <c r="CL6" s="120"/>
      <c r="CM6" s="120"/>
      <c r="CN6" s="120"/>
      <c r="CO6" s="120"/>
      <c r="CP6" s="120"/>
      <c r="CQ6" s="120"/>
      <c r="CR6" s="120"/>
      <c r="CS6" s="136"/>
      <c r="CT6" s="162" t="b">
        <v>0</v>
      </c>
      <c r="CU6" s="120"/>
    </row>
    <row r="7" ht="20.25" customHeight="1">
      <c r="A7" s="163" t="s">
        <v>488</v>
      </c>
      <c r="B7" s="163" t="s">
        <v>706</v>
      </c>
      <c r="C7" s="163" t="s">
        <v>708</v>
      </c>
      <c r="D7" s="163" t="s">
        <v>710</v>
      </c>
      <c r="E7" s="117" t="s">
        <v>712</v>
      </c>
      <c r="F7" s="163" t="s">
        <v>714</v>
      </c>
      <c r="G7" s="117" t="s">
        <v>715</v>
      </c>
      <c r="H7" s="117" t="s">
        <v>524</v>
      </c>
      <c r="I7" s="117" t="s">
        <v>526</v>
      </c>
      <c r="J7" s="163" t="s">
        <v>528</v>
      </c>
      <c r="K7" s="117" t="s">
        <v>531</v>
      </c>
      <c r="L7" s="117" t="s">
        <v>532</v>
      </c>
      <c r="M7" s="122"/>
      <c r="N7" s="124">
        <v>50.3181167532234</v>
      </c>
      <c r="O7" s="124">
        <v>-4.08329075356408</v>
      </c>
      <c r="P7" s="117" t="s">
        <v>496</v>
      </c>
      <c r="Q7" s="126" t="s">
        <v>721</v>
      </c>
      <c r="R7" s="164">
        <v>46219.0</v>
      </c>
      <c r="S7" s="164">
        <v>46219.0</v>
      </c>
      <c r="T7" s="165">
        <v>1.0</v>
      </c>
      <c r="U7" s="166" t="b">
        <v>0</v>
      </c>
      <c r="V7" s="122"/>
      <c r="W7" s="129" t="b">
        <v>0</v>
      </c>
      <c r="X7" s="168">
        <v>0.4375</v>
      </c>
      <c r="Y7" s="168">
        <v>0.6458333333333334</v>
      </c>
      <c r="Z7" s="117" t="s">
        <v>387</v>
      </c>
      <c r="AA7" s="117" t="s">
        <v>387</v>
      </c>
      <c r="AB7" s="117" t="s">
        <v>387</v>
      </c>
      <c r="AC7" s="117" t="s">
        <v>387</v>
      </c>
      <c r="AD7" s="117" t="s">
        <v>387</v>
      </c>
      <c r="AE7" s="117" t="s">
        <v>387</v>
      </c>
      <c r="AF7" s="117" t="s">
        <v>387</v>
      </c>
      <c r="AG7" s="117" t="s">
        <v>387</v>
      </c>
      <c r="AH7" s="117" t="s">
        <v>387</v>
      </c>
      <c r="AI7" s="117" t="s">
        <v>387</v>
      </c>
      <c r="AJ7" s="117" t="s">
        <v>387</v>
      </c>
      <c r="AK7" s="117" t="s">
        <v>387</v>
      </c>
      <c r="AL7" s="117" t="s">
        <v>387</v>
      </c>
      <c r="AM7" s="117" t="s">
        <v>387</v>
      </c>
      <c r="AN7" s="117" t="s">
        <v>387</v>
      </c>
      <c r="AO7" s="117" t="s">
        <v>387</v>
      </c>
      <c r="AP7" s="117" t="s">
        <v>387</v>
      </c>
      <c r="AQ7" s="117" t="s">
        <v>387</v>
      </c>
      <c r="AR7" s="127">
        <v>46152.0</v>
      </c>
      <c r="AS7" s="170" t="b">
        <v>1</v>
      </c>
      <c r="AT7" s="172" t="s">
        <v>587</v>
      </c>
      <c r="AU7" s="172" t="s">
        <v>730</v>
      </c>
      <c r="AV7" s="117" t="s">
        <v>387</v>
      </c>
      <c r="AW7" s="117" t="s">
        <v>387</v>
      </c>
      <c r="AX7" s="163" t="s">
        <v>732</v>
      </c>
      <c r="AY7" s="174">
        <v>12.5</v>
      </c>
      <c r="AZ7" s="117" t="s">
        <v>387</v>
      </c>
      <c r="BA7" s="117" t="s">
        <v>387</v>
      </c>
      <c r="BB7" s="117" t="s">
        <v>387</v>
      </c>
      <c r="BC7" s="117" t="s">
        <v>387</v>
      </c>
      <c r="BD7" s="163" t="s">
        <v>596</v>
      </c>
      <c r="BE7" s="174">
        <v>12.5</v>
      </c>
      <c r="BF7" s="117" t="s">
        <v>387</v>
      </c>
      <c r="BG7" s="117" t="s">
        <v>387</v>
      </c>
      <c r="BH7" s="117" t="s">
        <v>387</v>
      </c>
      <c r="BI7" s="117" t="s">
        <v>387</v>
      </c>
      <c r="BJ7" s="126" t="s">
        <v>602</v>
      </c>
      <c r="BK7" s="126" t="s">
        <v>681</v>
      </c>
      <c r="BL7" s="122"/>
      <c r="BM7" s="126" t="s">
        <v>615</v>
      </c>
      <c r="BN7" s="126"/>
      <c r="BO7" s="166" t="b">
        <v>0</v>
      </c>
      <c r="BP7" s="166" t="b">
        <v>0</v>
      </c>
      <c r="BQ7" s="166" t="b">
        <v>0</v>
      </c>
      <c r="BR7" s="170" t="b">
        <v>1</v>
      </c>
      <c r="BS7" s="170" t="b">
        <v>1</v>
      </c>
      <c r="BT7" s="170" t="b">
        <v>1</v>
      </c>
      <c r="BU7" s="170" t="b">
        <v>1</v>
      </c>
      <c r="BV7" s="177"/>
      <c r="BW7" s="177"/>
      <c r="BX7" s="177"/>
      <c r="BY7" s="177" t="s">
        <v>751</v>
      </c>
      <c r="BZ7" s="122"/>
      <c r="CA7" s="122"/>
      <c r="CB7" s="163" t="s">
        <v>752</v>
      </c>
      <c r="CC7" s="122"/>
      <c r="CD7" s="172" t="s">
        <v>753</v>
      </c>
      <c r="CE7" s="122"/>
      <c r="CF7" s="163" t="s">
        <v>640</v>
      </c>
      <c r="CG7" s="117" t="s">
        <v>756</v>
      </c>
      <c r="CH7" s="117" t="s">
        <v>530</v>
      </c>
      <c r="CI7" s="120"/>
      <c r="CJ7" s="120"/>
      <c r="CK7" s="120"/>
      <c r="CL7" s="120"/>
      <c r="CM7" s="120"/>
      <c r="CN7" s="120"/>
      <c r="CO7" s="120"/>
      <c r="CP7" s="120"/>
      <c r="CQ7" s="120"/>
      <c r="CR7" s="120"/>
      <c r="CS7" s="136"/>
      <c r="CT7" s="162" t="b">
        <v>0</v>
      </c>
      <c r="CU7" s="120"/>
    </row>
    <row r="8" ht="20.25" customHeight="1">
      <c r="A8" s="163" t="s">
        <v>488</v>
      </c>
      <c r="B8" s="163" t="s">
        <v>595</v>
      </c>
      <c r="C8" s="163" t="s">
        <v>650</v>
      </c>
      <c r="D8" s="163" t="s">
        <v>767</v>
      </c>
      <c r="E8" s="117" t="s">
        <v>769</v>
      </c>
      <c r="F8" s="163" t="s">
        <v>521</v>
      </c>
      <c r="G8" s="117" t="s">
        <v>771</v>
      </c>
      <c r="H8" s="117" t="s">
        <v>524</v>
      </c>
      <c r="I8" s="117" t="s">
        <v>526</v>
      </c>
      <c r="J8" s="163" t="s">
        <v>528</v>
      </c>
      <c r="K8" s="117" t="s">
        <v>531</v>
      </c>
      <c r="L8" s="117" t="s">
        <v>532</v>
      </c>
      <c r="M8" s="122"/>
      <c r="N8" s="124">
        <v>50.3181167532234</v>
      </c>
      <c r="O8" s="124">
        <v>-4.08329075356408</v>
      </c>
      <c r="P8" s="117" t="s">
        <v>519</v>
      </c>
      <c r="Q8" s="126" t="s">
        <v>543</v>
      </c>
      <c r="R8" s="164">
        <v>46221.0</v>
      </c>
      <c r="S8" s="164">
        <v>46221.0</v>
      </c>
      <c r="T8" s="165">
        <v>1.0</v>
      </c>
      <c r="U8" s="166" t="b">
        <v>0</v>
      </c>
      <c r="V8" s="122"/>
      <c r="W8" s="129" t="b">
        <v>0</v>
      </c>
      <c r="X8" s="168">
        <v>0.5416666666666666</v>
      </c>
      <c r="Y8" s="168">
        <v>0.6458333333333334</v>
      </c>
      <c r="Z8" s="117" t="s">
        <v>387</v>
      </c>
      <c r="AA8" s="117" t="s">
        <v>387</v>
      </c>
      <c r="AB8" s="117" t="s">
        <v>387</v>
      </c>
      <c r="AC8" s="117" t="s">
        <v>387</v>
      </c>
      <c r="AD8" s="117" t="s">
        <v>387</v>
      </c>
      <c r="AE8" s="117" t="s">
        <v>387</v>
      </c>
      <c r="AF8" s="117" t="s">
        <v>387</v>
      </c>
      <c r="AG8" s="117" t="s">
        <v>387</v>
      </c>
      <c r="AH8" s="117" t="s">
        <v>387</v>
      </c>
      <c r="AI8" s="117" t="s">
        <v>387</v>
      </c>
      <c r="AJ8" s="117" t="s">
        <v>387</v>
      </c>
      <c r="AK8" s="117" t="s">
        <v>387</v>
      </c>
      <c r="AL8" s="117" t="s">
        <v>387</v>
      </c>
      <c r="AM8" s="117" t="s">
        <v>387</v>
      </c>
      <c r="AN8" s="117" t="s">
        <v>387</v>
      </c>
      <c r="AO8" s="117" t="s">
        <v>387</v>
      </c>
      <c r="AP8" s="117" t="s">
        <v>387</v>
      </c>
      <c r="AQ8" s="117" t="s">
        <v>387</v>
      </c>
      <c r="AR8" s="127">
        <v>46152.0</v>
      </c>
      <c r="AS8" s="170" t="b">
        <v>1</v>
      </c>
      <c r="AT8" s="172" t="s">
        <v>587</v>
      </c>
      <c r="AU8" s="172" t="s">
        <v>780</v>
      </c>
      <c r="AV8" s="117" t="s">
        <v>387</v>
      </c>
      <c r="AW8" s="117" t="s">
        <v>387</v>
      </c>
      <c r="AX8" s="117" t="s">
        <v>387</v>
      </c>
      <c r="AY8" s="117" t="s">
        <v>387</v>
      </c>
      <c r="AZ8" s="117" t="s">
        <v>387</v>
      </c>
      <c r="BA8" s="117" t="s">
        <v>387</v>
      </c>
      <c r="BB8" s="163" t="s">
        <v>784</v>
      </c>
      <c r="BC8" s="174">
        <v>30.0</v>
      </c>
      <c r="BD8" s="163" t="s">
        <v>596</v>
      </c>
      <c r="BE8" s="174">
        <v>30.0</v>
      </c>
      <c r="BF8" s="117" t="s">
        <v>387</v>
      </c>
      <c r="BG8" s="117" t="s">
        <v>387</v>
      </c>
      <c r="BH8" s="117" t="s">
        <v>387</v>
      </c>
      <c r="BI8" s="117" t="s">
        <v>387</v>
      </c>
      <c r="BJ8" s="126" t="s">
        <v>602</v>
      </c>
      <c r="BK8" s="126" t="s">
        <v>787</v>
      </c>
      <c r="BL8" s="122"/>
      <c r="BM8" s="126" t="s">
        <v>615</v>
      </c>
      <c r="BN8" s="126"/>
      <c r="BO8" s="166" t="b">
        <v>0</v>
      </c>
      <c r="BP8" s="166" t="b">
        <v>0</v>
      </c>
      <c r="BQ8" s="166" t="b">
        <v>0</v>
      </c>
      <c r="BR8" s="166" t="b">
        <v>0</v>
      </c>
      <c r="BS8" s="170" t="b">
        <v>1</v>
      </c>
      <c r="BT8" s="170" t="b">
        <v>1</v>
      </c>
      <c r="BU8" s="170" t="b">
        <v>1</v>
      </c>
      <c r="BV8" s="163"/>
      <c r="BW8" s="163"/>
      <c r="BX8" s="163"/>
      <c r="BY8" s="163" t="s">
        <v>791</v>
      </c>
      <c r="BZ8" s="122"/>
      <c r="CA8" s="122"/>
      <c r="CB8" s="163" t="s">
        <v>792</v>
      </c>
      <c r="CC8" s="172" t="s">
        <v>793</v>
      </c>
      <c r="CD8" s="172" t="s">
        <v>634</v>
      </c>
      <c r="CE8" s="122"/>
      <c r="CF8" s="163" t="s">
        <v>794</v>
      </c>
      <c r="CG8" s="117" t="s">
        <v>796</v>
      </c>
      <c r="CH8" s="117" t="s">
        <v>530</v>
      </c>
      <c r="CI8" s="120"/>
      <c r="CJ8" s="120"/>
      <c r="CK8" s="120"/>
      <c r="CL8" s="120"/>
      <c r="CM8" s="120"/>
      <c r="CN8" s="120"/>
      <c r="CO8" s="120"/>
      <c r="CP8" s="120"/>
      <c r="CQ8" s="120"/>
      <c r="CR8" s="120"/>
      <c r="CS8" s="136"/>
      <c r="CT8" s="162" t="b">
        <v>0</v>
      </c>
      <c r="CU8" s="120"/>
    </row>
    <row r="9" ht="20.25" customHeight="1">
      <c r="A9" s="163" t="s">
        <v>488</v>
      </c>
      <c r="B9" s="163" t="s">
        <v>352</v>
      </c>
      <c r="C9" s="163" t="s">
        <v>358</v>
      </c>
      <c r="D9" s="163" t="s">
        <v>801</v>
      </c>
      <c r="E9" s="117" t="s">
        <v>802</v>
      </c>
      <c r="F9" s="163" t="s">
        <v>803</v>
      </c>
      <c r="G9" s="126" t="s">
        <v>804</v>
      </c>
      <c r="H9" s="126" t="s">
        <v>805</v>
      </c>
      <c r="I9" s="126" t="s">
        <v>379</v>
      </c>
      <c r="J9" s="126" t="s">
        <v>382</v>
      </c>
      <c r="K9" s="126" t="s">
        <v>531</v>
      </c>
      <c r="L9" s="126" t="s">
        <v>384</v>
      </c>
      <c r="M9" s="122"/>
      <c r="N9" s="179">
        <v>50.535436453235</v>
      </c>
      <c r="O9" s="179">
        <v>-3.55892367791791</v>
      </c>
      <c r="P9" s="117" t="s">
        <v>519</v>
      </c>
      <c r="Q9" s="126" t="s">
        <v>543</v>
      </c>
      <c r="R9" s="164">
        <v>46165.0</v>
      </c>
      <c r="S9" s="164">
        <v>46266.0</v>
      </c>
      <c r="T9" s="181">
        <v>101.0</v>
      </c>
      <c r="U9" s="166" t="b">
        <v>1</v>
      </c>
      <c r="V9" s="172" t="s">
        <v>820</v>
      </c>
      <c r="W9" s="129" t="b">
        <v>1</v>
      </c>
      <c r="X9" s="182"/>
      <c r="Y9" s="182"/>
      <c r="Z9" s="182"/>
      <c r="AA9" s="182"/>
      <c r="AB9" s="168">
        <v>0.4166666666666667</v>
      </c>
      <c r="AC9" s="168">
        <v>0.6666666666666666</v>
      </c>
      <c r="AD9" s="122"/>
      <c r="AE9" s="122"/>
      <c r="AF9" s="122"/>
      <c r="AG9" s="122"/>
      <c r="AH9" s="122"/>
      <c r="AI9" s="122"/>
      <c r="AJ9" s="122"/>
      <c r="AK9" s="122"/>
      <c r="AL9" s="122"/>
      <c r="AM9" s="122"/>
      <c r="AN9" s="122"/>
      <c r="AO9" s="122"/>
      <c r="AP9" s="122"/>
      <c r="AQ9" s="122"/>
      <c r="AR9" s="164">
        <v>46168.0</v>
      </c>
      <c r="AS9" s="166" t="b">
        <v>0</v>
      </c>
      <c r="AT9" s="172" t="s">
        <v>412</v>
      </c>
      <c r="AU9" s="122"/>
      <c r="AV9" s="172" t="s">
        <v>387</v>
      </c>
      <c r="AW9" s="184" t="s">
        <v>387</v>
      </c>
      <c r="AX9" s="172" t="s">
        <v>387</v>
      </c>
      <c r="AY9" s="184" t="s">
        <v>387</v>
      </c>
      <c r="AZ9" s="172" t="s">
        <v>387</v>
      </c>
      <c r="BA9" s="184" t="s">
        <v>387</v>
      </c>
      <c r="BB9" s="172" t="s">
        <v>387</v>
      </c>
      <c r="BC9" s="184" t="s">
        <v>387</v>
      </c>
      <c r="BD9" s="172" t="s">
        <v>387</v>
      </c>
      <c r="BE9" s="184" t="s">
        <v>387</v>
      </c>
      <c r="BF9" s="172" t="s">
        <v>387</v>
      </c>
      <c r="BG9" s="172" t="s">
        <v>387</v>
      </c>
      <c r="BH9" s="172" t="s">
        <v>387</v>
      </c>
      <c r="BI9" s="172" t="s">
        <v>387</v>
      </c>
      <c r="BJ9" s="172" t="s">
        <v>835</v>
      </c>
      <c r="BK9" s="172" t="s">
        <v>837</v>
      </c>
      <c r="BL9" s="172" t="s">
        <v>839</v>
      </c>
      <c r="BM9" s="172" t="s">
        <v>841</v>
      </c>
      <c r="BN9" s="172"/>
      <c r="BO9" s="166" t="b">
        <v>1</v>
      </c>
      <c r="BP9" s="166" t="b">
        <v>1</v>
      </c>
      <c r="BQ9" s="166" t="b">
        <v>1</v>
      </c>
      <c r="BR9" s="166" t="b">
        <v>1</v>
      </c>
      <c r="BS9" s="166" t="b">
        <v>1</v>
      </c>
      <c r="BT9" s="166" t="b">
        <v>1</v>
      </c>
      <c r="BU9" s="166" t="b">
        <v>1</v>
      </c>
      <c r="BV9" s="163"/>
      <c r="BW9" s="163"/>
      <c r="BX9" s="163"/>
      <c r="BY9" s="163" t="s">
        <v>845</v>
      </c>
      <c r="BZ9" s="172" t="s">
        <v>846</v>
      </c>
      <c r="CA9" s="172" t="s">
        <v>847</v>
      </c>
      <c r="CB9" s="172" t="s">
        <v>848</v>
      </c>
      <c r="CC9" s="122"/>
      <c r="CD9" s="172" t="s">
        <v>849</v>
      </c>
      <c r="CE9" s="122"/>
      <c r="CF9" s="172" t="s">
        <v>640</v>
      </c>
      <c r="CG9" s="126" t="s">
        <v>850</v>
      </c>
      <c r="CH9" s="117" t="s">
        <v>530</v>
      </c>
      <c r="CI9" s="120"/>
      <c r="CJ9" s="120"/>
      <c r="CK9" s="120"/>
      <c r="CL9" s="120"/>
      <c r="CM9" s="120"/>
      <c r="CN9" s="120"/>
      <c r="CO9" s="120"/>
      <c r="CP9" s="120"/>
      <c r="CQ9" s="120"/>
      <c r="CR9" s="120"/>
      <c r="CS9" s="136"/>
      <c r="CT9" s="162" t="b">
        <v>0</v>
      </c>
      <c r="CU9" s="120"/>
    </row>
    <row r="10" ht="20.25" customHeight="1">
      <c r="A10" s="179"/>
      <c r="B10" s="179"/>
      <c r="C10" s="179"/>
      <c r="D10" s="179"/>
      <c r="E10" s="188"/>
      <c r="F10" s="179"/>
      <c r="G10" s="188"/>
      <c r="H10" s="188"/>
      <c r="I10" s="188"/>
      <c r="J10" s="188"/>
      <c r="K10" s="188"/>
      <c r="L10" s="188"/>
      <c r="M10" s="107"/>
      <c r="P10" s="188"/>
      <c r="Q10" s="189"/>
      <c r="R10" s="190"/>
      <c r="S10" s="190"/>
      <c r="T10" s="179"/>
      <c r="U10" s="179"/>
      <c r="V10" s="140"/>
      <c r="W10" s="188"/>
      <c r="AB10" s="191"/>
      <c r="AC10" s="191"/>
      <c r="AD10" s="107"/>
      <c r="AE10" s="107"/>
      <c r="AF10" s="107"/>
      <c r="AG10" s="107"/>
      <c r="AH10" s="107"/>
      <c r="AI10" s="107"/>
      <c r="AJ10" s="107"/>
      <c r="AK10" s="107"/>
      <c r="AL10" s="107"/>
      <c r="AM10" s="107"/>
      <c r="AN10" s="107"/>
      <c r="AO10" s="107"/>
      <c r="AP10" s="107"/>
      <c r="AQ10" s="107"/>
      <c r="AR10" s="190"/>
      <c r="AS10" s="179"/>
      <c r="AT10" s="140"/>
      <c r="AU10" s="107"/>
      <c r="AV10" s="179"/>
      <c r="AW10" s="192"/>
      <c r="AX10" s="179"/>
      <c r="AY10" s="192"/>
      <c r="AZ10" s="179"/>
      <c r="BA10" s="192"/>
      <c r="BB10" s="179"/>
      <c r="BC10" s="192"/>
      <c r="BD10" s="179"/>
      <c r="BE10" s="192"/>
      <c r="BF10" s="179"/>
      <c r="BG10" s="179"/>
      <c r="BH10" s="179"/>
      <c r="BI10" s="179"/>
      <c r="BJ10" s="140"/>
      <c r="BK10" s="140"/>
      <c r="BL10" s="140"/>
      <c r="BM10" s="140"/>
      <c r="BN10" s="140"/>
      <c r="BO10" s="179"/>
      <c r="BP10" s="179"/>
      <c r="BQ10" s="179"/>
      <c r="BR10" s="179"/>
      <c r="BS10" s="179"/>
      <c r="BT10" s="179"/>
      <c r="BU10" s="179"/>
      <c r="BV10" s="179"/>
      <c r="BW10" s="179"/>
      <c r="BX10" s="179"/>
      <c r="BY10" s="179"/>
      <c r="BZ10" s="140"/>
      <c r="CA10" s="140"/>
      <c r="CB10" s="179"/>
      <c r="CC10" s="107"/>
      <c r="CD10" s="140"/>
      <c r="CE10" s="107"/>
      <c r="CF10" s="179"/>
      <c r="CG10" s="188"/>
      <c r="CH10" s="188"/>
      <c r="CI10" s="188"/>
      <c r="CJ10" s="188"/>
      <c r="CK10" s="188"/>
      <c r="CL10" s="188"/>
      <c r="CM10" s="188"/>
      <c r="CN10" s="188"/>
      <c r="CO10" s="188"/>
      <c r="CP10" s="188"/>
      <c r="CQ10" s="188"/>
      <c r="CR10" s="188"/>
      <c r="CS10" s="188"/>
      <c r="CT10" s="162"/>
      <c r="CU10" s="188"/>
    </row>
    <row r="11" ht="20.25" customHeight="1">
      <c r="A11" s="179"/>
      <c r="B11" s="179"/>
      <c r="C11" s="179"/>
      <c r="D11" s="179"/>
      <c r="E11" s="188"/>
      <c r="F11" s="179"/>
      <c r="G11" s="107"/>
      <c r="H11" s="107"/>
      <c r="I11" s="107"/>
      <c r="J11" s="107"/>
      <c r="K11" s="107"/>
      <c r="L11" s="107"/>
      <c r="M11" s="107"/>
      <c r="N11" s="107"/>
      <c r="O11" s="107"/>
      <c r="P11" s="188"/>
      <c r="Q11" s="189"/>
      <c r="R11" s="107"/>
      <c r="S11" s="107"/>
      <c r="T11" s="107"/>
      <c r="U11" s="179"/>
      <c r="V11" s="107"/>
      <c r="W11" s="102"/>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13"/>
      <c r="AX11" s="107"/>
      <c r="AY11" s="113"/>
      <c r="AZ11" s="107"/>
      <c r="BA11" s="113"/>
      <c r="BB11" s="107"/>
      <c r="BC11" s="113"/>
      <c r="BD11" s="107"/>
      <c r="BE11" s="113"/>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2"/>
      <c r="CH11" s="188"/>
      <c r="CI11" s="188"/>
      <c r="CJ11" s="188"/>
      <c r="CK11" s="188"/>
      <c r="CL11" s="188"/>
      <c r="CM11" s="188"/>
      <c r="CN11" s="188"/>
      <c r="CO11" s="188"/>
      <c r="CP11" s="188"/>
      <c r="CQ11" s="188"/>
      <c r="CR11" s="188"/>
      <c r="CS11" s="188"/>
      <c r="CT11" s="116"/>
      <c r="CU11" s="188"/>
    </row>
    <row r="12" ht="20.25" customHeight="1">
      <c r="A12" s="179"/>
      <c r="B12" s="179"/>
      <c r="C12" s="179"/>
      <c r="D12" s="179"/>
      <c r="E12" s="188"/>
      <c r="F12" s="179"/>
      <c r="G12" s="107"/>
      <c r="H12" s="107"/>
      <c r="I12" s="107"/>
      <c r="J12" s="107"/>
      <c r="K12" s="107"/>
      <c r="L12" s="107"/>
      <c r="M12" s="107"/>
      <c r="N12" s="107"/>
      <c r="O12" s="107"/>
      <c r="P12" s="188"/>
      <c r="Q12" s="189"/>
      <c r="R12" s="107"/>
      <c r="S12" s="107"/>
      <c r="T12" s="107"/>
      <c r="U12" s="179"/>
      <c r="V12" s="107"/>
      <c r="W12" s="102"/>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13"/>
      <c r="AX12" s="107"/>
      <c r="AY12" s="113"/>
      <c r="AZ12" s="107"/>
      <c r="BA12" s="113"/>
      <c r="BB12" s="107"/>
      <c r="BC12" s="113"/>
      <c r="BD12" s="107"/>
      <c r="BE12" s="113"/>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2"/>
      <c r="CH12" s="188"/>
      <c r="CI12" s="188"/>
      <c r="CJ12" s="188"/>
      <c r="CK12" s="188"/>
      <c r="CL12" s="188"/>
      <c r="CM12" s="188"/>
      <c r="CN12" s="188"/>
      <c r="CO12" s="188"/>
      <c r="CP12" s="188"/>
      <c r="CQ12" s="188"/>
      <c r="CR12" s="188"/>
      <c r="CS12" s="188"/>
      <c r="CT12" s="116"/>
      <c r="CU12" s="188"/>
    </row>
    <row r="13" ht="20.25" customHeight="1">
      <c r="A13" s="179"/>
      <c r="B13" s="179"/>
      <c r="C13" s="179"/>
      <c r="D13" s="179"/>
      <c r="E13" s="188"/>
      <c r="F13" s="179"/>
      <c r="G13" s="107"/>
      <c r="H13" s="107"/>
      <c r="I13" s="107"/>
      <c r="J13" s="107"/>
      <c r="K13" s="107"/>
      <c r="L13" s="107"/>
      <c r="M13" s="107"/>
      <c r="N13" s="107"/>
      <c r="O13" s="107"/>
      <c r="P13" s="188"/>
      <c r="Q13" s="189"/>
      <c r="R13" s="107"/>
      <c r="S13" s="107"/>
      <c r="T13" s="107"/>
      <c r="U13" s="179"/>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13"/>
      <c r="AX13" s="107"/>
      <c r="AY13" s="113"/>
      <c r="AZ13" s="107"/>
      <c r="BA13" s="113"/>
      <c r="BB13" s="107"/>
      <c r="BC13" s="113"/>
      <c r="BD13" s="107"/>
      <c r="BE13" s="113"/>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2"/>
      <c r="CH13" s="188"/>
      <c r="CI13" s="188"/>
      <c r="CJ13" s="188"/>
      <c r="CK13" s="188"/>
      <c r="CL13" s="188"/>
      <c r="CM13" s="188"/>
      <c r="CN13" s="188"/>
      <c r="CO13" s="188"/>
      <c r="CP13" s="188"/>
      <c r="CQ13" s="188"/>
      <c r="CR13" s="188"/>
      <c r="CS13" s="188"/>
      <c r="CT13" s="188"/>
      <c r="CU13" s="188"/>
    </row>
  </sheetData>
  <mergeCells count="27">
    <mergeCell ref="A1:D2"/>
    <mergeCell ref="E1:G2"/>
    <mergeCell ref="H1:O2"/>
    <mergeCell ref="P1:Q2"/>
    <mergeCell ref="R1:W2"/>
    <mergeCell ref="X1:Y2"/>
    <mergeCell ref="Z1:AA2"/>
    <mergeCell ref="CD1:CF2"/>
    <mergeCell ref="CG1:CG2"/>
    <mergeCell ref="CH1:CJ2"/>
    <mergeCell ref="CK1:CR2"/>
    <mergeCell ref="CS1:CT2"/>
    <mergeCell ref="AR2:AU2"/>
    <mergeCell ref="AV2:AW2"/>
    <mergeCell ref="AX2:AY2"/>
    <mergeCell ref="AZ2:BA2"/>
    <mergeCell ref="BB2:BC2"/>
    <mergeCell ref="BD2:BE2"/>
    <mergeCell ref="BF2:BG2"/>
    <mergeCell ref="BH2:BI2"/>
    <mergeCell ref="AB1:AC2"/>
    <mergeCell ref="AD1:AQ2"/>
    <mergeCell ref="AR1:BI1"/>
    <mergeCell ref="BJ1:BM2"/>
    <mergeCell ref="BO1:BU2"/>
    <mergeCell ref="BV1:BX2"/>
    <mergeCell ref="BY1:CC2"/>
  </mergeCells>
  <dataValidations>
    <dataValidation type="list" allowBlank="1" showErrorMessage="1" sqref="BZ5:BZ13">
      <formula1>Enums!$D$507:$D$522</formula1>
    </dataValidation>
    <dataValidation type="list" allowBlank="1" showErrorMessage="1" sqref="F5:F13">
      <formula1>Enums!$D$715:$D$732</formula1>
    </dataValidation>
    <dataValidation type="list" allowBlank="1" showErrorMessage="1" sqref="B5:B13">
      <formula1>Enums!$D$112:$D$133</formula1>
    </dataValidation>
    <dataValidation type="list" allowBlank="1" showErrorMessage="1" sqref="CD5:CD13">
      <formula1>Enums!$D$624:$D$634</formula1>
    </dataValidation>
    <dataValidation type="list" allowBlank="1" showErrorMessage="1" sqref="P5:P13">
      <formula1>Enums!$D$386:$D$388</formula1>
    </dataValidation>
    <dataValidation type="list" allowBlank="1" showErrorMessage="1" sqref="BL5:BL13">
      <formula1>Enums!$D$443:$D$459</formula1>
    </dataValidation>
    <dataValidation type="list" allowBlank="1" showErrorMessage="1" sqref="AU5:AU13">
      <formula1>Enums!$D$740:$D$746</formula1>
    </dataValidation>
    <dataValidation type="list" allowBlank="1" showErrorMessage="1" sqref="CF5:CF13">
      <formula1>Enums!$D$709:$D$712</formula1>
    </dataValidation>
    <dataValidation type="list" allowBlank="1" showErrorMessage="1" sqref="AT5:AT13">
      <formula1>Enums!$D$734:$D$738</formula1>
    </dataValidation>
    <dataValidation type="list" allowBlank="1" showErrorMessage="1" sqref="E5:E13">
      <formula1>Enums!$D$13:$D$17</formula1>
    </dataValidation>
    <dataValidation type="list" allowBlank="1" showErrorMessage="1" sqref="BJ5:BJ13">
      <formula1>Enums!$D$465:$D$471</formula1>
    </dataValidation>
    <dataValidation type="list" allowBlank="1" showErrorMessage="1" sqref="BK5:BK13">
      <formula1>Enums!$D$416:$D$429</formula1>
    </dataValidation>
    <dataValidation type="list" allowBlank="1" showErrorMessage="1" sqref="V5:V13">
      <formula1>"Monday,Tuesday,Wednesday,Thursday,Friday,Saturday,Sunday"</formula1>
    </dataValidation>
    <dataValidation type="list" allowBlank="1" showErrorMessage="1" sqref="CC5:CC13">
      <formula1>Enums!$D$474:$D$504</formula1>
    </dataValidation>
    <dataValidation type="list" allowBlank="1" showErrorMessage="1" sqref="CA5:CA13">
      <formula1>Enums!$D$524:$D$570</formula1>
    </dataValidation>
    <dataValidation type="list" allowBlank="1" showErrorMessage="1" sqref="C5:C13">
      <formula1>EHelper!A5:ZZ5</formula1>
    </dataValidation>
    <dataValidation type="list" allowBlank="1" showErrorMessage="1" sqref="Q5:Q13">
      <formula1>Enums!$D$374:$D$383</formula1>
    </dataValidation>
    <dataValidation type="list" allowBlank="1" showErrorMessage="1" sqref="BM5:BN13">
      <formula1>Enums!$D$430:$D$442</formula1>
    </dataValidation>
    <dataValidation type="list" allowBlank="1" showErrorMessage="1" sqref="A5:A13">
      <formula1>Enums!$C$4:$C$7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hidden="1" min="1" max="1" width="12.63"/>
    <col customWidth="1" min="2" max="2" width="15.88"/>
    <col customWidth="1" min="3" max="3" width="15.38"/>
    <col customWidth="1" min="4" max="4" width="24.88"/>
    <col customWidth="1" min="5" max="5" width="22.0"/>
    <col customWidth="1" min="6" max="8" width="12.5"/>
    <col customWidth="1" min="10" max="10" width="9.75"/>
    <col customWidth="1" hidden="1" min="12" max="12" width="11.88"/>
    <col customWidth="1" min="13" max="13" width="11.38"/>
    <col customWidth="1" hidden="1" min="14" max="14" width="10.13"/>
    <col customWidth="1" min="15" max="15" width="11.0"/>
    <col customWidth="1" min="16" max="16" width="11.13"/>
    <col customWidth="1" min="17" max="17" width="10.63"/>
    <col customWidth="1" min="18" max="18" width="10.88"/>
    <col customWidth="1" min="19" max="19" width="8.63"/>
    <col customWidth="1" min="20" max="20" width="9.75"/>
    <col customWidth="1" min="21" max="21" width="9.0"/>
    <col customWidth="1" min="22" max="22" width="11.63"/>
    <col customWidth="1" min="23" max="23" width="11.5"/>
    <col customWidth="1" min="26" max="39" width="8.25"/>
    <col customWidth="1" min="40" max="53" width="9.38"/>
    <col customWidth="1" min="59" max="59" width="17.5"/>
    <col customWidth="1" min="60" max="60" width="15.0"/>
    <col customWidth="1" min="61" max="74" width="9.5"/>
    <col customWidth="1" min="79" max="85" width="6.63"/>
    <col customWidth="1" min="86" max="86" width="17.38"/>
    <col customWidth="1" min="87" max="87" width="17.13"/>
    <col customWidth="1" min="90" max="90" width="18.25"/>
    <col customWidth="1" min="94" max="94" width="15.13"/>
    <col customWidth="1" min="95" max="95" width="16.75"/>
    <col customWidth="1" min="96" max="96" width="14.25"/>
    <col customWidth="1" min="97" max="99" width="20.88"/>
  </cols>
  <sheetData>
    <row r="1">
      <c r="A1" s="4" t="s">
        <v>0</v>
      </c>
      <c r="E1" s="4"/>
      <c r="I1" s="6" t="s">
        <v>9</v>
      </c>
      <c r="Q1" s="6" t="s">
        <v>12</v>
      </c>
      <c r="S1" s="6" t="s">
        <v>14</v>
      </c>
      <c r="BE1" s="12"/>
      <c r="BF1" s="6" t="s">
        <v>21</v>
      </c>
      <c r="BW1" s="4" t="s">
        <v>5</v>
      </c>
      <c r="CA1" s="6" t="s">
        <v>6</v>
      </c>
      <c r="CH1" s="4" t="s">
        <v>7</v>
      </c>
      <c r="CJ1" s="4" t="s">
        <v>56</v>
      </c>
      <c r="CM1" s="4" t="s">
        <v>131</v>
      </c>
      <c r="CS1" s="9" t="s">
        <v>13</v>
      </c>
      <c r="CU1" s="22"/>
    </row>
    <row r="2">
      <c r="S2" s="6" t="s">
        <v>134</v>
      </c>
      <c r="V2" s="6"/>
      <c r="X2" s="6" t="s">
        <v>136</v>
      </c>
      <c r="Z2" s="6" t="s">
        <v>138</v>
      </c>
      <c r="AN2" s="6" t="s">
        <v>142</v>
      </c>
      <c r="BB2" s="6" t="s">
        <v>146</v>
      </c>
      <c r="BF2" s="53" t="s">
        <v>20</v>
      </c>
      <c r="BG2" s="53" t="s">
        <v>22</v>
      </c>
      <c r="BH2" s="53" t="s">
        <v>24</v>
      </c>
      <c r="BI2" s="53" t="s">
        <v>25</v>
      </c>
      <c r="BK2" s="53" t="s">
        <v>27</v>
      </c>
      <c r="BM2" s="53" t="s">
        <v>29</v>
      </c>
      <c r="BO2" s="53" t="s">
        <v>30</v>
      </c>
      <c r="BQ2" s="53" t="s">
        <v>32</v>
      </c>
      <c r="BS2" s="53" t="s">
        <v>33</v>
      </c>
      <c r="BU2" s="53" t="s">
        <v>34</v>
      </c>
      <c r="CU2" s="22"/>
    </row>
    <row r="3" ht="66.75" customHeight="1">
      <c r="A3" s="34" t="s">
        <v>37</v>
      </c>
      <c r="B3" s="35" t="s">
        <v>185</v>
      </c>
      <c r="C3" s="27" t="s">
        <v>190</v>
      </c>
      <c r="D3" s="34" t="s">
        <v>194</v>
      </c>
      <c r="E3" s="34" t="s">
        <v>44</v>
      </c>
      <c r="F3" s="34" t="s">
        <v>202</v>
      </c>
      <c r="G3" s="34" t="s">
        <v>205</v>
      </c>
      <c r="H3" s="27" t="s">
        <v>208</v>
      </c>
      <c r="I3" s="65" t="s">
        <v>45</v>
      </c>
      <c r="J3" s="65" t="s">
        <v>46</v>
      </c>
      <c r="K3" s="65" t="s">
        <v>47</v>
      </c>
      <c r="L3" s="68" t="s">
        <v>97</v>
      </c>
      <c r="M3" s="68" t="s">
        <v>48</v>
      </c>
      <c r="N3" s="65" t="s">
        <v>51</v>
      </c>
      <c r="O3" s="69" t="s">
        <v>49</v>
      </c>
      <c r="P3" s="69" t="s">
        <v>50</v>
      </c>
      <c r="Q3" s="12" t="s">
        <v>245</v>
      </c>
      <c r="R3" s="71" t="s">
        <v>248</v>
      </c>
      <c r="S3" s="73" t="s">
        <v>250</v>
      </c>
      <c r="T3" s="73" t="s">
        <v>252</v>
      </c>
      <c r="U3" s="73" t="s">
        <v>254</v>
      </c>
      <c r="V3" s="73" t="s">
        <v>256</v>
      </c>
      <c r="W3" s="73" t="s">
        <v>257</v>
      </c>
      <c r="X3" s="73" t="s">
        <v>259</v>
      </c>
      <c r="Y3" s="73" t="s">
        <v>261</v>
      </c>
      <c r="Z3" s="73" t="s">
        <v>263</v>
      </c>
      <c r="AA3" s="73" t="s">
        <v>264</v>
      </c>
      <c r="AB3" s="73" t="s">
        <v>265</v>
      </c>
      <c r="AC3" s="73" t="s">
        <v>267</v>
      </c>
      <c r="AD3" s="73" t="s">
        <v>269</v>
      </c>
      <c r="AE3" s="73" t="s">
        <v>271</v>
      </c>
      <c r="AF3" s="73" t="s">
        <v>273</v>
      </c>
      <c r="AG3" s="73" t="s">
        <v>275</v>
      </c>
      <c r="AH3" s="73" t="s">
        <v>277</v>
      </c>
      <c r="AI3" s="73" t="s">
        <v>280</v>
      </c>
      <c r="AJ3" s="73" t="s">
        <v>282</v>
      </c>
      <c r="AK3" s="73" t="s">
        <v>285</v>
      </c>
      <c r="AL3" s="73" t="s">
        <v>287</v>
      </c>
      <c r="AM3" s="73" t="s">
        <v>289</v>
      </c>
      <c r="AN3" s="73" t="s">
        <v>291</v>
      </c>
      <c r="AO3" s="73" t="s">
        <v>293</v>
      </c>
      <c r="AP3" s="73" t="s">
        <v>295</v>
      </c>
      <c r="AQ3" s="73" t="s">
        <v>297</v>
      </c>
      <c r="AR3" s="73" t="s">
        <v>300</v>
      </c>
      <c r="AS3" s="73" t="s">
        <v>301</v>
      </c>
      <c r="AT3" s="73" t="s">
        <v>302</v>
      </c>
      <c r="AU3" s="73" t="s">
        <v>305</v>
      </c>
      <c r="AV3" s="73" t="s">
        <v>307</v>
      </c>
      <c r="AW3" s="73" t="s">
        <v>309</v>
      </c>
      <c r="AX3" s="73" t="s">
        <v>312</v>
      </c>
      <c r="AY3" s="73" t="s">
        <v>315</v>
      </c>
      <c r="AZ3" s="73" t="s">
        <v>317</v>
      </c>
      <c r="BA3" s="73" t="s">
        <v>322</v>
      </c>
      <c r="BB3" s="12" t="s">
        <v>326</v>
      </c>
      <c r="BC3" s="12" t="s">
        <v>329</v>
      </c>
      <c r="BD3" s="12" t="s">
        <v>332</v>
      </c>
      <c r="BE3" s="12" t="s">
        <v>334</v>
      </c>
      <c r="BF3" s="24" t="s">
        <v>77</v>
      </c>
      <c r="BG3" s="24" t="s">
        <v>340</v>
      </c>
      <c r="BH3" s="24" t="s">
        <v>81</v>
      </c>
      <c r="BI3" s="86" t="s">
        <v>82</v>
      </c>
      <c r="BJ3" s="88" t="s">
        <v>83</v>
      </c>
      <c r="BK3" s="86" t="s">
        <v>86</v>
      </c>
      <c r="BL3" s="92" t="s">
        <v>88</v>
      </c>
      <c r="BM3" s="86" t="s">
        <v>92</v>
      </c>
      <c r="BN3" s="92" t="s">
        <v>93</v>
      </c>
      <c r="BO3" s="86" t="s">
        <v>94</v>
      </c>
      <c r="BP3" s="92" t="s">
        <v>96</v>
      </c>
      <c r="BQ3" s="86" t="s">
        <v>98</v>
      </c>
      <c r="BR3" s="92" t="s">
        <v>99</v>
      </c>
      <c r="BS3" s="86" t="s">
        <v>100</v>
      </c>
      <c r="BT3" s="92" t="s">
        <v>101</v>
      </c>
      <c r="BU3" s="86" t="s">
        <v>102</v>
      </c>
      <c r="BV3" s="92" t="s">
        <v>104</v>
      </c>
      <c r="BW3" s="34" t="s">
        <v>103</v>
      </c>
      <c r="BX3" s="34" t="s">
        <v>105</v>
      </c>
      <c r="BY3" s="34" t="s">
        <v>106</v>
      </c>
      <c r="BZ3" s="34" t="s">
        <v>107</v>
      </c>
      <c r="CA3" s="99" t="s">
        <v>109</v>
      </c>
      <c r="CB3" s="99" t="s">
        <v>110</v>
      </c>
      <c r="CC3" s="99" t="s">
        <v>111</v>
      </c>
      <c r="CD3" s="99" t="s">
        <v>112</v>
      </c>
      <c r="CE3" s="99" t="s">
        <v>113</v>
      </c>
      <c r="CF3" s="99" t="s">
        <v>114</v>
      </c>
      <c r="CG3" s="99" t="s">
        <v>115</v>
      </c>
      <c r="CH3" s="34" t="s">
        <v>375</v>
      </c>
      <c r="CI3" s="34" t="s">
        <v>117</v>
      </c>
      <c r="CJ3" s="34" t="s">
        <v>303</v>
      </c>
      <c r="CK3" s="34" t="s">
        <v>306</v>
      </c>
      <c r="CL3" s="34" t="s">
        <v>311</v>
      </c>
      <c r="CM3" s="34" t="s">
        <v>284</v>
      </c>
      <c r="CN3" s="34" t="s">
        <v>122</v>
      </c>
      <c r="CO3" s="34" t="s">
        <v>124</v>
      </c>
      <c r="CP3" s="34" t="s">
        <v>298</v>
      </c>
      <c r="CQ3" s="34" t="s">
        <v>126</v>
      </c>
      <c r="CR3" s="27" t="s">
        <v>314</v>
      </c>
      <c r="CS3" s="50" t="s">
        <v>140</v>
      </c>
      <c r="CT3" s="50" t="s">
        <v>400</v>
      </c>
      <c r="CU3" s="52"/>
    </row>
    <row r="4">
      <c r="A4" s="56" t="s">
        <v>151</v>
      </c>
      <c r="B4" s="56" t="s">
        <v>414</v>
      </c>
      <c r="C4" s="58" t="s">
        <v>415</v>
      </c>
      <c r="D4" s="56" t="s">
        <v>417</v>
      </c>
      <c r="E4" s="56" t="s">
        <v>421</v>
      </c>
      <c r="F4" s="56" t="s">
        <v>425</v>
      </c>
      <c r="G4" s="56" t="s">
        <v>429</v>
      </c>
      <c r="H4" s="55" t="s">
        <v>434</v>
      </c>
      <c r="I4" s="56" t="s">
        <v>436</v>
      </c>
      <c r="J4" s="56" t="s">
        <v>439</v>
      </c>
      <c r="K4" s="56" t="s">
        <v>443</v>
      </c>
      <c r="L4" s="56" t="s">
        <v>445</v>
      </c>
      <c r="M4" s="56" t="s">
        <v>449</v>
      </c>
      <c r="N4" s="56" t="s">
        <v>452</v>
      </c>
      <c r="O4" s="58" t="s">
        <v>187</v>
      </c>
      <c r="P4" s="58" t="s">
        <v>189</v>
      </c>
      <c r="Q4" s="56" t="s">
        <v>457</v>
      </c>
      <c r="R4" s="58" t="s">
        <v>460</v>
      </c>
      <c r="S4" s="56" t="s">
        <v>463</v>
      </c>
      <c r="T4" s="56" t="s">
        <v>465</v>
      </c>
      <c r="U4" s="56" t="s">
        <v>467</v>
      </c>
      <c r="V4" s="56" t="s">
        <v>468</v>
      </c>
      <c r="W4" s="56" t="s">
        <v>470</v>
      </c>
      <c r="X4" s="56" t="s">
        <v>471</v>
      </c>
      <c r="Y4" s="56" t="s">
        <v>472</v>
      </c>
      <c r="Z4" s="56" t="s">
        <v>473</v>
      </c>
      <c r="AA4" s="56" t="s">
        <v>475</v>
      </c>
      <c r="AB4" s="56" t="s">
        <v>476</v>
      </c>
      <c r="AC4" s="56" t="s">
        <v>477</v>
      </c>
      <c r="AD4" s="56" t="s">
        <v>479</v>
      </c>
      <c r="AE4" s="56" t="s">
        <v>480</v>
      </c>
      <c r="AF4" s="56" t="s">
        <v>481</v>
      </c>
      <c r="AG4" s="56" t="s">
        <v>482</v>
      </c>
      <c r="AH4" s="56" t="s">
        <v>484</v>
      </c>
      <c r="AI4" s="56" t="s">
        <v>485</v>
      </c>
      <c r="AJ4" s="56" t="s">
        <v>486</v>
      </c>
      <c r="AK4" s="56" t="s">
        <v>487</v>
      </c>
      <c r="AL4" s="56" t="s">
        <v>489</v>
      </c>
      <c r="AM4" s="56" t="s">
        <v>491</v>
      </c>
      <c r="AN4" s="56" t="s">
        <v>492</v>
      </c>
      <c r="AO4" s="56" t="s">
        <v>493</v>
      </c>
      <c r="AP4" s="56" t="s">
        <v>494</v>
      </c>
      <c r="AQ4" s="56" t="s">
        <v>495</v>
      </c>
      <c r="AR4" s="56" t="s">
        <v>497</v>
      </c>
      <c r="AS4" s="56" t="s">
        <v>499</v>
      </c>
      <c r="AT4" s="56" t="s">
        <v>500</v>
      </c>
      <c r="AU4" s="56" t="s">
        <v>501</v>
      </c>
      <c r="AV4" s="56" t="s">
        <v>503</v>
      </c>
      <c r="AW4" s="56" t="s">
        <v>504</v>
      </c>
      <c r="AX4" s="56" t="s">
        <v>505</v>
      </c>
      <c r="AY4" s="56" t="s">
        <v>509</v>
      </c>
      <c r="AZ4" s="56" t="s">
        <v>511</v>
      </c>
      <c r="BA4" s="56" t="s">
        <v>512</v>
      </c>
      <c r="BB4" s="56" t="s">
        <v>513</v>
      </c>
      <c r="BC4" s="56" t="s">
        <v>515</v>
      </c>
      <c r="BD4" s="56" t="s">
        <v>516</v>
      </c>
      <c r="BE4" s="56" t="s">
        <v>517</v>
      </c>
      <c r="BF4" s="56" t="s">
        <v>253</v>
      </c>
      <c r="BG4" s="56" t="s">
        <v>520</v>
      </c>
      <c r="BH4" s="56" t="s">
        <v>258</v>
      </c>
      <c r="BI4" s="56" t="s">
        <v>260</v>
      </c>
      <c r="BJ4" s="121" t="s">
        <v>262</v>
      </c>
      <c r="BK4" s="56" t="s">
        <v>266</v>
      </c>
      <c r="BL4" s="121" t="s">
        <v>268</v>
      </c>
      <c r="BM4" s="56" t="s">
        <v>270</v>
      </c>
      <c r="BN4" s="121" t="s">
        <v>272</v>
      </c>
      <c r="BO4" s="56" t="s">
        <v>274</v>
      </c>
      <c r="BP4" s="121" t="s">
        <v>276</v>
      </c>
      <c r="BQ4" s="56" t="s">
        <v>278</v>
      </c>
      <c r="BR4" s="121" t="s">
        <v>279</v>
      </c>
      <c r="BS4" s="56" t="s">
        <v>281</v>
      </c>
      <c r="BT4" s="121" t="s">
        <v>283</v>
      </c>
      <c r="BU4" s="56" t="s">
        <v>286</v>
      </c>
      <c r="BV4" s="121" t="s">
        <v>288</v>
      </c>
      <c r="BW4" s="58" t="s">
        <v>546</v>
      </c>
      <c r="BX4" s="58" t="s">
        <v>547</v>
      </c>
      <c r="BY4" s="58" t="s">
        <v>548</v>
      </c>
      <c r="BZ4" s="58" t="s">
        <v>551</v>
      </c>
      <c r="CA4" s="56" t="s">
        <v>552</v>
      </c>
      <c r="CB4" s="56" t="s">
        <v>553</v>
      </c>
      <c r="CC4" s="56" t="s">
        <v>555</v>
      </c>
      <c r="CD4" s="56" t="s">
        <v>557</v>
      </c>
      <c r="CE4" s="56" t="s">
        <v>560</v>
      </c>
      <c r="CF4" s="56" t="s">
        <v>561</v>
      </c>
      <c r="CG4" s="56" t="s">
        <v>562</v>
      </c>
      <c r="CH4" s="56" t="s">
        <v>563</v>
      </c>
      <c r="CI4" s="56" t="s">
        <v>565</v>
      </c>
      <c r="CJ4" s="56" t="s">
        <v>568</v>
      </c>
      <c r="CK4" s="56" t="s">
        <v>570</v>
      </c>
      <c r="CL4" s="56" t="s">
        <v>572</v>
      </c>
      <c r="CM4" s="56" t="s">
        <v>573</v>
      </c>
      <c r="CN4" s="56" t="s">
        <v>575</v>
      </c>
      <c r="CO4" s="56" t="s">
        <v>576</v>
      </c>
      <c r="CP4" s="56" t="s">
        <v>577</v>
      </c>
      <c r="CQ4" s="56" t="s">
        <v>578</v>
      </c>
      <c r="CR4" s="58" t="s">
        <v>236</v>
      </c>
      <c r="CS4" s="70"/>
      <c r="CT4" s="70"/>
      <c r="CU4" s="70"/>
    </row>
    <row r="5" ht="27.75" customHeight="1">
      <c r="A5" s="141" t="s">
        <v>591</v>
      </c>
      <c r="B5" s="141" t="s">
        <v>595</v>
      </c>
      <c r="C5" s="141" t="s">
        <v>600</v>
      </c>
      <c r="D5" s="141" t="s">
        <v>601</v>
      </c>
      <c r="E5" s="141" t="s">
        <v>603</v>
      </c>
      <c r="F5" s="141" t="s">
        <v>609</v>
      </c>
      <c r="G5" s="141" t="s">
        <v>611</v>
      </c>
      <c r="H5" s="141" t="s">
        <v>617</v>
      </c>
      <c r="I5" s="141" t="s">
        <v>618</v>
      </c>
      <c r="J5" s="141" t="s">
        <v>619</v>
      </c>
      <c r="K5" s="147"/>
      <c r="L5" s="147"/>
      <c r="M5" s="141" t="s">
        <v>623</v>
      </c>
      <c r="N5" s="147"/>
      <c r="O5" s="101">
        <v>50.7109307610848</v>
      </c>
      <c r="P5" s="101">
        <v>-3.32227523187735</v>
      </c>
      <c r="Q5" s="150">
        <v>46023.0</v>
      </c>
      <c r="R5" s="147"/>
      <c r="S5" s="153" t="b">
        <v>0</v>
      </c>
      <c r="T5" s="147"/>
      <c r="U5" s="147"/>
      <c r="V5" s="156" t="s">
        <v>638</v>
      </c>
      <c r="W5" s="159" t="b">
        <v>1</v>
      </c>
      <c r="X5" s="160">
        <v>0.4583333333333333</v>
      </c>
      <c r="Y5" s="160">
        <v>0.5</v>
      </c>
      <c r="Z5" s="141" t="s">
        <v>387</v>
      </c>
      <c r="AA5" s="141" t="s">
        <v>387</v>
      </c>
      <c r="AB5" s="141" t="s">
        <v>387</v>
      </c>
      <c r="AC5" s="141" t="s">
        <v>387</v>
      </c>
      <c r="AD5" s="141" t="s">
        <v>387</v>
      </c>
      <c r="AE5" s="141" t="s">
        <v>387</v>
      </c>
      <c r="AF5" s="141" t="s">
        <v>387</v>
      </c>
      <c r="AG5" s="141" t="s">
        <v>387</v>
      </c>
      <c r="AH5" s="141" t="s">
        <v>387</v>
      </c>
      <c r="AI5" s="141" t="s">
        <v>387</v>
      </c>
      <c r="AJ5" s="141" t="s">
        <v>387</v>
      </c>
      <c r="AK5" s="141" t="s">
        <v>387</v>
      </c>
      <c r="AL5" s="141" t="s">
        <v>387</v>
      </c>
      <c r="AM5" s="141" t="s">
        <v>387</v>
      </c>
      <c r="AN5" s="141" t="s">
        <v>387</v>
      </c>
      <c r="AO5" s="141" t="s">
        <v>387</v>
      </c>
      <c r="AP5" s="141" t="s">
        <v>387</v>
      </c>
      <c r="AQ5" s="141" t="s">
        <v>387</v>
      </c>
      <c r="AR5" s="141" t="s">
        <v>387</v>
      </c>
      <c r="AS5" s="141" t="s">
        <v>387</v>
      </c>
      <c r="AT5" s="141" t="s">
        <v>387</v>
      </c>
      <c r="AU5" s="141" t="s">
        <v>387</v>
      </c>
      <c r="AV5" s="141" t="s">
        <v>387</v>
      </c>
      <c r="AW5" s="141" t="s">
        <v>387</v>
      </c>
      <c r="AX5" s="141" t="s">
        <v>387</v>
      </c>
      <c r="AY5" s="141" t="s">
        <v>387</v>
      </c>
      <c r="AZ5" s="141" t="s">
        <v>387</v>
      </c>
      <c r="BA5" s="141" t="s">
        <v>387</v>
      </c>
      <c r="BB5" s="141" t="s">
        <v>387</v>
      </c>
      <c r="BC5" s="141" t="s">
        <v>387</v>
      </c>
      <c r="BD5" s="141" t="s">
        <v>387</v>
      </c>
      <c r="BE5" s="141" t="s">
        <v>387</v>
      </c>
      <c r="BF5" s="159" t="b">
        <v>1</v>
      </c>
      <c r="BG5" s="156" t="s">
        <v>664</v>
      </c>
      <c r="BH5" s="156" t="s">
        <v>590</v>
      </c>
      <c r="BI5" s="141" t="s">
        <v>387</v>
      </c>
      <c r="BJ5" s="141" t="s">
        <v>387</v>
      </c>
      <c r="BK5" s="141" t="s">
        <v>672</v>
      </c>
      <c r="BL5" s="169">
        <v>9.0</v>
      </c>
      <c r="BM5" s="141" t="s">
        <v>387</v>
      </c>
      <c r="BN5" s="141" t="s">
        <v>387</v>
      </c>
      <c r="BO5" s="141" t="s">
        <v>387</v>
      </c>
      <c r="BP5" s="173" t="s">
        <v>387</v>
      </c>
      <c r="BQ5" s="141" t="s">
        <v>387</v>
      </c>
      <c r="BR5" s="141" t="s">
        <v>387</v>
      </c>
      <c r="BS5" s="141" t="s">
        <v>387</v>
      </c>
      <c r="BT5" s="141" t="s">
        <v>387</v>
      </c>
      <c r="BU5" s="141" t="s">
        <v>387</v>
      </c>
      <c r="BV5" s="141" t="s">
        <v>387</v>
      </c>
      <c r="BW5" s="156" t="s">
        <v>433</v>
      </c>
      <c r="BX5" s="156" t="s">
        <v>686</v>
      </c>
      <c r="BY5" s="156" t="s">
        <v>693</v>
      </c>
      <c r="BZ5" s="156" t="s">
        <v>700</v>
      </c>
      <c r="CA5" s="153" t="b">
        <v>0</v>
      </c>
      <c r="CB5" s="153" t="b">
        <v>0</v>
      </c>
      <c r="CC5" s="159" t="b">
        <v>1</v>
      </c>
      <c r="CD5" s="159" t="b">
        <v>1</v>
      </c>
      <c r="CE5" s="153" t="b">
        <v>0</v>
      </c>
      <c r="CF5" s="153" t="b">
        <v>0</v>
      </c>
      <c r="CG5" s="159" t="b">
        <v>1</v>
      </c>
      <c r="CH5" s="156" t="s">
        <v>339</v>
      </c>
      <c r="CI5" s="141" t="s">
        <v>519</v>
      </c>
      <c r="CJ5" s="141" t="s">
        <v>634</v>
      </c>
      <c r="CK5" s="147"/>
      <c r="CL5" s="141" t="s">
        <v>640</v>
      </c>
      <c r="CM5" s="141" t="s">
        <v>729</v>
      </c>
      <c r="CN5" s="156" t="s">
        <v>737</v>
      </c>
      <c r="CO5" s="156" t="s">
        <v>743</v>
      </c>
      <c r="CP5" s="156" t="s">
        <v>757</v>
      </c>
      <c r="CQ5" s="156" t="s">
        <v>761</v>
      </c>
      <c r="CR5" s="141" t="s">
        <v>763</v>
      </c>
      <c r="CS5" s="159"/>
      <c r="CT5" s="162" t="b">
        <v>0</v>
      </c>
      <c r="CU5" s="178"/>
    </row>
    <row r="6" ht="25.5" customHeight="1">
      <c r="A6" s="141" t="s">
        <v>591</v>
      </c>
      <c r="B6" s="141" t="s">
        <v>816</v>
      </c>
      <c r="C6" s="156" t="s">
        <v>817</v>
      </c>
      <c r="D6" s="141" t="s">
        <v>819</v>
      </c>
      <c r="E6" s="141" t="s">
        <v>822</v>
      </c>
      <c r="F6" s="141" t="s">
        <v>825</v>
      </c>
      <c r="G6" s="141" t="s">
        <v>826</v>
      </c>
      <c r="H6" s="141" t="s">
        <v>617</v>
      </c>
      <c r="I6" s="183" t="s">
        <v>829</v>
      </c>
      <c r="J6" s="141" t="s">
        <v>830</v>
      </c>
      <c r="K6" s="141" t="s">
        <v>831</v>
      </c>
      <c r="L6" s="147"/>
      <c r="M6" s="183" t="s">
        <v>833</v>
      </c>
      <c r="N6" s="147"/>
      <c r="O6" s="101">
        <v>50.7168261108119</v>
      </c>
      <c r="P6" s="101">
        <v>-3.53083041838466</v>
      </c>
      <c r="Q6" s="150">
        <v>46023.0</v>
      </c>
      <c r="R6" s="147"/>
      <c r="S6" s="159" t="b">
        <v>1</v>
      </c>
      <c r="T6" s="147"/>
      <c r="U6" s="147"/>
      <c r="V6" s="156" t="s">
        <v>558</v>
      </c>
      <c r="W6" s="153" t="b">
        <v>0</v>
      </c>
      <c r="X6" s="147"/>
      <c r="Y6" s="147"/>
      <c r="Z6" s="160">
        <v>0.7083333333333334</v>
      </c>
      <c r="AA6" s="160">
        <v>0.7708333333333334</v>
      </c>
      <c r="AB6" s="160">
        <v>0.7083333333333334</v>
      </c>
      <c r="AC6" s="160">
        <v>0.7708333333333334</v>
      </c>
      <c r="AD6" s="160">
        <v>0.7083333333333334</v>
      </c>
      <c r="AE6" s="160">
        <v>0.7708333333333334</v>
      </c>
      <c r="AF6" s="160">
        <v>0.7083333333333334</v>
      </c>
      <c r="AG6" s="160">
        <v>0.7708333333333334</v>
      </c>
      <c r="AH6" s="160">
        <v>0.7083333333333334</v>
      </c>
      <c r="AI6" s="160">
        <v>0.7708333333333334</v>
      </c>
      <c r="AJ6" s="141" t="s">
        <v>387</v>
      </c>
      <c r="AK6" s="141" t="s">
        <v>387</v>
      </c>
      <c r="AL6" s="141" t="s">
        <v>387</v>
      </c>
      <c r="AM6" s="141" t="s">
        <v>387</v>
      </c>
      <c r="AN6" s="141" t="s">
        <v>387</v>
      </c>
      <c r="AO6" s="141" t="s">
        <v>387</v>
      </c>
      <c r="AP6" s="141" t="s">
        <v>387</v>
      </c>
      <c r="AQ6" s="141" t="s">
        <v>387</v>
      </c>
      <c r="AR6" s="141" t="s">
        <v>387</v>
      </c>
      <c r="AS6" s="141" t="s">
        <v>387</v>
      </c>
      <c r="AT6" s="141" t="s">
        <v>387</v>
      </c>
      <c r="AU6" s="141" t="s">
        <v>387</v>
      </c>
      <c r="AV6" s="141" t="s">
        <v>387</v>
      </c>
      <c r="AW6" s="141" t="s">
        <v>387</v>
      </c>
      <c r="AX6" s="187">
        <v>3.0</v>
      </c>
      <c r="AY6" s="141" t="s">
        <v>854</v>
      </c>
      <c r="AZ6" s="187">
        <v>2.0</v>
      </c>
      <c r="BA6" s="141" t="s">
        <v>856</v>
      </c>
      <c r="BB6" s="141" t="s">
        <v>387</v>
      </c>
      <c r="BC6" s="141" t="s">
        <v>387</v>
      </c>
      <c r="BD6" s="141" t="s">
        <v>387</v>
      </c>
      <c r="BE6" s="141" t="s">
        <v>387</v>
      </c>
      <c r="BF6" s="159" t="b">
        <v>1</v>
      </c>
      <c r="BG6" s="156" t="s">
        <v>858</v>
      </c>
      <c r="BH6" s="156" t="s">
        <v>859</v>
      </c>
      <c r="BI6" s="141" t="s">
        <v>387</v>
      </c>
      <c r="BJ6" s="173" t="s">
        <v>387</v>
      </c>
      <c r="BK6" s="141" t="s">
        <v>387</v>
      </c>
      <c r="BL6" s="173" t="s">
        <v>387</v>
      </c>
      <c r="BM6" s="141" t="s">
        <v>387</v>
      </c>
      <c r="BN6" s="173" t="s">
        <v>387</v>
      </c>
      <c r="BO6" s="141" t="s">
        <v>863</v>
      </c>
      <c r="BP6" s="169">
        <v>36.0</v>
      </c>
      <c r="BQ6" s="141" t="s">
        <v>387</v>
      </c>
      <c r="BR6" s="141" t="s">
        <v>387</v>
      </c>
      <c r="BS6" s="141" t="s">
        <v>387</v>
      </c>
      <c r="BT6" s="141" t="s">
        <v>387</v>
      </c>
      <c r="BU6" s="141" t="s">
        <v>387</v>
      </c>
      <c r="BV6" s="141" t="s">
        <v>387</v>
      </c>
      <c r="BW6" s="156" t="s">
        <v>788</v>
      </c>
      <c r="BX6" s="156" t="s">
        <v>868</v>
      </c>
      <c r="BY6" s="147"/>
      <c r="BZ6" s="156" t="s">
        <v>869</v>
      </c>
      <c r="CA6" s="153" t="b">
        <v>0</v>
      </c>
      <c r="CB6" s="153" t="b">
        <v>0</v>
      </c>
      <c r="CC6" s="153" t="b">
        <v>0</v>
      </c>
      <c r="CD6" s="153" t="b">
        <v>0</v>
      </c>
      <c r="CE6" s="159" t="b">
        <v>1</v>
      </c>
      <c r="CF6" s="159" t="b">
        <v>1</v>
      </c>
      <c r="CG6" s="153" t="b">
        <v>0</v>
      </c>
      <c r="CH6" s="156" t="s">
        <v>873</v>
      </c>
      <c r="CI6" s="141" t="s">
        <v>649</v>
      </c>
      <c r="CJ6" s="141" t="s">
        <v>875</v>
      </c>
      <c r="CK6" s="141" t="s">
        <v>876</v>
      </c>
      <c r="CL6" s="141" t="s">
        <v>879</v>
      </c>
      <c r="CM6" s="141" t="s">
        <v>880</v>
      </c>
      <c r="CN6" s="147"/>
      <c r="CO6" s="147"/>
      <c r="CP6" s="141" t="s">
        <v>885</v>
      </c>
      <c r="CQ6" s="156" t="s">
        <v>886</v>
      </c>
      <c r="CR6" s="141" t="s">
        <v>887</v>
      </c>
      <c r="CS6" s="159"/>
      <c r="CT6" s="162" t="b">
        <v>0</v>
      </c>
      <c r="CU6" s="194"/>
    </row>
    <row r="7" ht="25.5" customHeight="1">
      <c r="A7" s="141" t="s">
        <v>591</v>
      </c>
      <c r="B7" s="141" t="s">
        <v>816</v>
      </c>
      <c r="C7" s="156" t="s">
        <v>817</v>
      </c>
      <c r="D7" s="141" t="s">
        <v>903</v>
      </c>
      <c r="E7" s="141" t="s">
        <v>904</v>
      </c>
      <c r="F7" s="141" t="s">
        <v>825</v>
      </c>
      <c r="G7" s="141" t="s">
        <v>826</v>
      </c>
      <c r="H7" s="141" t="s">
        <v>617</v>
      </c>
      <c r="I7" s="183" t="s">
        <v>829</v>
      </c>
      <c r="J7" s="141" t="s">
        <v>830</v>
      </c>
      <c r="K7" s="141" t="s">
        <v>831</v>
      </c>
      <c r="L7" s="147"/>
      <c r="M7" s="183" t="s">
        <v>833</v>
      </c>
      <c r="N7" s="147"/>
      <c r="O7" s="101">
        <v>50.7168261108119</v>
      </c>
      <c r="P7" s="101">
        <v>-3.53083041838466</v>
      </c>
      <c r="Q7" s="150">
        <v>46023.0</v>
      </c>
      <c r="R7" s="147"/>
      <c r="S7" s="159" t="b">
        <v>1</v>
      </c>
      <c r="T7" s="147"/>
      <c r="U7" s="147"/>
      <c r="V7" s="156" t="s">
        <v>558</v>
      </c>
      <c r="W7" s="153" t="b">
        <v>0</v>
      </c>
      <c r="X7" s="147"/>
      <c r="Y7" s="147"/>
      <c r="Z7" s="160">
        <v>0.6875</v>
      </c>
      <c r="AA7" s="160">
        <v>0.7291666666666666</v>
      </c>
      <c r="AB7" s="160">
        <v>0.6875</v>
      </c>
      <c r="AC7" s="160">
        <v>0.7291666666666666</v>
      </c>
      <c r="AD7" s="160">
        <v>0.6875</v>
      </c>
      <c r="AE7" s="160">
        <v>0.7291666666666666</v>
      </c>
      <c r="AF7" s="160">
        <v>0.6875</v>
      </c>
      <c r="AG7" s="160">
        <v>0.7291666666666666</v>
      </c>
      <c r="AH7" s="160">
        <v>0.6875</v>
      </c>
      <c r="AI7" s="160">
        <v>0.7291666666666666</v>
      </c>
      <c r="AJ7" s="141" t="s">
        <v>387</v>
      </c>
      <c r="AK7" s="141" t="s">
        <v>387</v>
      </c>
      <c r="AL7" s="141" t="s">
        <v>387</v>
      </c>
      <c r="AM7" s="141" t="s">
        <v>387</v>
      </c>
      <c r="AN7" s="141" t="s">
        <v>387</v>
      </c>
      <c r="AO7" s="141" t="s">
        <v>387</v>
      </c>
      <c r="AP7" s="141" t="s">
        <v>387</v>
      </c>
      <c r="AQ7" s="141" t="s">
        <v>387</v>
      </c>
      <c r="AR7" s="141" t="s">
        <v>387</v>
      </c>
      <c r="AS7" s="141" t="s">
        <v>387</v>
      </c>
      <c r="AT7" s="141" t="s">
        <v>387</v>
      </c>
      <c r="AU7" s="141" t="s">
        <v>387</v>
      </c>
      <c r="AV7" s="141" t="s">
        <v>387</v>
      </c>
      <c r="AW7" s="141" t="s">
        <v>387</v>
      </c>
      <c r="AX7" s="187">
        <v>4.0</v>
      </c>
      <c r="AY7" s="141" t="s">
        <v>914</v>
      </c>
      <c r="AZ7" s="187">
        <v>2.0</v>
      </c>
      <c r="BA7" s="141" t="s">
        <v>917</v>
      </c>
      <c r="BB7" s="141" t="s">
        <v>387</v>
      </c>
      <c r="BC7" s="141" t="s">
        <v>387</v>
      </c>
      <c r="BD7" s="141" t="s">
        <v>387</v>
      </c>
      <c r="BE7" s="141" t="s">
        <v>387</v>
      </c>
      <c r="BF7" s="159" t="b">
        <v>1</v>
      </c>
      <c r="BG7" s="156" t="s">
        <v>664</v>
      </c>
      <c r="BH7" s="156" t="s">
        <v>590</v>
      </c>
      <c r="BI7" s="141" t="s">
        <v>387</v>
      </c>
      <c r="BJ7" s="173" t="s">
        <v>387</v>
      </c>
      <c r="BK7" s="195">
        <v>46333.0</v>
      </c>
      <c r="BL7" s="169">
        <v>32.0</v>
      </c>
      <c r="BM7" s="141" t="s">
        <v>387</v>
      </c>
      <c r="BN7" s="173" t="s">
        <v>387</v>
      </c>
      <c r="BO7" s="141" t="s">
        <v>387</v>
      </c>
      <c r="BP7" s="173" t="s">
        <v>387</v>
      </c>
      <c r="BQ7" s="141" t="s">
        <v>387</v>
      </c>
      <c r="BR7" s="141" t="s">
        <v>387</v>
      </c>
      <c r="BS7" s="141" t="s">
        <v>387</v>
      </c>
      <c r="BT7" s="141" t="s">
        <v>387</v>
      </c>
      <c r="BU7" s="141" t="s">
        <v>387</v>
      </c>
      <c r="BV7" s="141" t="s">
        <v>387</v>
      </c>
      <c r="BW7" s="156" t="s">
        <v>788</v>
      </c>
      <c r="BX7" s="156" t="s">
        <v>868</v>
      </c>
      <c r="BY7" s="147"/>
      <c r="BZ7" s="156" t="s">
        <v>869</v>
      </c>
      <c r="CA7" s="153" t="b">
        <v>0</v>
      </c>
      <c r="CB7" s="153" t="b">
        <v>0</v>
      </c>
      <c r="CC7" s="153" t="b">
        <v>0</v>
      </c>
      <c r="CD7" s="159" t="b">
        <v>1</v>
      </c>
      <c r="CE7" s="159" t="b">
        <v>1</v>
      </c>
      <c r="CF7" s="153" t="b">
        <v>0</v>
      </c>
      <c r="CG7" s="153" t="b">
        <v>0</v>
      </c>
      <c r="CH7" s="156" t="s">
        <v>873</v>
      </c>
      <c r="CI7" s="141" t="s">
        <v>649</v>
      </c>
      <c r="CJ7" s="141" t="s">
        <v>875</v>
      </c>
      <c r="CK7" s="141" t="s">
        <v>876</v>
      </c>
      <c r="CL7" s="141" t="s">
        <v>794</v>
      </c>
      <c r="CM7" s="141" t="s">
        <v>880</v>
      </c>
      <c r="CN7" s="147"/>
      <c r="CO7" s="147"/>
      <c r="CP7" s="141" t="s">
        <v>932</v>
      </c>
      <c r="CQ7" s="156" t="s">
        <v>886</v>
      </c>
      <c r="CR7" s="141" t="s">
        <v>934</v>
      </c>
      <c r="CS7" s="159"/>
      <c r="CT7" s="162" t="b">
        <v>0</v>
      </c>
      <c r="CU7" s="194"/>
    </row>
    <row r="8" ht="25.5" customHeight="1">
      <c r="A8" s="141" t="s">
        <v>591</v>
      </c>
      <c r="B8" s="141" t="s">
        <v>816</v>
      </c>
      <c r="C8" s="141" t="s">
        <v>817</v>
      </c>
      <c r="D8" s="141" t="s">
        <v>937</v>
      </c>
      <c r="E8" s="141" t="s">
        <v>938</v>
      </c>
      <c r="F8" s="141" t="s">
        <v>825</v>
      </c>
      <c r="G8" s="141" t="s">
        <v>826</v>
      </c>
      <c r="H8" s="141" t="s">
        <v>617</v>
      </c>
      <c r="I8" s="183" t="s">
        <v>829</v>
      </c>
      <c r="J8" s="141" t="s">
        <v>830</v>
      </c>
      <c r="K8" s="141" t="s">
        <v>831</v>
      </c>
      <c r="L8" s="147"/>
      <c r="M8" s="183" t="s">
        <v>833</v>
      </c>
      <c r="N8" s="147"/>
      <c r="O8" s="101">
        <v>50.7168261108119</v>
      </c>
      <c r="P8" s="101">
        <v>-3.53083041838466</v>
      </c>
      <c r="Q8" s="150">
        <v>46023.0</v>
      </c>
      <c r="R8" s="147"/>
      <c r="S8" s="159" t="b">
        <v>0</v>
      </c>
      <c r="T8" s="147"/>
      <c r="U8" s="147"/>
      <c r="V8" s="156" t="s">
        <v>940</v>
      </c>
      <c r="W8" s="159" t="b">
        <v>1</v>
      </c>
      <c r="X8" s="160">
        <v>0.6875</v>
      </c>
      <c r="Y8" s="160">
        <v>0.7291666666666666</v>
      </c>
      <c r="Z8" s="141" t="s">
        <v>387</v>
      </c>
      <c r="AA8" s="141" t="s">
        <v>387</v>
      </c>
      <c r="AB8" s="141" t="s">
        <v>387</v>
      </c>
      <c r="AC8" s="141" t="s">
        <v>387</v>
      </c>
      <c r="AD8" s="141" t="s">
        <v>387</v>
      </c>
      <c r="AE8" s="141" t="s">
        <v>387</v>
      </c>
      <c r="AF8" s="141" t="s">
        <v>387</v>
      </c>
      <c r="AG8" s="141" t="s">
        <v>387</v>
      </c>
      <c r="AH8" s="141" t="s">
        <v>387</v>
      </c>
      <c r="AI8" s="141" t="s">
        <v>387</v>
      </c>
      <c r="AJ8" s="141" t="s">
        <v>387</v>
      </c>
      <c r="AK8" s="141" t="s">
        <v>387</v>
      </c>
      <c r="AL8" s="141" t="s">
        <v>387</v>
      </c>
      <c r="AM8" s="141" t="s">
        <v>387</v>
      </c>
      <c r="AN8" s="141" t="s">
        <v>387</v>
      </c>
      <c r="AO8" s="141" t="s">
        <v>387</v>
      </c>
      <c r="AP8" s="141" t="s">
        <v>387</v>
      </c>
      <c r="AQ8" s="141" t="s">
        <v>387</v>
      </c>
      <c r="AR8" s="141" t="s">
        <v>387</v>
      </c>
      <c r="AS8" s="141" t="s">
        <v>387</v>
      </c>
      <c r="AT8" s="141" t="s">
        <v>387</v>
      </c>
      <c r="AU8" s="141" t="s">
        <v>387</v>
      </c>
      <c r="AV8" s="141" t="s">
        <v>387</v>
      </c>
      <c r="AW8" s="141" t="s">
        <v>387</v>
      </c>
      <c r="AX8" s="141" t="s">
        <v>387</v>
      </c>
      <c r="AY8" s="141" t="s">
        <v>387</v>
      </c>
      <c r="AZ8" s="141" t="s">
        <v>387</v>
      </c>
      <c r="BA8" s="141" t="s">
        <v>387</v>
      </c>
      <c r="BB8" s="141" t="s">
        <v>387</v>
      </c>
      <c r="BC8" s="141" t="s">
        <v>387</v>
      </c>
      <c r="BD8" s="141" t="s">
        <v>387</v>
      </c>
      <c r="BE8" s="141" t="s">
        <v>387</v>
      </c>
      <c r="BF8" s="159" t="b">
        <v>1</v>
      </c>
      <c r="BG8" s="156" t="s">
        <v>664</v>
      </c>
      <c r="BH8" s="156" t="s">
        <v>949</v>
      </c>
      <c r="BI8" s="141" t="s">
        <v>387</v>
      </c>
      <c r="BJ8" s="173" t="s">
        <v>387</v>
      </c>
      <c r="BK8" s="141" t="s">
        <v>387</v>
      </c>
      <c r="BL8" s="173" t="s">
        <v>387</v>
      </c>
      <c r="BM8" s="195">
        <v>46207.0</v>
      </c>
      <c r="BN8" s="169">
        <v>32.0</v>
      </c>
      <c r="BO8" s="141" t="s">
        <v>387</v>
      </c>
      <c r="BP8" s="173" t="s">
        <v>387</v>
      </c>
      <c r="BQ8" s="141" t="s">
        <v>387</v>
      </c>
      <c r="BR8" s="141" t="s">
        <v>387</v>
      </c>
      <c r="BS8" s="141" t="s">
        <v>387</v>
      </c>
      <c r="BT8" s="141" t="s">
        <v>387</v>
      </c>
      <c r="BU8" s="141" t="s">
        <v>387</v>
      </c>
      <c r="BV8" s="141" t="s">
        <v>387</v>
      </c>
      <c r="BW8" s="156" t="s">
        <v>788</v>
      </c>
      <c r="BX8" s="156" t="s">
        <v>868</v>
      </c>
      <c r="BY8" s="147"/>
      <c r="BZ8" s="156" t="s">
        <v>869</v>
      </c>
      <c r="CA8" s="153" t="b">
        <v>0</v>
      </c>
      <c r="CB8" s="153" t="b">
        <v>0</v>
      </c>
      <c r="CC8" s="159" t="b">
        <v>1</v>
      </c>
      <c r="CD8" s="159" t="b">
        <v>1</v>
      </c>
      <c r="CE8" s="153" t="b">
        <v>0</v>
      </c>
      <c r="CF8" s="153" t="b">
        <v>0</v>
      </c>
      <c r="CG8" s="153" t="b">
        <v>0</v>
      </c>
      <c r="CH8" s="156" t="s">
        <v>873</v>
      </c>
      <c r="CI8" s="141" t="s">
        <v>649</v>
      </c>
      <c r="CJ8" s="141" t="s">
        <v>875</v>
      </c>
      <c r="CK8" s="141" t="s">
        <v>876</v>
      </c>
      <c r="CL8" s="141" t="s">
        <v>640</v>
      </c>
      <c r="CM8" s="141" t="s">
        <v>956</v>
      </c>
      <c r="CN8" s="147"/>
      <c r="CO8" s="147"/>
      <c r="CP8" s="141" t="s">
        <v>958</v>
      </c>
      <c r="CQ8" s="156" t="s">
        <v>886</v>
      </c>
      <c r="CR8" s="141" t="s">
        <v>959</v>
      </c>
      <c r="CS8" s="159"/>
      <c r="CT8" s="162" t="b">
        <v>0</v>
      </c>
      <c r="CU8" s="194"/>
    </row>
    <row r="9" ht="27.75" customHeight="1">
      <c r="A9" s="141" t="s">
        <v>591</v>
      </c>
      <c r="B9" s="141" t="s">
        <v>816</v>
      </c>
      <c r="C9" s="141" t="s">
        <v>962</v>
      </c>
      <c r="D9" s="141" t="s">
        <v>963</v>
      </c>
      <c r="E9" s="141" t="s">
        <v>965</v>
      </c>
      <c r="F9" s="141" t="s">
        <v>825</v>
      </c>
      <c r="G9" s="141" t="s">
        <v>826</v>
      </c>
      <c r="H9" s="141" t="s">
        <v>617</v>
      </c>
      <c r="I9" s="141" t="s">
        <v>969</v>
      </c>
      <c r="J9" s="141" t="s">
        <v>970</v>
      </c>
      <c r="K9" s="141" t="s">
        <v>669</v>
      </c>
      <c r="L9" s="147"/>
      <c r="M9" s="141" t="s">
        <v>971</v>
      </c>
      <c r="N9" s="147"/>
      <c r="O9" s="196">
        <v>50.6300234273043</v>
      </c>
      <c r="P9" s="196">
        <v>-3.39897428770263</v>
      </c>
      <c r="Q9" s="150">
        <v>46023.0</v>
      </c>
      <c r="R9" s="147"/>
      <c r="S9" s="153" t="b">
        <v>0</v>
      </c>
      <c r="T9" s="147"/>
      <c r="U9" s="147"/>
      <c r="V9" s="156" t="s">
        <v>975</v>
      </c>
      <c r="W9" s="159" t="b">
        <v>1</v>
      </c>
      <c r="X9" s="160">
        <v>0.6979166666666666</v>
      </c>
      <c r="Y9" s="160">
        <v>0.7256944444444444</v>
      </c>
      <c r="Z9" s="141" t="s">
        <v>387</v>
      </c>
      <c r="AA9" s="141" t="s">
        <v>387</v>
      </c>
      <c r="AB9" s="141" t="s">
        <v>387</v>
      </c>
      <c r="AC9" s="141" t="s">
        <v>387</v>
      </c>
      <c r="AD9" s="141" t="s">
        <v>387</v>
      </c>
      <c r="AE9" s="141" t="s">
        <v>387</v>
      </c>
      <c r="AF9" s="141" t="s">
        <v>387</v>
      </c>
      <c r="AG9" s="141" t="s">
        <v>387</v>
      </c>
      <c r="AH9" s="141" t="s">
        <v>387</v>
      </c>
      <c r="AI9" s="141" t="s">
        <v>387</v>
      </c>
      <c r="AJ9" s="141" t="s">
        <v>387</v>
      </c>
      <c r="AK9" s="141" t="s">
        <v>387</v>
      </c>
      <c r="AL9" s="141" t="s">
        <v>387</v>
      </c>
      <c r="AM9" s="141" t="s">
        <v>387</v>
      </c>
      <c r="AN9" s="141" t="s">
        <v>387</v>
      </c>
      <c r="AO9" s="141" t="s">
        <v>387</v>
      </c>
      <c r="AP9" s="141" t="s">
        <v>387</v>
      </c>
      <c r="AQ9" s="141" t="s">
        <v>387</v>
      </c>
      <c r="AR9" s="141" t="s">
        <v>387</v>
      </c>
      <c r="AS9" s="141" t="s">
        <v>387</v>
      </c>
      <c r="AT9" s="141" t="s">
        <v>387</v>
      </c>
      <c r="AU9" s="141" t="s">
        <v>387</v>
      </c>
      <c r="AV9" s="141" t="s">
        <v>387</v>
      </c>
      <c r="AW9" s="141" t="s">
        <v>387</v>
      </c>
      <c r="AX9" s="141" t="s">
        <v>387</v>
      </c>
      <c r="AY9" s="141" t="s">
        <v>387</v>
      </c>
      <c r="AZ9" s="141" t="s">
        <v>387</v>
      </c>
      <c r="BA9" s="141" t="s">
        <v>387</v>
      </c>
      <c r="BB9" s="141" t="s">
        <v>387</v>
      </c>
      <c r="BC9" s="141" t="s">
        <v>387</v>
      </c>
      <c r="BD9" s="141" t="s">
        <v>387</v>
      </c>
      <c r="BE9" s="141" t="s">
        <v>387</v>
      </c>
      <c r="BF9" s="159" t="b">
        <v>1</v>
      </c>
      <c r="BG9" s="156" t="s">
        <v>664</v>
      </c>
      <c r="BH9" s="156" t="s">
        <v>590</v>
      </c>
      <c r="BI9" s="141" t="s">
        <v>387</v>
      </c>
      <c r="BJ9" s="173" t="s">
        <v>387</v>
      </c>
      <c r="BK9" s="195">
        <v>46207.0</v>
      </c>
      <c r="BL9" s="169">
        <v>29.0</v>
      </c>
      <c r="BM9" s="141" t="s">
        <v>387</v>
      </c>
      <c r="BN9" s="173" t="s">
        <v>387</v>
      </c>
      <c r="BO9" s="141" t="s">
        <v>387</v>
      </c>
      <c r="BP9" s="173" t="s">
        <v>387</v>
      </c>
      <c r="BQ9" s="141" t="s">
        <v>387</v>
      </c>
      <c r="BR9" s="141" t="s">
        <v>387</v>
      </c>
      <c r="BS9" s="141" t="s">
        <v>387</v>
      </c>
      <c r="BT9" s="141" t="s">
        <v>387</v>
      </c>
      <c r="BU9" s="141" t="s">
        <v>387</v>
      </c>
      <c r="BV9" s="141" t="s">
        <v>387</v>
      </c>
      <c r="BW9" s="156" t="s">
        <v>433</v>
      </c>
      <c r="BX9" s="156" t="s">
        <v>983</v>
      </c>
      <c r="BY9" s="147"/>
      <c r="BZ9" s="147"/>
      <c r="CA9" s="153" t="b">
        <v>0</v>
      </c>
      <c r="CB9" s="153" t="b">
        <v>0</v>
      </c>
      <c r="CC9" s="159" t="b">
        <v>1</v>
      </c>
      <c r="CD9" s="159" t="b">
        <v>1</v>
      </c>
      <c r="CE9" s="159" t="b">
        <v>0</v>
      </c>
      <c r="CF9" s="153" t="b">
        <v>0</v>
      </c>
      <c r="CG9" s="153" t="b">
        <v>0</v>
      </c>
      <c r="CH9" s="156" t="s">
        <v>988</v>
      </c>
      <c r="CI9" s="141" t="s">
        <v>649</v>
      </c>
      <c r="CJ9" s="141" t="s">
        <v>875</v>
      </c>
      <c r="CK9" s="141" t="s">
        <v>989</v>
      </c>
      <c r="CL9" s="141" t="s">
        <v>640</v>
      </c>
      <c r="CM9" s="141" t="s">
        <v>990</v>
      </c>
      <c r="CN9" s="147"/>
      <c r="CO9" s="147"/>
      <c r="CP9" s="156" t="s">
        <v>994</v>
      </c>
      <c r="CQ9" s="156" t="s">
        <v>886</v>
      </c>
      <c r="CR9" s="141" t="s">
        <v>996</v>
      </c>
      <c r="CS9" s="159"/>
      <c r="CT9" s="162" t="b">
        <v>0</v>
      </c>
      <c r="CU9" s="194"/>
    </row>
    <row r="10" ht="27.75" customHeight="1">
      <c r="A10" s="101"/>
      <c r="B10" s="101"/>
      <c r="C10" s="101"/>
      <c r="D10" s="101"/>
      <c r="E10" s="97"/>
      <c r="F10" s="97"/>
      <c r="G10" s="97"/>
      <c r="H10" s="97"/>
      <c r="I10" s="97"/>
      <c r="J10" s="97"/>
      <c r="K10" s="97"/>
      <c r="L10" s="97"/>
      <c r="M10" s="97"/>
      <c r="N10" s="97"/>
      <c r="O10" s="101"/>
      <c r="P10" s="101"/>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197"/>
      <c r="BK10" s="97"/>
      <c r="BL10" s="197"/>
      <c r="BM10" s="97"/>
      <c r="BN10" s="197"/>
      <c r="BO10" s="97"/>
      <c r="BP10" s="197"/>
      <c r="BQ10" s="97"/>
      <c r="BR10" s="197"/>
      <c r="BS10" s="97"/>
      <c r="BT10" s="197"/>
      <c r="BU10" s="97"/>
      <c r="BV10" s="197"/>
      <c r="BW10" s="97"/>
      <c r="BX10" s="97"/>
      <c r="BY10" s="97"/>
      <c r="BZ10" s="97"/>
      <c r="CA10" s="97"/>
      <c r="CB10" s="97"/>
      <c r="CC10" s="97"/>
      <c r="CD10" s="97"/>
      <c r="CE10" s="97"/>
      <c r="CF10" s="97"/>
      <c r="CG10" s="97"/>
      <c r="CH10" s="97"/>
      <c r="CI10" s="97"/>
      <c r="CJ10" s="97"/>
      <c r="CK10" s="97"/>
      <c r="CL10" s="97"/>
      <c r="CM10" s="97"/>
      <c r="CN10" s="97"/>
      <c r="CO10" s="97"/>
      <c r="CP10" s="97"/>
      <c r="CQ10" s="97"/>
      <c r="CR10" s="97"/>
      <c r="CS10" s="116"/>
      <c r="CT10" s="116"/>
      <c r="CU10" s="116"/>
    </row>
    <row r="11" ht="27.75" customHeight="1">
      <c r="A11" s="101"/>
      <c r="B11" s="101"/>
      <c r="C11" s="101"/>
      <c r="D11" s="101"/>
      <c r="E11" s="97"/>
      <c r="F11" s="97"/>
      <c r="G11" s="97"/>
      <c r="H11" s="97"/>
      <c r="I11" s="97"/>
      <c r="J11" s="97"/>
      <c r="K11" s="97"/>
      <c r="L11" s="97"/>
      <c r="M11" s="97"/>
      <c r="N11" s="97"/>
      <c r="O11" s="101"/>
      <c r="P11" s="101"/>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197"/>
      <c r="BK11" s="97"/>
      <c r="BL11" s="197"/>
      <c r="BM11" s="97"/>
      <c r="BN11" s="197"/>
      <c r="BO11" s="97"/>
      <c r="BP11" s="197"/>
      <c r="BQ11" s="97"/>
      <c r="BR11" s="197"/>
      <c r="BS11" s="97"/>
      <c r="BT11" s="197"/>
      <c r="BU11" s="97"/>
      <c r="BV11" s="197"/>
      <c r="BW11" s="97"/>
      <c r="BX11" s="97"/>
      <c r="BY11" s="97"/>
      <c r="BZ11" s="97"/>
      <c r="CA11" s="97"/>
      <c r="CB11" s="97"/>
      <c r="CC11" s="97"/>
      <c r="CD11" s="97"/>
      <c r="CE11" s="97"/>
      <c r="CF11" s="97"/>
      <c r="CG11" s="97"/>
      <c r="CH11" s="97"/>
      <c r="CI11" s="97"/>
      <c r="CJ11" s="97"/>
      <c r="CK11" s="97"/>
      <c r="CL11" s="97"/>
      <c r="CM11" s="97"/>
      <c r="CN11" s="97"/>
      <c r="CO11" s="97"/>
      <c r="CP11" s="97"/>
      <c r="CQ11" s="97"/>
      <c r="CR11" s="97"/>
      <c r="CS11" s="116"/>
      <c r="CT11" s="116"/>
      <c r="CU11" s="116"/>
    </row>
    <row r="12" ht="27.75" customHeight="1">
      <c r="A12" s="101"/>
      <c r="B12" s="101"/>
      <c r="C12" s="101"/>
      <c r="D12" s="101"/>
      <c r="E12" s="97"/>
      <c r="F12" s="97"/>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197"/>
      <c r="BK12" s="97"/>
      <c r="BL12" s="197"/>
      <c r="BM12" s="97"/>
      <c r="BN12" s="197"/>
      <c r="BO12" s="97"/>
      <c r="BP12" s="197"/>
      <c r="BQ12" s="97"/>
      <c r="BR12" s="197"/>
      <c r="BS12" s="97"/>
      <c r="BT12" s="197"/>
      <c r="BU12" s="97"/>
      <c r="BV12" s="197"/>
      <c r="BW12" s="97"/>
      <c r="BX12" s="97"/>
      <c r="BY12" s="97"/>
      <c r="BZ12" s="97"/>
      <c r="CA12" s="97"/>
      <c r="CB12" s="97"/>
      <c r="CC12" s="97"/>
      <c r="CD12" s="97"/>
      <c r="CE12" s="97"/>
      <c r="CF12" s="97"/>
      <c r="CG12" s="97"/>
      <c r="CH12" s="97"/>
      <c r="CI12" s="97"/>
      <c r="CJ12" s="97"/>
      <c r="CK12" s="97"/>
      <c r="CL12" s="97"/>
      <c r="CM12" s="97"/>
      <c r="CN12" s="97"/>
      <c r="CO12" s="97"/>
      <c r="CP12" s="97"/>
      <c r="CQ12" s="97"/>
      <c r="CR12" s="97"/>
      <c r="CS12" s="116"/>
      <c r="CT12" s="116"/>
      <c r="CU12" s="116"/>
    </row>
  </sheetData>
  <mergeCells count="25">
    <mergeCell ref="CA1:CG2"/>
    <mergeCell ref="CH1:CI2"/>
    <mergeCell ref="CJ1:CL2"/>
    <mergeCell ref="CM1:CR2"/>
    <mergeCell ref="CS1:CT2"/>
    <mergeCell ref="S2:U2"/>
    <mergeCell ref="V2:W2"/>
    <mergeCell ref="X2:Y2"/>
    <mergeCell ref="Z2:AM2"/>
    <mergeCell ref="AN2:BA2"/>
    <mergeCell ref="BB2:BE2"/>
    <mergeCell ref="BI2:BJ2"/>
    <mergeCell ref="BK2:BL2"/>
    <mergeCell ref="BM2:BN2"/>
    <mergeCell ref="BO2:BP2"/>
    <mergeCell ref="BQ2:BR2"/>
    <mergeCell ref="BS2:BT2"/>
    <mergeCell ref="A1:D2"/>
    <mergeCell ref="E1:H2"/>
    <mergeCell ref="I1:P2"/>
    <mergeCell ref="Q1:R2"/>
    <mergeCell ref="S1:BD1"/>
    <mergeCell ref="BF1:BV1"/>
    <mergeCell ref="BW1:BZ2"/>
    <mergeCell ref="BU2:BV2"/>
  </mergeCells>
  <dataValidations>
    <dataValidation type="list" allowBlank="1" showErrorMessage="1" sqref="F5:F12">
      <formula1>Enums!$D$605:$D$609</formula1>
    </dataValidation>
    <dataValidation type="list" allowBlank="1" showErrorMessage="1" sqref="CK5:CK12">
      <formula1>Enums!$D$636:$D$643</formula1>
    </dataValidation>
    <dataValidation type="list" allowBlank="1" showErrorMessage="1" sqref="CI5:CI12">
      <formula1>Enums!$D$386:$D$388</formula1>
    </dataValidation>
    <dataValidation type="list" allowBlank="1" showErrorMessage="1" sqref="CJ5:CJ12">
      <formula1>Enums!$D$624:$D$634</formula1>
    </dataValidation>
    <dataValidation type="list" allowBlank="1" showErrorMessage="1" sqref="G5:G12">
      <formula1>Enums!$D$618:$D$622</formula1>
    </dataValidation>
    <dataValidation type="list" allowBlank="1" showErrorMessage="1" sqref="BY5:BY12">
      <formula1>Enums!$D$443:$D$459</formula1>
    </dataValidation>
    <dataValidation type="list" allowBlank="1" showErrorMessage="1" sqref="C6:C8">
      <formula1>CHelper!A7:ZZ7</formula1>
    </dataValidation>
    <dataValidation type="list" allowBlank="1" showErrorMessage="1" sqref="BH5:BH12">
      <formula1>Enums!$D$740:$D$746</formula1>
    </dataValidation>
    <dataValidation type="list" allowBlank="1" showErrorMessage="1" sqref="CL5:CL12">
      <formula1>Enums!$D$709:$D$712</formula1>
    </dataValidation>
    <dataValidation type="list" allowBlank="1" showErrorMessage="1" sqref="BG5:BG12">
      <formula1>Enums!$D$734:$D$738</formula1>
    </dataValidation>
    <dataValidation type="list" allowBlank="1" showErrorMessage="1" sqref="C9:C12">
      <formula1>CHelper!A11:ZZ11</formula1>
    </dataValidation>
    <dataValidation type="list" allowBlank="1" showErrorMessage="1" sqref="CP6:CP8">
      <formula1>CHelper2!A7:AT7</formula1>
    </dataValidation>
    <dataValidation type="list" allowBlank="1" showErrorMessage="1" sqref="CH5:CH12">
      <formula1>Enums!$D$13:$D$17</formula1>
    </dataValidation>
    <dataValidation type="list" allowBlank="1" showErrorMessage="1" sqref="V5:V12">
      <formula1>"Monday,Tuesday,Wednesday,Thursday,Friday,Saturday,Sunday"</formula1>
    </dataValidation>
    <dataValidation type="list" allowBlank="1" showErrorMessage="1" sqref="CQ5:CQ12">
      <formula1>Enums!$D$474:$D$504</formula1>
    </dataValidation>
    <dataValidation type="list" allowBlank="1" showErrorMessage="1" sqref="BZ5:BZ12">
      <formula1>Enums!$D$430:$D$442</formula1>
    </dataValidation>
    <dataValidation type="list" allowBlank="1" showErrorMessage="1" sqref="CN5:CN12">
      <formula1>Enums!$D$507:$D$522</formula1>
    </dataValidation>
    <dataValidation type="list" allowBlank="1" showErrorMessage="1" sqref="CP9:CP12">
      <formula1>CHelper2!A11:AT11</formula1>
    </dataValidation>
    <dataValidation type="list" allowBlank="1" showErrorMessage="1" sqref="C5">
      <formula1>CHelper!A5:ZZ5</formula1>
    </dataValidation>
    <dataValidation type="list" allowBlank="1" showErrorMessage="1" sqref="B5:B12">
      <formula1>Enums!$D$135:$D$149</formula1>
    </dataValidation>
    <dataValidation type="list" allowBlank="1" showErrorMessage="1" sqref="BW5:BW12">
      <formula1>Enums!$D$465:$D$471</formula1>
    </dataValidation>
    <dataValidation type="list" allowBlank="1" showErrorMessage="1" sqref="BX5:BX12">
      <formula1>Enums!$D$416:$D$429</formula1>
    </dataValidation>
    <dataValidation type="list" allowBlank="1" showErrorMessage="1" sqref="H5:H12">
      <formula1>Enums!$D$611:$D$616</formula1>
    </dataValidation>
    <dataValidation type="list" allowBlank="1" showErrorMessage="1" sqref="CO5:CO12">
      <formula1>Enums!$D$524:$D$570</formula1>
    </dataValidation>
    <dataValidation type="list" allowBlank="1" showErrorMessage="1" sqref="CP5">
      <formula1>CHelper2!A5:AT5</formula1>
    </dataValidation>
    <dataValidation type="list" allowBlank="1" showErrorMessage="1" sqref="A5:A12">
      <formula1>Enums!$C$4:$C$7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hidden="1" min="1" max="1" width="12.63"/>
    <col customWidth="1" min="2" max="2" width="19.0"/>
    <col customWidth="1" min="4" max="4" width="25.63"/>
    <col customWidth="1" min="5" max="5" width="15.5"/>
    <col customWidth="1" min="6" max="6" width="17.25"/>
    <col customWidth="1" min="13" max="14" width="11.25"/>
    <col customWidth="1" min="16" max="17" width="10.75"/>
    <col customWidth="1" min="18" max="22" width="15.63"/>
    <col customWidth="1" min="23" max="29" width="7.0"/>
    <col customWidth="1" min="30" max="30" width="18.13"/>
    <col customWidth="1" min="31" max="31" width="15.13"/>
    <col customWidth="1" min="32" max="32" width="16.38"/>
    <col customWidth="1" min="33" max="33" width="17.0"/>
    <col customWidth="1" min="34" max="34" width="14.5"/>
    <col customWidth="1" min="35" max="35" width="19.38"/>
    <col customWidth="1" min="36" max="36" width="20.5"/>
    <col customWidth="1" min="37" max="37" width="19.13"/>
    <col customWidth="1" min="38" max="38" width="25.75"/>
    <col customWidth="1" hidden="1" min="39" max="39" width="8.13"/>
    <col customWidth="1" min="40" max="40" width="16.38"/>
    <col customWidth="1" min="41" max="42" width="17.88"/>
  </cols>
  <sheetData>
    <row r="1" ht="17.25" customHeight="1">
      <c r="A1" s="6" t="s">
        <v>0</v>
      </c>
      <c r="E1" s="6" t="s">
        <v>36</v>
      </c>
      <c r="L1" s="17" t="s">
        <v>39</v>
      </c>
      <c r="R1" s="4" t="s">
        <v>5</v>
      </c>
      <c r="W1" s="4" t="s">
        <v>6</v>
      </c>
      <c r="AD1" s="4" t="s">
        <v>7</v>
      </c>
      <c r="AG1" s="6" t="s">
        <v>8</v>
      </c>
      <c r="AM1" s="7" t="s">
        <v>10</v>
      </c>
      <c r="AN1" s="9" t="s">
        <v>13</v>
      </c>
      <c r="AP1" s="22"/>
    </row>
    <row r="2" ht="24.75" customHeight="1">
      <c r="AP2" s="22"/>
    </row>
    <row r="3" ht="70.5" customHeight="1">
      <c r="A3" s="24" t="s">
        <v>37</v>
      </c>
      <c r="B3" s="27" t="s">
        <v>75</v>
      </c>
      <c r="C3" s="27" t="s">
        <v>78</v>
      </c>
      <c r="D3" s="24" t="s">
        <v>80</v>
      </c>
      <c r="E3" s="27" t="s">
        <v>43</v>
      </c>
      <c r="F3" s="28" t="s">
        <v>44</v>
      </c>
      <c r="G3" s="24" t="s">
        <v>84</v>
      </c>
      <c r="H3" s="27" t="s">
        <v>85</v>
      </c>
      <c r="I3" s="12" t="s">
        <v>87</v>
      </c>
      <c r="J3" s="24" t="s">
        <v>89</v>
      </c>
      <c r="K3" s="24" t="s">
        <v>91</v>
      </c>
      <c r="L3" s="31" t="s">
        <v>45</v>
      </c>
      <c r="M3" s="32" t="s">
        <v>95</v>
      </c>
      <c r="N3" s="32" t="s">
        <v>97</v>
      </c>
      <c r="O3" s="33" t="s">
        <v>48</v>
      </c>
      <c r="P3" s="33" t="s">
        <v>49</v>
      </c>
      <c r="Q3" s="33" t="s">
        <v>50</v>
      </c>
      <c r="R3" s="34" t="s">
        <v>103</v>
      </c>
      <c r="S3" s="34" t="s">
        <v>105</v>
      </c>
      <c r="T3" s="34" t="s">
        <v>106</v>
      </c>
      <c r="U3" s="34" t="s">
        <v>107</v>
      </c>
      <c r="V3" s="35" t="s">
        <v>108</v>
      </c>
      <c r="W3" s="36" t="s">
        <v>109</v>
      </c>
      <c r="X3" s="36" t="s">
        <v>110</v>
      </c>
      <c r="Y3" s="36" t="s">
        <v>111</v>
      </c>
      <c r="Z3" s="36" t="s">
        <v>112</v>
      </c>
      <c r="AA3" s="36" t="s">
        <v>113</v>
      </c>
      <c r="AB3" s="36" t="s">
        <v>114</v>
      </c>
      <c r="AC3" s="36" t="s">
        <v>115</v>
      </c>
      <c r="AD3" s="34" t="s">
        <v>117</v>
      </c>
      <c r="AE3" s="35" t="s">
        <v>118</v>
      </c>
      <c r="AF3" s="34" t="s">
        <v>119</v>
      </c>
      <c r="AG3" s="27" t="s">
        <v>121</v>
      </c>
      <c r="AH3" s="34" t="s">
        <v>122</v>
      </c>
      <c r="AI3" s="34" t="s">
        <v>124</v>
      </c>
      <c r="AJ3" s="27" t="s">
        <v>125</v>
      </c>
      <c r="AK3" s="34" t="s">
        <v>126</v>
      </c>
      <c r="AL3" s="46" t="s">
        <v>127</v>
      </c>
      <c r="AM3" s="48" t="s">
        <v>133</v>
      </c>
      <c r="AN3" s="50" t="s">
        <v>140</v>
      </c>
      <c r="AO3" s="50" t="s">
        <v>147</v>
      </c>
      <c r="AP3" s="52"/>
    </row>
    <row r="4" ht="33.0" hidden="1" customHeight="1">
      <c r="A4" s="55" t="s">
        <v>151</v>
      </c>
      <c r="B4" s="56" t="s">
        <v>155</v>
      </c>
      <c r="C4" s="56" t="s">
        <v>158</v>
      </c>
      <c r="D4" s="56" t="s">
        <v>159</v>
      </c>
      <c r="E4" s="56" t="s">
        <v>161</v>
      </c>
      <c r="F4" s="56" t="s">
        <v>162</v>
      </c>
      <c r="G4" s="56" t="s">
        <v>164</v>
      </c>
      <c r="H4" s="58" t="s">
        <v>165</v>
      </c>
      <c r="I4" s="55" t="s">
        <v>167</v>
      </c>
      <c r="J4" s="56" t="s">
        <v>169</v>
      </c>
      <c r="K4" s="58" t="s">
        <v>171</v>
      </c>
      <c r="L4" s="56" t="s">
        <v>173</v>
      </c>
      <c r="M4" s="61" t="s">
        <v>176</v>
      </c>
      <c r="N4" s="61" t="s">
        <v>181</v>
      </c>
      <c r="O4" s="61" t="s">
        <v>184</v>
      </c>
      <c r="P4" s="61" t="s">
        <v>187</v>
      </c>
      <c r="Q4" s="61" t="s">
        <v>189</v>
      </c>
      <c r="R4" s="56" t="s">
        <v>192</v>
      </c>
      <c r="S4" s="56" t="s">
        <v>195</v>
      </c>
      <c r="T4" s="56" t="s">
        <v>197</v>
      </c>
      <c r="U4" s="56" t="s">
        <v>199</v>
      </c>
      <c r="V4" s="56" t="s">
        <v>201</v>
      </c>
      <c r="W4" s="55" t="s">
        <v>203</v>
      </c>
      <c r="X4" s="55" t="s">
        <v>204</v>
      </c>
      <c r="Y4" s="55" t="s">
        <v>207</v>
      </c>
      <c r="Z4" s="55" t="s">
        <v>209</v>
      </c>
      <c r="AA4" s="55" t="s">
        <v>211</v>
      </c>
      <c r="AB4" s="55" t="s">
        <v>213</v>
      </c>
      <c r="AC4" s="55" t="s">
        <v>214</v>
      </c>
      <c r="AD4" s="66" t="s">
        <v>217</v>
      </c>
      <c r="AE4" s="66" t="s">
        <v>223</v>
      </c>
      <c r="AF4" s="66" t="s">
        <v>224</v>
      </c>
      <c r="AG4" s="56" t="s">
        <v>226</v>
      </c>
      <c r="AH4" s="56" t="s">
        <v>228</v>
      </c>
      <c r="AI4" s="56" t="s">
        <v>230</v>
      </c>
      <c r="AJ4" s="56" t="s">
        <v>231</v>
      </c>
      <c r="AK4" s="56" t="s">
        <v>234</v>
      </c>
      <c r="AL4" s="66" t="s">
        <v>236</v>
      </c>
      <c r="AM4" s="66"/>
      <c r="AN4" s="70" t="s">
        <v>240</v>
      </c>
      <c r="AO4" s="70"/>
      <c r="AP4" s="70"/>
    </row>
    <row r="5" ht="19.5" customHeight="1">
      <c r="A5" s="82"/>
      <c r="B5" s="93" t="s">
        <v>344</v>
      </c>
      <c r="C5" s="97" t="s">
        <v>363</v>
      </c>
      <c r="D5" s="101" t="s">
        <v>365</v>
      </c>
      <c r="E5" s="97" t="s">
        <v>381</v>
      </c>
      <c r="F5" s="93" t="s">
        <v>389</v>
      </c>
      <c r="G5" s="93" t="s">
        <v>397</v>
      </c>
      <c r="H5" s="97" t="s">
        <v>407</v>
      </c>
      <c r="I5" s="111">
        <v>46082.0</v>
      </c>
      <c r="J5" s="97" t="s">
        <v>413</v>
      </c>
      <c r="K5" s="93" t="s">
        <v>416</v>
      </c>
      <c r="L5" s="114" t="s">
        <v>418</v>
      </c>
      <c r="M5" s="82"/>
      <c r="N5" s="114" t="s">
        <v>437</v>
      </c>
      <c r="O5" s="114" t="s">
        <v>441</v>
      </c>
      <c r="P5" s="115">
        <v>50.6999065582752</v>
      </c>
      <c r="Q5" s="115">
        <v>-3.33708214469796</v>
      </c>
      <c r="R5" s="97" t="s">
        <v>433</v>
      </c>
      <c r="S5" s="97" t="s">
        <v>469</v>
      </c>
      <c r="T5" s="116"/>
      <c r="U5" s="97" t="s">
        <v>483</v>
      </c>
      <c r="V5" s="97" t="s">
        <v>490</v>
      </c>
      <c r="W5" s="118" t="b">
        <v>1</v>
      </c>
      <c r="X5" s="119" t="b">
        <v>0</v>
      </c>
      <c r="Y5" s="118" t="b">
        <v>1</v>
      </c>
      <c r="Z5" s="118" t="b">
        <v>1</v>
      </c>
      <c r="AA5" s="118" t="b">
        <v>1</v>
      </c>
      <c r="AB5" s="118" t="b">
        <v>1</v>
      </c>
      <c r="AC5" s="118" t="b">
        <v>1</v>
      </c>
      <c r="AD5" s="93" t="s">
        <v>519</v>
      </c>
      <c r="AE5" s="97" t="s">
        <v>525</v>
      </c>
      <c r="AF5" s="93" t="s">
        <v>533</v>
      </c>
      <c r="AG5" s="93" t="s">
        <v>534</v>
      </c>
      <c r="AH5" s="97" t="s">
        <v>535</v>
      </c>
      <c r="AI5" s="97" t="s">
        <v>537</v>
      </c>
      <c r="AJ5" s="97" t="s">
        <v>540</v>
      </c>
      <c r="AK5" s="97" t="s">
        <v>527</v>
      </c>
      <c r="AL5" s="101" t="s">
        <v>544</v>
      </c>
      <c r="AM5" s="93" t="s">
        <v>530</v>
      </c>
      <c r="AN5" s="106"/>
      <c r="AO5" s="82"/>
      <c r="AP5" s="82"/>
    </row>
    <row r="6" ht="19.5" customHeight="1">
      <c r="A6" s="82"/>
      <c r="B6" s="130" t="s">
        <v>344</v>
      </c>
      <c r="C6" s="131" t="s">
        <v>556</v>
      </c>
      <c r="D6" s="132" t="s">
        <v>559</v>
      </c>
      <c r="E6" s="116" t="s">
        <v>337</v>
      </c>
      <c r="F6" s="93" t="s">
        <v>564</v>
      </c>
      <c r="G6" s="131" t="s">
        <v>567</v>
      </c>
      <c r="H6" s="97" t="s">
        <v>569</v>
      </c>
      <c r="I6" s="134">
        <v>6.0</v>
      </c>
      <c r="J6" s="131" t="s">
        <v>579</v>
      </c>
      <c r="K6" s="130" t="s">
        <v>581</v>
      </c>
      <c r="L6" s="82"/>
      <c r="M6" s="139" t="s">
        <v>582</v>
      </c>
      <c r="N6" s="114" t="s">
        <v>584</v>
      </c>
      <c r="O6" s="114" t="s">
        <v>586</v>
      </c>
      <c r="P6" s="115">
        <v>50.6943580309631</v>
      </c>
      <c r="Q6" s="115">
        <v>-3.09489391893165</v>
      </c>
      <c r="R6" s="131" t="s">
        <v>588</v>
      </c>
      <c r="S6" s="131" t="s">
        <v>469</v>
      </c>
      <c r="T6" s="116"/>
      <c r="U6" s="116"/>
      <c r="V6" s="116"/>
      <c r="W6" s="144" t="b">
        <v>1</v>
      </c>
      <c r="X6" s="134" t="b">
        <v>0</v>
      </c>
      <c r="Y6" s="144" t="b">
        <v>1</v>
      </c>
      <c r="Z6" s="144" t="b">
        <v>1</v>
      </c>
      <c r="AA6" s="144" t="b">
        <v>1</v>
      </c>
      <c r="AB6" s="144" t="b">
        <v>1</v>
      </c>
      <c r="AC6" s="144" t="b">
        <v>1</v>
      </c>
      <c r="AD6" s="130" t="s">
        <v>519</v>
      </c>
      <c r="AE6" s="131" t="s">
        <v>608</v>
      </c>
      <c r="AF6" s="130" t="s">
        <v>613</v>
      </c>
      <c r="AG6" s="93" t="s">
        <v>616</v>
      </c>
      <c r="AH6" s="131" t="s">
        <v>535</v>
      </c>
      <c r="AI6" s="131" t="s">
        <v>622</v>
      </c>
      <c r="AJ6" s="131" t="s">
        <v>626</v>
      </c>
      <c r="AK6" s="116"/>
      <c r="AL6" s="93" t="s">
        <v>628</v>
      </c>
      <c r="AM6" s="130" t="s">
        <v>629</v>
      </c>
      <c r="AN6" s="106"/>
      <c r="AO6" s="82"/>
      <c r="AP6" s="82"/>
    </row>
    <row r="7" ht="19.5" customHeight="1">
      <c r="A7" s="82"/>
      <c r="B7" s="130" t="s">
        <v>344</v>
      </c>
      <c r="C7" s="131" t="s">
        <v>632</v>
      </c>
      <c r="D7" s="93" t="s">
        <v>633</v>
      </c>
      <c r="E7" s="116" t="s">
        <v>635</v>
      </c>
      <c r="F7" s="93" t="s">
        <v>636</v>
      </c>
      <c r="G7" s="131" t="s">
        <v>637</v>
      </c>
      <c r="H7" s="97" t="s">
        <v>639</v>
      </c>
      <c r="I7" s="158">
        <v>46113.0</v>
      </c>
      <c r="J7" s="131" t="s">
        <v>642</v>
      </c>
      <c r="K7" s="130" t="s">
        <v>416</v>
      </c>
      <c r="L7" s="161" t="s">
        <v>633</v>
      </c>
      <c r="M7" s="116"/>
      <c r="N7" s="114" t="s">
        <v>646</v>
      </c>
      <c r="O7" s="114" t="s">
        <v>647</v>
      </c>
      <c r="P7" s="115">
        <v>50.5790261168949</v>
      </c>
      <c r="Q7" s="115">
        <v>-3.89970693798938</v>
      </c>
      <c r="R7" s="131" t="s">
        <v>648</v>
      </c>
      <c r="S7" s="131" t="s">
        <v>469</v>
      </c>
      <c r="T7" s="116"/>
      <c r="U7" s="116"/>
      <c r="V7" s="131" t="s">
        <v>656</v>
      </c>
      <c r="W7" s="144" t="b">
        <v>1</v>
      </c>
      <c r="X7" s="119" t="b">
        <v>0</v>
      </c>
      <c r="Y7" s="118" t="b">
        <v>1</v>
      </c>
      <c r="Z7" s="118" t="b">
        <v>1</v>
      </c>
      <c r="AA7" s="118" t="b">
        <v>1</v>
      </c>
      <c r="AB7" s="118" t="b">
        <v>1</v>
      </c>
      <c r="AC7" s="118" t="b">
        <v>1</v>
      </c>
      <c r="AD7" s="130" t="s">
        <v>519</v>
      </c>
      <c r="AE7" s="131" t="s">
        <v>543</v>
      </c>
      <c r="AF7" s="130" t="s">
        <v>663</v>
      </c>
      <c r="AG7" s="93" t="s">
        <v>665</v>
      </c>
      <c r="AH7" s="131" t="s">
        <v>535</v>
      </c>
      <c r="AI7" s="131" t="s">
        <v>671</v>
      </c>
      <c r="AJ7" s="131" t="s">
        <v>673</v>
      </c>
      <c r="AK7" s="131" t="s">
        <v>675</v>
      </c>
      <c r="AL7" s="101" t="s">
        <v>676</v>
      </c>
      <c r="AM7" s="130" t="s">
        <v>530</v>
      </c>
      <c r="AN7" s="106"/>
      <c r="AO7" s="82"/>
      <c r="AP7" s="82"/>
    </row>
    <row r="8" ht="19.5" customHeight="1">
      <c r="A8" s="82"/>
      <c r="B8" s="130" t="s">
        <v>344</v>
      </c>
      <c r="C8" s="131" t="s">
        <v>632</v>
      </c>
      <c r="D8" s="132" t="s">
        <v>679</v>
      </c>
      <c r="E8" s="116" t="s">
        <v>337</v>
      </c>
      <c r="F8" s="93" t="s">
        <v>680</v>
      </c>
      <c r="G8" s="131" t="s">
        <v>682</v>
      </c>
      <c r="H8" s="97" t="s">
        <v>683</v>
      </c>
      <c r="I8" s="134" t="s">
        <v>684</v>
      </c>
      <c r="J8" s="131" t="s">
        <v>688</v>
      </c>
      <c r="K8" s="130" t="s">
        <v>416</v>
      </c>
      <c r="L8" s="161" t="s">
        <v>690</v>
      </c>
      <c r="M8" s="116"/>
      <c r="N8" s="114" t="s">
        <v>692</v>
      </c>
      <c r="O8" s="114" t="s">
        <v>694</v>
      </c>
      <c r="P8" s="115">
        <v>50.7260966676127</v>
      </c>
      <c r="Q8" s="115">
        <v>-3.15246701134037</v>
      </c>
      <c r="R8" s="131" t="s">
        <v>433</v>
      </c>
      <c r="S8" s="116"/>
      <c r="T8" s="116"/>
      <c r="U8" s="116"/>
      <c r="V8" s="131" t="s">
        <v>656</v>
      </c>
      <c r="W8" s="144" t="b">
        <v>1</v>
      </c>
      <c r="X8" s="118" t="b">
        <v>1</v>
      </c>
      <c r="Y8" s="118" t="b">
        <v>1</v>
      </c>
      <c r="Z8" s="118" t="b">
        <v>1</v>
      </c>
      <c r="AA8" s="118" t="b">
        <v>1</v>
      </c>
      <c r="AB8" s="118" t="b">
        <v>1</v>
      </c>
      <c r="AC8" s="118" t="b">
        <v>1</v>
      </c>
      <c r="AD8" s="130" t="s">
        <v>519</v>
      </c>
      <c r="AE8" s="131" t="s">
        <v>608</v>
      </c>
      <c r="AF8" s="130" t="s">
        <v>654</v>
      </c>
      <c r="AG8" s="93" t="s">
        <v>719</v>
      </c>
      <c r="AH8" s="131" t="s">
        <v>535</v>
      </c>
      <c r="AI8" s="131" t="s">
        <v>722</v>
      </c>
      <c r="AJ8" s="131" t="s">
        <v>723</v>
      </c>
      <c r="AK8" s="116"/>
      <c r="AL8" s="93" t="s">
        <v>724</v>
      </c>
      <c r="AM8" s="130" t="s">
        <v>725</v>
      </c>
      <c r="AN8" s="106"/>
      <c r="AO8" s="82"/>
      <c r="AP8" s="82"/>
    </row>
    <row r="9" ht="26.25" customHeight="1">
      <c r="A9" s="82"/>
      <c r="B9" s="130" t="s">
        <v>344</v>
      </c>
      <c r="C9" s="131" t="s">
        <v>727</v>
      </c>
      <c r="D9" s="176" t="s">
        <v>728</v>
      </c>
      <c r="E9" s="116" t="s">
        <v>734</v>
      </c>
      <c r="F9" s="93" t="s">
        <v>738</v>
      </c>
      <c r="G9" s="131" t="s">
        <v>739</v>
      </c>
      <c r="H9" s="97" t="s">
        <v>740</v>
      </c>
      <c r="I9" s="119">
        <v>5.0</v>
      </c>
      <c r="J9" s="131" t="s">
        <v>744</v>
      </c>
      <c r="K9" s="130" t="s">
        <v>416</v>
      </c>
      <c r="L9" s="114" t="s">
        <v>746</v>
      </c>
      <c r="M9" s="116"/>
      <c r="N9" s="114" t="s">
        <v>748</v>
      </c>
      <c r="O9" s="114" t="s">
        <v>749</v>
      </c>
      <c r="P9" s="115">
        <v>50.6304988193775</v>
      </c>
      <c r="Q9" s="115">
        <v>-3.31299019939709</v>
      </c>
      <c r="R9" s="131" t="s">
        <v>648</v>
      </c>
      <c r="S9" s="131" t="s">
        <v>469</v>
      </c>
      <c r="T9" s="116"/>
      <c r="U9" s="116"/>
      <c r="V9" s="116"/>
      <c r="W9" s="144" t="b">
        <v>1</v>
      </c>
      <c r="X9" s="134" t="b">
        <v>0</v>
      </c>
      <c r="Y9" s="144" t="b">
        <v>1</v>
      </c>
      <c r="Z9" s="144" t="b">
        <v>1</v>
      </c>
      <c r="AA9" s="144" t="b">
        <v>1</v>
      </c>
      <c r="AB9" s="144" t="b">
        <v>1</v>
      </c>
      <c r="AC9" s="144" t="b">
        <v>1</v>
      </c>
      <c r="AD9" s="130" t="s">
        <v>519</v>
      </c>
      <c r="AE9" s="131" t="s">
        <v>525</v>
      </c>
      <c r="AF9" s="130" t="s">
        <v>765</v>
      </c>
      <c r="AG9" s="93" t="s">
        <v>766</v>
      </c>
      <c r="AH9" s="131" t="s">
        <v>768</v>
      </c>
      <c r="AI9" s="131" t="s">
        <v>770</v>
      </c>
      <c r="AJ9" s="131" t="s">
        <v>773</v>
      </c>
      <c r="AK9" s="131" t="s">
        <v>774</v>
      </c>
      <c r="AL9" s="101" t="s">
        <v>775</v>
      </c>
      <c r="AM9" s="130" t="s">
        <v>530</v>
      </c>
      <c r="AN9" s="106"/>
      <c r="AO9" s="82"/>
      <c r="AP9" s="82"/>
    </row>
    <row r="10" ht="19.5" customHeight="1">
      <c r="A10" s="82"/>
      <c r="B10" s="130" t="s">
        <v>776</v>
      </c>
      <c r="C10" s="131" t="s">
        <v>777</v>
      </c>
      <c r="D10" s="132" t="s">
        <v>778</v>
      </c>
      <c r="E10" s="116" t="s">
        <v>337</v>
      </c>
      <c r="F10" s="93" t="s">
        <v>779</v>
      </c>
      <c r="G10" s="131" t="s">
        <v>781</v>
      </c>
      <c r="H10" s="97" t="s">
        <v>783</v>
      </c>
      <c r="I10" s="158">
        <v>46300.0</v>
      </c>
      <c r="J10" s="131" t="s">
        <v>786</v>
      </c>
      <c r="K10" s="130" t="s">
        <v>416</v>
      </c>
      <c r="L10" s="114" t="s">
        <v>746</v>
      </c>
      <c r="M10" s="116"/>
      <c r="N10" s="114" t="s">
        <v>748</v>
      </c>
      <c r="O10" s="114" t="s">
        <v>749</v>
      </c>
      <c r="P10" s="115">
        <v>50.6304988193775</v>
      </c>
      <c r="Q10" s="115">
        <v>-3.31299019939709</v>
      </c>
      <c r="R10" s="131" t="s">
        <v>788</v>
      </c>
      <c r="S10" s="131" t="s">
        <v>469</v>
      </c>
      <c r="T10" s="116"/>
      <c r="U10" s="116"/>
      <c r="V10" s="116"/>
      <c r="W10" s="144" t="b">
        <v>1</v>
      </c>
      <c r="X10" s="119" t="b">
        <v>0</v>
      </c>
      <c r="Y10" s="118" t="b">
        <v>1</v>
      </c>
      <c r="Z10" s="118" t="b">
        <v>1</v>
      </c>
      <c r="AA10" s="118" t="b">
        <v>1</v>
      </c>
      <c r="AB10" s="118" t="b">
        <v>1</v>
      </c>
      <c r="AC10" s="118" t="b">
        <v>1</v>
      </c>
      <c r="AD10" s="130" t="s">
        <v>519</v>
      </c>
      <c r="AE10" s="131" t="s">
        <v>543</v>
      </c>
      <c r="AF10" s="130" t="s">
        <v>795</v>
      </c>
      <c r="AG10" s="93" t="s">
        <v>797</v>
      </c>
      <c r="AH10" s="116"/>
      <c r="AI10" s="116"/>
      <c r="AJ10" s="131" t="s">
        <v>799</v>
      </c>
      <c r="AK10" s="116"/>
      <c r="AL10" s="93" t="s">
        <v>800</v>
      </c>
      <c r="AM10" s="130" t="s">
        <v>725</v>
      </c>
      <c r="AN10" s="106"/>
      <c r="AO10" s="82"/>
      <c r="AP10" s="82"/>
    </row>
    <row r="11" ht="19.5" customHeight="1">
      <c r="A11" s="82"/>
      <c r="B11" s="130" t="s">
        <v>344</v>
      </c>
      <c r="C11" s="131" t="s">
        <v>806</v>
      </c>
      <c r="D11" s="101" t="s">
        <v>807</v>
      </c>
      <c r="E11" s="116" t="s">
        <v>808</v>
      </c>
      <c r="F11" s="93" t="s">
        <v>809</v>
      </c>
      <c r="G11" s="131" t="s">
        <v>637</v>
      </c>
      <c r="H11" s="97" t="s">
        <v>810</v>
      </c>
      <c r="I11" s="158">
        <v>46054.0</v>
      </c>
      <c r="J11" s="131" t="s">
        <v>811</v>
      </c>
      <c r="K11" s="130" t="s">
        <v>416</v>
      </c>
      <c r="L11" s="114" t="s">
        <v>813</v>
      </c>
      <c r="M11" s="139" t="s">
        <v>814</v>
      </c>
      <c r="N11" s="114" t="s">
        <v>748</v>
      </c>
      <c r="O11" s="114" t="s">
        <v>815</v>
      </c>
      <c r="P11" s="115">
        <v>50.6513348402047</v>
      </c>
      <c r="Q11" s="115">
        <v>-3.36212555606743</v>
      </c>
      <c r="R11" s="131" t="s">
        <v>433</v>
      </c>
      <c r="S11" s="116"/>
      <c r="T11" s="116"/>
      <c r="U11" s="116"/>
      <c r="V11" s="131" t="s">
        <v>656</v>
      </c>
      <c r="W11" s="144" t="b">
        <v>1</v>
      </c>
      <c r="X11" s="119" t="b">
        <v>0</v>
      </c>
      <c r="Y11" s="118" t="b">
        <v>1</v>
      </c>
      <c r="Z11" s="118" t="b">
        <v>1</v>
      </c>
      <c r="AA11" s="118" t="b">
        <v>1</v>
      </c>
      <c r="AB11" s="118" t="b">
        <v>1</v>
      </c>
      <c r="AC11" s="118" t="b">
        <v>1</v>
      </c>
      <c r="AD11" s="130" t="s">
        <v>519</v>
      </c>
      <c r="AE11" s="131" t="s">
        <v>543</v>
      </c>
      <c r="AF11" s="130" t="s">
        <v>818</v>
      </c>
      <c r="AG11" s="93" t="s">
        <v>821</v>
      </c>
      <c r="AH11" s="131" t="s">
        <v>823</v>
      </c>
      <c r="AI11" s="131" t="s">
        <v>824</v>
      </c>
      <c r="AJ11" s="131" t="s">
        <v>827</v>
      </c>
      <c r="AK11" s="116"/>
      <c r="AL11" s="101" t="s">
        <v>828</v>
      </c>
      <c r="AM11" s="93" t="s">
        <v>725</v>
      </c>
      <c r="AN11" s="106"/>
      <c r="AO11" s="82"/>
      <c r="AP11" s="82"/>
    </row>
    <row r="12" ht="19.5" customHeight="1">
      <c r="A12" s="82"/>
      <c r="B12" s="130" t="s">
        <v>344</v>
      </c>
      <c r="C12" s="131" t="s">
        <v>632</v>
      </c>
      <c r="D12" s="185" t="s">
        <v>832</v>
      </c>
      <c r="E12" s="116" t="s">
        <v>337</v>
      </c>
      <c r="F12" s="93" t="s">
        <v>834</v>
      </c>
      <c r="G12" s="131" t="s">
        <v>682</v>
      </c>
      <c r="H12" s="97" t="s">
        <v>836</v>
      </c>
      <c r="I12" s="186" t="s">
        <v>838</v>
      </c>
      <c r="J12" s="131" t="s">
        <v>840</v>
      </c>
      <c r="K12" s="130" t="s">
        <v>416</v>
      </c>
      <c r="L12" s="161" t="s">
        <v>842</v>
      </c>
      <c r="M12" s="139" t="s">
        <v>843</v>
      </c>
      <c r="N12" s="114" t="s">
        <v>831</v>
      </c>
      <c r="O12" s="114" t="s">
        <v>844</v>
      </c>
      <c r="P12" s="115">
        <v>50.6768007643703</v>
      </c>
      <c r="Q12" s="115">
        <v>-3.37080312377698</v>
      </c>
      <c r="R12" s="131" t="s">
        <v>433</v>
      </c>
      <c r="S12" s="131" t="s">
        <v>469</v>
      </c>
      <c r="T12" s="116"/>
      <c r="U12" s="116"/>
      <c r="V12" s="116"/>
      <c r="W12" s="144" t="b">
        <v>1</v>
      </c>
      <c r="X12" s="134" t="b">
        <v>0</v>
      </c>
      <c r="Y12" s="144" t="b">
        <v>1</v>
      </c>
      <c r="Z12" s="144" t="b">
        <v>1</v>
      </c>
      <c r="AA12" s="144" t="b">
        <v>1</v>
      </c>
      <c r="AB12" s="144" t="b">
        <v>1</v>
      </c>
      <c r="AC12" s="144" t="b">
        <v>1</v>
      </c>
      <c r="AD12" s="130" t="s">
        <v>519</v>
      </c>
      <c r="AE12" s="131" t="s">
        <v>543</v>
      </c>
      <c r="AF12" s="130" t="s">
        <v>851</v>
      </c>
      <c r="AG12" s="93" t="s">
        <v>852</v>
      </c>
      <c r="AH12" s="116"/>
      <c r="AI12" s="116"/>
      <c r="AJ12" s="131" t="s">
        <v>853</v>
      </c>
      <c r="AK12" s="116"/>
      <c r="AL12" s="93" t="s">
        <v>855</v>
      </c>
      <c r="AM12" s="130" t="s">
        <v>530</v>
      </c>
      <c r="AN12" s="106"/>
      <c r="AO12" s="82"/>
      <c r="AP12" s="82"/>
    </row>
    <row r="13" ht="19.5" customHeight="1">
      <c r="A13" s="82"/>
      <c r="B13" s="130" t="s">
        <v>344</v>
      </c>
      <c r="C13" s="131" t="s">
        <v>632</v>
      </c>
      <c r="D13" s="132" t="s">
        <v>857</v>
      </c>
      <c r="E13" s="116" t="s">
        <v>337</v>
      </c>
      <c r="F13" s="93" t="s">
        <v>860</v>
      </c>
      <c r="G13" s="131" t="s">
        <v>862</v>
      </c>
      <c r="H13" s="97" t="s">
        <v>740</v>
      </c>
      <c r="I13" s="134">
        <v>3.5</v>
      </c>
      <c r="J13" s="131" t="s">
        <v>864</v>
      </c>
      <c r="K13" s="130" t="s">
        <v>416</v>
      </c>
      <c r="L13" s="114" t="s">
        <v>865</v>
      </c>
      <c r="M13" s="139" t="s">
        <v>866</v>
      </c>
      <c r="N13" s="114" t="s">
        <v>831</v>
      </c>
      <c r="O13" s="114" t="s">
        <v>867</v>
      </c>
      <c r="P13" s="115">
        <v>50.8014045848514</v>
      </c>
      <c r="Q13" s="115">
        <v>-3.45502069646103</v>
      </c>
      <c r="R13" s="131" t="s">
        <v>433</v>
      </c>
      <c r="S13" s="131" t="s">
        <v>469</v>
      </c>
      <c r="T13" s="116"/>
      <c r="U13" s="116"/>
      <c r="V13" s="116"/>
      <c r="W13" s="144" t="b">
        <v>1</v>
      </c>
      <c r="X13" s="134" t="b">
        <v>0</v>
      </c>
      <c r="Y13" s="144" t="b">
        <v>1</v>
      </c>
      <c r="Z13" s="144" t="b">
        <v>1</v>
      </c>
      <c r="AA13" s="144" t="b">
        <v>1</v>
      </c>
      <c r="AB13" s="144" t="b">
        <v>1</v>
      </c>
      <c r="AC13" s="144" t="b">
        <v>1</v>
      </c>
      <c r="AD13" s="130" t="s">
        <v>519</v>
      </c>
      <c r="AE13" s="131" t="s">
        <v>608</v>
      </c>
      <c r="AF13" s="130" t="s">
        <v>870</v>
      </c>
      <c r="AG13" s="93" t="s">
        <v>871</v>
      </c>
      <c r="AH13" s="116"/>
      <c r="AI13" s="116"/>
      <c r="AJ13" s="131" t="s">
        <v>626</v>
      </c>
      <c r="AK13" s="116"/>
      <c r="AL13" s="93" t="s">
        <v>872</v>
      </c>
      <c r="AM13" s="130" t="s">
        <v>530</v>
      </c>
      <c r="AN13" s="106"/>
      <c r="AO13" s="82"/>
      <c r="AP13" s="82"/>
    </row>
    <row r="14" ht="19.5" customHeight="1">
      <c r="A14" s="82"/>
      <c r="B14" s="130" t="s">
        <v>344</v>
      </c>
      <c r="C14" s="131" t="s">
        <v>632</v>
      </c>
      <c r="D14" s="132" t="s">
        <v>874</v>
      </c>
      <c r="E14" s="116" t="s">
        <v>808</v>
      </c>
      <c r="F14" s="93" t="s">
        <v>877</v>
      </c>
      <c r="G14" s="131" t="s">
        <v>682</v>
      </c>
      <c r="H14" s="97" t="s">
        <v>881</v>
      </c>
      <c r="I14" s="134" t="s">
        <v>882</v>
      </c>
      <c r="J14" s="131" t="s">
        <v>883</v>
      </c>
      <c r="K14" s="130" t="s">
        <v>416</v>
      </c>
      <c r="L14" s="114" t="s">
        <v>874</v>
      </c>
      <c r="M14" s="116"/>
      <c r="N14" s="114" t="s">
        <v>831</v>
      </c>
      <c r="O14" s="114" t="s">
        <v>884</v>
      </c>
      <c r="P14" s="115">
        <v>50.7821725199733</v>
      </c>
      <c r="Q14" s="115">
        <v>-3.46428549564019</v>
      </c>
      <c r="R14" s="131" t="s">
        <v>433</v>
      </c>
      <c r="S14" s="131" t="s">
        <v>469</v>
      </c>
      <c r="T14" s="116"/>
      <c r="U14" s="116"/>
      <c r="V14" s="116"/>
      <c r="W14" s="144" t="b">
        <v>1</v>
      </c>
      <c r="X14" s="134" t="b">
        <v>0</v>
      </c>
      <c r="Y14" s="144" t="b">
        <v>1</v>
      </c>
      <c r="Z14" s="144" t="b">
        <v>1</v>
      </c>
      <c r="AA14" s="144" t="b">
        <v>1</v>
      </c>
      <c r="AB14" s="144" t="b">
        <v>1</v>
      </c>
      <c r="AC14" s="144" t="b">
        <v>1</v>
      </c>
      <c r="AD14" s="130" t="s">
        <v>519</v>
      </c>
      <c r="AE14" s="131" t="s">
        <v>543</v>
      </c>
      <c r="AF14" s="130" t="s">
        <v>699</v>
      </c>
      <c r="AG14" s="93" t="s">
        <v>891</v>
      </c>
      <c r="AH14" s="131" t="s">
        <v>535</v>
      </c>
      <c r="AI14" s="131" t="s">
        <v>893</v>
      </c>
      <c r="AJ14" s="131" t="s">
        <v>626</v>
      </c>
      <c r="AK14" s="116"/>
      <c r="AL14" s="93" t="s">
        <v>894</v>
      </c>
      <c r="AM14" s="130" t="s">
        <v>530</v>
      </c>
      <c r="AN14" s="106"/>
      <c r="AO14" s="82"/>
      <c r="AP14" s="82"/>
    </row>
    <row r="15" ht="19.5" customHeight="1">
      <c r="A15" s="82"/>
      <c r="B15" s="130" t="s">
        <v>344</v>
      </c>
      <c r="C15" s="97" t="s">
        <v>895</v>
      </c>
      <c r="D15" s="176" t="s">
        <v>896</v>
      </c>
      <c r="E15" s="116" t="s">
        <v>337</v>
      </c>
      <c r="F15" s="93" t="s">
        <v>897</v>
      </c>
      <c r="G15" s="97" t="s">
        <v>637</v>
      </c>
      <c r="H15" s="97" t="s">
        <v>898</v>
      </c>
      <c r="I15" s="193">
        <v>46082.0</v>
      </c>
      <c r="J15" s="131" t="s">
        <v>642</v>
      </c>
      <c r="K15" s="130" t="s">
        <v>416</v>
      </c>
      <c r="L15" s="161" t="s">
        <v>896</v>
      </c>
      <c r="M15" s="116"/>
      <c r="N15" s="114" t="s">
        <v>646</v>
      </c>
      <c r="O15" s="114" t="s">
        <v>905</v>
      </c>
      <c r="P15" s="115">
        <v>50.5442442119096</v>
      </c>
      <c r="Q15" s="115">
        <v>-3.87535796027131</v>
      </c>
      <c r="R15" s="97" t="s">
        <v>648</v>
      </c>
      <c r="S15" s="131" t="s">
        <v>469</v>
      </c>
      <c r="T15" s="116"/>
      <c r="U15" s="116"/>
      <c r="V15" s="116"/>
      <c r="W15" s="144" t="b">
        <v>1</v>
      </c>
      <c r="X15" s="144" t="b">
        <v>1</v>
      </c>
      <c r="Y15" s="144" t="b">
        <v>1</v>
      </c>
      <c r="Z15" s="144" t="b">
        <v>1</v>
      </c>
      <c r="AA15" s="144" t="b">
        <v>1</v>
      </c>
      <c r="AB15" s="144" t="b">
        <v>1</v>
      </c>
      <c r="AC15" s="144" t="b">
        <v>1</v>
      </c>
      <c r="AD15" s="130" t="s">
        <v>519</v>
      </c>
      <c r="AE15" s="131" t="s">
        <v>608</v>
      </c>
      <c r="AF15" s="93" t="s">
        <v>654</v>
      </c>
      <c r="AG15" s="93" t="s">
        <v>908</v>
      </c>
      <c r="AH15" s="131" t="s">
        <v>909</v>
      </c>
      <c r="AI15" s="131" t="s">
        <v>910</v>
      </c>
      <c r="AJ15" s="131" t="s">
        <v>911</v>
      </c>
      <c r="AK15" s="116"/>
      <c r="AL15" s="93" t="s">
        <v>912</v>
      </c>
      <c r="AM15" s="93" t="s">
        <v>913</v>
      </c>
      <c r="AN15" s="106"/>
      <c r="AO15" s="82"/>
      <c r="AP15" s="82"/>
    </row>
    <row r="16" ht="19.5" customHeight="1">
      <c r="A16" s="82"/>
      <c r="B16" s="130" t="s">
        <v>344</v>
      </c>
      <c r="C16" s="131" t="s">
        <v>915</v>
      </c>
      <c r="D16" s="176" t="s">
        <v>916</v>
      </c>
      <c r="E16" s="116" t="s">
        <v>918</v>
      </c>
      <c r="F16" s="93" t="s">
        <v>919</v>
      </c>
      <c r="G16" s="97" t="s">
        <v>637</v>
      </c>
      <c r="H16" s="97" t="s">
        <v>920</v>
      </c>
      <c r="I16" s="119" t="s">
        <v>921</v>
      </c>
      <c r="J16" s="131" t="s">
        <v>883</v>
      </c>
      <c r="K16" s="130" t="s">
        <v>416</v>
      </c>
      <c r="L16" s="161" t="s">
        <v>916</v>
      </c>
      <c r="M16" s="139" t="s">
        <v>922</v>
      </c>
      <c r="N16" s="114" t="s">
        <v>382</v>
      </c>
      <c r="O16" s="114" t="s">
        <v>923</v>
      </c>
      <c r="P16" s="115">
        <v>50.5211732272966</v>
      </c>
      <c r="Q16" s="115">
        <v>-3.60017306638851</v>
      </c>
      <c r="R16" s="97" t="s">
        <v>648</v>
      </c>
      <c r="S16" s="131" t="s">
        <v>924</v>
      </c>
      <c r="T16" s="131" t="s">
        <v>925</v>
      </c>
      <c r="U16" s="116"/>
      <c r="V16" s="116"/>
      <c r="W16" s="144" t="b">
        <v>1</v>
      </c>
      <c r="X16" s="144" t="b">
        <v>1</v>
      </c>
      <c r="Y16" s="144" t="b">
        <v>1</v>
      </c>
      <c r="Z16" s="144" t="b">
        <v>1</v>
      </c>
      <c r="AA16" s="144" t="b">
        <v>1</v>
      </c>
      <c r="AB16" s="144" t="b">
        <v>1</v>
      </c>
      <c r="AC16" s="144" t="b">
        <v>1</v>
      </c>
      <c r="AD16" s="130" t="s">
        <v>519</v>
      </c>
      <c r="AE16" s="131" t="s">
        <v>608</v>
      </c>
      <c r="AF16" s="93" t="s">
        <v>818</v>
      </c>
      <c r="AG16" s="93" t="s">
        <v>926</v>
      </c>
      <c r="AH16" s="116"/>
      <c r="AI16" s="131" t="s">
        <v>927</v>
      </c>
      <c r="AJ16" s="131" t="s">
        <v>853</v>
      </c>
      <c r="AK16" s="116"/>
      <c r="AL16" s="93" t="s">
        <v>928</v>
      </c>
      <c r="AM16" s="93" t="s">
        <v>530</v>
      </c>
      <c r="AN16" s="106"/>
      <c r="AO16" s="82"/>
      <c r="AP16" s="82"/>
    </row>
    <row r="17" ht="19.5" customHeight="1">
      <c r="A17" s="130" t="s">
        <v>929</v>
      </c>
      <c r="B17" s="130" t="s">
        <v>344</v>
      </c>
      <c r="C17" s="131" t="s">
        <v>632</v>
      </c>
      <c r="D17" s="132" t="s">
        <v>930</v>
      </c>
      <c r="E17" s="116" t="s">
        <v>337</v>
      </c>
      <c r="F17" s="93" t="s">
        <v>931</v>
      </c>
      <c r="G17" s="131" t="s">
        <v>682</v>
      </c>
      <c r="H17" s="97" t="s">
        <v>933</v>
      </c>
      <c r="I17" s="193">
        <v>46054.0</v>
      </c>
      <c r="J17" s="131" t="s">
        <v>935</v>
      </c>
      <c r="K17" s="130" t="s">
        <v>416</v>
      </c>
      <c r="L17" s="82"/>
      <c r="M17" s="116"/>
      <c r="N17" s="114" t="s">
        <v>382</v>
      </c>
      <c r="O17" s="114" t="s">
        <v>936</v>
      </c>
      <c r="P17" s="115">
        <v>50.5076934178194</v>
      </c>
      <c r="Q17" s="115">
        <v>-3.66998520649021</v>
      </c>
      <c r="R17" s="131" t="s">
        <v>588</v>
      </c>
      <c r="S17" s="131" t="s">
        <v>469</v>
      </c>
      <c r="T17" s="116"/>
      <c r="U17" s="116"/>
      <c r="V17" s="116"/>
      <c r="W17" s="144" t="b">
        <v>1</v>
      </c>
      <c r="X17" s="134" t="b">
        <v>0</v>
      </c>
      <c r="Y17" s="134" t="b">
        <v>0</v>
      </c>
      <c r="Z17" s="144" t="b">
        <v>1</v>
      </c>
      <c r="AA17" s="144" t="b">
        <v>1</v>
      </c>
      <c r="AB17" s="144" t="b">
        <v>1</v>
      </c>
      <c r="AC17" s="144" t="b">
        <v>1</v>
      </c>
      <c r="AD17" s="130" t="s">
        <v>519</v>
      </c>
      <c r="AE17" s="131" t="s">
        <v>543</v>
      </c>
      <c r="AF17" s="130" t="s">
        <v>654</v>
      </c>
      <c r="AG17" s="93" t="s">
        <v>941</v>
      </c>
      <c r="AH17" s="131" t="s">
        <v>535</v>
      </c>
      <c r="AI17" s="131" t="s">
        <v>942</v>
      </c>
      <c r="AJ17" s="131" t="s">
        <v>943</v>
      </c>
      <c r="AK17" s="116"/>
      <c r="AL17" s="93" t="s">
        <v>944</v>
      </c>
      <c r="AM17" s="130" t="s">
        <v>530</v>
      </c>
      <c r="AN17" s="106"/>
      <c r="AO17" s="82"/>
      <c r="AP17" s="82"/>
    </row>
    <row r="18" ht="19.5" customHeight="1">
      <c r="A18" s="82"/>
      <c r="B18" s="130" t="s">
        <v>344</v>
      </c>
      <c r="C18" s="131" t="s">
        <v>632</v>
      </c>
      <c r="D18" s="185" t="s">
        <v>945</v>
      </c>
      <c r="E18" s="116" t="s">
        <v>337</v>
      </c>
      <c r="F18" s="93" t="s">
        <v>946</v>
      </c>
      <c r="G18" s="131" t="s">
        <v>947</v>
      </c>
      <c r="H18" s="97" t="s">
        <v>740</v>
      </c>
      <c r="I18" s="134" t="s">
        <v>948</v>
      </c>
      <c r="J18" s="131" t="s">
        <v>864</v>
      </c>
      <c r="K18" s="130" t="s">
        <v>416</v>
      </c>
      <c r="L18" s="114" t="s">
        <v>865</v>
      </c>
      <c r="M18" s="139" t="s">
        <v>866</v>
      </c>
      <c r="N18" s="114" t="s">
        <v>831</v>
      </c>
      <c r="O18" s="114" t="s">
        <v>867</v>
      </c>
      <c r="P18" s="115">
        <v>50.8014045848514</v>
      </c>
      <c r="Q18" s="115">
        <v>-3.45502069646103</v>
      </c>
      <c r="R18" s="131" t="s">
        <v>433</v>
      </c>
      <c r="S18" s="131" t="s">
        <v>469</v>
      </c>
      <c r="T18" s="116"/>
      <c r="U18" s="116"/>
      <c r="V18" s="116"/>
      <c r="W18" s="144" t="b">
        <v>1</v>
      </c>
      <c r="X18" s="134" t="b">
        <v>0</v>
      </c>
      <c r="Y18" s="134" t="b">
        <v>0</v>
      </c>
      <c r="Z18" s="144" t="b">
        <v>1</v>
      </c>
      <c r="AA18" s="144" t="b">
        <v>1</v>
      </c>
      <c r="AB18" s="144" t="b">
        <v>1</v>
      </c>
      <c r="AC18" s="144" t="b">
        <v>1</v>
      </c>
      <c r="AD18" s="130" t="s">
        <v>519</v>
      </c>
      <c r="AE18" s="131" t="s">
        <v>608</v>
      </c>
      <c r="AF18" s="130" t="s">
        <v>870</v>
      </c>
      <c r="AG18" s="93" t="s">
        <v>955</v>
      </c>
      <c r="AH18" s="116"/>
      <c r="AI18" s="116"/>
      <c r="AJ18" s="131" t="s">
        <v>626</v>
      </c>
      <c r="AK18" s="116"/>
      <c r="AL18" s="93" t="s">
        <v>960</v>
      </c>
      <c r="AM18" s="130" t="s">
        <v>530</v>
      </c>
      <c r="AN18" s="106"/>
      <c r="AO18" s="82"/>
      <c r="AP18" s="82"/>
    </row>
    <row r="19" ht="19.5" customHeight="1">
      <c r="A19" s="82"/>
      <c r="B19" s="93" t="s">
        <v>344</v>
      </c>
      <c r="C19" s="97" t="s">
        <v>632</v>
      </c>
      <c r="D19" s="132" t="s">
        <v>961</v>
      </c>
      <c r="E19" s="116" t="s">
        <v>337</v>
      </c>
      <c r="F19" s="93" t="s">
        <v>966</v>
      </c>
      <c r="G19" s="97" t="s">
        <v>739</v>
      </c>
      <c r="H19" s="97" t="s">
        <v>920</v>
      </c>
      <c r="I19" s="111">
        <v>46082.0</v>
      </c>
      <c r="J19" s="131" t="s">
        <v>972</v>
      </c>
      <c r="K19" s="130" t="s">
        <v>416</v>
      </c>
      <c r="L19" s="82"/>
      <c r="M19" s="139" t="s">
        <v>843</v>
      </c>
      <c r="N19" s="114" t="s">
        <v>831</v>
      </c>
      <c r="O19" s="114" t="s">
        <v>844</v>
      </c>
      <c r="P19" s="115">
        <v>50.6766912352127</v>
      </c>
      <c r="Q19" s="115">
        <v>-3.37196109012313</v>
      </c>
      <c r="R19" s="97" t="s">
        <v>433</v>
      </c>
      <c r="S19" s="131" t="s">
        <v>469</v>
      </c>
      <c r="T19" s="116"/>
      <c r="U19" s="116"/>
      <c r="V19" s="116"/>
      <c r="W19" s="144" t="b">
        <v>1</v>
      </c>
      <c r="X19" s="134" t="b">
        <v>0</v>
      </c>
      <c r="Y19" s="134" t="b">
        <v>0</v>
      </c>
      <c r="Z19" s="144" t="b">
        <v>1</v>
      </c>
      <c r="AA19" s="144" t="b">
        <v>1</v>
      </c>
      <c r="AB19" s="144" t="b">
        <v>1</v>
      </c>
      <c r="AC19" s="144" t="b">
        <v>1</v>
      </c>
      <c r="AD19" s="130" t="s">
        <v>519</v>
      </c>
      <c r="AE19" s="131" t="s">
        <v>608</v>
      </c>
      <c r="AF19" s="93" t="s">
        <v>851</v>
      </c>
      <c r="AG19" s="93" t="s">
        <v>977</v>
      </c>
      <c r="AH19" s="116"/>
      <c r="AI19" s="131" t="s">
        <v>978</v>
      </c>
      <c r="AJ19" s="131" t="s">
        <v>979</v>
      </c>
      <c r="AK19" s="116"/>
      <c r="AL19" s="93" t="s">
        <v>980</v>
      </c>
      <c r="AM19" s="130" t="s">
        <v>530</v>
      </c>
      <c r="AN19" s="106"/>
      <c r="AO19" s="82"/>
      <c r="AP19" s="82"/>
    </row>
    <row r="20" ht="19.5" customHeight="1">
      <c r="A20" s="82"/>
      <c r="B20" s="130" t="s">
        <v>776</v>
      </c>
      <c r="C20" s="131" t="s">
        <v>777</v>
      </c>
      <c r="D20" s="93" t="s">
        <v>981</v>
      </c>
      <c r="E20" s="97" t="s">
        <v>337</v>
      </c>
      <c r="F20" s="93" t="s">
        <v>982</v>
      </c>
      <c r="G20" s="131" t="s">
        <v>739</v>
      </c>
      <c r="H20" s="97" t="s">
        <v>783</v>
      </c>
      <c r="I20" s="134">
        <v>7.6</v>
      </c>
      <c r="J20" s="131" t="s">
        <v>786</v>
      </c>
      <c r="K20" s="130" t="s">
        <v>416</v>
      </c>
      <c r="L20" s="114" t="s">
        <v>984</v>
      </c>
      <c r="M20" s="116"/>
      <c r="N20" s="114" t="s">
        <v>985</v>
      </c>
      <c r="O20" s="114" t="s">
        <v>986</v>
      </c>
      <c r="P20" s="115">
        <v>50.6261775078487</v>
      </c>
      <c r="Q20" s="115">
        <v>-3.41551587688832</v>
      </c>
      <c r="R20" s="131" t="s">
        <v>788</v>
      </c>
      <c r="S20" s="131" t="s">
        <v>987</v>
      </c>
      <c r="T20" s="116"/>
      <c r="U20" s="131" t="s">
        <v>483</v>
      </c>
      <c r="V20" s="116"/>
      <c r="W20" s="144" t="b">
        <v>1</v>
      </c>
      <c r="X20" s="119" t="b">
        <v>0</v>
      </c>
      <c r="Y20" s="119" t="b">
        <v>0</v>
      </c>
      <c r="Z20" s="118" t="b">
        <v>1</v>
      </c>
      <c r="AA20" s="118" t="b">
        <v>1</v>
      </c>
      <c r="AB20" s="118" t="b">
        <v>1</v>
      </c>
      <c r="AC20" s="118" t="b">
        <v>1</v>
      </c>
      <c r="AD20" s="130" t="s">
        <v>519</v>
      </c>
      <c r="AE20" s="131" t="s">
        <v>991</v>
      </c>
      <c r="AF20" s="130" t="s">
        <v>598</v>
      </c>
      <c r="AG20" s="93" t="s">
        <v>992</v>
      </c>
      <c r="AH20" s="131" t="s">
        <v>993</v>
      </c>
      <c r="AI20" s="131" t="s">
        <v>995</v>
      </c>
      <c r="AJ20" s="131" t="s">
        <v>997</v>
      </c>
      <c r="AK20" s="116"/>
      <c r="AL20" s="101" t="s">
        <v>998</v>
      </c>
      <c r="AM20" s="82"/>
      <c r="AN20" s="106"/>
      <c r="AO20" s="82"/>
      <c r="AP20" s="82"/>
    </row>
    <row r="21" ht="19.5" customHeight="1">
      <c r="A21" s="130" t="s">
        <v>929</v>
      </c>
      <c r="B21" s="130" t="s">
        <v>344</v>
      </c>
      <c r="C21" s="131" t="s">
        <v>363</v>
      </c>
      <c r="D21" s="93" t="s">
        <v>999</v>
      </c>
      <c r="E21" s="97" t="s">
        <v>1000</v>
      </c>
      <c r="F21" s="93" t="s">
        <v>1002</v>
      </c>
      <c r="G21" s="131" t="s">
        <v>781</v>
      </c>
      <c r="H21" s="97" t="s">
        <v>783</v>
      </c>
      <c r="I21" s="134" t="s">
        <v>1004</v>
      </c>
      <c r="J21" s="131" t="s">
        <v>786</v>
      </c>
      <c r="K21" s="130" t="s">
        <v>416</v>
      </c>
      <c r="L21" s="114" t="s">
        <v>984</v>
      </c>
      <c r="M21" s="116"/>
      <c r="N21" s="114" t="s">
        <v>985</v>
      </c>
      <c r="O21" s="114" t="s">
        <v>986</v>
      </c>
      <c r="P21" s="115">
        <v>50.6261775078487</v>
      </c>
      <c r="Q21" s="115">
        <v>-3.41551587688832</v>
      </c>
      <c r="R21" s="131" t="s">
        <v>1001</v>
      </c>
      <c r="S21" s="131" t="s">
        <v>987</v>
      </c>
      <c r="T21" s="131" t="s">
        <v>1005</v>
      </c>
      <c r="U21" s="131" t="s">
        <v>1006</v>
      </c>
      <c r="V21" s="116"/>
      <c r="W21" s="144" t="b">
        <v>1</v>
      </c>
      <c r="X21" s="119" t="b">
        <v>0</v>
      </c>
      <c r="Y21" s="118" t="b">
        <v>1</v>
      </c>
      <c r="Z21" s="118" t="b">
        <v>1</v>
      </c>
      <c r="AA21" s="118" t="b">
        <v>1</v>
      </c>
      <c r="AB21" s="118" t="b">
        <v>1</v>
      </c>
      <c r="AC21" s="118" t="b">
        <v>1</v>
      </c>
      <c r="AD21" s="130" t="s">
        <v>519</v>
      </c>
      <c r="AE21" s="131" t="s">
        <v>991</v>
      </c>
      <c r="AF21" s="130" t="s">
        <v>851</v>
      </c>
      <c r="AG21" s="93" t="s">
        <v>1007</v>
      </c>
      <c r="AH21" s="116"/>
      <c r="AI21" s="131" t="s">
        <v>1008</v>
      </c>
      <c r="AJ21" s="131" t="s">
        <v>1009</v>
      </c>
      <c r="AK21" s="116"/>
      <c r="AL21" s="101" t="s">
        <v>1010</v>
      </c>
      <c r="AM21" s="93" t="s">
        <v>530</v>
      </c>
      <c r="AN21" s="106"/>
      <c r="AO21" s="82"/>
      <c r="AP21" s="82"/>
    </row>
    <row r="22" ht="19.5" customHeight="1">
      <c r="A22" s="82"/>
      <c r="B22" s="130" t="s">
        <v>776</v>
      </c>
      <c r="C22" s="131" t="s">
        <v>777</v>
      </c>
      <c r="D22" s="93" t="s">
        <v>1013</v>
      </c>
      <c r="E22" s="97" t="s">
        <v>337</v>
      </c>
      <c r="F22" s="93" t="s">
        <v>1014</v>
      </c>
      <c r="G22" s="131" t="s">
        <v>739</v>
      </c>
      <c r="H22" s="97" t="s">
        <v>783</v>
      </c>
      <c r="I22" s="134">
        <v>3.5</v>
      </c>
      <c r="J22" s="131" t="s">
        <v>786</v>
      </c>
      <c r="K22" s="130" t="s">
        <v>416</v>
      </c>
      <c r="L22" s="114" t="s">
        <v>984</v>
      </c>
      <c r="M22" s="116"/>
      <c r="N22" s="114" t="s">
        <v>985</v>
      </c>
      <c r="O22" s="114" t="s">
        <v>986</v>
      </c>
      <c r="P22" s="115">
        <v>50.6261775078487</v>
      </c>
      <c r="Q22" s="115">
        <v>-3.41551587688832</v>
      </c>
      <c r="R22" s="131" t="s">
        <v>788</v>
      </c>
      <c r="S22" s="131" t="s">
        <v>987</v>
      </c>
      <c r="T22" s="116"/>
      <c r="U22" s="131" t="s">
        <v>483</v>
      </c>
      <c r="V22" s="116"/>
      <c r="W22" s="144" t="b">
        <v>1</v>
      </c>
      <c r="X22" s="119" t="b">
        <v>0</v>
      </c>
      <c r="Y22" s="119" t="b">
        <v>0</v>
      </c>
      <c r="Z22" s="118" t="b">
        <v>1</v>
      </c>
      <c r="AA22" s="118" t="b">
        <v>1</v>
      </c>
      <c r="AB22" s="118" t="b">
        <v>1</v>
      </c>
      <c r="AC22" s="118" t="b">
        <v>1</v>
      </c>
      <c r="AD22" s="130" t="s">
        <v>519</v>
      </c>
      <c r="AE22" s="131" t="s">
        <v>991</v>
      </c>
      <c r="AF22" s="130" t="s">
        <v>795</v>
      </c>
      <c r="AG22" s="93" t="s">
        <v>1017</v>
      </c>
      <c r="AH22" s="116"/>
      <c r="AI22" s="131" t="s">
        <v>1008</v>
      </c>
      <c r="AJ22" s="131" t="s">
        <v>1019</v>
      </c>
      <c r="AK22" s="116"/>
      <c r="AL22" s="101" t="s">
        <v>1020</v>
      </c>
      <c r="AM22" s="93" t="s">
        <v>530</v>
      </c>
      <c r="AN22" s="106"/>
      <c r="AO22" s="82"/>
      <c r="AP22" s="82"/>
    </row>
    <row r="23" ht="19.5" customHeight="1">
      <c r="A23" s="82"/>
      <c r="B23" s="130" t="s">
        <v>776</v>
      </c>
      <c r="C23" s="131" t="s">
        <v>1024</v>
      </c>
      <c r="D23" s="93" t="s">
        <v>1025</v>
      </c>
      <c r="E23" s="97" t="s">
        <v>1000</v>
      </c>
      <c r="F23" s="93" t="s">
        <v>1027</v>
      </c>
      <c r="G23" s="131" t="s">
        <v>739</v>
      </c>
      <c r="H23" s="97" t="s">
        <v>783</v>
      </c>
      <c r="I23" s="134">
        <v>3.2</v>
      </c>
      <c r="J23" s="131" t="s">
        <v>786</v>
      </c>
      <c r="K23" s="130" t="s">
        <v>416</v>
      </c>
      <c r="L23" s="82"/>
      <c r="M23" s="139" t="s">
        <v>1030</v>
      </c>
      <c r="N23" s="114" t="s">
        <v>831</v>
      </c>
      <c r="O23" s="114" t="s">
        <v>1031</v>
      </c>
      <c r="P23" s="115">
        <v>50.6682733714476</v>
      </c>
      <c r="Q23" s="115">
        <v>-3.44400239567381</v>
      </c>
      <c r="R23" s="131" t="s">
        <v>788</v>
      </c>
      <c r="S23" s="131" t="s">
        <v>987</v>
      </c>
      <c r="T23" s="116"/>
      <c r="U23" s="131" t="s">
        <v>483</v>
      </c>
      <c r="V23" s="116"/>
      <c r="W23" s="144" t="b">
        <v>1</v>
      </c>
      <c r="X23" s="119" t="b">
        <v>0</v>
      </c>
      <c r="Y23" s="118" t="b">
        <v>1</v>
      </c>
      <c r="Z23" s="118" t="b">
        <v>1</v>
      </c>
      <c r="AA23" s="118" t="b">
        <v>1</v>
      </c>
      <c r="AB23" s="118" t="b">
        <v>1</v>
      </c>
      <c r="AC23" s="118" t="b">
        <v>1</v>
      </c>
      <c r="AD23" s="130" t="s">
        <v>519</v>
      </c>
      <c r="AE23" s="131" t="s">
        <v>991</v>
      </c>
      <c r="AF23" s="130" t="s">
        <v>654</v>
      </c>
      <c r="AG23" s="93" t="s">
        <v>1032</v>
      </c>
      <c r="AH23" s="131" t="s">
        <v>993</v>
      </c>
      <c r="AI23" s="131" t="s">
        <v>1033</v>
      </c>
      <c r="AJ23" s="131" t="s">
        <v>1019</v>
      </c>
      <c r="AK23" s="116"/>
      <c r="AL23" s="101" t="s">
        <v>1035</v>
      </c>
      <c r="AM23" s="82"/>
      <c r="AN23" s="106"/>
      <c r="AO23" s="82"/>
      <c r="AP23" s="82"/>
    </row>
    <row r="24" ht="19.5" customHeight="1">
      <c r="A24" s="82"/>
      <c r="B24" s="130" t="s">
        <v>776</v>
      </c>
      <c r="C24" s="131" t="s">
        <v>777</v>
      </c>
      <c r="D24" s="93" t="s">
        <v>1037</v>
      </c>
      <c r="E24" s="97" t="s">
        <v>337</v>
      </c>
      <c r="F24" s="93" t="s">
        <v>1040</v>
      </c>
      <c r="G24" s="131" t="s">
        <v>739</v>
      </c>
      <c r="H24" s="97" t="s">
        <v>783</v>
      </c>
      <c r="I24" s="134">
        <v>4.0</v>
      </c>
      <c r="J24" s="131" t="s">
        <v>786</v>
      </c>
      <c r="K24" s="130" t="s">
        <v>416</v>
      </c>
      <c r="L24" s="82"/>
      <c r="M24" s="139" t="s">
        <v>1042</v>
      </c>
      <c r="N24" s="114" t="s">
        <v>669</v>
      </c>
      <c r="O24" s="114" t="s">
        <v>1043</v>
      </c>
      <c r="P24" s="115">
        <v>50.647368210735</v>
      </c>
      <c r="Q24" s="115">
        <v>-3.42975906445031</v>
      </c>
      <c r="R24" s="131" t="s">
        <v>1001</v>
      </c>
      <c r="S24" s="131" t="s">
        <v>987</v>
      </c>
      <c r="T24" s="116"/>
      <c r="U24" s="131" t="s">
        <v>483</v>
      </c>
      <c r="V24" s="116"/>
      <c r="W24" s="144" t="b">
        <v>1</v>
      </c>
      <c r="X24" s="119" t="b">
        <v>0</v>
      </c>
      <c r="Y24" s="119" t="b">
        <v>0</v>
      </c>
      <c r="Z24" s="118" t="b">
        <v>1</v>
      </c>
      <c r="AA24" s="118" t="b">
        <v>1</v>
      </c>
      <c r="AB24" s="118" t="b">
        <v>1</v>
      </c>
      <c r="AC24" s="118" t="b">
        <v>1</v>
      </c>
      <c r="AD24" s="130" t="s">
        <v>519</v>
      </c>
      <c r="AE24" s="131" t="s">
        <v>991</v>
      </c>
      <c r="AF24" s="130" t="s">
        <v>795</v>
      </c>
      <c r="AG24" s="93" t="s">
        <v>1048</v>
      </c>
      <c r="AH24" s="116"/>
      <c r="AI24" s="131" t="s">
        <v>1008</v>
      </c>
      <c r="AJ24" s="131" t="s">
        <v>1050</v>
      </c>
      <c r="AK24" s="116"/>
      <c r="AL24" s="101" t="s">
        <v>1051</v>
      </c>
      <c r="AM24" s="93" t="s">
        <v>530</v>
      </c>
      <c r="AN24" s="106"/>
      <c r="AO24" s="82"/>
      <c r="AP24" s="82"/>
    </row>
    <row r="25" ht="19.5" customHeight="1">
      <c r="A25" s="82"/>
      <c r="B25" s="130" t="s">
        <v>776</v>
      </c>
      <c r="C25" s="131" t="s">
        <v>1024</v>
      </c>
      <c r="D25" s="93" t="s">
        <v>1053</v>
      </c>
      <c r="E25" s="97" t="s">
        <v>1000</v>
      </c>
      <c r="F25" s="93" t="s">
        <v>1054</v>
      </c>
      <c r="G25" s="131" t="s">
        <v>739</v>
      </c>
      <c r="H25" s="97" t="s">
        <v>783</v>
      </c>
      <c r="I25" s="134">
        <v>3.2</v>
      </c>
      <c r="J25" s="131" t="s">
        <v>786</v>
      </c>
      <c r="K25" s="130" t="s">
        <v>416</v>
      </c>
      <c r="L25" s="114" t="s">
        <v>1057</v>
      </c>
      <c r="M25" s="139" t="s">
        <v>1042</v>
      </c>
      <c r="N25" s="114" t="s">
        <v>669</v>
      </c>
      <c r="O25" s="114" t="s">
        <v>1058</v>
      </c>
      <c r="P25" s="115">
        <v>50.6482628781485</v>
      </c>
      <c r="Q25" s="115">
        <v>-3.43118642816462</v>
      </c>
      <c r="R25" s="131" t="s">
        <v>788</v>
      </c>
      <c r="S25" s="131" t="s">
        <v>987</v>
      </c>
      <c r="T25" s="116"/>
      <c r="U25" s="131" t="s">
        <v>483</v>
      </c>
      <c r="V25" s="116"/>
      <c r="W25" s="144" t="b">
        <v>1</v>
      </c>
      <c r="X25" s="119" t="b">
        <v>0</v>
      </c>
      <c r="Y25" s="119" t="b">
        <v>0</v>
      </c>
      <c r="Z25" s="118" t="b">
        <v>1</v>
      </c>
      <c r="AA25" s="118" t="b">
        <v>1</v>
      </c>
      <c r="AB25" s="118" t="b">
        <v>1</v>
      </c>
      <c r="AC25" s="118" t="b">
        <v>1</v>
      </c>
      <c r="AD25" s="130" t="s">
        <v>519</v>
      </c>
      <c r="AE25" s="131" t="s">
        <v>991</v>
      </c>
      <c r="AF25" s="130" t="s">
        <v>654</v>
      </c>
      <c r="AG25" s="93" t="s">
        <v>1065</v>
      </c>
      <c r="AH25" s="131" t="s">
        <v>993</v>
      </c>
      <c r="AI25" s="131" t="s">
        <v>995</v>
      </c>
      <c r="AJ25" s="131" t="s">
        <v>1068</v>
      </c>
      <c r="AK25" s="116"/>
      <c r="AL25" s="101" t="s">
        <v>1071</v>
      </c>
      <c r="AM25" s="82"/>
      <c r="AN25" s="106"/>
      <c r="AO25" s="82"/>
      <c r="AP25" s="82"/>
    </row>
    <row r="26" ht="19.5" customHeight="1">
      <c r="A26" s="82"/>
      <c r="B26" s="130" t="s">
        <v>776</v>
      </c>
      <c r="C26" s="131" t="s">
        <v>1024</v>
      </c>
      <c r="D26" s="93" t="s">
        <v>1078</v>
      </c>
      <c r="E26" s="97" t="s">
        <v>734</v>
      </c>
      <c r="F26" s="93" t="s">
        <v>1079</v>
      </c>
      <c r="G26" s="131" t="s">
        <v>739</v>
      </c>
      <c r="H26" s="97" t="s">
        <v>783</v>
      </c>
      <c r="I26" s="134">
        <v>2.0</v>
      </c>
      <c r="J26" s="131" t="s">
        <v>1080</v>
      </c>
      <c r="K26" s="130" t="s">
        <v>416</v>
      </c>
      <c r="L26" s="82"/>
      <c r="M26" s="139" t="s">
        <v>1042</v>
      </c>
      <c r="N26" s="114" t="s">
        <v>669</v>
      </c>
      <c r="O26" s="114" t="s">
        <v>1043</v>
      </c>
      <c r="P26" s="115">
        <v>50.647368210735</v>
      </c>
      <c r="Q26" s="115">
        <v>-3.42975906445031</v>
      </c>
      <c r="R26" s="131" t="s">
        <v>788</v>
      </c>
      <c r="S26" s="131" t="s">
        <v>1081</v>
      </c>
      <c r="T26" s="131" t="s">
        <v>1005</v>
      </c>
      <c r="U26" s="131" t="s">
        <v>1006</v>
      </c>
      <c r="V26" s="116"/>
      <c r="W26" s="144" t="b">
        <v>1</v>
      </c>
      <c r="X26" s="119" t="b">
        <v>0</v>
      </c>
      <c r="Y26" s="119" t="b">
        <v>0</v>
      </c>
      <c r="Z26" s="118" t="b">
        <v>1</v>
      </c>
      <c r="AA26" s="118" t="b">
        <v>1</v>
      </c>
      <c r="AB26" s="118" t="b">
        <v>1</v>
      </c>
      <c r="AC26" s="118" t="b">
        <v>1</v>
      </c>
      <c r="AD26" s="130" t="s">
        <v>519</v>
      </c>
      <c r="AE26" s="131" t="s">
        <v>991</v>
      </c>
      <c r="AF26" s="130" t="s">
        <v>654</v>
      </c>
      <c r="AG26" s="93" t="s">
        <v>1082</v>
      </c>
      <c r="AH26" s="116"/>
      <c r="AI26" s="131" t="s">
        <v>1008</v>
      </c>
      <c r="AJ26" s="131" t="s">
        <v>1019</v>
      </c>
      <c r="AK26" s="116"/>
      <c r="AL26" s="101" t="s">
        <v>1051</v>
      </c>
      <c r="AM26" s="93" t="s">
        <v>530</v>
      </c>
      <c r="AN26" s="106"/>
      <c r="AO26" s="82"/>
      <c r="AP26" s="82"/>
    </row>
    <row r="27" ht="19.5" customHeight="1">
      <c r="A27" s="82"/>
      <c r="B27" s="130" t="s">
        <v>344</v>
      </c>
      <c r="C27" s="131" t="s">
        <v>1084</v>
      </c>
      <c r="D27" s="132" t="s">
        <v>1085</v>
      </c>
      <c r="E27" s="116" t="s">
        <v>808</v>
      </c>
      <c r="F27" s="93" t="s">
        <v>1086</v>
      </c>
      <c r="G27" s="131" t="s">
        <v>567</v>
      </c>
      <c r="H27" s="97" t="s">
        <v>783</v>
      </c>
      <c r="I27" s="134">
        <v>1.0</v>
      </c>
      <c r="J27" s="131" t="s">
        <v>786</v>
      </c>
      <c r="K27" s="130" t="s">
        <v>416</v>
      </c>
      <c r="L27" s="114" t="s">
        <v>1087</v>
      </c>
      <c r="M27" s="139" t="s">
        <v>1088</v>
      </c>
      <c r="N27" s="114" t="s">
        <v>831</v>
      </c>
      <c r="O27" s="114" t="s">
        <v>1089</v>
      </c>
      <c r="P27" s="115">
        <v>50.716095431657</v>
      </c>
      <c r="Q27" s="115">
        <v>-3.5315308451382</v>
      </c>
      <c r="R27" s="131" t="s">
        <v>648</v>
      </c>
      <c r="S27" s="131" t="s">
        <v>987</v>
      </c>
      <c r="T27" s="116"/>
      <c r="U27" s="131" t="s">
        <v>1093</v>
      </c>
      <c r="V27" s="116"/>
      <c r="W27" s="144" t="b">
        <v>1</v>
      </c>
      <c r="X27" s="119" t="b">
        <v>0</v>
      </c>
      <c r="Y27" s="118" t="b">
        <v>1</v>
      </c>
      <c r="Z27" s="118" t="b">
        <v>1</v>
      </c>
      <c r="AA27" s="118" t="b">
        <v>1</v>
      </c>
      <c r="AB27" s="118" t="b">
        <v>1</v>
      </c>
      <c r="AC27" s="118" t="b">
        <v>1</v>
      </c>
      <c r="AD27" s="130" t="s">
        <v>519</v>
      </c>
      <c r="AE27" s="131" t="s">
        <v>1096</v>
      </c>
      <c r="AF27" s="130" t="s">
        <v>654</v>
      </c>
      <c r="AG27" s="93" t="s">
        <v>1097</v>
      </c>
      <c r="AH27" s="116"/>
      <c r="AI27" s="116"/>
      <c r="AJ27" s="131" t="s">
        <v>1099</v>
      </c>
      <c r="AK27" s="116"/>
      <c r="AL27" s="93" t="s">
        <v>1102</v>
      </c>
      <c r="AM27" s="130" t="s">
        <v>725</v>
      </c>
      <c r="AN27" s="106"/>
      <c r="AO27" s="82"/>
      <c r="AP27" s="82"/>
    </row>
    <row r="28" ht="19.5" customHeight="1">
      <c r="A28" s="82"/>
      <c r="B28" s="205" t="s">
        <v>776</v>
      </c>
      <c r="C28" s="206" t="s">
        <v>556</v>
      </c>
      <c r="D28" s="185" t="s">
        <v>1105</v>
      </c>
      <c r="E28" s="208" t="s">
        <v>339</v>
      </c>
      <c r="F28" s="101" t="s">
        <v>1109</v>
      </c>
      <c r="G28" s="206" t="s">
        <v>637</v>
      </c>
      <c r="H28" s="209" t="s">
        <v>783</v>
      </c>
      <c r="I28" s="158">
        <v>46054.0</v>
      </c>
      <c r="J28" s="206" t="s">
        <v>786</v>
      </c>
      <c r="K28" s="205" t="s">
        <v>416</v>
      </c>
      <c r="L28" s="211" t="s">
        <v>1111</v>
      </c>
      <c r="M28" s="102" t="s">
        <v>1112</v>
      </c>
      <c r="N28" s="102" t="s">
        <v>669</v>
      </c>
      <c r="O28" s="102" t="s">
        <v>1113</v>
      </c>
      <c r="P28" s="188">
        <v>50.6131572207856</v>
      </c>
      <c r="Q28" s="188">
        <v>-3.40875664985948</v>
      </c>
      <c r="R28" s="206" t="s">
        <v>648</v>
      </c>
      <c r="S28" s="206" t="s">
        <v>1115</v>
      </c>
      <c r="T28" s="116"/>
      <c r="U28" s="131"/>
      <c r="V28" s="116"/>
      <c r="W28" s="144" t="b">
        <v>1</v>
      </c>
      <c r="X28" s="119" t="b">
        <v>1</v>
      </c>
      <c r="Y28" s="119" t="b">
        <v>1</v>
      </c>
      <c r="Z28" s="119" t="b">
        <v>1</v>
      </c>
      <c r="AA28" s="118" t="b">
        <v>0</v>
      </c>
      <c r="AB28" s="118" t="b">
        <v>0</v>
      </c>
      <c r="AC28" s="118" t="b">
        <v>0</v>
      </c>
      <c r="AD28" s="205" t="s">
        <v>519</v>
      </c>
      <c r="AE28" s="131" t="s">
        <v>1096</v>
      </c>
      <c r="AF28" s="205" t="s">
        <v>765</v>
      </c>
      <c r="AG28" s="101" t="s">
        <v>1118</v>
      </c>
      <c r="AH28" s="116"/>
      <c r="AI28" s="116"/>
      <c r="AJ28" s="206" t="s">
        <v>1122</v>
      </c>
      <c r="AK28" s="116"/>
      <c r="AL28" s="101" t="s">
        <v>1123</v>
      </c>
      <c r="AM28" s="130"/>
      <c r="AN28" s="106"/>
      <c r="AO28" s="82"/>
      <c r="AP28" s="82"/>
    </row>
    <row r="29" ht="19.5" customHeight="1">
      <c r="A29" s="130" t="s">
        <v>929</v>
      </c>
      <c r="B29" s="130" t="s">
        <v>344</v>
      </c>
      <c r="C29" s="131" t="s">
        <v>1126</v>
      </c>
      <c r="D29" s="93" t="s">
        <v>1128</v>
      </c>
      <c r="E29" s="116" t="s">
        <v>808</v>
      </c>
      <c r="F29" s="93" t="s">
        <v>1129</v>
      </c>
      <c r="G29" s="131" t="s">
        <v>1130</v>
      </c>
      <c r="H29" s="97" t="s">
        <v>783</v>
      </c>
      <c r="I29" s="212">
        <v>2.4</v>
      </c>
      <c r="J29" s="131" t="s">
        <v>786</v>
      </c>
      <c r="K29" s="130" t="s">
        <v>416</v>
      </c>
      <c r="L29" s="114" t="s">
        <v>1131</v>
      </c>
      <c r="M29" s="139" t="s">
        <v>1132</v>
      </c>
      <c r="N29" s="114" t="s">
        <v>669</v>
      </c>
      <c r="O29" s="114" t="s">
        <v>1133</v>
      </c>
      <c r="P29" s="115">
        <v>50.6191842505163</v>
      </c>
      <c r="Q29" s="115">
        <v>-3.41448730474541</v>
      </c>
      <c r="R29" s="131" t="s">
        <v>602</v>
      </c>
      <c r="S29" s="131" t="s">
        <v>987</v>
      </c>
      <c r="T29" s="131" t="s">
        <v>1136</v>
      </c>
      <c r="U29" s="131" t="s">
        <v>1093</v>
      </c>
      <c r="V29" s="116"/>
      <c r="W29" s="144" t="b">
        <v>1</v>
      </c>
      <c r="X29" s="118" t="b">
        <v>1</v>
      </c>
      <c r="Y29" s="118" t="b">
        <v>1</v>
      </c>
      <c r="Z29" s="118" t="b">
        <v>1</v>
      </c>
      <c r="AA29" s="118" t="b">
        <v>0</v>
      </c>
      <c r="AB29" s="118" t="b">
        <v>0</v>
      </c>
      <c r="AC29" s="118" t="b">
        <v>0</v>
      </c>
      <c r="AD29" s="130" t="s">
        <v>519</v>
      </c>
      <c r="AE29" s="131" t="s">
        <v>1096</v>
      </c>
      <c r="AF29" s="130" t="s">
        <v>818</v>
      </c>
      <c r="AG29" s="93" t="s">
        <v>1141</v>
      </c>
      <c r="AH29" s="131" t="s">
        <v>823</v>
      </c>
      <c r="AI29" s="116"/>
      <c r="AJ29" s="131" t="s">
        <v>1142</v>
      </c>
      <c r="AK29" s="116"/>
      <c r="AL29" s="101" t="s">
        <v>1143</v>
      </c>
      <c r="AM29" s="130" t="s">
        <v>530</v>
      </c>
      <c r="AN29" s="106"/>
      <c r="AO29" s="82"/>
      <c r="AP29" s="82"/>
    </row>
    <row r="30" ht="19.5" customHeight="1">
      <c r="A30" s="82"/>
      <c r="B30" s="130" t="s">
        <v>776</v>
      </c>
      <c r="C30" s="131" t="s">
        <v>777</v>
      </c>
      <c r="D30" s="132" t="s">
        <v>1144</v>
      </c>
      <c r="E30" s="116" t="s">
        <v>337</v>
      </c>
      <c r="F30" s="93" t="s">
        <v>1145</v>
      </c>
      <c r="G30" s="131" t="s">
        <v>781</v>
      </c>
      <c r="H30" s="97" t="s">
        <v>783</v>
      </c>
      <c r="I30" s="158">
        <v>46300.0</v>
      </c>
      <c r="J30" s="131" t="s">
        <v>786</v>
      </c>
      <c r="K30" s="130" t="s">
        <v>416</v>
      </c>
      <c r="L30" s="114" t="s">
        <v>1146</v>
      </c>
      <c r="M30" s="139" t="s">
        <v>1147</v>
      </c>
      <c r="N30" s="114" t="s">
        <v>669</v>
      </c>
      <c r="O30" s="114" t="s">
        <v>1148</v>
      </c>
      <c r="P30" s="115">
        <v>50.6247499558342</v>
      </c>
      <c r="Q30" s="115">
        <v>-3.38140187406308</v>
      </c>
      <c r="R30" s="131" t="s">
        <v>788</v>
      </c>
      <c r="S30" s="131" t="s">
        <v>469</v>
      </c>
      <c r="T30" s="116"/>
      <c r="U30" s="116"/>
      <c r="V30" s="116"/>
      <c r="W30" s="144" t="b">
        <v>1</v>
      </c>
      <c r="X30" s="119" t="b">
        <v>0</v>
      </c>
      <c r="Y30" s="119" t="b">
        <v>0</v>
      </c>
      <c r="Z30" s="118" t="b">
        <v>1</v>
      </c>
      <c r="AA30" s="118" t="b">
        <v>1</v>
      </c>
      <c r="AB30" s="118" t="b">
        <v>1</v>
      </c>
      <c r="AC30" s="118" t="b">
        <v>1</v>
      </c>
      <c r="AD30" s="130" t="s">
        <v>519</v>
      </c>
      <c r="AE30" s="131" t="s">
        <v>543</v>
      </c>
      <c r="AF30" s="130" t="s">
        <v>795</v>
      </c>
      <c r="AG30" s="93" t="s">
        <v>1149</v>
      </c>
      <c r="AH30" s="116"/>
      <c r="AI30" s="116"/>
      <c r="AJ30" s="131" t="s">
        <v>799</v>
      </c>
      <c r="AK30" s="116"/>
      <c r="AL30" s="93" t="s">
        <v>1150</v>
      </c>
      <c r="AM30" s="130" t="s">
        <v>725</v>
      </c>
      <c r="AN30" s="106"/>
      <c r="AO30" s="82"/>
      <c r="AP30" s="82"/>
    </row>
    <row r="31" ht="19.5" customHeight="1">
      <c r="A31" s="93" t="s">
        <v>929</v>
      </c>
      <c r="B31" s="93" t="s">
        <v>344</v>
      </c>
      <c r="C31" s="97" t="s">
        <v>915</v>
      </c>
      <c r="D31" s="93" t="s">
        <v>1151</v>
      </c>
      <c r="E31" s="97" t="s">
        <v>337</v>
      </c>
      <c r="F31" s="97" t="s">
        <v>1152</v>
      </c>
      <c r="G31" s="97" t="s">
        <v>567</v>
      </c>
      <c r="H31" s="97" t="s">
        <v>898</v>
      </c>
      <c r="I31" s="119">
        <v>5.0</v>
      </c>
      <c r="J31" s="97" t="s">
        <v>1154</v>
      </c>
      <c r="K31" s="97" t="s">
        <v>581</v>
      </c>
      <c r="L31" s="139" t="s">
        <v>1156</v>
      </c>
      <c r="M31" s="139" t="s">
        <v>1157</v>
      </c>
      <c r="N31" s="139" t="s">
        <v>831</v>
      </c>
      <c r="O31" s="139" t="s">
        <v>1158</v>
      </c>
      <c r="P31" s="213">
        <v>50.6957456705045</v>
      </c>
      <c r="Q31" s="213">
        <v>-3.78098376531482</v>
      </c>
      <c r="R31" s="97" t="s">
        <v>433</v>
      </c>
      <c r="S31" s="97" t="s">
        <v>1164</v>
      </c>
      <c r="T31" s="116"/>
      <c r="U31" s="97" t="s">
        <v>483</v>
      </c>
      <c r="V31" s="97" t="s">
        <v>490</v>
      </c>
      <c r="W31" s="144" t="b">
        <v>1</v>
      </c>
      <c r="X31" s="214" t="b">
        <v>0</v>
      </c>
      <c r="Y31" s="119" t="b">
        <v>0</v>
      </c>
      <c r="Z31" s="214" t="b">
        <v>1</v>
      </c>
      <c r="AA31" s="214" t="b">
        <v>1</v>
      </c>
      <c r="AB31" s="214" t="b">
        <v>1</v>
      </c>
      <c r="AC31" s="214" t="b">
        <v>1</v>
      </c>
      <c r="AD31" s="93" t="s">
        <v>519</v>
      </c>
      <c r="AE31" s="97" t="s">
        <v>543</v>
      </c>
      <c r="AF31" s="93" t="s">
        <v>870</v>
      </c>
      <c r="AG31" s="97" t="s">
        <v>1171</v>
      </c>
      <c r="AH31" s="97" t="s">
        <v>1172</v>
      </c>
      <c r="AI31" s="97" t="s">
        <v>1173</v>
      </c>
      <c r="AJ31" s="97" t="s">
        <v>1176</v>
      </c>
      <c r="AK31" s="97" t="s">
        <v>1177</v>
      </c>
      <c r="AL31" s="97" t="s">
        <v>1178</v>
      </c>
      <c r="AM31" s="131" t="s">
        <v>725</v>
      </c>
      <c r="AN31" s="106"/>
      <c r="AO31" s="116"/>
      <c r="AP31" s="116"/>
    </row>
    <row r="32" ht="19.5" customHeight="1">
      <c r="A32" s="82"/>
      <c r="B32" s="93" t="s">
        <v>344</v>
      </c>
      <c r="C32" s="97" t="s">
        <v>915</v>
      </c>
      <c r="D32" s="93" t="s">
        <v>1182</v>
      </c>
      <c r="E32" s="97" t="s">
        <v>337</v>
      </c>
      <c r="F32" s="97" t="s">
        <v>1184</v>
      </c>
      <c r="G32" s="97" t="s">
        <v>739</v>
      </c>
      <c r="H32" s="97" t="s">
        <v>1185</v>
      </c>
      <c r="I32" s="119" t="s">
        <v>1186</v>
      </c>
      <c r="J32" s="97" t="s">
        <v>1187</v>
      </c>
      <c r="K32" s="97" t="s">
        <v>416</v>
      </c>
      <c r="L32" s="139" t="s">
        <v>1156</v>
      </c>
      <c r="M32" s="139" t="s">
        <v>1157</v>
      </c>
      <c r="N32" s="139" t="s">
        <v>831</v>
      </c>
      <c r="O32" s="139" t="s">
        <v>1158</v>
      </c>
      <c r="P32" s="213">
        <v>50.6957456705045</v>
      </c>
      <c r="Q32" s="213">
        <v>-3.78098376531482</v>
      </c>
      <c r="R32" s="97" t="s">
        <v>433</v>
      </c>
      <c r="S32" s="97" t="s">
        <v>1164</v>
      </c>
      <c r="T32" s="116"/>
      <c r="U32" s="97" t="s">
        <v>483</v>
      </c>
      <c r="V32" s="97" t="s">
        <v>490</v>
      </c>
      <c r="W32" s="144" t="b">
        <v>1</v>
      </c>
      <c r="X32" s="119" t="b">
        <v>0</v>
      </c>
      <c r="Y32" s="214" t="b">
        <v>1</v>
      </c>
      <c r="Z32" s="214" t="b">
        <v>1</v>
      </c>
      <c r="AA32" s="214" t="b">
        <v>1</v>
      </c>
      <c r="AB32" s="214" t="b">
        <v>1</v>
      </c>
      <c r="AC32" s="214" t="b">
        <v>1</v>
      </c>
      <c r="AD32" s="93" t="s">
        <v>519</v>
      </c>
      <c r="AE32" s="97" t="s">
        <v>543</v>
      </c>
      <c r="AF32" s="93" t="s">
        <v>654</v>
      </c>
      <c r="AG32" s="97" t="s">
        <v>1189</v>
      </c>
      <c r="AH32" s="97" t="s">
        <v>1172</v>
      </c>
      <c r="AI32" s="97" t="s">
        <v>1173</v>
      </c>
      <c r="AJ32" s="97" t="s">
        <v>1176</v>
      </c>
      <c r="AK32" s="116"/>
      <c r="AL32" s="215" t="s">
        <v>1190</v>
      </c>
      <c r="AM32" s="131" t="s">
        <v>1191</v>
      </c>
      <c r="AN32" s="106"/>
      <c r="AO32" s="116"/>
      <c r="AP32" s="116"/>
    </row>
    <row r="33" ht="19.5" customHeight="1">
      <c r="A33" s="82"/>
      <c r="B33" s="130" t="s">
        <v>344</v>
      </c>
      <c r="C33" s="131" t="s">
        <v>632</v>
      </c>
      <c r="D33" s="132" t="s">
        <v>1197</v>
      </c>
      <c r="E33" s="116" t="s">
        <v>337</v>
      </c>
      <c r="F33" s="93" t="s">
        <v>1202</v>
      </c>
      <c r="G33" s="131" t="s">
        <v>567</v>
      </c>
      <c r="H33" s="97" t="s">
        <v>1206</v>
      </c>
      <c r="I33" s="134">
        <v>4.0</v>
      </c>
      <c r="J33" s="131" t="s">
        <v>1208</v>
      </c>
      <c r="K33" s="130" t="s">
        <v>581</v>
      </c>
      <c r="L33" s="114" t="s">
        <v>1209</v>
      </c>
      <c r="M33" s="139" t="s">
        <v>1210</v>
      </c>
      <c r="N33" s="114" t="s">
        <v>831</v>
      </c>
      <c r="O33" s="114" t="s">
        <v>1211</v>
      </c>
      <c r="P33" s="115">
        <v>50.6524373131545</v>
      </c>
      <c r="Q33" s="115">
        <v>-3.58038117377829</v>
      </c>
      <c r="R33" s="131" t="s">
        <v>648</v>
      </c>
      <c r="S33" s="131" t="s">
        <v>1212</v>
      </c>
      <c r="T33" s="131" t="s">
        <v>1213</v>
      </c>
      <c r="U33" s="131" t="s">
        <v>1214</v>
      </c>
      <c r="V33" s="131" t="s">
        <v>593</v>
      </c>
      <c r="W33" s="144" t="b">
        <v>1</v>
      </c>
      <c r="X33" s="134" t="b">
        <v>0</v>
      </c>
      <c r="Y33" s="144" t="b">
        <v>1</v>
      </c>
      <c r="Z33" s="144" t="b">
        <v>1</v>
      </c>
      <c r="AA33" s="144" t="b">
        <v>1</v>
      </c>
      <c r="AB33" s="144" t="b">
        <v>1</v>
      </c>
      <c r="AC33" s="144" t="b">
        <v>1</v>
      </c>
      <c r="AD33" s="130" t="s">
        <v>519</v>
      </c>
      <c r="AE33" s="131" t="s">
        <v>543</v>
      </c>
      <c r="AF33" s="130" t="s">
        <v>870</v>
      </c>
      <c r="AG33" s="93" t="s">
        <v>1222</v>
      </c>
      <c r="AH33" s="116"/>
      <c r="AI33" s="116"/>
      <c r="AJ33" s="131" t="s">
        <v>1227</v>
      </c>
      <c r="AK33" s="116"/>
      <c r="AL33" s="101" t="s">
        <v>1228</v>
      </c>
      <c r="AM33" s="130" t="s">
        <v>1229</v>
      </c>
      <c r="AN33" s="106"/>
      <c r="AO33" s="82"/>
      <c r="AP33" s="82"/>
    </row>
    <row r="34" ht="19.5" customHeight="1">
      <c r="A34" s="82"/>
      <c r="B34" s="130" t="s">
        <v>776</v>
      </c>
      <c r="C34" s="131" t="s">
        <v>1024</v>
      </c>
      <c r="D34" s="132" t="s">
        <v>1230</v>
      </c>
      <c r="E34" s="116" t="s">
        <v>734</v>
      </c>
      <c r="F34" s="93" t="s">
        <v>1231</v>
      </c>
      <c r="G34" s="131" t="s">
        <v>567</v>
      </c>
      <c r="H34" s="97" t="s">
        <v>1232</v>
      </c>
      <c r="I34" s="134">
        <v>1.5</v>
      </c>
      <c r="J34" s="131" t="s">
        <v>1208</v>
      </c>
      <c r="K34" s="130" t="s">
        <v>416</v>
      </c>
      <c r="L34" s="114" t="s">
        <v>1209</v>
      </c>
      <c r="M34" s="139" t="s">
        <v>1210</v>
      </c>
      <c r="N34" s="114" t="s">
        <v>831</v>
      </c>
      <c r="O34" s="114" t="s">
        <v>1211</v>
      </c>
      <c r="P34" s="115">
        <v>50.6524373131545</v>
      </c>
      <c r="Q34" s="115">
        <v>-3.58038117377829</v>
      </c>
      <c r="R34" s="131" t="s">
        <v>648</v>
      </c>
      <c r="S34" s="131" t="s">
        <v>1212</v>
      </c>
      <c r="T34" s="131" t="s">
        <v>1213</v>
      </c>
      <c r="U34" s="131" t="s">
        <v>1214</v>
      </c>
      <c r="V34" s="131" t="s">
        <v>593</v>
      </c>
      <c r="W34" s="144" t="b">
        <v>1</v>
      </c>
      <c r="X34" s="134" t="b">
        <v>0</v>
      </c>
      <c r="Y34" s="144" t="b">
        <v>1</v>
      </c>
      <c r="Z34" s="144" t="b">
        <v>1</v>
      </c>
      <c r="AA34" s="144" t="b">
        <v>1</v>
      </c>
      <c r="AB34" s="144" t="b">
        <v>1</v>
      </c>
      <c r="AC34" s="144" t="b">
        <v>1</v>
      </c>
      <c r="AD34" s="130" t="s">
        <v>519</v>
      </c>
      <c r="AE34" s="131" t="s">
        <v>543</v>
      </c>
      <c r="AF34" s="130" t="s">
        <v>765</v>
      </c>
      <c r="AG34" s="93" t="s">
        <v>1241</v>
      </c>
      <c r="AH34" s="116"/>
      <c r="AI34" s="116"/>
      <c r="AJ34" s="131" t="s">
        <v>1243</v>
      </c>
      <c r="AK34" s="116"/>
      <c r="AL34" s="101" t="s">
        <v>1244</v>
      </c>
      <c r="AM34" s="130" t="s">
        <v>1229</v>
      </c>
      <c r="AN34" s="106"/>
      <c r="AO34" s="82"/>
      <c r="AP34" s="82"/>
    </row>
    <row r="35" ht="19.5" customHeight="1">
      <c r="A35" s="82"/>
      <c r="B35" s="130" t="s">
        <v>344</v>
      </c>
      <c r="C35" s="131" t="s">
        <v>632</v>
      </c>
      <c r="D35" s="132" t="s">
        <v>1247</v>
      </c>
      <c r="E35" s="116" t="s">
        <v>808</v>
      </c>
      <c r="F35" s="93" t="s">
        <v>1248</v>
      </c>
      <c r="G35" s="131" t="s">
        <v>567</v>
      </c>
      <c r="H35" s="97" t="s">
        <v>1206</v>
      </c>
      <c r="I35" s="134">
        <v>1.5</v>
      </c>
      <c r="J35" s="131" t="s">
        <v>1208</v>
      </c>
      <c r="K35" s="130" t="s">
        <v>416</v>
      </c>
      <c r="L35" s="114" t="s">
        <v>1209</v>
      </c>
      <c r="M35" s="139" t="s">
        <v>1210</v>
      </c>
      <c r="N35" s="114" t="s">
        <v>831</v>
      </c>
      <c r="O35" s="114" t="s">
        <v>1211</v>
      </c>
      <c r="P35" s="115">
        <v>50.6524373131545</v>
      </c>
      <c r="Q35" s="115">
        <v>-3.58038117377829</v>
      </c>
      <c r="R35" s="131" t="s">
        <v>648</v>
      </c>
      <c r="S35" s="131" t="s">
        <v>1212</v>
      </c>
      <c r="T35" s="131" t="s">
        <v>1213</v>
      </c>
      <c r="U35" s="131" t="s">
        <v>1214</v>
      </c>
      <c r="V35" s="131" t="s">
        <v>593</v>
      </c>
      <c r="W35" s="144" t="b">
        <v>1</v>
      </c>
      <c r="X35" s="134" t="b">
        <v>0</v>
      </c>
      <c r="Y35" s="144" t="b">
        <v>1</v>
      </c>
      <c r="Z35" s="144" t="b">
        <v>1</v>
      </c>
      <c r="AA35" s="144" t="b">
        <v>1</v>
      </c>
      <c r="AB35" s="144" t="b">
        <v>1</v>
      </c>
      <c r="AC35" s="144" t="b">
        <v>1</v>
      </c>
      <c r="AD35" s="130" t="s">
        <v>519</v>
      </c>
      <c r="AE35" s="131" t="s">
        <v>543</v>
      </c>
      <c r="AF35" s="93" t="s">
        <v>507</v>
      </c>
      <c r="AG35" s="93" t="s">
        <v>1252</v>
      </c>
      <c r="AH35" s="97" t="s">
        <v>737</v>
      </c>
      <c r="AI35" s="97" t="s">
        <v>1253</v>
      </c>
      <c r="AJ35" s="131" t="s">
        <v>1257</v>
      </c>
      <c r="AK35" s="97" t="s">
        <v>1258</v>
      </c>
      <c r="AL35" s="215" t="s">
        <v>1259</v>
      </c>
      <c r="AM35" s="130" t="s">
        <v>530</v>
      </c>
      <c r="AN35" s="106"/>
      <c r="AO35" s="82"/>
      <c r="AP35" s="82"/>
    </row>
    <row r="36" ht="19.5" customHeight="1">
      <c r="A36" s="82"/>
      <c r="B36" s="130" t="s">
        <v>344</v>
      </c>
      <c r="C36" s="131" t="s">
        <v>1162</v>
      </c>
      <c r="D36" s="132" t="s">
        <v>1265</v>
      </c>
      <c r="E36" s="116" t="s">
        <v>808</v>
      </c>
      <c r="F36" s="93" t="s">
        <v>1267</v>
      </c>
      <c r="G36" s="131" t="s">
        <v>1268</v>
      </c>
      <c r="H36" s="97" t="s">
        <v>920</v>
      </c>
      <c r="I36" s="158">
        <v>46082.0</v>
      </c>
      <c r="J36" s="131" t="s">
        <v>883</v>
      </c>
      <c r="K36" s="130" t="s">
        <v>416</v>
      </c>
      <c r="L36" s="114" t="s">
        <v>1265</v>
      </c>
      <c r="M36" s="139" t="s">
        <v>1270</v>
      </c>
      <c r="N36" s="114" t="s">
        <v>831</v>
      </c>
      <c r="O36" s="114" t="s">
        <v>1271</v>
      </c>
      <c r="P36" s="115">
        <v>50.7916777451905</v>
      </c>
      <c r="Q36" s="115">
        <v>-3.45283470353017</v>
      </c>
      <c r="R36" s="131" t="s">
        <v>1272</v>
      </c>
      <c r="S36" s="131" t="s">
        <v>1273</v>
      </c>
      <c r="T36" s="131" t="s">
        <v>1276</v>
      </c>
      <c r="U36" s="116"/>
      <c r="V36" s="116"/>
      <c r="W36" s="144" t="b">
        <v>1</v>
      </c>
      <c r="X36" s="134" t="b">
        <v>0</v>
      </c>
      <c r="Y36" s="144" t="b">
        <v>1</v>
      </c>
      <c r="Z36" s="144" t="b">
        <v>1</v>
      </c>
      <c r="AA36" s="144" t="b">
        <v>1</v>
      </c>
      <c r="AB36" s="144" t="b">
        <v>1</v>
      </c>
      <c r="AC36" s="144" t="b">
        <v>1</v>
      </c>
      <c r="AD36" s="130" t="s">
        <v>519</v>
      </c>
      <c r="AE36" s="131" t="s">
        <v>608</v>
      </c>
      <c r="AF36" s="130" t="s">
        <v>1281</v>
      </c>
      <c r="AG36" s="93" t="s">
        <v>1282</v>
      </c>
      <c r="AH36" s="131" t="s">
        <v>993</v>
      </c>
      <c r="AI36" s="131" t="s">
        <v>1285</v>
      </c>
      <c r="AJ36" s="131" t="s">
        <v>1288</v>
      </c>
      <c r="AK36" s="116"/>
      <c r="AL36" s="101" t="s">
        <v>1290</v>
      </c>
      <c r="AM36" s="130" t="s">
        <v>530</v>
      </c>
      <c r="AN36" s="106"/>
      <c r="AO36" s="82"/>
      <c r="AP36" s="82"/>
    </row>
    <row r="37" ht="19.5" customHeight="1">
      <c r="A37" s="82"/>
      <c r="B37" s="130" t="s">
        <v>776</v>
      </c>
      <c r="C37" s="131" t="s">
        <v>777</v>
      </c>
      <c r="D37" s="132" t="s">
        <v>1291</v>
      </c>
      <c r="E37" s="116" t="s">
        <v>337</v>
      </c>
      <c r="F37" s="93" t="s">
        <v>1292</v>
      </c>
      <c r="G37" s="131" t="s">
        <v>739</v>
      </c>
      <c r="H37" s="97" t="s">
        <v>783</v>
      </c>
      <c r="I37" s="134">
        <v>6.0</v>
      </c>
      <c r="J37" s="131" t="s">
        <v>1293</v>
      </c>
      <c r="K37" s="130" t="s">
        <v>581</v>
      </c>
      <c r="L37" s="82"/>
      <c r="M37" s="139" t="s">
        <v>1270</v>
      </c>
      <c r="N37" s="114" t="s">
        <v>831</v>
      </c>
      <c r="O37" s="114" t="s">
        <v>1271</v>
      </c>
      <c r="P37" s="115">
        <v>50.7905509307319</v>
      </c>
      <c r="Q37" s="115">
        <v>-3.4526107083324</v>
      </c>
      <c r="R37" s="131" t="s">
        <v>1272</v>
      </c>
      <c r="S37" s="131" t="s">
        <v>469</v>
      </c>
      <c r="T37" s="116"/>
      <c r="U37" s="116"/>
      <c r="V37" s="116"/>
      <c r="W37" s="144" t="b">
        <v>1</v>
      </c>
      <c r="X37" s="134" t="b">
        <v>0</v>
      </c>
      <c r="Y37" s="144" t="b">
        <v>1</v>
      </c>
      <c r="Z37" s="144" t="b">
        <v>1</v>
      </c>
      <c r="AA37" s="144" t="b">
        <v>1</v>
      </c>
      <c r="AB37" s="144" t="b">
        <v>1</v>
      </c>
      <c r="AC37" s="144" t="b">
        <v>1</v>
      </c>
      <c r="AD37" s="130" t="s">
        <v>519</v>
      </c>
      <c r="AE37" s="131" t="s">
        <v>608</v>
      </c>
      <c r="AF37" s="130" t="s">
        <v>1299</v>
      </c>
      <c r="AG37" s="93" t="s">
        <v>1301</v>
      </c>
      <c r="AH37" s="116"/>
      <c r="AI37" s="116"/>
      <c r="AJ37" s="131" t="s">
        <v>1305</v>
      </c>
      <c r="AK37" s="116"/>
      <c r="AL37" s="93" t="s">
        <v>1306</v>
      </c>
      <c r="AM37" s="130" t="s">
        <v>530</v>
      </c>
      <c r="AN37" s="106"/>
      <c r="AO37" s="82"/>
      <c r="AP37" s="82"/>
    </row>
    <row r="38" ht="19.5" customHeight="1">
      <c r="A38" s="82"/>
      <c r="B38" s="130" t="s">
        <v>344</v>
      </c>
      <c r="C38" s="131" t="s">
        <v>363</v>
      </c>
      <c r="D38" s="176" t="s">
        <v>1307</v>
      </c>
      <c r="E38" s="116" t="s">
        <v>337</v>
      </c>
      <c r="F38" s="93" t="s">
        <v>1308</v>
      </c>
      <c r="G38" s="97" t="s">
        <v>567</v>
      </c>
      <c r="H38" s="97" t="s">
        <v>1311</v>
      </c>
      <c r="I38" s="186" t="s">
        <v>921</v>
      </c>
      <c r="J38" s="131" t="s">
        <v>1312</v>
      </c>
      <c r="K38" s="130" t="s">
        <v>416</v>
      </c>
      <c r="L38" s="114" t="s">
        <v>1314</v>
      </c>
      <c r="M38" s="139" t="s">
        <v>1042</v>
      </c>
      <c r="N38" s="114" t="s">
        <v>669</v>
      </c>
      <c r="O38" s="82"/>
      <c r="P38" s="115">
        <v>50.6489693253761</v>
      </c>
      <c r="Q38" s="115">
        <v>-3.42399011140736</v>
      </c>
      <c r="R38" s="97" t="s">
        <v>1001</v>
      </c>
      <c r="S38" s="131" t="s">
        <v>1115</v>
      </c>
      <c r="T38" s="116"/>
      <c r="U38" s="116"/>
      <c r="V38" s="116"/>
      <c r="W38" s="144" t="b">
        <v>1</v>
      </c>
      <c r="X38" s="144" t="b">
        <v>1</v>
      </c>
      <c r="Y38" s="144" t="b">
        <v>1</v>
      </c>
      <c r="Z38" s="144" t="b">
        <v>1</v>
      </c>
      <c r="AA38" s="144" t="b">
        <v>1</v>
      </c>
      <c r="AB38" s="144" t="b">
        <v>1</v>
      </c>
      <c r="AC38" s="144" t="b">
        <v>1</v>
      </c>
      <c r="AD38" s="130" t="s">
        <v>519</v>
      </c>
      <c r="AE38" s="131" t="s">
        <v>608</v>
      </c>
      <c r="AF38" s="93" t="s">
        <v>1321</v>
      </c>
      <c r="AG38" s="93" t="s">
        <v>1322</v>
      </c>
      <c r="AH38" s="116"/>
      <c r="AI38" s="116"/>
      <c r="AJ38" s="131" t="s">
        <v>1323</v>
      </c>
      <c r="AK38" s="116"/>
      <c r="AL38" s="93" t="s">
        <v>1324</v>
      </c>
      <c r="AM38" s="93" t="s">
        <v>530</v>
      </c>
      <c r="AN38" s="106"/>
      <c r="AO38" s="82"/>
      <c r="AP38" s="82"/>
    </row>
    <row r="39" ht="19.5" customHeight="1">
      <c r="A39" s="82"/>
      <c r="B39" s="130" t="s">
        <v>344</v>
      </c>
      <c r="C39" s="97" t="s">
        <v>727</v>
      </c>
      <c r="D39" s="176" t="s">
        <v>1325</v>
      </c>
      <c r="E39" s="116" t="s">
        <v>337</v>
      </c>
      <c r="F39" s="93" t="s">
        <v>1326</v>
      </c>
      <c r="G39" s="97" t="s">
        <v>682</v>
      </c>
      <c r="H39" s="97" t="s">
        <v>920</v>
      </c>
      <c r="I39" s="186" t="s">
        <v>921</v>
      </c>
      <c r="J39" s="131" t="s">
        <v>864</v>
      </c>
      <c r="K39" s="130" t="s">
        <v>416</v>
      </c>
      <c r="L39" s="114" t="s">
        <v>1327</v>
      </c>
      <c r="M39" s="116"/>
      <c r="N39" s="114" t="s">
        <v>831</v>
      </c>
      <c r="O39" s="114" t="s">
        <v>1329</v>
      </c>
      <c r="P39" s="115">
        <v>50.7404524389878</v>
      </c>
      <c r="Q39" s="115">
        <v>-3.51127932595567</v>
      </c>
      <c r="R39" s="97" t="s">
        <v>433</v>
      </c>
      <c r="S39" s="131" t="s">
        <v>469</v>
      </c>
      <c r="T39" s="131" t="s">
        <v>1236</v>
      </c>
      <c r="U39" s="116"/>
      <c r="V39" s="116"/>
      <c r="W39" s="144" t="b">
        <v>1</v>
      </c>
      <c r="X39" s="144" t="b">
        <v>1</v>
      </c>
      <c r="Y39" s="144" t="b">
        <v>1</v>
      </c>
      <c r="Z39" s="144" t="b">
        <v>1</v>
      </c>
      <c r="AA39" s="144" t="b">
        <v>1</v>
      </c>
      <c r="AB39" s="144" t="b">
        <v>1</v>
      </c>
      <c r="AC39" s="144" t="b">
        <v>1</v>
      </c>
      <c r="AD39" s="130" t="s">
        <v>519</v>
      </c>
      <c r="AE39" s="131" t="s">
        <v>608</v>
      </c>
      <c r="AF39" s="93" t="s">
        <v>818</v>
      </c>
      <c r="AG39" s="93" t="s">
        <v>1338</v>
      </c>
      <c r="AH39" s="131" t="s">
        <v>535</v>
      </c>
      <c r="AI39" s="131" t="s">
        <v>1339</v>
      </c>
      <c r="AJ39" s="131" t="s">
        <v>1340</v>
      </c>
      <c r="AK39" s="116"/>
      <c r="AL39" s="93" t="s">
        <v>1341</v>
      </c>
      <c r="AM39" s="93" t="s">
        <v>530</v>
      </c>
      <c r="AN39" s="106"/>
      <c r="AO39" s="82"/>
      <c r="AP39" s="82"/>
    </row>
    <row r="40" ht="19.5" customHeight="1">
      <c r="A40" s="82"/>
      <c r="B40" s="130" t="s">
        <v>344</v>
      </c>
      <c r="C40" s="131" t="s">
        <v>556</v>
      </c>
      <c r="D40" s="132" t="s">
        <v>1342</v>
      </c>
      <c r="E40" s="116" t="s">
        <v>337</v>
      </c>
      <c r="F40" s="93" t="s">
        <v>1343</v>
      </c>
      <c r="G40" s="131" t="s">
        <v>739</v>
      </c>
      <c r="H40" s="97" t="s">
        <v>898</v>
      </c>
      <c r="I40" s="134" t="s">
        <v>1346</v>
      </c>
      <c r="J40" s="131" t="s">
        <v>1347</v>
      </c>
      <c r="K40" s="130" t="s">
        <v>581</v>
      </c>
      <c r="L40" s="114" t="s">
        <v>1348</v>
      </c>
      <c r="M40" s="139" t="s">
        <v>1349</v>
      </c>
      <c r="N40" s="114" t="s">
        <v>1350</v>
      </c>
      <c r="O40" s="114" t="s">
        <v>1351</v>
      </c>
      <c r="P40" s="115">
        <v>51.1855638686603</v>
      </c>
      <c r="Q40" s="115">
        <v>-4.20786564519911</v>
      </c>
      <c r="R40" s="131" t="s">
        <v>648</v>
      </c>
      <c r="S40" s="131" t="s">
        <v>469</v>
      </c>
      <c r="T40" s="116"/>
      <c r="U40" s="116"/>
      <c r="V40" s="131" t="s">
        <v>656</v>
      </c>
      <c r="W40" s="144" t="b">
        <v>1</v>
      </c>
      <c r="X40" s="118" t="b">
        <v>0</v>
      </c>
      <c r="Y40" s="118" t="b">
        <v>0</v>
      </c>
      <c r="Z40" s="118" t="b">
        <v>1</v>
      </c>
      <c r="AA40" s="118" t="b">
        <v>1</v>
      </c>
      <c r="AB40" s="118" t="b">
        <v>1</v>
      </c>
      <c r="AC40" s="118" t="b">
        <v>1</v>
      </c>
      <c r="AD40" s="130" t="s">
        <v>519</v>
      </c>
      <c r="AE40" s="131" t="s">
        <v>608</v>
      </c>
      <c r="AF40" s="130" t="s">
        <v>1355</v>
      </c>
      <c r="AG40" s="93" t="s">
        <v>1356</v>
      </c>
      <c r="AH40" s="116"/>
      <c r="AI40" s="116"/>
      <c r="AJ40" s="116"/>
      <c r="AK40" s="116"/>
      <c r="AL40" s="93" t="s">
        <v>1360</v>
      </c>
      <c r="AM40" s="130" t="s">
        <v>725</v>
      </c>
      <c r="AN40" s="106"/>
      <c r="AO40" s="82"/>
      <c r="AP40" s="82"/>
    </row>
    <row r="41" ht="19.5" customHeight="1">
      <c r="A41" s="82"/>
      <c r="B41" s="130" t="s">
        <v>344</v>
      </c>
      <c r="C41" s="131" t="s">
        <v>556</v>
      </c>
      <c r="D41" s="132" t="s">
        <v>1363</v>
      </c>
      <c r="E41" s="116" t="s">
        <v>337</v>
      </c>
      <c r="F41" s="93" t="s">
        <v>1364</v>
      </c>
      <c r="G41" s="131" t="s">
        <v>739</v>
      </c>
      <c r="H41" s="97" t="s">
        <v>569</v>
      </c>
      <c r="I41" s="158">
        <v>46177.0</v>
      </c>
      <c r="J41" s="131" t="s">
        <v>1347</v>
      </c>
      <c r="K41" s="130" t="s">
        <v>581</v>
      </c>
      <c r="L41" s="114" t="s">
        <v>1348</v>
      </c>
      <c r="M41" s="139" t="s">
        <v>1349</v>
      </c>
      <c r="N41" s="114" t="s">
        <v>1350</v>
      </c>
      <c r="O41" s="114" t="s">
        <v>1351</v>
      </c>
      <c r="P41" s="115">
        <v>51.1855638686603</v>
      </c>
      <c r="Q41" s="115">
        <v>-4.20786564519911</v>
      </c>
      <c r="R41" s="131" t="s">
        <v>648</v>
      </c>
      <c r="S41" s="131" t="s">
        <v>469</v>
      </c>
      <c r="T41" s="116"/>
      <c r="U41" s="116"/>
      <c r="V41" s="131" t="s">
        <v>656</v>
      </c>
      <c r="W41" s="144" t="b">
        <v>1</v>
      </c>
      <c r="X41" s="118" t="b">
        <v>0</v>
      </c>
      <c r="Y41" s="118" t="b">
        <v>0</v>
      </c>
      <c r="Z41" s="118" t="b">
        <v>1</v>
      </c>
      <c r="AA41" s="118" t="b">
        <v>1</v>
      </c>
      <c r="AB41" s="118" t="b">
        <v>1</v>
      </c>
      <c r="AC41" s="118" t="b">
        <v>1</v>
      </c>
      <c r="AD41" s="130" t="s">
        <v>519</v>
      </c>
      <c r="AE41" s="131" t="s">
        <v>608</v>
      </c>
      <c r="AF41" s="130" t="s">
        <v>1371</v>
      </c>
      <c r="AG41" s="93" t="s">
        <v>1372</v>
      </c>
      <c r="AH41" s="116"/>
      <c r="AI41" s="116"/>
      <c r="AJ41" s="116"/>
      <c r="AK41" s="116"/>
      <c r="AL41" s="93" t="s">
        <v>1377</v>
      </c>
      <c r="AM41" s="130" t="s">
        <v>725</v>
      </c>
      <c r="AN41" s="106"/>
      <c r="AO41" s="82"/>
      <c r="AP41" s="82"/>
    </row>
    <row r="42" ht="19.5" customHeight="1">
      <c r="A42" s="82"/>
      <c r="B42" s="130" t="s">
        <v>344</v>
      </c>
      <c r="C42" s="131" t="s">
        <v>556</v>
      </c>
      <c r="D42" s="132" t="s">
        <v>1382</v>
      </c>
      <c r="E42" s="116" t="s">
        <v>734</v>
      </c>
      <c r="F42" s="93" t="s">
        <v>1383</v>
      </c>
      <c r="G42" s="131" t="s">
        <v>567</v>
      </c>
      <c r="H42" s="97" t="s">
        <v>569</v>
      </c>
      <c r="I42" s="134">
        <v>1.5</v>
      </c>
      <c r="J42" s="131" t="s">
        <v>1388</v>
      </c>
      <c r="K42" s="130" t="s">
        <v>581</v>
      </c>
      <c r="L42" s="114" t="s">
        <v>1390</v>
      </c>
      <c r="M42" s="116"/>
      <c r="N42" s="114" t="s">
        <v>669</v>
      </c>
      <c r="O42" s="114" t="s">
        <v>1391</v>
      </c>
      <c r="P42" s="115">
        <v>50.6112303709751</v>
      </c>
      <c r="Q42" s="115">
        <v>-3.39715558940481</v>
      </c>
      <c r="R42" s="131" t="s">
        <v>648</v>
      </c>
      <c r="S42" s="116"/>
      <c r="T42" s="116"/>
      <c r="U42" s="116"/>
      <c r="V42" s="131" t="s">
        <v>656</v>
      </c>
      <c r="W42" s="144" t="b">
        <v>1</v>
      </c>
      <c r="X42" s="119" t="b">
        <v>0</v>
      </c>
      <c r="Y42" s="119" t="b">
        <v>0</v>
      </c>
      <c r="Z42" s="118" t="b">
        <v>1</v>
      </c>
      <c r="AA42" s="118" t="b">
        <v>1</v>
      </c>
      <c r="AB42" s="118" t="b">
        <v>1</v>
      </c>
      <c r="AC42" s="118" t="b">
        <v>1</v>
      </c>
      <c r="AD42" s="130" t="s">
        <v>519</v>
      </c>
      <c r="AE42" s="131" t="s">
        <v>608</v>
      </c>
      <c r="AF42" s="130" t="s">
        <v>654</v>
      </c>
      <c r="AG42" s="93" t="s">
        <v>1392</v>
      </c>
      <c r="AH42" s="116"/>
      <c r="AI42" s="116"/>
      <c r="AJ42" s="131" t="s">
        <v>1393</v>
      </c>
      <c r="AK42" s="116"/>
      <c r="AL42" s="93" t="s">
        <v>1395</v>
      </c>
      <c r="AM42" s="130" t="s">
        <v>629</v>
      </c>
      <c r="AN42" s="106"/>
      <c r="AO42" s="82"/>
      <c r="AP42" s="82"/>
    </row>
    <row r="43" ht="19.5" customHeight="1">
      <c r="A43" s="130" t="s">
        <v>929</v>
      </c>
      <c r="B43" s="130" t="s">
        <v>344</v>
      </c>
      <c r="C43" s="131" t="s">
        <v>1159</v>
      </c>
      <c r="D43" s="93" t="s">
        <v>1396</v>
      </c>
      <c r="E43" s="116" t="s">
        <v>734</v>
      </c>
      <c r="F43" s="93" t="s">
        <v>1397</v>
      </c>
      <c r="G43" s="131" t="s">
        <v>637</v>
      </c>
      <c r="H43" s="97" t="s">
        <v>1399</v>
      </c>
      <c r="I43" s="158">
        <v>46083.0</v>
      </c>
      <c r="J43" s="131" t="s">
        <v>1400</v>
      </c>
      <c r="K43" s="130" t="s">
        <v>416</v>
      </c>
      <c r="L43" s="82"/>
      <c r="M43" s="139" t="s">
        <v>1402</v>
      </c>
      <c r="N43" s="114" t="s">
        <v>382</v>
      </c>
      <c r="O43" s="114" t="s">
        <v>1404</v>
      </c>
      <c r="P43" s="115">
        <v>50.5946799284352</v>
      </c>
      <c r="Q43" s="115">
        <v>-3.68837428922113</v>
      </c>
      <c r="R43" s="131" t="s">
        <v>648</v>
      </c>
      <c r="S43" s="131" t="s">
        <v>469</v>
      </c>
      <c r="T43" s="131" t="s">
        <v>1405</v>
      </c>
      <c r="U43" s="131" t="s">
        <v>1407</v>
      </c>
      <c r="V43" s="131" t="s">
        <v>656</v>
      </c>
      <c r="W43" s="144" t="b">
        <v>1</v>
      </c>
      <c r="X43" s="119" t="b">
        <v>0</v>
      </c>
      <c r="Y43" s="118" t="b">
        <v>1</v>
      </c>
      <c r="Z43" s="118" t="b">
        <v>1</v>
      </c>
      <c r="AA43" s="118" t="b">
        <v>1</v>
      </c>
      <c r="AB43" s="118" t="b">
        <v>1</v>
      </c>
      <c r="AC43" s="118" t="b">
        <v>1</v>
      </c>
      <c r="AD43" s="130" t="s">
        <v>519</v>
      </c>
      <c r="AE43" s="131" t="s">
        <v>543</v>
      </c>
      <c r="AF43" s="130" t="s">
        <v>870</v>
      </c>
      <c r="AG43" s="93" t="s">
        <v>1414</v>
      </c>
      <c r="AH43" s="131" t="s">
        <v>1415</v>
      </c>
      <c r="AI43" s="131" t="s">
        <v>1416</v>
      </c>
      <c r="AJ43" s="131" t="s">
        <v>1176</v>
      </c>
      <c r="AK43" s="131" t="s">
        <v>1421</v>
      </c>
      <c r="AL43" s="93" t="s">
        <v>1422</v>
      </c>
      <c r="AM43" s="130" t="s">
        <v>530</v>
      </c>
      <c r="AN43" s="106"/>
      <c r="AO43" s="82"/>
      <c r="AP43" s="82"/>
    </row>
    <row r="44" ht="19.5" customHeight="1">
      <c r="A44" s="82"/>
      <c r="B44" s="130" t="s">
        <v>344</v>
      </c>
      <c r="C44" s="131" t="s">
        <v>363</v>
      </c>
      <c r="D44" s="132" t="s">
        <v>1428</v>
      </c>
      <c r="E44" s="116" t="s">
        <v>1333</v>
      </c>
      <c r="F44" s="93" t="s">
        <v>1429</v>
      </c>
      <c r="G44" s="131" t="s">
        <v>682</v>
      </c>
      <c r="H44" s="97" t="s">
        <v>783</v>
      </c>
      <c r="I44" s="134" t="s">
        <v>1433</v>
      </c>
      <c r="J44" s="131" t="s">
        <v>1312</v>
      </c>
      <c r="K44" s="130" t="s">
        <v>416</v>
      </c>
      <c r="L44" s="114" t="s">
        <v>1436</v>
      </c>
      <c r="M44" s="139" t="s">
        <v>1437</v>
      </c>
      <c r="N44" s="114" t="s">
        <v>669</v>
      </c>
      <c r="O44" s="114" t="s">
        <v>1440</v>
      </c>
      <c r="P44" s="115">
        <v>50.6254052943175</v>
      </c>
      <c r="Q44" s="115">
        <v>-3.40693585582824</v>
      </c>
      <c r="R44" s="131" t="s">
        <v>433</v>
      </c>
      <c r="S44" s="131" t="s">
        <v>1444</v>
      </c>
      <c r="T44" s="131" t="s">
        <v>1445</v>
      </c>
      <c r="U44" s="116"/>
      <c r="V44" s="116"/>
      <c r="W44" s="144" t="b">
        <v>1</v>
      </c>
      <c r="X44" s="144" t="b">
        <v>1</v>
      </c>
      <c r="Y44" s="144" t="b">
        <v>1</v>
      </c>
      <c r="Z44" s="144" t="b">
        <v>1</v>
      </c>
      <c r="AA44" s="144" t="b">
        <v>1</v>
      </c>
      <c r="AB44" s="144" t="b">
        <v>1</v>
      </c>
      <c r="AC44" s="144" t="b">
        <v>1</v>
      </c>
      <c r="AD44" s="130" t="s">
        <v>519</v>
      </c>
      <c r="AE44" s="131" t="s">
        <v>1096</v>
      </c>
      <c r="AF44" s="130" t="s">
        <v>851</v>
      </c>
      <c r="AG44" s="93" t="s">
        <v>1447</v>
      </c>
      <c r="AH44" s="116"/>
      <c r="AI44" s="131" t="s">
        <v>1448</v>
      </c>
      <c r="AJ44" s="131" t="s">
        <v>1450</v>
      </c>
      <c r="AK44" s="116"/>
      <c r="AL44" s="93" t="s">
        <v>1453</v>
      </c>
      <c r="AM44" s="130" t="s">
        <v>530</v>
      </c>
      <c r="AN44" s="106"/>
      <c r="AO44" s="82"/>
      <c r="AP44" s="82"/>
    </row>
    <row r="45" ht="19.5" customHeight="1">
      <c r="A45" s="82"/>
      <c r="B45" s="130" t="s">
        <v>344</v>
      </c>
      <c r="C45" s="131" t="s">
        <v>1162</v>
      </c>
      <c r="D45" s="93" t="s">
        <v>1455</v>
      </c>
      <c r="E45" s="116" t="s">
        <v>734</v>
      </c>
      <c r="F45" s="93" t="s">
        <v>1459</v>
      </c>
      <c r="G45" s="131" t="s">
        <v>682</v>
      </c>
      <c r="H45" s="97" t="s">
        <v>810</v>
      </c>
      <c r="I45" s="158">
        <v>46082.0</v>
      </c>
      <c r="J45" s="131" t="s">
        <v>1462</v>
      </c>
      <c r="K45" s="130" t="s">
        <v>416</v>
      </c>
      <c r="L45" s="82"/>
      <c r="M45" s="139" t="s">
        <v>1463</v>
      </c>
      <c r="N45" s="114" t="s">
        <v>831</v>
      </c>
      <c r="O45" s="114" t="s">
        <v>1464</v>
      </c>
      <c r="P45" s="115">
        <v>50.6390751363569</v>
      </c>
      <c r="Q45" s="115">
        <v>-3.46461311110024</v>
      </c>
      <c r="R45" s="131" t="s">
        <v>648</v>
      </c>
      <c r="S45" s="116"/>
      <c r="T45" s="116"/>
      <c r="U45" s="116"/>
      <c r="V45" s="131" t="s">
        <v>656</v>
      </c>
      <c r="W45" s="144" t="b">
        <v>1</v>
      </c>
      <c r="X45" s="119" t="b">
        <v>0</v>
      </c>
      <c r="Y45" s="118" t="b">
        <v>1</v>
      </c>
      <c r="Z45" s="118" t="b">
        <v>1</v>
      </c>
      <c r="AA45" s="118" t="b">
        <v>1</v>
      </c>
      <c r="AB45" s="118" t="b">
        <v>1</v>
      </c>
      <c r="AC45" s="118" t="b">
        <v>1</v>
      </c>
      <c r="AD45" s="130" t="s">
        <v>519</v>
      </c>
      <c r="AE45" s="131" t="s">
        <v>608</v>
      </c>
      <c r="AF45" s="130" t="s">
        <v>1473</v>
      </c>
      <c r="AG45" s="93" t="s">
        <v>1474</v>
      </c>
      <c r="AH45" s="131" t="s">
        <v>993</v>
      </c>
      <c r="AI45" s="131" t="s">
        <v>1475</v>
      </c>
      <c r="AJ45" s="131" t="s">
        <v>1476</v>
      </c>
      <c r="AK45" s="116"/>
      <c r="AL45" s="93" t="s">
        <v>1477</v>
      </c>
      <c r="AM45" s="130" t="s">
        <v>530</v>
      </c>
      <c r="AN45" s="106"/>
      <c r="AO45" s="82"/>
      <c r="AP45" s="82"/>
    </row>
    <row r="46" ht="19.5" customHeight="1">
      <c r="A46" s="93" t="s">
        <v>929</v>
      </c>
      <c r="B46" s="93" t="s">
        <v>776</v>
      </c>
      <c r="C46" s="97" t="s">
        <v>777</v>
      </c>
      <c r="D46" s="93" t="s">
        <v>1478</v>
      </c>
      <c r="E46" s="97" t="s">
        <v>1000</v>
      </c>
      <c r="F46" s="93" t="s">
        <v>1481</v>
      </c>
      <c r="G46" s="97" t="s">
        <v>739</v>
      </c>
      <c r="H46" s="218" t="s">
        <v>783</v>
      </c>
      <c r="I46" s="118">
        <v>2.6</v>
      </c>
      <c r="J46" s="97" t="s">
        <v>1293</v>
      </c>
      <c r="K46" s="93" t="s">
        <v>581</v>
      </c>
      <c r="L46" s="93" t="s">
        <v>1482</v>
      </c>
      <c r="M46" s="93" t="s">
        <v>1483</v>
      </c>
      <c r="N46" s="93" t="s">
        <v>831</v>
      </c>
      <c r="O46" s="93" t="s">
        <v>1485</v>
      </c>
      <c r="P46" s="219">
        <v>50.6504912423702</v>
      </c>
      <c r="Q46" s="219">
        <v>-3.45483307606023</v>
      </c>
      <c r="R46" s="97" t="s">
        <v>588</v>
      </c>
      <c r="S46" s="97" t="s">
        <v>469</v>
      </c>
      <c r="T46" s="116"/>
      <c r="U46" s="116"/>
      <c r="V46" s="116"/>
      <c r="W46" s="144" t="b">
        <v>1</v>
      </c>
      <c r="X46" s="119" t="b">
        <v>0</v>
      </c>
      <c r="Y46" s="118" t="b">
        <v>1</v>
      </c>
      <c r="Z46" s="118" t="b">
        <v>1</v>
      </c>
      <c r="AA46" s="118" t="b">
        <v>1</v>
      </c>
      <c r="AB46" s="118" t="b">
        <v>1</v>
      </c>
      <c r="AC46" s="118" t="b">
        <v>1</v>
      </c>
      <c r="AD46" s="93" t="s">
        <v>519</v>
      </c>
      <c r="AE46" s="97" t="s">
        <v>721</v>
      </c>
      <c r="AF46" s="93" t="s">
        <v>1494</v>
      </c>
      <c r="AG46" s="93" t="s">
        <v>1495</v>
      </c>
      <c r="AH46" s="116"/>
      <c r="AI46" s="116"/>
      <c r="AJ46" s="97" t="s">
        <v>1498</v>
      </c>
      <c r="AK46" s="116"/>
      <c r="AL46" s="101" t="s">
        <v>1501</v>
      </c>
      <c r="AM46" s="118"/>
      <c r="AN46" s="106"/>
      <c r="AO46" s="220"/>
      <c r="AP46" s="82"/>
    </row>
    <row r="47" ht="19.5" customHeight="1">
      <c r="A47" s="82"/>
      <c r="B47" s="130" t="s">
        <v>344</v>
      </c>
      <c r="C47" s="131" t="s">
        <v>1084</v>
      </c>
      <c r="D47" s="185" t="s">
        <v>1503</v>
      </c>
      <c r="E47" s="116" t="s">
        <v>337</v>
      </c>
      <c r="F47" s="93" t="s">
        <v>1504</v>
      </c>
      <c r="G47" s="131" t="s">
        <v>739</v>
      </c>
      <c r="H47" s="97" t="s">
        <v>783</v>
      </c>
      <c r="I47" s="134">
        <v>3.6</v>
      </c>
      <c r="J47" s="131" t="s">
        <v>786</v>
      </c>
      <c r="K47" s="130" t="s">
        <v>416</v>
      </c>
      <c r="L47" s="114" t="s">
        <v>1506</v>
      </c>
      <c r="M47" s="139" t="s">
        <v>1483</v>
      </c>
      <c r="N47" s="114" t="s">
        <v>831</v>
      </c>
      <c r="O47" s="114" t="s">
        <v>1485</v>
      </c>
      <c r="P47" s="115">
        <v>50.6504776372644</v>
      </c>
      <c r="Q47" s="115">
        <v>-3.45473651639127</v>
      </c>
      <c r="R47" s="131" t="s">
        <v>433</v>
      </c>
      <c r="S47" s="131" t="s">
        <v>987</v>
      </c>
      <c r="T47" s="116"/>
      <c r="U47" s="116"/>
      <c r="V47" s="116"/>
      <c r="W47" s="144" t="b">
        <v>1</v>
      </c>
      <c r="X47" s="134" t="b">
        <v>0</v>
      </c>
      <c r="Y47" s="144" t="b">
        <v>1</v>
      </c>
      <c r="Z47" s="144" t="b">
        <v>1</v>
      </c>
      <c r="AA47" s="144" t="b">
        <v>1</v>
      </c>
      <c r="AB47" s="144" t="b">
        <v>1</v>
      </c>
      <c r="AC47" s="144" t="b">
        <v>1</v>
      </c>
      <c r="AD47" s="130" t="s">
        <v>519</v>
      </c>
      <c r="AE47" s="131" t="s">
        <v>525</v>
      </c>
      <c r="AF47" s="130" t="s">
        <v>870</v>
      </c>
      <c r="AG47" s="93" t="s">
        <v>1522</v>
      </c>
      <c r="AH47" s="116"/>
      <c r="AI47" s="116"/>
      <c r="AJ47" s="131" t="s">
        <v>1523</v>
      </c>
      <c r="AK47" s="116"/>
      <c r="AL47" s="93" t="s">
        <v>1524</v>
      </c>
      <c r="AM47" s="130" t="s">
        <v>530</v>
      </c>
      <c r="AN47" s="106"/>
      <c r="AO47" s="82"/>
      <c r="AP47" s="82"/>
    </row>
    <row r="48" ht="19.5" customHeight="1">
      <c r="A48" s="93" t="s">
        <v>929</v>
      </c>
      <c r="B48" s="93" t="s">
        <v>344</v>
      </c>
      <c r="C48" s="97" t="s">
        <v>806</v>
      </c>
      <c r="D48" s="93" t="s">
        <v>1525</v>
      </c>
      <c r="E48" s="97" t="s">
        <v>381</v>
      </c>
      <c r="F48" s="97" t="s">
        <v>1526</v>
      </c>
      <c r="G48" s="97" t="s">
        <v>739</v>
      </c>
      <c r="H48" s="97" t="s">
        <v>898</v>
      </c>
      <c r="I48" s="111">
        <v>46082.0</v>
      </c>
      <c r="J48" s="97" t="s">
        <v>1527</v>
      </c>
      <c r="K48" s="97" t="s">
        <v>416</v>
      </c>
      <c r="L48" s="139" t="s">
        <v>1528</v>
      </c>
      <c r="M48" s="139" t="s">
        <v>1529</v>
      </c>
      <c r="N48" s="139" t="s">
        <v>437</v>
      </c>
      <c r="O48" s="139" t="s">
        <v>1530</v>
      </c>
      <c r="P48" s="213">
        <v>50.7191470515573</v>
      </c>
      <c r="Q48" s="213">
        <v>-3.28981482722935</v>
      </c>
      <c r="R48" s="97" t="s">
        <v>433</v>
      </c>
      <c r="S48" s="97" t="s">
        <v>469</v>
      </c>
      <c r="T48" s="116"/>
      <c r="U48" s="97" t="s">
        <v>483</v>
      </c>
      <c r="V48" s="97" t="s">
        <v>656</v>
      </c>
      <c r="W48" s="144" t="b">
        <v>1</v>
      </c>
      <c r="X48" s="119" t="b">
        <v>0</v>
      </c>
      <c r="Y48" s="214" t="b">
        <v>1</v>
      </c>
      <c r="Z48" s="214" t="b">
        <v>1</v>
      </c>
      <c r="AA48" s="214" t="b">
        <v>1</v>
      </c>
      <c r="AB48" s="214" t="b">
        <v>1</v>
      </c>
      <c r="AC48" s="214" t="b">
        <v>1</v>
      </c>
      <c r="AD48" s="93" t="s">
        <v>519</v>
      </c>
      <c r="AE48" s="97" t="s">
        <v>721</v>
      </c>
      <c r="AF48" s="93" t="s">
        <v>1371</v>
      </c>
      <c r="AG48" s="97" t="s">
        <v>1531</v>
      </c>
      <c r="AH48" s="97" t="s">
        <v>1172</v>
      </c>
      <c r="AI48" s="97" t="s">
        <v>1532</v>
      </c>
      <c r="AJ48" s="97" t="s">
        <v>1533</v>
      </c>
      <c r="AK48" s="97" t="s">
        <v>1534</v>
      </c>
      <c r="AL48" s="97" t="s">
        <v>1535</v>
      </c>
      <c r="AM48" s="97" t="s">
        <v>530</v>
      </c>
      <c r="AN48" s="106"/>
      <c r="AO48" s="116"/>
      <c r="AP48" s="116"/>
    </row>
    <row r="49" ht="19.5" customHeight="1">
      <c r="A49" s="82"/>
      <c r="B49" s="130" t="s">
        <v>344</v>
      </c>
      <c r="C49" s="131" t="s">
        <v>363</v>
      </c>
      <c r="D49" s="93" t="s">
        <v>1536</v>
      </c>
      <c r="E49" s="116" t="s">
        <v>1000</v>
      </c>
      <c r="F49" s="93" t="s">
        <v>1537</v>
      </c>
      <c r="G49" s="131" t="s">
        <v>1130</v>
      </c>
      <c r="H49" s="97" t="s">
        <v>1538</v>
      </c>
      <c r="I49" s="134" t="s">
        <v>1539</v>
      </c>
      <c r="J49" s="131" t="s">
        <v>786</v>
      </c>
      <c r="K49" s="130" t="s">
        <v>416</v>
      </c>
      <c r="L49" s="82"/>
      <c r="M49" s="116"/>
      <c r="N49" s="114" t="s">
        <v>669</v>
      </c>
      <c r="O49" s="114" t="s">
        <v>1540</v>
      </c>
      <c r="P49" s="115">
        <v>50.6174804319804</v>
      </c>
      <c r="Q49" s="115">
        <v>-3.42501520373284</v>
      </c>
      <c r="R49" s="131" t="s">
        <v>648</v>
      </c>
      <c r="S49" s="131" t="s">
        <v>1115</v>
      </c>
      <c r="T49" s="116"/>
      <c r="U49" s="131" t="s">
        <v>1542</v>
      </c>
      <c r="V49" s="131" t="s">
        <v>593</v>
      </c>
      <c r="W49" s="144" t="b">
        <v>1</v>
      </c>
      <c r="X49" s="119" t="b">
        <v>0</v>
      </c>
      <c r="Y49" s="119" t="b">
        <v>0</v>
      </c>
      <c r="Z49" s="118" t="b">
        <v>1</v>
      </c>
      <c r="AA49" s="118" t="b">
        <v>1</v>
      </c>
      <c r="AB49" s="118" t="b">
        <v>1</v>
      </c>
      <c r="AC49" s="118" t="b">
        <v>1</v>
      </c>
      <c r="AD49" s="130" t="s">
        <v>519</v>
      </c>
      <c r="AE49" s="131" t="s">
        <v>991</v>
      </c>
      <c r="AF49" s="130" t="s">
        <v>1371</v>
      </c>
      <c r="AG49" s="93" t="s">
        <v>1549</v>
      </c>
      <c r="AH49" s="116"/>
      <c r="AI49" s="116"/>
      <c r="AJ49" s="131" t="s">
        <v>1550</v>
      </c>
      <c r="AK49" s="116"/>
      <c r="AL49" s="101" t="s">
        <v>1123</v>
      </c>
      <c r="AM49" s="130" t="s">
        <v>530</v>
      </c>
      <c r="AN49" s="106"/>
      <c r="AO49" s="82"/>
      <c r="AP49" s="82"/>
    </row>
    <row r="50" ht="19.5" customHeight="1">
      <c r="A50" s="82"/>
      <c r="B50" s="130" t="s">
        <v>344</v>
      </c>
      <c r="C50" s="131" t="s">
        <v>915</v>
      </c>
      <c r="D50" s="176" t="s">
        <v>1554</v>
      </c>
      <c r="E50" s="116" t="s">
        <v>918</v>
      </c>
      <c r="F50" s="93" t="s">
        <v>1560</v>
      </c>
      <c r="G50" s="97" t="s">
        <v>682</v>
      </c>
      <c r="H50" s="97" t="s">
        <v>1562</v>
      </c>
      <c r="I50" s="111">
        <v>46144.0</v>
      </c>
      <c r="J50" s="131" t="s">
        <v>883</v>
      </c>
      <c r="K50" s="130" t="s">
        <v>416</v>
      </c>
      <c r="L50" s="82"/>
      <c r="M50" s="139" t="s">
        <v>1554</v>
      </c>
      <c r="N50" s="114" t="s">
        <v>382</v>
      </c>
      <c r="O50" s="114" t="s">
        <v>1563</v>
      </c>
      <c r="P50" s="115">
        <v>50.562471615068</v>
      </c>
      <c r="Q50" s="115">
        <v>-3.6501001808635</v>
      </c>
      <c r="R50" s="97" t="s">
        <v>648</v>
      </c>
      <c r="S50" s="131" t="s">
        <v>1564</v>
      </c>
      <c r="T50" s="131" t="s">
        <v>1136</v>
      </c>
      <c r="U50" s="116"/>
      <c r="V50" s="116"/>
      <c r="W50" s="144" t="b">
        <v>1</v>
      </c>
      <c r="X50" s="134" t="b">
        <v>0</v>
      </c>
      <c r="Y50" s="144" t="b">
        <v>1</v>
      </c>
      <c r="Z50" s="144" t="b">
        <v>1</v>
      </c>
      <c r="AA50" s="144" t="b">
        <v>1</v>
      </c>
      <c r="AB50" s="144" t="b">
        <v>1</v>
      </c>
      <c r="AC50" s="144" t="b">
        <v>1</v>
      </c>
      <c r="AD50" s="130" t="s">
        <v>519</v>
      </c>
      <c r="AE50" s="131" t="s">
        <v>608</v>
      </c>
      <c r="AF50" s="93" t="s">
        <v>654</v>
      </c>
      <c r="AG50" s="93" t="s">
        <v>1567</v>
      </c>
      <c r="AH50" s="116"/>
      <c r="AI50" s="131" t="s">
        <v>927</v>
      </c>
      <c r="AJ50" s="131" t="s">
        <v>827</v>
      </c>
      <c r="AK50" s="131" t="s">
        <v>774</v>
      </c>
      <c r="AL50" s="93" t="s">
        <v>1573</v>
      </c>
      <c r="AM50" s="93" t="s">
        <v>530</v>
      </c>
      <c r="AN50" s="106"/>
      <c r="AO50" s="82"/>
      <c r="AP50" s="82"/>
    </row>
    <row r="51" ht="19.5" customHeight="1">
      <c r="A51" s="130" t="s">
        <v>929</v>
      </c>
      <c r="B51" s="130" t="s">
        <v>344</v>
      </c>
      <c r="C51" s="131" t="s">
        <v>363</v>
      </c>
      <c r="D51" s="93" t="s">
        <v>1574</v>
      </c>
      <c r="E51" s="116" t="s">
        <v>653</v>
      </c>
      <c r="F51" s="93" t="s">
        <v>1575</v>
      </c>
      <c r="G51" s="131" t="s">
        <v>739</v>
      </c>
      <c r="H51" s="97" t="s">
        <v>1538</v>
      </c>
      <c r="I51" s="158">
        <v>46114.0</v>
      </c>
      <c r="J51" s="131" t="s">
        <v>786</v>
      </c>
      <c r="K51" s="130" t="s">
        <v>416</v>
      </c>
      <c r="L51" s="114" t="s">
        <v>1576</v>
      </c>
      <c r="M51" s="139" t="s">
        <v>1577</v>
      </c>
      <c r="N51" s="114" t="s">
        <v>437</v>
      </c>
      <c r="O51" s="114" t="s">
        <v>1578</v>
      </c>
      <c r="P51" s="115">
        <v>50.7017375372844</v>
      </c>
      <c r="Q51" s="115">
        <v>-3.22544020289441</v>
      </c>
      <c r="R51" s="131" t="s">
        <v>1001</v>
      </c>
      <c r="S51" s="131" t="s">
        <v>1115</v>
      </c>
      <c r="T51" s="116"/>
      <c r="U51" s="116"/>
      <c r="V51" s="131" t="s">
        <v>593</v>
      </c>
      <c r="W51" s="144" t="b">
        <v>1</v>
      </c>
      <c r="X51" s="119" t="b">
        <v>1</v>
      </c>
      <c r="Y51" s="118" t="b">
        <v>1</v>
      </c>
      <c r="Z51" s="118" t="b">
        <v>1</v>
      </c>
      <c r="AA51" s="118" t="b">
        <v>1</v>
      </c>
      <c r="AB51" s="118" t="b">
        <v>1</v>
      </c>
      <c r="AC51" s="118" t="b">
        <v>1</v>
      </c>
      <c r="AD51" s="130" t="s">
        <v>519</v>
      </c>
      <c r="AE51" s="131" t="s">
        <v>543</v>
      </c>
      <c r="AF51" s="130" t="s">
        <v>1355</v>
      </c>
      <c r="AG51" s="93" t="s">
        <v>1583</v>
      </c>
      <c r="AH51" s="131" t="s">
        <v>1415</v>
      </c>
      <c r="AI51" s="131" t="s">
        <v>1584</v>
      </c>
      <c r="AJ51" s="131" t="s">
        <v>1585</v>
      </c>
      <c r="AK51" s="116"/>
      <c r="AL51" s="93" t="s">
        <v>1586</v>
      </c>
      <c r="AM51" s="130" t="s">
        <v>530</v>
      </c>
      <c r="AN51" s="106"/>
      <c r="AO51" s="82"/>
      <c r="AP51" s="82"/>
    </row>
    <row r="52" ht="19.5" customHeight="1">
      <c r="A52" s="130" t="s">
        <v>929</v>
      </c>
      <c r="B52" s="130" t="s">
        <v>344</v>
      </c>
      <c r="C52" s="131" t="s">
        <v>363</v>
      </c>
      <c r="D52" s="93" t="s">
        <v>1587</v>
      </c>
      <c r="E52" s="97" t="s">
        <v>339</v>
      </c>
      <c r="F52" s="93" t="s">
        <v>1588</v>
      </c>
      <c r="G52" s="131" t="s">
        <v>567</v>
      </c>
      <c r="H52" s="97" t="s">
        <v>783</v>
      </c>
      <c r="I52" s="134" t="s">
        <v>684</v>
      </c>
      <c r="J52" s="131" t="s">
        <v>786</v>
      </c>
      <c r="K52" s="130" t="s">
        <v>416</v>
      </c>
      <c r="L52" s="114" t="s">
        <v>1589</v>
      </c>
      <c r="M52" s="139" t="s">
        <v>1590</v>
      </c>
      <c r="N52" s="114" t="s">
        <v>831</v>
      </c>
      <c r="O52" s="114" t="s">
        <v>1591</v>
      </c>
      <c r="P52" s="115">
        <v>50.6816723958003</v>
      </c>
      <c r="Q52" s="115">
        <v>-3.45698061876524</v>
      </c>
      <c r="R52" s="131" t="s">
        <v>588</v>
      </c>
      <c r="S52" s="131" t="s">
        <v>469</v>
      </c>
      <c r="T52" s="116"/>
      <c r="U52" s="131" t="s">
        <v>483</v>
      </c>
      <c r="V52" s="131" t="s">
        <v>656</v>
      </c>
      <c r="W52" s="144" t="b">
        <v>1</v>
      </c>
      <c r="X52" s="119" t="b">
        <v>0</v>
      </c>
      <c r="Y52" s="118" t="b">
        <v>1</v>
      </c>
      <c r="Z52" s="118" t="b">
        <v>1</v>
      </c>
      <c r="AA52" s="118" t="b">
        <v>1</v>
      </c>
      <c r="AB52" s="118" t="b">
        <v>1</v>
      </c>
      <c r="AC52" s="118" t="b">
        <v>1</v>
      </c>
      <c r="AD52" s="130" t="s">
        <v>519</v>
      </c>
      <c r="AE52" s="97" t="s">
        <v>525</v>
      </c>
      <c r="AF52" s="93" t="s">
        <v>1596</v>
      </c>
      <c r="AG52" s="93" t="s">
        <v>1597</v>
      </c>
      <c r="AH52" s="131" t="s">
        <v>1598</v>
      </c>
      <c r="AI52" s="131" t="s">
        <v>1599</v>
      </c>
      <c r="AJ52" s="131" t="s">
        <v>1523</v>
      </c>
      <c r="AK52" s="131" t="s">
        <v>774</v>
      </c>
      <c r="AL52" s="101" t="s">
        <v>1601</v>
      </c>
      <c r="AM52" s="93" t="s">
        <v>530</v>
      </c>
      <c r="AN52" s="106"/>
      <c r="AO52" s="82"/>
      <c r="AP52" s="82"/>
    </row>
    <row r="53" ht="19.5" customHeight="1">
      <c r="A53" s="82"/>
      <c r="B53" s="130" t="s">
        <v>344</v>
      </c>
      <c r="C53" s="131" t="s">
        <v>1084</v>
      </c>
      <c r="D53" s="132" t="s">
        <v>1605</v>
      </c>
      <c r="E53" s="116" t="s">
        <v>734</v>
      </c>
      <c r="F53" s="93" t="s">
        <v>1606</v>
      </c>
      <c r="G53" s="131" t="s">
        <v>739</v>
      </c>
      <c r="H53" s="97" t="s">
        <v>783</v>
      </c>
      <c r="I53" s="158">
        <v>46113.0</v>
      </c>
      <c r="J53" s="131" t="s">
        <v>786</v>
      </c>
      <c r="K53" s="130" t="s">
        <v>416</v>
      </c>
      <c r="L53" s="82"/>
      <c r="M53" s="139" t="s">
        <v>1608</v>
      </c>
      <c r="N53" s="114" t="s">
        <v>831</v>
      </c>
      <c r="O53" s="114" t="s">
        <v>1609</v>
      </c>
      <c r="P53" s="115">
        <v>50.6769687519467</v>
      </c>
      <c r="Q53" s="115">
        <v>-3.47059805620583</v>
      </c>
      <c r="R53" s="131" t="s">
        <v>433</v>
      </c>
      <c r="S53" s="131" t="s">
        <v>987</v>
      </c>
      <c r="T53" s="116"/>
      <c r="U53" s="116"/>
      <c r="V53" s="116"/>
      <c r="W53" s="144" t="b">
        <v>1</v>
      </c>
      <c r="X53" s="134" t="b">
        <v>0</v>
      </c>
      <c r="Y53" s="144" t="b">
        <v>1</v>
      </c>
      <c r="Z53" s="144" t="b">
        <v>1</v>
      </c>
      <c r="AA53" s="144" t="b">
        <v>1</v>
      </c>
      <c r="AB53" s="144" t="b">
        <v>1</v>
      </c>
      <c r="AC53" s="144" t="b">
        <v>1</v>
      </c>
      <c r="AD53" s="130" t="s">
        <v>519</v>
      </c>
      <c r="AE53" s="131" t="s">
        <v>525</v>
      </c>
      <c r="AF53" s="130" t="s">
        <v>765</v>
      </c>
      <c r="AG53" s="93" t="s">
        <v>1610</v>
      </c>
      <c r="AH53" s="116"/>
      <c r="AI53" s="116"/>
      <c r="AJ53" s="131" t="s">
        <v>1523</v>
      </c>
      <c r="AK53" s="116"/>
      <c r="AL53" s="101" t="s">
        <v>1612</v>
      </c>
      <c r="AM53" s="130" t="s">
        <v>530</v>
      </c>
      <c r="AN53" s="106"/>
      <c r="AO53" s="82"/>
      <c r="AP53" s="82"/>
    </row>
    <row r="54" ht="19.5" customHeight="1">
      <c r="A54" s="93" t="s">
        <v>929</v>
      </c>
      <c r="B54" s="93" t="s">
        <v>344</v>
      </c>
      <c r="C54" s="97" t="s">
        <v>1163</v>
      </c>
      <c r="D54" s="132" t="s">
        <v>1613</v>
      </c>
      <c r="E54" s="116" t="s">
        <v>337</v>
      </c>
      <c r="F54" s="93" t="s">
        <v>1614</v>
      </c>
      <c r="G54" s="97" t="s">
        <v>682</v>
      </c>
      <c r="H54" s="97" t="s">
        <v>920</v>
      </c>
      <c r="I54" s="111">
        <v>46054.0</v>
      </c>
      <c r="J54" s="131" t="s">
        <v>972</v>
      </c>
      <c r="K54" s="130" t="s">
        <v>416</v>
      </c>
      <c r="L54" s="82"/>
      <c r="M54" s="139" t="s">
        <v>843</v>
      </c>
      <c r="N54" s="114" t="s">
        <v>831</v>
      </c>
      <c r="O54" s="114" t="s">
        <v>844</v>
      </c>
      <c r="P54" s="115">
        <v>50.6768007643703</v>
      </c>
      <c r="Q54" s="115">
        <v>-3.37080312377698</v>
      </c>
      <c r="R54" s="97" t="s">
        <v>433</v>
      </c>
      <c r="S54" s="131" t="s">
        <v>469</v>
      </c>
      <c r="T54" s="116"/>
      <c r="U54" s="116"/>
      <c r="V54" s="116"/>
      <c r="W54" s="144" t="b">
        <v>1</v>
      </c>
      <c r="X54" s="144" t="b">
        <v>1</v>
      </c>
      <c r="Y54" s="144" t="b">
        <v>1</v>
      </c>
      <c r="Z54" s="144" t="b">
        <v>1</v>
      </c>
      <c r="AA54" s="144" t="b">
        <v>1</v>
      </c>
      <c r="AB54" s="144" t="b">
        <v>1</v>
      </c>
      <c r="AC54" s="144" t="b">
        <v>1</v>
      </c>
      <c r="AD54" s="130" t="s">
        <v>519</v>
      </c>
      <c r="AE54" s="131" t="s">
        <v>608</v>
      </c>
      <c r="AF54" s="93" t="s">
        <v>818</v>
      </c>
      <c r="AG54" s="93" t="s">
        <v>1619</v>
      </c>
      <c r="AH54" s="116"/>
      <c r="AI54" s="131" t="s">
        <v>978</v>
      </c>
      <c r="AJ54" s="222" t="s">
        <v>1620</v>
      </c>
      <c r="AK54" s="116"/>
      <c r="AL54" s="101" t="s">
        <v>1623</v>
      </c>
      <c r="AM54" s="130" t="s">
        <v>530</v>
      </c>
      <c r="AN54" s="106"/>
      <c r="AO54" s="82"/>
      <c r="AP54" s="82"/>
    </row>
    <row r="55" ht="19.5" customHeight="1">
      <c r="A55" s="93" t="s">
        <v>929</v>
      </c>
      <c r="B55" s="93" t="s">
        <v>344</v>
      </c>
      <c r="C55" s="97" t="s">
        <v>1163</v>
      </c>
      <c r="D55" s="132" t="s">
        <v>1625</v>
      </c>
      <c r="E55" s="116" t="s">
        <v>337</v>
      </c>
      <c r="F55" s="93" t="s">
        <v>1626</v>
      </c>
      <c r="G55" s="97" t="s">
        <v>682</v>
      </c>
      <c r="H55" s="97" t="s">
        <v>920</v>
      </c>
      <c r="I55" s="111">
        <v>46113.0</v>
      </c>
      <c r="J55" s="131" t="s">
        <v>972</v>
      </c>
      <c r="K55" s="130" t="s">
        <v>416</v>
      </c>
      <c r="L55" s="82"/>
      <c r="M55" s="139" t="s">
        <v>843</v>
      </c>
      <c r="N55" s="114" t="s">
        <v>831</v>
      </c>
      <c r="O55" s="114" t="s">
        <v>844</v>
      </c>
      <c r="P55" s="115">
        <v>50.6693075388664</v>
      </c>
      <c r="Q55" s="115">
        <v>-3.36313135571224</v>
      </c>
      <c r="R55" s="97" t="s">
        <v>433</v>
      </c>
      <c r="S55" s="131" t="s">
        <v>469</v>
      </c>
      <c r="T55" s="116"/>
      <c r="U55" s="116"/>
      <c r="V55" s="116"/>
      <c r="W55" s="144" t="b">
        <v>1</v>
      </c>
      <c r="X55" s="134" t="b">
        <v>0</v>
      </c>
      <c r="Y55" s="144" t="b">
        <v>1</v>
      </c>
      <c r="Z55" s="144" t="b">
        <v>1</v>
      </c>
      <c r="AA55" s="144" t="b">
        <v>1</v>
      </c>
      <c r="AB55" s="144" t="b">
        <v>1</v>
      </c>
      <c r="AC55" s="144" t="b">
        <v>1</v>
      </c>
      <c r="AD55" s="130" t="s">
        <v>519</v>
      </c>
      <c r="AE55" s="131" t="s">
        <v>608</v>
      </c>
      <c r="AF55" s="93" t="s">
        <v>1628</v>
      </c>
      <c r="AG55" s="93" t="s">
        <v>1629</v>
      </c>
      <c r="AH55" s="116"/>
      <c r="AI55" s="131" t="s">
        <v>978</v>
      </c>
      <c r="AJ55" s="131" t="s">
        <v>853</v>
      </c>
      <c r="AK55" s="116"/>
      <c r="AL55" s="93" t="s">
        <v>1631</v>
      </c>
      <c r="AM55" s="130" t="s">
        <v>530</v>
      </c>
      <c r="AN55" s="106"/>
      <c r="AO55" s="82"/>
      <c r="AP55" s="82"/>
    </row>
  </sheetData>
  <mergeCells count="9">
    <mergeCell ref="AN1:AO2"/>
    <mergeCell ref="AM1:AM2"/>
    <mergeCell ref="A1:D2"/>
    <mergeCell ref="E1:K2"/>
    <mergeCell ref="R1:V2"/>
    <mergeCell ref="W1:AC2"/>
    <mergeCell ref="AD1:AF2"/>
    <mergeCell ref="AG1:AL2"/>
    <mergeCell ref="L1:Q2"/>
  </mergeCells>
  <dataValidations>
    <dataValidation type="list" allowBlank="1" showErrorMessage="1" sqref="C11 C38:C39">
      <formula1>RHelper!A26:Z26</formula1>
    </dataValidation>
    <dataValidation type="list" allowBlank="1" showErrorMessage="1" sqref="C10">
      <formula1>RHelper!A32:Z32</formula1>
    </dataValidation>
    <dataValidation type="list" allowBlank="1" showErrorMessage="1" sqref="C13">
      <formula1>RHelper!A42:Z42</formula1>
    </dataValidation>
    <dataValidation type="list" allowBlank="1" showErrorMessage="1" sqref="C16">
      <formula1>RHelper!A52:Z52</formula1>
    </dataValidation>
    <dataValidation type="list" allowBlank="1" showErrorMessage="1" sqref="K5:K45 K47:K55">
      <formula1>Enums!$D$645:$D$647</formula1>
    </dataValidation>
    <dataValidation type="list" allowBlank="1" showErrorMessage="1" sqref="C46">
      <formula1>RHelper!A6:Z6</formula1>
    </dataValidation>
    <dataValidation type="list" allowBlank="1" showErrorMessage="1" sqref="C30">
      <formula1>RHelper!A33:Z33</formula1>
    </dataValidation>
    <dataValidation type="list" allowBlank="1" showErrorMessage="1" sqref="T46">
      <formula1>Enums!$D$443:$D$459</formula1>
    </dataValidation>
    <dataValidation type="list" allowBlank="1" showErrorMessage="1" sqref="C33:C34 C36">
      <formula1>RHelper!A37:Z37</formula1>
    </dataValidation>
    <dataValidation type="list" allowBlank="1" showErrorMessage="1" sqref="AJ33:AJ34 AJ36">
      <formula1>RHelper2!A37:Z37</formula1>
    </dataValidation>
    <dataValidation type="list" allowBlank="1" showErrorMessage="1" sqref="C28">
      <formula1>RHelper!A33:Z33</formula1>
    </dataValidation>
    <dataValidation type="list" allowBlank="1" showErrorMessage="1" sqref="AE46">
      <formula1>Enums!$D$374:$D$383</formula1>
    </dataValidation>
    <dataValidation type="list" allowBlank="1" showErrorMessage="1" sqref="AD5:AD45 AD47:AD55">
      <formula1>Enums!$D$427:$D$429</formula1>
    </dataValidation>
    <dataValidation type="list" allowBlank="1" showErrorMessage="1" sqref="C23">
      <formula1>RHelper!A20:Z20</formula1>
    </dataValidation>
    <dataValidation type="list" allowBlank="1" showErrorMessage="1" sqref="T5:T45 T47:T55">
      <formula1>Enums!$D$487:$D$503</formula1>
    </dataValidation>
    <dataValidation type="list" allowBlank="1" showErrorMessage="1" sqref="C18">
      <formula1>RHelper!A41:Z41</formula1>
    </dataValidation>
    <dataValidation type="list" allowBlank="1" showErrorMessage="1" sqref="C20 C35 C50">
      <formula1>RHelper!A21:Z21</formula1>
    </dataValidation>
    <dataValidation type="list" allowBlank="1" showErrorMessage="1" sqref="H5:H45 H47:H55">
      <formula1>Enums!$D$624:$D$631</formula1>
    </dataValidation>
    <dataValidation type="list" allowBlank="1" showErrorMessage="1" sqref="AJ29 AJ37">
      <formula1>RHelper2!A35:Z35</formula1>
    </dataValidation>
    <dataValidation type="list" allowBlank="1" showErrorMessage="1" sqref="AF5:AF34 AF36:AF45 AF47:AF55">
      <formula1>Enums!$D$449:$D$454</formula1>
    </dataValidation>
    <dataValidation type="list" allowBlank="1" showErrorMessage="1" sqref="K46">
      <formula1>Enums!$D$600:$D$602</formula1>
    </dataValidation>
    <dataValidation type="list" allowBlank="1" showErrorMessage="1" sqref="AJ15 AJ17">
      <formula1>RHelper2!A55:Z55</formula1>
    </dataValidation>
    <dataValidation type="list" allowBlank="1" showErrorMessage="1" sqref="R46">
      <formula1>Enums!$D$465:$D$471</formula1>
    </dataValidation>
    <dataValidation type="list" allowBlank="1" showErrorMessage="1" sqref="C40">
      <formula1>RHelper!A31:Z31</formula1>
    </dataValidation>
    <dataValidation type="list" allowBlank="1" showErrorMessage="1" sqref="AI35 AI46">
      <formula1>Enums!$D$524:$D$570</formula1>
    </dataValidation>
    <dataValidation type="list" allowBlank="1" showErrorMessage="1" sqref="AJ42">
      <formula1>RHelper2!A29:Z29</formula1>
    </dataValidation>
    <dataValidation type="list" allowBlank="1" showErrorMessage="1" sqref="AJ20 AJ35 AJ50">
      <formula1>RHelper2!A21:Z21</formula1>
    </dataValidation>
    <dataValidation type="list" allowBlank="1" showErrorMessage="1" sqref="AJ19">
      <formula1>RHelper2!A50:Z50</formula1>
    </dataValidation>
    <dataValidation type="list" allowBlank="1" showErrorMessage="1" sqref="J5:J45 J47:J55">
      <formula1>Enums!$D$633:$D$643</formula1>
    </dataValidation>
    <dataValidation type="list" allowBlank="1" showErrorMessage="1" sqref="C5">
      <formula1>RHelper!A13:Z13</formula1>
    </dataValidation>
    <dataValidation type="list" allowBlank="1" showErrorMessage="1" sqref="AJ43 AJ45">
      <formula1>RHelper2!A25:Z25</formula1>
    </dataValidation>
    <dataValidation type="list" allowBlank="1" showErrorMessage="1" sqref="C7">
      <formula1>RHelper!A24:Z24</formula1>
    </dataValidation>
    <dataValidation type="list" allowBlank="1" showErrorMessage="1" sqref="C19">
      <formula1>RHelper!A50:Z50</formula1>
    </dataValidation>
    <dataValidation type="list" allowBlank="1" showErrorMessage="1" sqref="C48">
      <formula1>RHelper!A12:Z12</formula1>
    </dataValidation>
    <dataValidation type="list" allowBlank="1" showErrorMessage="1" sqref="AJ27">
      <formula1>RHelper2!A34:Z34</formula1>
    </dataValidation>
    <dataValidation type="list" allowBlank="1" showErrorMessage="1" sqref="C41">
      <formula1>RHelper!A30:Z30</formula1>
    </dataValidation>
    <dataValidation type="list" allowBlank="1" showErrorMessage="1" sqref="AJ23">
      <formula1>RHelper2!A20:Z20</formula1>
    </dataValidation>
    <dataValidation type="list" allowBlank="1" showErrorMessage="1" sqref="C29 C37">
      <formula1>RHelper!A35:Z35</formula1>
    </dataValidation>
    <dataValidation type="list" allowBlank="1" showErrorMessage="1" sqref="AJ44">
      <formula1>RHelper2!A58:Z58</formula1>
    </dataValidation>
    <dataValidation type="list" allowBlank="1" showErrorMessage="1" sqref="C14">
      <formula1>RHelper!A39:Z39</formula1>
    </dataValidation>
    <dataValidation type="list" allowBlank="1" showErrorMessage="1" sqref="C15 C17">
      <formula1>RHelper!A55:Z55</formula1>
    </dataValidation>
    <dataValidation type="list" allowBlank="1" showErrorMessage="1" sqref="S46">
      <formula1>Enums!$D$416:$D$429</formula1>
    </dataValidation>
    <dataValidation type="list" allowBlank="1" showErrorMessage="1" sqref="C47">
      <formula1>RHelper!A45:Z45</formula1>
    </dataValidation>
    <dataValidation type="list" allowBlank="1" showErrorMessage="1" sqref="AI5:AI34 AI36:AI45 AI47:AI55">
      <formula1>Enums!$D$569:$D$615</formula1>
    </dataValidation>
    <dataValidation type="list" allowBlank="1" showErrorMessage="1" sqref="AJ49">
      <formula1>RHelper2!A22:Z22</formula1>
    </dataValidation>
    <dataValidation type="list" allowBlank="1" showErrorMessage="1" sqref="AD46">
      <formula1>Enums!$D$386:$D$388</formula1>
    </dataValidation>
    <dataValidation type="list" allowBlank="1" showErrorMessage="1" sqref="B5:B45 B47:B55">
      <formula1>Enums!$D$148:$D$150</formula1>
    </dataValidation>
    <dataValidation type="list" allowBlank="1" showErrorMessage="1" sqref="AJ14">
      <formula1>RHelper2!A39:Z39</formula1>
    </dataValidation>
    <dataValidation type="list" allowBlank="1" showErrorMessage="1" sqref="H46">
      <formula1>Enums!$D$579:$D$586</formula1>
    </dataValidation>
    <dataValidation type="list" allowBlank="1" showErrorMessage="1" sqref="V46">
      <formula1>Enums!$D$460:$D$462</formula1>
    </dataValidation>
    <dataValidation type="list" allowBlank="1" showErrorMessage="1" sqref="AJ10">
      <formula1>RHelper2!A32:Z32</formula1>
    </dataValidation>
    <dataValidation type="list" allowBlank="1" showErrorMessage="1" sqref="E46">
      <formula1>Enums!$D$13:$D$17</formula1>
    </dataValidation>
    <dataValidation type="list" allowBlank="1" showErrorMessage="1" sqref="AJ24 AJ26">
      <formula1>RHelper2!A16:Z16</formula1>
    </dataValidation>
    <dataValidation type="list" allowBlank="1" showErrorMessage="1" sqref="AJ40">
      <formula1>RHelper2!A31:Z31</formula1>
    </dataValidation>
    <dataValidation type="list" allowBlank="1" showErrorMessage="1" sqref="AJ30">
      <formula1>RHelper2!A33:Z33</formula1>
    </dataValidation>
    <dataValidation type="list" allowBlank="1" showErrorMessage="1" sqref="AJ41">
      <formula1>RHelper2!A30:Z30</formula1>
    </dataValidation>
    <dataValidation type="list" allowBlank="1" showErrorMessage="1" sqref="AJ16">
      <formula1>RHelper2!A52:Z52</formula1>
    </dataValidation>
    <dataValidation type="list" allowBlank="1" showErrorMessage="1" sqref="AJ52">
      <formula1>RHelper2!A14:Z14</formula1>
    </dataValidation>
    <dataValidation type="list" allowBlank="1" showErrorMessage="1" sqref="AJ21 AJ25 AJ54:AJ55">
      <formula1>RHelper2!A15:Z15</formula1>
    </dataValidation>
    <dataValidation type="list" allowBlank="1" showErrorMessage="1" sqref="AH35 AH46">
      <formula1>Enums!$D$507:$D$522</formula1>
    </dataValidation>
    <dataValidation type="list" allowBlank="1" showErrorMessage="1" sqref="C43 C45">
      <formula1>RHelper!A25:Z25</formula1>
    </dataValidation>
    <dataValidation type="list" allowBlank="1" showErrorMessage="1" sqref="U5:U45 U47:U55">
      <formula1>Enums!$D$474:$D$486</formula1>
    </dataValidation>
    <dataValidation type="list" allowBlank="1" showErrorMessage="1" sqref="C51">
      <formula1>RHelper!A23:Z23</formula1>
    </dataValidation>
    <dataValidation type="list" allowBlank="1" showErrorMessage="1" sqref="AJ22">
      <formula1>RHelper2!A17:Z17</formula1>
    </dataValidation>
    <dataValidation type="list" allowBlank="1" showErrorMessage="1" sqref="AJ53">
      <formula1>RHelper2!A46:Z46</formula1>
    </dataValidation>
    <dataValidation type="list" allowBlank="1" showErrorMessage="1" sqref="AF35 AF46">
      <formula1>Enums!$D$408:$D$413</formula1>
    </dataValidation>
    <dataValidation type="list" allowBlank="1" showErrorMessage="1" sqref="AE5:AE45 AE47:AE55">
      <formula1>Enums!$D$415:$D$424</formula1>
    </dataValidation>
    <dataValidation type="list" allowBlank="1" showErrorMessage="1" sqref="C42">
      <formula1>RHelper!A29:Z29</formula1>
    </dataValidation>
    <dataValidation type="list" allowBlank="1" showErrorMessage="1" sqref="AJ18">
      <formula1>RHelper2!A41:Z41</formula1>
    </dataValidation>
    <dataValidation type="list" allowBlank="1" showErrorMessage="1" sqref="A5:A55">
      <formula1>Enums!$C$4:$C$7</formula1>
    </dataValidation>
    <dataValidation type="list" allowBlank="1" showErrorMessage="1" sqref="C52">
      <formula1>RHelper!A14:Z14</formula1>
    </dataValidation>
    <dataValidation type="list" allowBlank="1" showErrorMessage="1" sqref="AJ6 AJ9">
      <formula1>RHelper2!A44:Z44</formula1>
    </dataValidation>
    <dataValidation type="list" allowBlank="1" showErrorMessage="1" sqref="C31:C32">
      <formula1>RHelper!A10:Z10</formula1>
    </dataValidation>
    <dataValidation type="list" allowBlank="1" showErrorMessage="1" sqref="AJ48">
      <formula1>RHelper2!A12:Z12</formula1>
    </dataValidation>
    <dataValidation type="list" allowBlank="1" showErrorMessage="1" sqref="AJ5">
      <formula1>RHelper2!A13:Z13</formula1>
    </dataValidation>
    <dataValidation type="list" allowBlank="1" showErrorMessage="1" sqref="AJ47">
      <formula1>RHelper2!A45:Z45</formula1>
    </dataValidation>
    <dataValidation type="list" allowBlank="1" showErrorMessage="1" sqref="C22">
      <formula1>RHelper!A17:Z17</formula1>
    </dataValidation>
    <dataValidation type="list" allowBlank="1" showErrorMessage="1" sqref="C6 C9">
      <formula1>RHelper!A44:Z44</formula1>
    </dataValidation>
    <dataValidation type="list" allowBlank="1" showErrorMessage="1" sqref="AJ7">
      <formula1>RHelper2!A24:Z24</formula1>
    </dataValidation>
    <dataValidation type="list" allowBlank="1" showErrorMessage="1" sqref="V5:V45 V47:V55">
      <formula1>Enums!$D$504:$D$507</formula1>
    </dataValidation>
    <dataValidation type="list" allowBlank="1" showErrorMessage="1" sqref="G5:G45 G47:G55">
      <formula1>Enums!$D$618:$D$622</formula1>
    </dataValidation>
    <dataValidation type="list" allowBlank="1" showErrorMessage="1" sqref="AJ51">
      <formula1>RHelper2!A23:Z23</formula1>
    </dataValidation>
    <dataValidation type="list" allowBlank="1" showErrorMessage="1" sqref="AH5:AH34 AH36:AH45 AH47:AH55">
      <formula1>Enums!$D$552:$D$567</formula1>
    </dataValidation>
    <dataValidation type="list" allowBlank="1" showErrorMessage="1" sqref="C24 C26">
      <formula1>RHelper!A16:Z16</formula1>
    </dataValidation>
    <dataValidation type="list" allowBlank="1" showErrorMessage="1" sqref="C8">
      <formula1>RHelper!A28:Z28</formula1>
    </dataValidation>
    <dataValidation type="list" allowBlank="1" showErrorMessage="1" sqref="AJ12">
      <formula1>RHelper2!A56:Z56</formula1>
    </dataValidation>
    <dataValidation type="list" allowBlank="1" showErrorMessage="1" sqref="AK35 AK46">
      <formula1>Enums!$D$474:$D$504</formula1>
    </dataValidation>
    <dataValidation type="list" allowBlank="1" showErrorMessage="1" sqref="B46">
      <formula1>Enums!$D$108:$D$110</formula1>
    </dataValidation>
    <dataValidation type="list" allowBlank="1" showErrorMessage="1" sqref="U46">
      <formula1>Enums!$D$430:$D$442</formula1>
    </dataValidation>
    <dataValidation type="list" allowBlank="1" showErrorMessage="1" sqref="AJ13">
      <formula1>RHelper2!A42:Z42</formula1>
    </dataValidation>
    <dataValidation type="list" allowBlank="1" showErrorMessage="1" sqref="C12">
      <formula1>RHelper!A56:Z56</formula1>
    </dataValidation>
    <dataValidation type="list" allowBlank="1" showErrorMessage="1" sqref="AJ8">
      <formula1>RHelper2!A28:Z28</formula1>
    </dataValidation>
    <dataValidation type="list" allowBlank="1" showErrorMessage="1" sqref="G46">
      <formula1>Enums!$D$573:$D$577</formula1>
    </dataValidation>
    <dataValidation type="list" allowBlank="1" showErrorMessage="1" sqref="C49">
      <formula1>RHelper!A22:Z22</formula1>
    </dataValidation>
    <dataValidation type="list" allowBlank="1" showErrorMessage="1" sqref="AJ31:AJ32">
      <formula1>RHelper2!A10:Z10</formula1>
    </dataValidation>
    <dataValidation type="list" allowBlank="1" showErrorMessage="1" sqref="C21 C25 C54:C55">
      <formula1>RHelper!A15:Z15</formula1>
    </dataValidation>
    <dataValidation type="list" allowBlank="1" showErrorMessage="1" sqref="C27">
      <formula1>RHelper!A34:Z34</formula1>
    </dataValidation>
    <dataValidation type="list" allowBlank="1" showErrorMessage="1" sqref="E5:E45 E47:E55">
      <formula1>Enums!$D$12:$D$16</formula1>
    </dataValidation>
    <dataValidation type="list" allowBlank="1" showErrorMessage="1" sqref="C53">
      <formula1>RHelper!A46:Z46</formula1>
    </dataValidation>
    <dataValidation type="list" allowBlank="1" showErrorMessage="1" sqref="AJ11 AJ38:AJ39">
      <formula1>RHelper2!A26:Z26</formula1>
    </dataValidation>
    <dataValidation type="list" allowBlank="1" showErrorMessage="1" sqref="S5:S45 S47:S55">
      <formula1>Enums!$D$457:$D$473</formula1>
    </dataValidation>
    <dataValidation type="list" allowBlank="1" showErrorMessage="1" sqref="AJ46">
      <formula1>RHelper2!A6:Z6</formula1>
    </dataValidation>
    <dataValidation type="list" allowBlank="1" showErrorMessage="1" sqref="J46">
      <formula1>Enums!$D$588:$D$598</formula1>
    </dataValidation>
    <dataValidation type="list" allowBlank="1" showErrorMessage="1" sqref="AJ28">
      <formula1>RHelper2!A33:Z33</formula1>
    </dataValidation>
    <dataValidation type="list" allowBlank="1" showErrorMessage="1" sqref="R5:R45 R47:R55">
      <formula1>Enums!$D$510:$D$516</formula1>
    </dataValidation>
    <dataValidation type="list" allowBlank="1" showErrorMessage="1" sqref="AK5:AK34 AK36:AK45 AK47:AK55">
      <formula1>Enums!$D$519:$D$549</formula1>
    </dataValidation>
    <dataValidation type="list" allowBlank="1" showErrorMessage="1" sqref="C44">
      <formula1>RHelper!A58:Z58</formula1>
    </dataValidation>
  </dataValidations>
  <hyperlinks>
    <hyperlink r:id="rId1" ref="AL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03" t="str">
        <f t="array" ref="A5:J5">TRANSPOSE(INDIRECT(SWITCH(Clubs!B5,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5" s="203" t="s">
        <v>650</v>
      </c>
      <c r="C5" s="203" t="s">
        <v>1069</v>
      </c>
      <c r="D5" s="203" t="s">
        <v>661</v>
      </c>
      <c r="E5" s="203" t="s">
        <v>1072</v>
      </c>
      <c r="F5" s="203" t="s">
        <v>1073</v>
      </c>
      <c r="G5" s="203" t="s">
        <v>1074</v>
      </c>
      <c r="H5" s="203" t="s">
        <v>1075</v>
      </c>
      <c r="I5" s="203" t="s">
        <v>1076</v>
      </c>
      <c r="J5" s="203" t="s">
        <v>1077</v>
      </c>
    </row>
    <row r="6">
      <c r="A6" s="203" t="str">
        <f t="array" ref="A6">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c r="B6" s="203"/>
      <c r="C6" s="203"/>
      <c r="D6" s="203"/>
      <c r="E6" s="203"/>
      <c r="F6" s="203"/>
      <c r="G6" s="203"/>
      <c r="H6" s="203"/>
      <c r="I6" s="203"/>
      <c r="J6" s="203"/>
      <c r="K6" s="203"/>
      <c r="L6" s="203"/>
      <c r="M6" s="203"/>
      <c r="N6" s="203"/>
    </row>
    <row r="7">
      <c r="A7" s="203" t="str">
        <f t="array" ref="A7:O7">TRANSPOSE(INDIRECT(SWITCH(Clubs!B6,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7" s="203" t="s">
        <v>1192</v>
      </c>
      <c r="C7" s="203" t="s">
        <v>817</v>
      </c>
      <c r="D7" s="203" t="s">
        <v>1193</v>
      </c>
      <c r="E7" s="203" t="s">
        <v>1194</v>
      </c>
      <c r="F7" s="203" t="s">
        <v>1195</v>
      </c>
      <c r="G7" s="203" t="s">
        <v>1196</v>
      </c>
      <c r="H7" s="203" t="s">
        <v>962</v>
      </c>
      <c r="I7" s="203" t="s">
        <v>1198</v>
      </c>
      <c r="J7" s="203" t="s">
        <v>1199</v>
      </c>
      <c r="K7" s="203" t="s">
        <v>1200</v>
      </c>
      <c r="L7" s="203" t="s">
        <v>1201</v>
      </c>
      <c r="M7" s="203" t="s">
        <v>1203</v>
      </c>
      <c r="N7" s="203" t="s">
        <v>1204</v>
      </c>
      <c r="O7" s="203" t="s">
        <v>1205</v>
      </c>
    </row>
    <row r="8">
      <c r="A8" s="203" t="str">
        <f t="array" ref="A8:O8">TRANSPOSE(INDIRECT(SWITCH(Clubs!B7,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8" s="203" t="s">
        <v>1192</v>
      </c>
      <c r="C8" s="203" t="s">
        <v>817</v>
      </c>
      <c r="D8" s="203" t="s">
        <v>1193</v>
      </c>
      <c r="E8" s="203" t="s">
        <v>1194</v>
      </c>
      <c r="F8" s="203" t="s">
        <v>1195</v>
      </c>
      <c r="G8" s="203" t="s">
        <v>1196</v>
      </c>
      <c r="H8" s="203" t="s">
        <v>962</v>
      </c>
      <c r="I8" s="203" t="s">
        <v>1198</v>
      </c>
      <c r="J8" s="203" t="s">
        <v>1199</v>
      </c>
      <c r="K8" s="203" t="s">
        <v>1200</v>
      </c>
      <c r="L8" s="203" t="s">
        <v>1201</v>
      </c>
      <c r="M8" s="203" t="s">
        <v>1203</v>
      </c>
      <c r="N8" s="203" t="s">
        <v>1204</v>
      </c>
      <c r="O8" s="203" t="s">
        <v>1205</v>
      </c>
    </row>
    <row r="9">
      <c r="A9" s="203" t="str">
        <f t="array" ref="A9:O9">TRANSPOSE(INDIRECT(SWITCH(Clubs!B8,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9" s="203" t="s">
        <v>1192</v>
      </c>
      <c r="C9" s="203" t="s">
        <v>817</v>
      </c>
      <c r="D9" s="203" t="s">
        <v>1193</v>
      </c>
      <c r="E9" s="203" t="s">
        <v>1194</v>
      </c>
      <c r="F9" s="203" t="s">
        <v>1195</v>
      </c>
      <c r="G9" s="203" t="s">
        <v>1196</v>
      </c>
      <c r="H9" s="203" t="s">
        <v>962</v>
      </c>
      <c r="I9" s="203" t="s">
        <v>1198</v>
      </c>
      <c r="J9" s="203" t="s">
        <v>1199</v>
      </c>
      <c r="K9" s="203" t="s">
        <v>1200</v>
      </c>
      <c r="L9" s="203" t="s">
        <v>1201</v>
      </c>
      <c r="M9" s="203" t="s">
        <v>1203</v>
      </c>
      <c r="N9" s="203" t="s">
        <v>1204</v>
      </c>
      <c r="O9" s="203" t="s">
        <v>1205</v>
      </c>
    </row>
    <row r="10">
      <c r="A10" s="203" t="str">
        <f t="array" ref="A10">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row>
    <row r="11">
      <c r="A11" s="203" t="str">
        <f t="array" ref="A11:O11">TRANSPOSE(INDIRECT(SWITCH(Clubs!B9,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11" s="203" t="s">
        <v>1192</v>
      </c>
      <c r="C11" s="203" t="s">
        <v>817</v>
      </c>
      <c r="D11" s="203" t="s">
        <v>1193</v>
      </c>
      <c r="E11" s="203" t="s">
        <v>1194</v>
      </c>
      <c r="F11" s="203" t="s">
        <v>1195</v>
      </c>
      <c r="G11" s="203" t="s">
        <v>1196</v>
      </c>
      <c r="H11" s="203" t="s">
        <v>962</v>
      </c>
      <c r="I11" s="203" t="s">
        <v>1198</v>
      </c>
      <c r="J11" s="203" t="s">
        <v>1199</v>
      </c>
      <c r="K11" s="203" t="s">
        <v>1200</v>
      </c>
      <c r="L11" s="203" t="s">
        <v>1201</v>
      </c>
      <c r="M11" s="203" t="s">
        <v>1203</v>
      </c>
      <c r="N11" s="203" t="s">
        <v>1204</v>
      </c>
      <c r="O11" s="203" t="s">
        <v>1205</v>
      </c>
    </row>
    <row r="12">
      <c r="A12" s="203" t="str">
        <f t="array" ref="A12">TRANSPOSE(INDIRECT(SWITCH(Clubs!B10,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3">
      <c r="A13" s="203" t="str">
        <f t="array" ref="A13">TRANSPOSE(INDIRECT(SWITCH(Clubs!B11,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4">
      <c r="A14" s="203" t="str">
        <f t="shared" ref="A14:A87"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row>
    <row r="15">
      <c r="A15" s="203" t="str">
        <f t="shared" si="1"/>
        <v>#REF!</v>
      </c>
    </row>
    <row r="16">
      <c r="A16" s="203" t="str">
        <f t="shared" si="1"/>
        <v>#REF!</v>
      </c>
    </row>
    <row r="17">
      <c r="A17" s="203" t="str">
        <f t="shared" si="1"/>
        <v>#REF!</v>
      </c>
    </row>
    <row r="18">
      <c r="A18" s="203" t="str">
        <f t="shared" si="1"/>
        <v>#REF!</v>
      </c>
    </row>
    <row r="19">
      <c r="A19" s="203" t="str">
        <f t="shared" si="1"/>
        <v>#REF!</v>
      </c>
    </row>
    <row r="20">
      <c r="A20" s="203" t="str">
        <f t="shared" si="1"/>
        <v>#REF!</v>
      </c>
    </row>
    <row r="21">
      <c r="A21" s="203" t="str">
        <f t="shared" si="1"/>
        <v>#REF!</v>
      </c>
    </row>
    <row r="22">
      <c r="A22" s="203" t="str">
        <f t="shared" si="1"/>
        <v>#REF!</v>
      </c>
    </row>
    <row r="23">
      <c r="A23" s="203" t="str">
        <f t="shared" si="1"/>
        <v>#REF!</v>
      </c>
    </row>
    <row r="24">
      <c r="A24" s="203" t="str">
        <f t="shared" si="1"/>
        <v>#REF!</v>
      </c>
    </row>
    <row r="25">
      <c r="A25" s="203" t="str">
        <f t="shared" si="1"/>
        <v>#REF!</v>
      </c>
    </row>
    <row r="26">
      <c r="A26" s="203" t="str">
        <f t="shared" si="1"/>
        <v>#REF!</v>
      </c>
    </row>
    <row r="27">
      <c r="A27" s="203" t="str">
        <f t="shared" si="1"/>
        <v>#REF!</v>
      </c>
    </row>
    <row r="28">
      <c r="A28" s="203" t="str">
        <f t="shared" si="1"/>
        <v>#REF!</v>
      </c>
    </row>
    <row r="29">
      <c r="A29" s="203" t="str">
        <f t="shared" si="1"/>
        <v>#REF!</v>
      </c>
    </row>
    <row r="30">
      <c r="A30" s="203" t="str">
        <f t="shared" si="1"/>
        <v>#REF!</v>
      </c>
    </row>
    <row r="31">
      <c r="A31" s="203" t="str">
        <f t="shared" si="1"/>
        <v>#REF!</v>
      </c>
    </row>
    <row r="32">
      <c r="A32" s="203" t="str">
        <f t="shared" si="1"/>
        <v>#REF!</v>
      </c>
    </row>
    <row r="33">
      <c r="A33" s="203" t="str">
        <f t="shared" si="1"/>
        <v>#REF!</v>
      </c>
    </row>
    <row r="34">
      <c r="A34" s="203" t="str">
        <f t="shared" si="1"/>
        <v>#REF!</v>
      </c>
    </row>
    <row r="35">
      <c r="A35" s="203" t="str">
        <f t="shared" si="1"/>
        <v>#REF!</v>
      </c>
    </row>
    <row r="36">
      <c r="A36" s="203" t="str">
        <f t="shared" si="1"/>
        <v>#REF!</v>
      </c>
    </row>
    <row r="37">
      <c r="A37" s="203" t="str">
        <f t="shared" si="1"/>
        <v>#REF!</v>
      </c>
    </row>
    <row r="38">
      <c r="A38" s="203" t="str">
        <f t="shared" si="1"/>
        <v>#REF!</v>
      </c>
    </row>
    <row r="39">
      <c r="A39" s="203" t="str">
        <f t="shared" si="1"/>
        <v>#REF!</v>
      </c>
    </row>
    <row r="40">
      <c r="A40" s="203" t="str">
        <f t="shared" si="1"/>
        <v>#REF!</v>
      </c>
    </row>
    <row r="41">
      <c r="A41" s="203" t="str">
        <f t="shared" si="1"/>
        <v>#REF!</v>
      </c>
    </row>
    <row r="42">
      <c r="A42" s="203" t="str">
        <f t="shared" si="1"/>
        <v>#REF!</v>
      </c>
    </row>
    <row r="43">
      <c r="A43" s="203" t="str">
        <f t="shared" si="1"/>
        <v>#REF!</v>
      </c>
    </row>
    <row r="44">
      <c r="A44" s="203" t="str">
        <f t="shared" si="1"/>
        <v>#REF!</v>
      </c>
    </row>
    <row r="45">
      <c r="A45" s="203" t="str">
        <f t="shared" si="1"/>
        <v>#REF!</v>
      </c>
    </row>
    <row r="46">
      <c r="A46" s="203" t="str">
        <f t="shared" si="1"/>
        <v>#REF!</v>
      </c>
    </row>
    <row r="47">
      <c r="A47" s="203" t="str">
        <f t="shared" si="1"/>
        <v>#REF!</v>
      </c>
    </row>
    <row r="48">
      <c r="A48" s="203" t="str">
        <f t="shared" si="1"/>
        <v>#REF!</v>
      </c>
    </row>
    <row r="49">
      <c r="A49" s="203" t="str">
        <f t="shared" si="1"/>
        <v>#REF!</v>
      </c>
    </row>
    <row r="50">
      <c r="A50" s="203" t="str">
        <f t="shared" si="1"/>
        <v>#REF!</v>
      </c>
    </row>
    <row r="51">
      <c r="A51" s="203" t="str">
        <f t="shared" si="1"/>
        <v>#REF!</v>
      </c>
    </row>
    <row r="52">
      <c r="A52" s="203" t="str">
        <f t="shared" si="1"/>
        <v>#REF!</v>
      </c>
    </row>
    <row r="53">
      <c r="A53" s="203" t="str">
        <f t="shared" si="1"/>
        <v>#REF!</v>
      </c>
    </row>
    <row r="54">
      <c r="A54" s="203" t="str">
        <f t="shared" si="1"/>
        <v>#REF!</v>
      </c>
    </row>
    <row r="55">
      <c r="A55" s="203" t="str">
        <f t="shared" si="1"/>
        <v>#REF!</v>
      </c>
    </row>
    <row r="56">
      <c r="A56" s="203" t="str">
        <f t="shared" si="1"/>
        <v>#REF!</v>
      </c>
    </row>
    <row r="57">
      <c r="A57" s="203" t="str">
        <f t="shared" si="1"/>
        <v>#REF!</v>
      </c>
    </row>
    <row r="58">
      <c r="A58" s="203" t="str">
        <f t="shared" si="1"/>
        <v>#REF!</v>
      </c>
    </row>
    <row r="59">
      <c r="A59" s="203" t="str">
        <f t="shared" si="1"/>
        <v>#REF!</v>
      </c>
    </row>
    <row r="60">
      <c r="A60" s="203" t="str">
        <f t="shared" si="1"/>
        <v>#REF!</v>
      </c>
    </row>
    <row r="61">
      <c r="A61" s="203" t="str">
        <f t="shared" si="1"/>
        <v>#REF!</v>
      </c>
    </row>
    <row r="62">
      <c r="A62" s="203" t="str">
        <f t="shared" si="1"/>
        <v>#REF!</v>
      </c>
    </row>
    <row r="63">
      <c r="A63" s="203" t="str">
        <f t="shared" si="1"/>
        <v>#REF!</v>
      </c>
    </row>
    <row r="64">
      <c r="A64" s="203" t="str">
        <f t="shared" si="1"/>
        <v>#REF!</v>
      </c>
    </row>
    <row r="65">
      <c r="A65" s="203" t="str">
        <f t="shared" si="1"/>
        <v>#REF!</v>
      </c>
    </row>
    <row r="66">
      <c r="A66" s="203" t="str">
        <f t="shared" si="1"/>
        <v>#REF!</v>
      </c>
    </row>
    <row r="67">
      <c r="A67" s="203" t="str">
        <f t="shared" si="1"/>
        <v>#REF!</v>
      </c>
    </row>
    <row r="68">
      <c r="A68" s="203" t="str">
        <f t="shared" si="1"/>
        <v>#REF!</v>
      </c>
    </row>
    <row r="69">
      <c r="A69" s="203" t="str">
        <f t="shared" si="1"/>
        <v>#REF!</v>
      </c>
    </row>
    <row r="70">
      <c r="A70" s="203" t="str">
        <f t="shared" si="1"/>
        <v>#REF!</v>
      </c>
    </row>
    <row r="71">
      <c r="A71" s="203" t="str">
        <f t="shared" si="1"/>
        <v>#REF!</v>
      </c>
    </row>
    <row r="72">
      <c r="A72" s="203" t="str">
        <f t="shared" si="1"/>
        <v>#REF!</v>
      </c>
    </row>
    <row r="73">
      <c r="A73" s="203" t="str">
        <f t="shared" si="1"/>
        <v>#REF!</v>
      </c>
    </row>
    <row r="74">
      <c r="A74" s="203" t="str">
        <f t="shared" si="1"/>
        <v>#REF!</v>
      </c>
    </row>
    <row r="75">
      <c r="A75" s="203" t="str">
        <f t="shared" si="1"/>
        <v>#REF!</v>
      </c>
    </row>
    <row r="76">
      <c r="A76" s="203" t="str">
        <f t="shared" si="1"/>
        <v>#REF!</v>
      </c>
    </row>
    <row r="77">
      <c r="A77" s="203" t="str">
        <f t="shared" si="1"/>
        <v>#REF!</v>
      </c>
    </row>
    <row r="78">
      <c r="A78" s="203" t="str">
        <f t="shared" si="1"/>
        <v>#REF!</v>
      </c>
    </row>
    <row r="79">
      <c r="A79" s="203" t="str">
        <f t="shared" si="1"/>
        <v>#REF!</v>
      </c>
    </row>
    <row r="80">
      <c r="A80" s="203" t="str">
        <f t="shared" si="1"/>
        <v>#REF!</v>
      </c>
    </row>
    <row r="81">
      <c r="A81" s="203" t="str">
        <f t="shared" si="1"/>
        <v>#REF!</v>
      </c>
    </row>
    <row r="82">
      <c r="A82" s="203" t="str">
        <f t="shared" si="1"/>
        <v>#REF!</v>
      </c>
    </row>
    <row r="83">
      <c r="A83" s="203" t="str">
        <f t="shared" si="1"/>
        <v>#REF!</v>
      </c>
    </row>
    <row r="84">
      <c r="A84" s="203" t="str">
        <f t="shared" si="1"/>
        <v>#REF!</v>
      </c>
    </row>
    <row r="85">
      <c r="A85" s="203" t="str">
        <f t="shared" si="1"/>
        <v>#REF!</v>
      </c>
    </row>
    <row r="86">
      <c r="A86" s="203" t="str">
        <f t="shared" si="1"/>
        <v>#REF!</v>
      </c>
    </row>
    <row r="87">
      <c r="A87" s="203" t="str">
        <f t="shared" si="1"/>
        <v>#REF!</v>
      </c>
    </row>
    <row r="88">
      <c r="A88" s="203" t="str">
        <f t="array" ref="A88">TRANSPOSE(INDIRECT(SWITCH(Clubs!B13,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89">
      <c r="A89" s="203" t="str">
        <f t="array" ref="A89">TRANSPOSE(INDIRECT(SWITCH(Clubs!B14,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90">
      <c r="A90" s="203" t="str">
        <f t="array" ref="A90">TRANSPOSE(INDIRECT(SWITCH(Clubs!B15,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03" t="str">
        <f t="array" ref="A5:M5">TRANSPOSE(INDIRECT(SWITCH(Routes!B5,
"Scenic Walks &amp; Trails","scenicwalks",
"Nature &amp; Wildlife Exploration","natureexploration",
"Coastal Adventures","coastaladventure",
"Rideable Routes","wheelsroutes",
)))</f>
        <v>Woodland Walk</v>
      </c>
      <c r="B5" s="203" t="s">
        <v>556</v>
      </c>
      <c r="C5" s="203" t="s">
        <v>1159</v>
      </c>
      <c r="D5" s="203" t="s">
        <v>727</v>
      </c>
      <c r="E5" s="203" t="s">
        <v>1160</v>
      </c>
      <c r="F5" s="203" t="s">
        <v>1161</v>
      </c>
      <c r="G5" s="203" t="s">
        <v>1162</v>
      </c>
      <c r="H5" s="203" t="s">
        <v>1163</v>
      </c>
      <c r="I5" s="203" t="s">
        <v>1126</v>
      </c>
      <c r="J5" s="203" t="s">
        <v>363</v>
      </c>
      <c r="K5" s="203" t="s">
        <v>1165</v>
      </c>
      <c r="L5" s="203" t="s">
        <v>1166</v>
      </c>
      <c r="M5" s="203" t="s">
        <v>1084</v>
      </c>
    </row>
    <row r="6">
      <c r="A6" s="203" t="str">
        <f t="array" ref="A6:M6">TRANSPOSE(INDIRECT(SWITCH(Routes!B6,
"Scenic Walks &amp; Trails","scenicwalks",
"Nature &amp; Wildlife Exploration","natureexploration",
"Coastal Adventures","coastaladventure",
"Rideable Routes","wheelsroutes",
)))</f>
        <v>Woodland Walk</v>
      </c>
      <c r="B6" s="203" t="s">
        <v>556</v>
      </c>
      <c r="C6" s="203" t="s">
        <v>1159</v>
      </c>
      <c r="D6" s="203" t="s">
        <v>727</v>
      </c>
      <c r="E6" s="203" t="s">
        <v>1160</v>
      </c>
      <c r="F6" s="203" t="s">
        <v>1161</v>
      </c>
      <c r="G6" s="203" t="s">
        <v>1162</v>
      </c>
      <c r="H6" s="203" t="s">
        <v>1163</v>
      </c>
      <c r="I6" s="203" t="s">
        <v>1126</v>
      </c>
      <c r="J6" s="203" t="s">
        <v>363</v>
      </c>
      <c r="K6" s="203" t="s">
        <v>1165</v>
      </c>
      <c r="L6" s="203" t="s">
        <v>1166</v>
      </c>
      <c r="M6" s="203" t="s">
        <v>1084</v>
      </c>
    </row>
    <row r="7">
      <c r="A7" s="203" t="str">
        <f t="array" ref="A7:M7">TRANSPOSE(INDIRECT(SWITCH(Routes!B7,
"Scenic Walks &amp; Trails","scenicwalks",
"Nature &amp; Wildlife Exploration","natureexploration",
"Coastal Adventures","coastaladventure",
"Rideable Routes","wheelsroutes",
)))</f>
        <v>Woodland Walk</v>
      </c>
      <c r="B7" s="203" t="s">
        <v>556</v>
      </c>
      <c r="C7" s="203" t="s">
        <v>1159</v>
      </c>
      <c r="D7" s="203" t="s">
        <v>727</v>
      </c>
      <c r="E7" s="203" t="s">
        <v>1160</v>
      </c>
      <c r="F7" s="203" t="s">
        <v>1161</v>
      </c>
      <c r="G7" s="203" t="s">
        <v>1162</v>
      </c>
      <c r="H7" s="203" t="s">
        <v>1163</v>
      </c>
      <c r="I7" s="203" t="s">
        <v>1126</v>
      </c>
      <c r="J7" s="203" t="s">
        <v>363</v>
      </c>
      <c r="K7" s="203" t="s">
        <v>1165</v>
      </c>
      <c r="L7" s="203" t="s">
        <v>1166</v>
      </c>
      <c r="M7" s="203" t="s">
        <v>1084</v>
      </c>
    </row>
    <row r="8">
      <c r="A8" s="203" t="str">
        <f t="array" ref="A8:M8">TRANSPOSE(INDIRECT(SWITCH(Routes!B8,
"Scenic Walks &amp; Trails","scenicwalks",
"Nature &amp; Wildlife Exploration","natureexploration",
"Coastal Adventures","coastaladventure",
"Rideable Routes","wheelsroutes",
)))</f>
        <v>Woodland Walk</v>
      </c>
      <c r="B8" s="203" t="s">
        <v>556</v>
      </c>
      <c r="C8" s="203" t="s">
        <v>1159</v>
      </c>
      <c r="D8" s="203" t="s">
        <v>727</v>
      </c>
      <c r="E8" s="203" t="s">
        <v>1160</v>
      </c>
      <c r="F8" s="203" t="s">
        <v>1161</v>
      </c>
      <c r="G8" s="203" t="s">
        <v>1162</v>
      </c>
      <c r="H8" s="203" t="s">
        <v>1163</v>
      </c>
      <c r="I8" s="203" t="s">
        <v>1126</v>
      </c>
      <c r="J8" s="203" t="s">
        <v>363</v>
      </c>
      <c r="K8" s="203" t="s">
        <v>1165</v>
      </c>
      <c r="L8" s="203" t="s">
        <v>1166</v>
      </c>
      <c r="M8" s="203" t="s">
        <v>1084</v>
      </c>
    </row>
    <row r="9">
      <c r="A9" s="203" t="str">
        <f t="array" ref="A9:M9">TRANSPOSE(INDIRECT(SWITCH(Routes!B9,
"Scenic Walks &amp; Trails","scenicwalks",
"Nature &amp; Wildlife Exploration","natureexploration",
"Coastal Adventures","coastaladventure",
"Rideable Routes","wheelsroutes",
)))</f>
        <v>Woodland Walk</v>
      </c>
      <c r="B9" s="203" t="s">
        <v>556</v>
      </c>
      <c r="C9" s="203" t="s">
        <v>1159</v>
      </c>
      <c r="D9" s="203" t="s">
        <v>727</v>
      </c>
      <c r="E9" s="203" t="s">
        <v>1160</v>
      </c>
      <c r="F9" s="203" t="s">
        <v>1161</v>
      </c>
      <c r="G9" s="203" t="s">
        <v>1162</v>
      </c>
      <c r="H9" s="203" t="s">
        <v>1163</v>
      </c>
      <c r="I9" s="203" t="s">
        <v>1126</v>
      </c>
      <c r="J9" s="203" t="s">
        <v>363</v>
      </c>
      <c r="K9" s="203" t="s">
        <v>1165</v>
      </c>
      <c r="L9" s="203" t="s">
        <v>1166</v>
      </c>
      <c r="M9" s="203" t="s">
        <v>1084</v>
      </c>
    </row>
    <row r="10">
      <c r="A10" s="203" t="str">
        <f t="array" ref="A10:D10">TRANSPOSE(INDIRECT(SWITCH(Routes!B10,
"Scenic Walks &amp; Trails","scenicwalks",
"Nature &amp; Wildlife Exploration","natureexploration",
"Coastal Adventures","coastaladventure",
"Rideable Routes","wheelsroutes",
)))</f>
        <v>Quick spin</v>
      </c>
      <c r="B10" s="203" t="s">
        <v>777</v>
      </c>
      <c r="C10" s="203" t="s">
        <v>1233</v>
      </c>
      <c r="D10" s="203" t="s">
        <v>1234</v>
      </c>
    </row>
    <row r="11">
      <c r="A11" s="203" t="str">
        <f t="array" ref="A11:M11">TRANSPOSE(INDIRECT(SWITCH(Routes!B11,
"Scenic Walks &amp; Trails","scenicwalks",
"Nature &amp; Wildlife Exploration","natureexploration",
"Coastal Adventures","coastaladventure",
"Rideable Routes","wheelsroutes",
)))</f>
        <v>Woodland Walk</v>
      </c>
      <c r="B11" s="203" t="s">
        <v>556</v>
      </c>
      <c r="C11" s="203" t="s">
        <v>1159</v>
      </c>
      <c r="D11" s="203" t="s">
        <v>727</v>
      </c>
      <c r="E11" s="203" t="s">
        <v>1160</v>
      </c>
      <c r="F11" s="203" t="s">
        <v>1161</v>
      </c>
      <c r="G11" s="203" t="s">
        <v>1162</v>
      </c>
      <c r="H11" s="203" t="s">
        <v>1163</v>
      </c>
      <c r="I11" s="203" t="s">
        <v>1126</v>
      </c>
      <c r="J11" s="203" t="s">
        <v>363</v>
      </c>
      <c r="K11" s="203" t="s">
        <v>1165</v>
      </c>
      <c r="L11" s="203" t="s">
        <v>1166</v>
      </c>
      <c r="M11" s="203" t="s">
        <v>1084</v>
      </c>
    </row>
    <row r="12">
      <c r="A12" s="203" t="str">
        <f t="array" ref="A12:M12">TRANSPOSE(INDIRECT(SWITCH(Routes!B12,
"Scenic Walks &amp; Trails","scenicwalks",
"Nature &amp; Wildlife Exploration","natureexploration",
"Coastal Adventures","coastaladventure",
"Rideable Routes","wheelsroutes",
)))</f>
        <v>Woodland Walk</v>
      </c>
      <c r="B12" s="203" t="s">
        <v>556</v>
      </c>
      <c r="C12" s="203" t="s">
        <v>1159</v>
      </c>
      <c r="D12" s="203" t="s">
        <v>727</v>
      </c>
      <c r="E12" s="203" t="s">
        <v>1160</v>
      </c>
      <c r="F12" s="203" t="s">
        <v>1161</v>
      </c>
      <c r="G12" s="203" t="s">
        <v>1162</v>
      </c>
      <c r="H12" s="203" t="s">
        <v>1163</v>
      </c>
      <c r="I12" s="203" t="s">
        <v>1126</v>
      </c>
      <c r="J12" s="203" t="s">
        <v>363</v>
      </c>
      <c r="K12" s="203" t="s">
        <v>1165</v>
      </c>
      <c r="L12" s="203" t="s">
        <v>1166</v>
      </c>
      <c r="M12" s="203" t="s">
        <v>1084</v>
      </c>
    </row>
    <row r="13">
      <c r="A13" s="203" t="str">
        <f t="array" ref="A13:M13">TRANSPOSE(INDIRECT(SWITCH(Routes!B13,
"Scenic Walks &amp; Trails","scenicwalks",
"Nature &amp; Wildlife Exploration","natureexploration",
"Coastal Adventures","coastaladventure",
"Rideable Routes","wheelsroutes",
)))</f>
        <v>Woodland Walk</v>
      </c>
      <c r="B13" s="203" t="s">
        <v>556</v>
      </c>
      <c r="C13" s="203" t="s">
        <v>1159</v>
      </c>
      <c r="D13" s="203" t="s">
        <v>727</v>
      </c>
      <c r="E13" s="203" t="s">
        <v>1160</v>
      </c>
      <c r="F13" s="203" t="s">
        <v>1161</v>
      </c>
      <c r="G13" s="203" t="s">
        <v>1162</v>
      </c>
      <c r="H13" s="203" t="s">
        <v>1163</v>
      </c>
      <c r="I13" s="203" t="s">
        <v>1126</v>
      </c>
      <c r="J13" s="203" t="s">
        <v>363</v>
      </c>
      <c r="K13" s="203" t="s">
        <v>1165</v>
      </c>
      <c r="L13" s="203" t="s">
        <v>1166</v>
      </c>
      <c r="M13" s="203" t="s">
        <v>1084</v>
      </c>
    </row>
    <row r="14">
      <c r="A14" s="203" t="str">
        <f t="array" ref="A14:M14">TRANSPOSE(INDIRECT(SWITCH(Routes!B14,
"Scenic Walks &amp; Trails","scenicwalks",
"Nature &amp; Wildlife Exploration","natureexploration",
"Coastal Adventures","coastaladventure",
"Rideable Routes","wheelsroutes",
)))</f>
        <v>Woodland Walk</v>
      </c>
      <c r="B14" s="203" t="s">
        <v>556</v>
      </c>
      <c r="C14" s="203" t="s">
        <v>1159</v>
      </c>
      <c r="D14" s="203" t="s">
        <v>727</v>
      </c>
      <c r="E14" s="203" t="s">
        <v>1160</v>
      </c>
      <c r="F14" s="203" t="s">
        <v>1161</v>
      </c>
      <c r="G14" s="203" t="s">
        <v>1162</v>
      </c>
      <c r="H14" s="203" t="s">
        <v>1163</v>
      </c>
      <c r="I14" s="203" t="s">
        <v>1126</v>
      </c>
      <c r="J14" s="203" t="s">
        <v>363</v>
      </c>
      <c r="K14" s="203" t="s">
        <v>1165</v>
      </c>
      <c r="L14" s="203" t="s">
        <v>1166</v>
      </c>
      <c r="M14" s="203" t="s">
        <v>1084</v>
      </c>
    </row>
    <row r="15">
      <c r="A15" s="203" t="str">
        <f t="array" ref="A15:M15">TRANSPOSE(INDIRECT(SWITCH(Routes!B15,
"Scenic Walks &amp; Trails","scenicwalks",
"Nature &amp; Wildlife Exploration","natureexploration",
"Coastal Adventures","coastaladventure",
"Rideable Routes","wheelsroutes",
)))</f>
        <v>Woodland Walk</v>
      </c>
      <c r="B15" s="203" t="s">
        <v>556</v>
      </c>
      <c r="C15" s="203" t="s">
        <v>1159</v>
      </c>
      <c r="D15" s="203" t="s">
        <v>727</v>
      </c>
      <c r="E15" s="203" t="s">
        <v>1160</v>
      </c>
      <c r="F15" s="203" t="s">
        <v>1161</v>
      </c>
      <c r="G15" s="203" t="s">
        <v>1162</v>
      </c>
      <c r="H15" s="203" t="s">
        <v>1163</v>
      </c>
      <c r="I15" s="203" t="s">
        <v>1126</v>
      </c>
      <c r="J15" s="203" t="s">
        <v>363</v>
      </c>
      <c r="K15" s="203" t="s">
        <v>1165</v>
      </c>
      <c r="L15" s="203" t="s">
        <v>1166</v>
      </c>
      <c r="M15" s="203" t="s">
        <v>1084</v>
      </c>
    </row>
    <row r="16">
      <c r="A16" s="203" t="str">
        <f t="array" ref="A16:M16">TRANSPOSE(INDIRECT(SWITCH(Routes!B16,
"Scenic Walks &amp; Trails","scenicwalks",
"Nature &amp; Wildlife Exploration","natureexploration",
"Coastal Adventures","coastaladventure",
"Rideable Routes","wheelsroutes",
)))</f>
        <v>Woodland Walk</v>
      </c>
      <c r="B16" s="203" t="s">
        <v>556</v>
      </c>
      <c r="C16" s="203" t="s">
        <v>1159</v>
      </c>
      <c r="D16" s="203" t="s">
        <v>727</v>
      </c>
      <c r="E16" s="203" t="s">
        <v>1160</v>
      </c>
      <c r="F16" s="203" t="s">
        <v>1161</v>
      </c>
      <c r="G16" s="203" t="s">
        <v>1162</v>
      </c>
      <c r="H16" s="203" t="s">
        <v>1163</v>
      </c>
      <c r="I16" s="203" t="s">
        <v>1126</v>
      </c>
      <c r="J16" s="203" t="s">
        <v>363</v>
      </c>
      <c r="K16" s="203" t="s">
        <v>1165</v>
      </c>
      <c r="L16" s="203" t="s">
        <v>1166</v>
      </c>
      <c r="M16" s="203" t="s">
        <v>1084</v>
      </c>
    </row>
    <row r="17">
      <c r="A17" s="203" t="str">
        <f t="array" ref="A17:M17">TRANSPOSE(INDIRECT(SWITCH(Routes!B17,
"Scenic Walks &amp; Trails","scenicwalks",
"Nature &amp; Wildlife Exploration","natureexploration",
"Coastal Adventures","coastaladventure",
"Rideable Routes","wheelsroutes",
)))</f>
        <v>Woodland Walk</v>
      </c>
      <c r="B17" s="203" t="s">
        <v>556</v>
      </c>
      <c r="C17" s="203" t="s">
        <v>1159</v>
      </c>
      <c r="D17" s="203" t="s">
        <v>727</v>
      </c>
      <c r="E17" s="203" t="s">
        <v>1160</v>
      </c>
      <c r="F17" s="203" t="s">
        <v>1161</v>
      </c>
      <c r="G17" s="203" t="s">
        <v>1162</v>
      </c>
      <c r="H17" s="203" t="s">
        <v>1163</v>
      </c>
      <c r="I17" s="203" t="s">
        <v>1126</v>
      </c>
      <c r="J17" s="203" t="s">
        <v>363</v>
      </c>
      <c r="K17" s="203" t="s">
        <v>1165</v>
      </c>
      <c r="L17" s="203" t="s">
        <v>1166</v>
      </c>
      <c r="M17" s="203" t="s">
        <v>1084</v>
      </c>
    </row>
    <row r="18">
      <c r="A18" s="203" t="str">
        <f t="array" ref="A18:M18">TRANSPOSE(INDIRECT(SWITCH(Routes!B18,
"Scenic Walks &amp; Trails","scenicwalks",
"Nature &amp; Wildlife Exploration","natureexploration",
"Coastal Adventures","coastaladventure",
"Rideable Routes","wheelsroutes",
)))</f>
        <v>Woodland Walk</v>
      </c>
      <c r="B18" s="203" t="s">
        <v>556</v>
      </c>
      <c r="C18" s="203" t="s">
        <v>1159</v>
      </c>
      <c r="D18" s="203" t="s">
        <v>727</v>
      </c>
      <c r="E18" s="203" t="s">
        <v>1160</v>
      </c>
      <c r="F18" s="203" t="s">
        <v>1161</v>
      </c>
      <c r="G18" s="203" t="s">
        <v>1162</v>
      </c>
      <c r="H18" s="203" t="s">
        <v>1163</v>
      </c>
      <c r="I18" s="203" t="s">
        <v>1126</v>
      </c>
      <c r="J18" s="203" t="s">
        <v>363</v>
      </c>
      <c r="K18" s="203" t="s">
        <v>1165</v>
      </c>
      <c r="L18" s="203" t="s">
        <v>1166</v>
      </c>
      <c r="M18" s="203" t="s">
        <v>1084</v>
      </c>
    </row>
    <row r="19">
      <c r="A19" s="203" t="str">
        <f t="array" ref="A19:M19">TRANSPOSE(INDIRECT(SWITCH(Routes!B19,
"Scenic Walks &amp; Trails","scenicwalks",
"Nature &amp; Wildlife Exploration","natureexploration",
"Coastal Adventures","coastaladventure",
"Rideable Routes","wheelsroutes",
)))</f>
        <v>Woodland Walk</v>
      </c>
      <c r="B19" s="203" t="s">
        <v>556</v>
      </c>
      <c r="C19" s="203" t="s">
        <v>1159</v>
      </c>
      <c r="D19" s="203" t="s">
        <v>727</v>
      </c>
      <c r="E19" s="203" t="s">
        <v>1160</v>
      </c>
      <c r="F19" s="203" t="s">
        <v>1161</v>
      </c>
      <c r="G19" s="203" t="s">
        <v>1162</v>
      </c>
      <c r="H19" s="203" t="s">
        <v>1163</v>
      </c>
      <c r="I19" s="203" t="s">
        <v>1126</v>
      </c>
      <c r="J19" s="203" t="s">
        <v>363</v>
      </c>
      <c r="K19" s="203" t="s">
        <v>1165</v>
      </c>
      <c r="L19" s="203" t="s">
        <v>1166</v>
      </c>
      <c r="M19" s="203" t="s">
        <v>1084</v>
      </c>
    </row>
    <row r="20">
      <c r="A20" s="203" t="str">
        <f t="array" ref="A20:D20">TRANSPOSE(INDIRECT(SWITCH(Routes!B20,
"Scenic Walks &amp; Trails","scenicwalks",
"Nature &amp; Wildlife Exploration","natureexploration",
"Coastal Adventures","coastaladventure",
"Rideable Routes","wheelsroutes",
)))</f>
        <v>Quick spin</v>
      </c>
      <c r="B20" s="203" t="s">
        <v>777</v>
      </c>
      <c r="C20" s="203" t="s">
        <v>1233</v>
      </c>
      <c r="D20" s="203" t="s">
        <v>1234</v>
      </c>
    </row>
    <row r="21">
      <c r="A21" s="203" t="str">
        <f t="array" ref="A21:M21">TRANSPOSE(INDIRECT(SWITCH(Routes!B21,
"Scenic Walks &amp; Trails","scenicwalks",
"Nature &amp; Wildlife Exploration","natureexploration",
"Coastal Adventures","coastaladventure",
"Rideable Routes","wheelsroutes",
)))</f>
        <v>Woodland Walk</v>
      </c>
      <c r="B21" s="203" t="s">
        <v>556</v>
      </c>
      <c r="C21" s="203" t="s">
        <v>1159</v>
      </c>
      <c r="D21" s="203" t="s">
        <v>727</v>
      </c>
      <c r="E21" s="203" t="s">
        <v>1160</v>
      </c>
      <c r="F21" s="203" t="s">
        <v>1161</v>
      </c>
      <c r="G21" s="203" t="s">
        <v>1162</v>
      </c>
      <c r="H21" s="203" t="s">
        <v>1163</v>
      </c>
      <c r="I21" s="203" t="s">
        <v>1126</v>
      </c>
      <c r="J21" s="203" t="s">
        <v>363</v>
      </c>
      <c r="K21" s="203" t="s">
        <v>1165</v>
      </c>
      <c r="L21" s="203" t="s">
        <v>1166</v>
      </c>
      <c r="M21" s="203" t="s">
        <v>1084</v>
      </c>
    </row>
    <row r="22">
      <c r="A22" s="203" t="str">
        <f t="array" ref="A22:D22">TRANSPOSE(INDIRECT(SWITCH(Routes!B22,
"Scenic Walks &amp; Trails","scenicwalks",
"Nature &amp; Wildlife Exploration","natureexploration",
"Coastal Adventures","coastaladventure",
"Rideable Routes","wheelsroutes",
)))</f>
        <v>Quick spin</v>
      </c>
      <c r="B22" s="203" t="s">
        <v>777</v>
      </c>
      <c r="C22" s="203" t="s">
        <v>1233</v>
      </c>
      <c r="D22" s="203" t="s">
        <v>1234</v>
      </c>
    </row>
    <row r="23">
      <c r="A23" s="203" t="str">
        <f t="array" ref="A23:D23">TRANSPOSE(INDIRECT(SWITCH(Routes!B23,
"Scenic Walks &amp; Trails","scenicwalks",
"Nature &amp; Wildlife Exploration","natureexploration",
"Coastal Adventures","coastaladventure",
"Rideable Routes","wheelsroutes",
)))</f>
        <v>Quick spin</v>
      </c>
      <c r="B23" s="203" t="s">
        <v>777</v>
      </c>
      <c r="C23" s="203" t="s">
        <v>1233</v>
      </c>
      <c r="D23" s="203" t="s">
        <v>1234</v>
      </c>
    </row>
    <row r="24">
      <c r="A24" s="203" t="str">
        <f t="array" ref="A24:D24">TRANSPOSE(INDIRECT(SWITCH(Routes!B24,
"Scenic Walks &amp; Trails","scenicwalks",
"Nature &amp; Wildlife Exploration","natureexploration",
"Coastal Adventures","coastaladventure",
"Rideable Routes","wheelsroutes",
)))</f>
        <v>Quick spin</v>
      </c>
      <c r="B24" s="203" t="s">
        <v>777</v>
      </c>
      <c r="C24" s="203" t="s">
        <v>1233</v>
      </c>
      <c r="D24" s="203" t="s">
        <v>1234</v>
      </c>
    </row>
    <row r="25">
      <c r="A25" s="203" t="str">
        <f t="array" ref="A25:D25">TRANSPOSE(INDIRECT(SWITCH(Routes!B25,
"Scenic Walks &amp; Trails","scenicwalks",
"Nature &amp; Wildlife Exploration","natureexploration",
"Coastal Adventures","coastaladventure",
"Rideable Routes","wheelsroutes",
)))</f>
        <v>Quick spin</v>
      </c>
      <c r="B25" s="203" t="s">
        <v>777</v>
      </c>
      <c r="C25" s="203" t="s">
        <v>1233</v>
      </c>
      <c r="D25" s="203" t="s">
        <v>1234</v>
      </c>
    </row>
    <row r="26">
      <c r="A26" s="203" t="str">
        <f t="array" ref="A26:D26">TRANSPOSE(INDIRECT(SWITCH(Routes!B26,
"Scenic Walks &amp; Trails","scenicwalks",
"Nature &amp; Wildlife Exploration","natureexploration",
"Coastal Adventures","coastaladventure",
"Rideable Routes","wheelsroutes",
)))</f>
        <v>Quick spin</v>
      </c>
      <c r="B26" s="203" t="s">
        <v>777</v>
      </c>
      <c r="C26" s="203" t="s">
        <v>1233</v>
      </c>
      <c r="D26" s="203" t="s">
        <v>1234</v>
      </c>
    </row>
    <row r="27">
      <c r="A27" s="203" t="str">
        <f t="array" ref="A27:M27">TRANSPOSE(INDIRECT(SWITCH(Routes!B27,
"Scenic Walks &amp; Trails","scenicwalks",
"Nature &amp; Wildlife Exploration","natureexploration",
"Coastal Adventures","coastaladventure",
"Rideable Routes","wheelsroutes",
)))</f>
        <v>Woodland Walk</v>
      </c>
      <c r="B27" s="203" t="s">
        <v>556</v>
      </c>
      <c r="C27" s="203" t="s">
        <v>1159</v>
      </c>
      <c r="D27" s="203" t="s">
        <v>727</v>
      </c>
      <c r="E27" s="203" t="s">
        <v>1160</v>
      </c>
      <c r="F27" s="203" t="s">
        <v>1161</v>
      </c>
      <c r="G27" s="203" t="s">
        <v>1162</v>
      </c>
      <c r="H27" s="203" t="s">
        <v>1163</v>
      </c>
      <c r="I27" s="203" t="s">
        <v>1126</v>
      </c>
      <c r="J27" s="203" t="s">
        <v>363</v>
      </c>
      <c r="K27" s="203" t="s">
        <v>1165</v>
      </c>
      <c r="L27" s="203" t="s">
        <v>1166</v>
      </c>
      <c r="M27" s="203" t="s">
        <v>1084</v>
      </c>
    </row>
    <row r="28">
      <c r="A28" s="203" t="str">
        <f t="array" ref="A28:D28">TRANSPOSE(INDIRECT(SWITCH(Routes!B28,
"Scenic Walks &amp; Trails","scenicwalks",
"Nature &amp; Wildlife Exploration","natureexploration",
"Coastal Adventures","coastaladventure",
"Rideable Routes","wheelsroutes",
)))</f>
        <v>Quick spin</v>
      </c>
      <c r="B28" s="203" t="s">
        <v>777</v>
      </c>
      <c r="C28" s="203" t="s">
        <v>1233</v>
      </c>
      <c r="D28" s="203" t="s">
        <v>1234</v>
      </c>
    </row>
    <row r="29">
      <c r="A29" s="203" t="str">
        <f t="array" ref="A29:M29">TRANSPOSE(INDIRECT(SWITCH(Routes!B29,
"Scenic Walks &amp; Trails","scenicwalks",
"Nature &amp; Wildlife Exploration","natureexploration",
"Coastal Adventures","coastaladventure",
"Rideable Routes","wheelsroutes",
)))</f>
        <v>Woodland Walk</v>
      </c>
      <c r="B29" s="203" t="s">
        <v>556</v>
      </c>
      <c r="C29" s="203" t="s">
        <v>1159</v>
      </c>
      <c r="D29" s="203" t="s">
        <v>727</v>
      </c>
      <c r="E29" s="203" t="s">
        <v>1160</v>
      </c>
      <c r="F29" s="203" t="s">
        <v>1161</v>
      </c>
      <c r="G29" s="203" t="s">
        <v>1162</v>
      </c>
      <c r="H29" s="203" t="s">
        <v>1163</v>
      </c>
      <c r="I29" s="203" t="s">
        <v>1126</v>
      </c>
      <c r="J29" s="203" t="s">
        <v>363</v>
      </c>
      <c r="K29" s="203" t="s">
        <v>1165</v>
      </c>
      <c r="L29" s="203" t="s">
        <v>1166</v>
      </c>
      <c r="M29" s="203" t="s">
        <v>1084</v>
      </c>
    </row>
    <row r="30">
      <c r="A30" s="203" t="str">
        <f t="array" ref="A30:D30">TRANSPOSE(INDIRECT(SWITCH(Routes!B30,
"Scenic Walks &amp; Trails","scenicwalks",
"Nature &amp; Wildlife Exploration","natureexploration",
"Coastal Adventures","coastaladventure",
"Rideable Routes","wheelsroutes",
)))</f>
        <v>Quick spin</v>
      </c>
      <c r="B30" s="203" t="s">
        <v>777</v>
      </c>
      <c r="C30" s="203" t="s">
        <v>1233</v>
      </c>
      <c r="D30" s="203" t="s">
        <v>1234</v>
      </c>
    </row>
    <row r="31">
      <c r="A31" s="203" t="str">
        <f t="array" ref="A31:M31">TRANSPOSE(INDIRECT(SWITCH(Routes!B31,
"Scenic Walks &amp; Trails","scenicwalks",
"Nature &amp; Wildlife Exploration","natureexploration",
"Coastal Adventures","coastaladventure",
"Rideable Routes","wheelsroutes",
)))</f>
        <v>Woodland Walk</v>
      </c>
      <c r="B31" s="203" t="s">
        <v>556</v>
      </c>
      <c r="C31" s="203" t="s">
        <v>1159</v>
      </c>
      <c r="D31" s="203" t="s">
        <v>727</v>
      </c>
      <c r="E31" s="203" t="s">
        <v>1160</v>
      </c>
      <c r="F31" s="203" t="s">
        <v>1161</v>
      </c>
      <c r="G31" s="203" t="s">
        <v>1162</v>
      </c>
      <c r="H31" s="203" t="s">
        <v>1163</v>
      </c>
      <c r="I31" s="203" t="s">
        <v>1126</v>
      </c>
      <c r="J31" s="203" t="s">
        <v>363</v>
      </c>
      <c r="K31" s="203" t="s">
        <v>1165</v>
      </c>
      <c r="L31" s="203" t="s">
        <v>1166</v>
      </c>
      <c r="M31" s="203" t="s">
        <v>1084</v>
      </c>
    </row>
    <row r="32">
      <c r="A32" s="203" t="str">
        <f t="array" ref="A32:M32">TRANSPOSE(INDIRECT(SWITCH(Routes!B32,
"Scenic Walks &amp; Trails","scenicwalks",
"Nature &amp; Wildlife Exploration","natureexploration",
"Coastal Adventures","coastaladventure",
"Rideable Routes","wheelsroutes",
)))</f>
        <v>Woodland Walk</v>
      </c>
      <c r="B32" s="203" t="s">
        <v>556</v>
      </c>
      <c r="C32" s="203" t="s">
        <v>1159</v>
      </c>
      <c r="D32" s="203" t="s">
        <v>727</v>
      </c>
      <c r="E32" s="203" t="s">
        <v>1160</v>
      </c>
      <c r="F32" s="203" t="s">
        <v>1161</v>
      </c>
      <c r="G32" s="203" t="s">
        <v>1162</v>
      </c>
      <c r="H32" s="203" t="s">
        <v>1163</v>
      </c>
      <c r="I32" s="203" t="s">
        <v>1126</v>
      </c>
      <c r="J32" s="203" t="s">
        <v>363</v>
      </c>
      <c r="K32" s="203" t="s">
        <v>1165</v>
      </c>
      <c r="L32" s="203" t="s">
        <v>1166</v>
      </c>
      <c r="M32" s="203" t="s">
        <v>1084</v>
      </c>
    </row>
    <row r="33">
      <c r="A33" s="203" t="str">
        <f t="array" ref="A33:M33">TRANSPOSE(INDIRECT(SWITCH(Routes!B33,
"Scenic Walks &amp; Trails","scenicwalks",
"Nature &amp; Wildlife Exploration","natureexploration",
"Coastal Adventures","coastaladventure",
"Rideable Routes","wheelsroutes",
)))</f>
        <v>Woodland Walk</v>
      </c>
      <c r="B33" s="203" t="s">
        <v>556</v>
      </c>
      <c r="C33" s="203" t="s">
        <v>1159</v>
      </c>
      <c r="D33" s="203" t="s">
        <v>727</v>
      </c>
      <c r="E33" s="203" t="s">
        <v>1160</v>
      </c>
      <c r="F33" s="203" t="s">
        <v>1161</v>
      </c>
      <c r="G33" s="203" t="s">
        <v>1162</v>
      </c>
      <c r="H33" s="203" t="s">
        <v>1163</v>
      </c>
      <c r="I33" s="203" t="s">
        <v>1126</v>
      </c>
      <c r="J33" s="203" t="s">
        <v>363</v>
      </c>
      <c r="K33" s="203" t="s">
        <v>1165</v>
      </c>
      <c r="L33" s="203" t="s">
        <v>1166</v>
      </c>
      <c r="M33" s="203" t="s">
        <v>1084</v>
      </c>
    </row>
    <row r="34">
      <c r="A34" s="203" t="str">
        <f t="array" ref="A34:D34">TRANSPOSE(INDIRECT(SWITCH(Routes!B34,
"Scenic Walks &amp; Trails","scenicwalks",
"Nature &amp; Wildlife Exploration","natureexploration",
"Coastal Adventures","coastaladventure",
"Rideable Routes","wheelsroutes",
)))</f>
        <v>Quick spin</v>
      </c>
      <c r="B34" s="203" t="s">
        <v>777</v>
      </c>
      <c r="C34" s="203" t="s">
        <v>1233</v>
      </c>
      <c r="D34" s="203" t="s">
        <v>1234</v>
      </c>
    </row>
    <row r="35">
      <c r="A35" s="203" t="str">
        <f t="array" ref="A35:M35">TRANSPOSE(INDIRECT(SWITCH(Routes!B35,
"Scenic Walks &amp; Trails","scenicwalks",
"Nature &amp; Wildlife Exploration","natureexploration",
"Coastal Adventures","coastaladventure",
"Rideable Routes","wheelsroutes",
)))</f>
        <v>Woodland Walk</v>
      </c>
      <c r="B35" s="203" t="s">
        <v>556</v>
      </c>
      <c r="C35" s="203" t="s">
        <v>1159</v>
      </c>
      <c r="D35" s="203" t="s">
        <v>727</v>
      </c>
      <c r="E35" s="203" t="s">
        <v>1160</v>
      </c>
      <c r="F35" s="203" t="s">
        <v>1161</v>
      </c>
      <c r="G35" s="203" t="s">
        <v>1162</v>
      </c>
      <c r="H35" s="203" t="s">
        <v>1163</v>
      </c>
      <c r="I35" s="203" t="s">
        <v>1126</v>
      </c>
      <c r="J35" s="203" t="s">
        <v>363</v>
      </c>
      <c r="K35" s="203" t="s">
        <v>1165</v>
      </c>
      <c r="L35" s="203" t="s">
        <v>1166</v>
      </c>
      <c r="M35" s="203" t="s">
        <v>1084</v>
      </c>
    </row>
    <row r="36">
      <c r="A36" s="203" t="str">
        <f t="array" ref="A36">TRANSPOSE(INDIRECT(SWITCH(#REF!,
"Scenic Walks &amp; Trails","scenicwalks",
"Nature &amp; Wildlife Exploration","natureexploration",
"Coastal Adventures","coastaladventure",
"Rideable Routes","wheelsroutes",
)))</f>
        <v>#REF!</v>
      </c>
    </row>
    <row r="37">
      <c r="A37" s="203" t="str">
        <f t="array" ref="A37:M37">TRANSPOSE(INDIRECT(SWITCH(Routes!B36,
"Scenic Walks &amp; Trails","scenicwalks",
"Nature &amp; Wildlife Exploration","natureexploration",
"Coastal Adventures","coastaladventure",
"Rideable Routes","wheelsroutes",
)))</f>
        <v>Woodland Walk</v>
      </c>
      <c r="B37" s="203" t="s">
        <v>556</v>
      </c>
      <c r="C37" s="203" t="s">
        <v>1159</v>
      </c>
      <c r="D37" s="203" t="s">
        <v>727</v>
      </c>
      <c r="E37" s="203" t="s">
        <v>1160</v>
      </c>
      <c r="F37" s="203" t="s">
        <v>1161</v>
      </c>
      <c r="G37" s="203" t="s">
        <v>1162</v>
      </c>
      <c r="H37" s="203" t="s">
        <v>1163</v>
      </c>
      <c r="I37" s="203" t="s">
        <v>1126</v>
      </c>
      <c r="J37" s="203" t="s">
        <v>363</v>
      </c>
      <c r="K37" s="203" t="s">
        <v>1165</v>
      </c>
      <c r="L37" s="203" t="s">
        <v>1166</v>
      </c>
      <c r="M37" s="203" t="s">
        <v>1084</v>
      </c>
    </row>
    <row r="38">
      <c r="A38" s="203" t="str">
        <f t="array" ref="A38:D38">TRANSPOSE(INDIRECT(SWITCH(Routes!B37,
"Scenic Walks &amp; Trails","scenicwalks",
"Nature &amp; Wildlife Exploration","natureexploration",
"Coastal Adventures","coastaladventure",
"Rideable Routes","wheelsroutes",
)))</f>
        <v>Quick spin</v>
      </c>
      <c r="B38" s="203" t="s">
        <v>777</v>
      </c>
      <c r="C38" s="203" t="s">
        <v>1233</v>
      </c>
      <c r="D38" s="203" t="s">
        <v>1234</v>
      </c>
    </row>
    <row r="39">
      <c r="A39" s="203" t="str">
        <f t="array" ref="A39">TRANSPOSE(INDIRECT(SWITCH(#REF!,
"Scenic Walks &amp; Trails","scenicwalks",
"Nature &amp; Wildlife Exploration","natureexploration",
"Coastal Adventures","coastaladventure",
"Rideable Routes","wheelsroutes",
)))</f>
        <v>#REF!</v>
      </c>
    </row>
    <row r="40">
      <c r="A40" s="203" t="str">
        <f t="array" ref="A40:M40">TRANSPOSE(INDIRECT(SWITCH(Routes!B38,
"Scenic Walks &amp; Trails","scenicwalks",
"Nature &amp; Wildlife Exploration","natureexploration",
"Coastal Adventures","coastaladventure",
"Rideable Routes","wheelsroutes",
)))</f>
        <v>Woodland Walk</v>
      </c>
      <c r="B40" s="203" t="s">
        <v>556</v>
      </c>
      <c r="C40" s="203" t="s">
        <v>1159</v>
      </c>
      <c r="D40" s="203" t="s">
        <v>727</v>
      </c>
      <c r="E40" s="203" t="s">
        <v>1160</v>
      </c>
      <c r="F40" s="203" t="s">
        <v>1161</v>
      </c>
      <c r="G40" s="203" t="s">
        <v>1162</v>
      </c>
      <c r="H40" s="203" t="s">
        <v>1163</v>
      </c>
      <c r="I40" s="203" t="s">
        <v>1126</v>
      </c>
      <c r="J40" s="203" t="s">
        <v>363</v>
      </c>
      <c r="K40" s="203" t="s">
        <v>1165</v>
      </c>
      <c r="L40" s="203" t="s">
        <v>1166</v>
      </c>
      <c r="M40" s="203" t="s">
        <v>1084</v>
      </c>
    </row>
    <row r="41">
      <c r="A41" s="203" t="str">
        <f t="array" ref="A41:M41">TRANSPOSE(INDIRECT(SWITCH(Routes!B39,
"Scenic Walks &amp; Trails","scenicwalks",
"Nature &amp; Wildlife Exploration","natureexploration",
"Coastal Adventures","coastaladventure",
"Rideable Routes","wheelsroutes",
)))</f>
        <v>Woodland Walk</v>
      </c>
      <c r="B41" s="203" t="s">
        <v>556</v>
      </c>
      <c r="C41" s="203" t="s">
        <v>1159</v>
      </c>
      <c r="D41" s="203" t="s">
        <v>727</v>
      </c>
      <c r="E41" s="203" t="s">
        <v>1160</v>
      </c>
      <c r="F41" s="203" t="s">
        <v>1161</v>
      </c>
      <c r="G41" s="203" t="s">
        <v>1162</v>
      </c>
      <c r="H41" s="203" t="s">
        <v>1163</v>
      </c>
      <c r="I41" s="203" t="s">
        <v>1126</v>
      </c>
      <c r="J41" s="203" t="s">
        <v>363</v>
      </c>
      <c r="K41" s="203" t="s">
        <v>1165</v>
      </c>
      <c r="L41" s="203" t="s">
        <v>1166</v>
      </c>
      <c r="M41" s="203" t="s">
        <v>1084</v>
      </c>
    </row>
    <row r="42">
      <c r="A42" s="203" t="str">
        <f t="array" ref="A42:M42">TRANSPOSE(INDIRECT(SWITCH(Routes!B40,
"Scenic Walks &amp; Trails","scenicwalks",
"Nature &amp; Wildlife Exploration","natureexploration",
"Coastal Adventures","coastaladventure",
"Rideable Routes","wheelsroutes",
)))</f>
        <v>Woodland Walk</v>
      </c>
      <c r="B42" s="203" t="s">
        <v>556</v>
      </c>
      <c r="C42" s="203" t="s">
        <v>1159</v>
      </c>
      <c r="D42" s="203" t="s">
        <v>727</v>
      </c>
      <c r="E42" s="203" t="s">
        <v>1160</v>
      </c>
      <c r="F42" s="203" t="s">
        <v>1161</v>
      </c>
      <c r="G42" s="203" t="s">
        <v>1162</v>
      </c>
      <c r="H42" s="203" t="s">
        <v>1163</v>
      </c>
      <c r="I42" s="203" t="s">
        <v>1126</v>
      </c>
      <c r="J42" s="203" t="s">
        <v>363</v>
      </c>
      <c r="K42" s="203" t="s">
        <v>1165</v>
      </c>
      <c r="L42" s="203" t="s">
        <v>1166</v>
      </c>
      <c r="M42" s="203" t="s">
        <v>1084</v>
      </c>
    </row>
    <row r="43">
      <c r="A43" s="203" t="str">
        <f t="array" ref="A43:M43">TRANSPOSE(INDIRECT(SWITCH(Routes!B41,
"Scenic Walks &amp; Trails","scenicwalks",
"Nature &amp; Wildlife Exploration","natureexploration",
"Coastal Adventures","coastaladventure",
"Rideable Routes","wheelsroutes",
)))</f>
        <v>Woodland Walk</v>
      </c>
      <c r="B43" s="203" t="s">
        <v>556</v>
      </c>
      <c r="C43" s="203" t="s">
        <v>1159</v>
      </c>
      <c r="D43" s="203" t="s">
        <v>727</v>
      </c>
      <c r="E43" s="203" t="s">
        <v>1160</v>
      </c>
      <c r="F43" s="203" t="s">
        <v>1161</v>
      </c>
      <c r="G43" s="203" t="s">
        <v>1162</v>
      </c>
      <c r="H43" s="203" t="s">
        <v>1163</v>
      </c>
      <c r="I43" s="203" t="s">
        <v>1126</v>
      </c>
      <c r="J43" s="203" t="s">
        <v>363</v>
      </c>
      <c r="K43" s="203" t="s">
        <v>1165</v>
      </c>
      <c r="L43" s="203" t="s">
        <v>1166</v>
      </c>
      <c r="M43" s="203" t="s">
        <v>1084</v>
      </c>
    </row>
    <row r="44">
      <c r="A44" s="203" t="str">
        <f t="array" ref="A44:M44">TRANSPOSE(INDIRECT(SWITCH(Routes!B42,
"Scenic Walks &amp; Trails","scenicwalks",
"Nature &amp; Wildlife Exploration","natureexploration",
"Coastal Adventures","coastaladventure",
"Rideable Routes","wheelsroutes",
)))</f>
        <v>Woodland Walk</v>
      </c>
      <c r="B44" s="203" t="s">
        <v>556</v>
      </c>
      <c r="C44" s="203" t="s">
        <v>1159</v>
      </c>
      <c r="D44" s="203" t="s">
        <v>727</v>
      </c>
      <c r="E44" s="203" t="s">
        <v>1160</v>
      </c>
      <c r="F44" s="203" t="s">
        <v>1161</v>
      </c>
      <c r="G44" s="203" t="s">
        <v>1162</v>
      </c>
      <c r="H44" s="203" t="s">
        <v>1163</v>
      </c>
      <c r="I44" s="203" t="s">
        <v>1126</v>
      </c>
      <c r="J44" s="203" t="s">
        <v>363</v>
      </c>
      <c r="K44" s="203" t="s">
        <v>1165</v>
      </c>
      <c r="L44" s="203" t="s">
        <v>1166</v>
      </c>
      <c r="M44" s="203" t="s">
        <v>1084</v>
      </c>
    </row>
    <row r="45">
      <c r="A45" s="203" t="str">
        <f t="array" ref="A45:M45">TRANSPOSE(INDIRECT(SWITCH(Routes!B43,
"Scenic Walks &amp; Trails","scenicwalks",
"Nature &amp; Wildlife Exploration","natureexploration",
"Coastal Adventures","coastaladventure",
"Rideable Routes","wheelsroutes",
)))</f>
        <v>Woodland Walk</v>
      </c>
      <c r="B45" s="203" t="s">
        <v>556</v>
      </c>
      <c r="C45" s="203" t="s">
        <v>1159</v>
      </c>
      <c r="D45" s="203" t="s">
        <v>727</v>
      </c>
      <c r="E45" s="203" t="s">
        <v>1160</v>
      </c>
      <c r="F45" s="203" t="s">
        <v>1161</v>
      </c>
      <c r="G45" s="203" t="s">
        <v>1162</v>
      </c>
      <c r="H45" s="203" t="s">
        <v>1163</v>
      </c>
      <c r="I45" s="203" t="s">
        <v>1126</v>
      </c>
      <c r="J45" s="203" t="s">
        <v>363</v>
      </c>
      <c r="K45" s="203" t="s">
        <v>1165</v>
      </c>
      <c r="L45" s="203" t="s">
        <v>1166</v>
      </c>
      <c r="M45" s="203" t="s">
        <v>1084</v>
      </c>
    </row>
    <row r="46">
      <c r="A46" s="203" t="str">
        <f t="array" ref="A46">TRANSPOSE(INDIRECT(SWITCH(#REF!,
"Scenic Walks &amp; Trails","scenicwalks",
"Nature &amp; Wildlife Exploration","natureexploration",
"Coastal Adventures","coastaladventure",
"Rideable Routes","wheelsroutes",
)))</f>
        <v>#REF!</v>
      </c>
    </row>
    <row r="47">
      <c r="A47" s="203" t="str">
        <f t="array" ref="A47:M47">TRANSPOSE(INDIRECT(SWITCH(Routes!B44,
"Scenic Walks &amp; Trails","scenicwalks",
"Nature &amp; Wildlife Exploration","natureexploration",
"Coastal Adventures","coastaladventure",
"Rideable Routes","wheelsroutes",
)))</f>
        <v>Woodland Walk</v>
      </c>
      <c r="B47" s="203" t="s">
        <v>556</v>
      </c>
      <c r="C47" s="203" t="s">
        <v>1159</v>
      </c>
      <c r="D47" s="203" t="s">
        <v>727</v>
      </c>
      <c r="E47" s="203" t="s">
        <v>1160</v>
      </c>
      <c r="F47" s="203" t="s">
        <v>1161</v>
      </c>
      <c r="G47" s="203" t="s">
        <v>1162</v>
      </c>
      <c r="H47" s="203" t="s">
        <v>1163</v>
      </c>
      <c r="I47" s="203" t="s">
        <v>1126</v>
      </c>
      <c r="J47" s="203" t="s">
        <v>363</v>
      </c>
      <c r="K47" s="203" t="s">
        <v>1165</v>
      </c>
      <c r="L47" s="203" t="s">
        <v>1166</v>
      </c>
      <c r="M47" s="203" t="s">
        <v>1084</v>
      </c>
    </row>
    <row r="48">
      <c r="A48" s="203" t="str">
        <f t="array" ref="A48:M48">TRANSPOSE(INDIRECT(SWITCH(Routes!B45,
"Scenic Walks &amp; Trails","scenicwalks",
"Nature &amp; Wildlife Exploration","natureexploration",
"Coastal Adventures","coastaladventure",
"Rideable Routes","wheelsroutes",
)))</f>
        <v>Woodland Walk</v>
      </c>
      <c r="B48" s="203" t="s">
        <v>556</v>
      </c>
      <c r="C48" s="203" t="s">
        <v>1159</v>
      </c>
      <c r="D48" s="203" t="s">
        <v>727</v>
      </c>
      <c r="E48" s="203" t="s">
        <v>1160</v>
      </c>
      <c r="F48" s="203" t="s">
        <v>1161</v>
      </c>
      <c r="G48" s="203" t="s">
        <v>1162</v>
      </c>
      <c r="H48" s="203" t="s">
        <v>1163</v>
      </c>
      <c r="I48" s="203" t="s">
        <v>1126</v>
      </c>
      <c r="J48" s="203" t="s">
        <v>363</v>
      </c>
      <c r="K48" s="203" t="s">
        <v>1165</v>
      </c>
      <c r="L48" s="203" t="s">
        <v>1166</v>
      </c>
      <c r="M48" s="203" t="s">
        <v>1084</v>
      </c>
    </row>
    <row r="49">
      <c r="A49" s="203" t="str">
        <f t="array" ref="A49:D49">TRANSPOSE(INDIRECT(SWITCH(Routes!B46,
"Scenic Walks &amp; Trails","scenicwalks",
"Nature &amp; Wildlife Exploration","natureexploration",
"Coastal Adventures","coastaladventure",
"Rideable Routes","wheelsroutes",
)))</f>
        <v>Quick spin</v>
      </c>
      <c r="B49" s="203" t="s">
        <v>777</v>
      </c>
      <c r="C49" s="203" t="s">
        <v>1233</v>
      </c>
      <c r="D49" s="203" t="s">
        <v>1234</v>
      </c>
    </row>
    <row r="50">
      <c r="A50" s="203" t="str">
        <f t="array" ref="A50:M50">TRANSPOSE(INDIRECT(SWITCH(Routes!B47,
"Scenic Walks &amp; Trails","scenicwalks",
"Nature &amp; Wildlife Exploration","natureexploration",
"Coastal Adventures","coastaladventure",
"Rideable Routes","wheelsroutes",
)))</f>
        <v>Woodland Walk</v>
      </c>
      <c r="B50" s="203" t="s">
        <v>556</v>
      </c>
      <c r="C50" s="203" t="s">
        <v>1159</v>
      </c>
      <c r="D50" s="203" t="s">
        <v>727</v>
      </c>
      <c r="E50" s="203" t="s">
        <v>1160</v>
      </c>
      <c r="F50" s="203" t="s">
        <v>1161</v>
      </c>
      <c r="G50" s="203" t="s">
        <v>1162</v>
      </c>
      <c r="H50" s="203" t="s">
        <v>1163</v>
      </c>
      <c r="I50" s="203" t="s">
        <v>1126</v>
      </c>
      <c r="J50" s="203" t="s">
        <v>363</v>
      </c>
      <c r="K50" s="203" t="s">
        <v>1165</v>
      </c>
      <c r="L50" s="203" t="s">
        <v>1166</v>
      </c>
      <c r="M50" s="203" t="s">
        <v>1084</v>
      </c>
    </row>
    <row r="51">
      <c r="A51" s="203" t="str">
        <f t="array" ref="A51:M51">TRANSPOSE(INDIRECT(SWITCH(Routes!B48,
"Scenic Walks &amp; Trails","scenicwalks",
"Nature &amp; Wildlife Exploration","natureexploration",
"Coastal Adventures","coastaladventure",
"Rideable Routes","wheelsroutes",
)))</f>
        <v>Woodland Walk</v>
      </c>
      <c r="B51" s="203" t="s">
        <v>556</v>
      </c>
      <c r="C51" s="203" t="s">
        <v>1159</v>
      </c>
      <c r="D51" s="203" t="s">
        <v>727</v>
      </c>
      <c r="E51" s="203" t="s">
        <v>1160</v>
      </c>
      <c r="F51" s="203" t="s">
        <v>1161</v>
      </c>
      <c r="G51" s="203" t="s">
        <v>1162</v>
      </c>
      <c r="H51" s="203" t="s">
        <v>1163</v>
      </c>
      <c r="I51" s="203" t="s">
        <v>1126</v>
      </c>
      <c r="J51" s="203" t="s">
        <v>363</v>
      </c>
      <c r="K51" s="203" t="s">
        <v>1165</v>
      </c>
      <c r="L51" s="203" t="s">
        <v>1166</v>
      </c>
      <c r="M51" s="203" t="s">
        <v>1084</v>
      </c>
    </row>
    <row r="52">
      <c r="A52" s="203" t="str">
        <f t="array" ref="A52:M52">TRANSPOSE(INDIRECT(SWITCH(Routes!B49,
"Scenic Walks &amp; Trails","scenicwalks",
"Nature &amp; Wildlife Exploration","natureexploration",
"Coastal Adventures","coastaladventure",
"Rideable Routes","wheelsroutes",
)))</f>
        <v>Woodland Walk</v>
      </c>
      <c r="B52" s="203" t="s">
        <v>556</v>
      </c>
      <c r="C52" s="203" t="s">
        <v>1159</v>
      </c>
      <c r="D52" s="203" t="s">
        <v>727</v>
      </c>
      <c r="E52" s="203" t="s">
        <v>1160</v>
      </c>
      <c r="F52" s="203" t="s">
        <v>1161</v>
      </c>
      <c r="G52" s="203" t="s">
        <v>1162</v>
      </c>
      <c r="H52" s="203" t="s">
        <v>1163</v>
      </c>
      <c r="I52" s="203" t="s">
        <v>1126</v>
      </c>
      <c r="J52" s="203" t="s">
        <v>363</v>
      </c>
      <c r="K52" s="203" t="s">
        <v>1165</v>
      </c>
      <c r="L52" s="203" t="s">
        <v>1166</v>
      </c>
      <c r="M52" s="203" t="s">
        <v>1084</v>
      </c>
    </row>
    <row r="53">
      <c r="A53" s="203" t="str">
        <f t="array" ref="A53:M53">TRANSPOSE(INDIRECT(SWITCH(Routes!B50,
"Scenic Walks &amp; Trails","scenicwalks",
"Nature &amp; Wildlife Exploration","natureexploration",
"Coastal Adventures","coastaladventure",
"Rideable Routes","wheelsroutes",
)))</f>
        <v>Woodland Walk</v>
      </c>
      <c r="B53" s="203" t="s">
        <v>556</v>
      </c>
      <c r="C53" s="203" t="s">
        <v>1159</v>
      </c>
      <c r="D53" s="203" t="s">
        <v>727</v>
      </c>
      <c r="E53" s="203" t="s">
        <v>1160</v>
      </c>
      <c r="F53" s="203" t="s">
        <v>1161</v>
      </c>
      <c r="G53" s="203" t="s">
        <v>1162</v>
      </c>
      <c r="H53" s="203" t="s">
        <v>1163</v>
      </c>
      <c r="I53" s="203" t="s">
        <v>1126</v>
      </c>
      <c r="J53" s="203" t="s">
        <v>363</v>
      </c>
      <c r="K53" s="203" t="s">
        <v>1165</v>
      </c>
      <c r="L53" s="203" t="s">
        <v>1166</v>
      </c>
      <c r="M53" s="203" t="s">
        <v>1084</v>
      </c>
    </row>
    <row r="54">
      <c r="A54" s="203" t="str">
        <f t="array" ref="A54:M54">TRANSPOSE(INDIRECT(SWITCH(Routes!B51,
"Scenic Walks &amp; Trails","scenicwalks",
"Nature &amp; Wildlife Exploration","natureexploration",
"Coastal Adventures","coastaladventure",
"Rideable Routes","wheelsroutes",
)))</f>
        <v>Woodland Walk</v>
      </c>
      <c r="B54" s="203" t="s">
        <v>556</v>
      </c>
      <c r="C54" s="203" t="s">
        <v>1159</v>
      </c>
      <c r="D54" s="203" t="s">
        <v>727</v>
      </c>
      <c r="E54" s="203" t="s">
        <v>1160</v>
      </c>
      <c r="F54" s="203" t="s">
        <v>1161</v>
      </c>
      <c r="G54" s="203" t="s">
        <v>1162</v>
      </c>
      <c r="H54" s="203" t="s">
        <v>1163</v>
      </c>
      <c r="I54" s="203" t="s">
        <v>1126</v>
      </c>
      <c r="J54" s="203" t="s">
        <v>363</v>
      </c>
      <c r="K54" s="203" t="s">
        <v>1165</v>
      </c>
      <c r="L54" s="203" t="s">
        <v>1166</v>
      </c>
      <c r="M54" s="203" t="s">
        <v>1084</v>
      </c>
    </row>
    <row r="55">
      <c r="A55" s="203" t="str">
        <f t="array" ref="A55:M55">TRANSPOSE(INDIRECT(SWITCH(Routes!B52,
"Scenic Walks &amp; Trails","scenicwalks",
"Nature &amp; Wildlife Exploration","natureexploration",
"Coastal Adventures","coastaladventure",
"Rideable Routes","wheelsroutes",
)))</f>
        <v>Woodland Walk</v>
      </c>
      <c r="B55" s="203" t="s">
        <v>556</v>
      </c>
      <c r="C55" s="203" t="s">
        <v>1159</v>
      </c>
      <c r="D55" s="203" t="s">
        <v>727</v>
      </c>
      <c r="E55" s="203" t="s">
        <v>1160</v>
      </c>
      <c r="F55" s="203" t="s">
        <v>1161</v>
      </c>
      <c r="G55" s="203" t="s">
        <v>1162</v>
      </c>
      <c r="H55" s="203" t="s">
        <v>1163</v>
      </c>
      <c r="I55" s="203" t="s">
        <v>1126</v>
      </c>
      <c r="J55" s="203" t="s">
        <v>363</v>
      </c>
      <c r="K55" s="203" t="s">
        <v>1165</v>
      </c>
      <c r="L55" s="203" t="s">
        <v>1166</v>
      </c>
      <c r="M55" s="203" t="s">
        <v>1084</v>
      </c>
    </row>
    <row r="56">
      <c r="A56" s="203" t="str">
        <f t="array" ref="A56:M56">TRANSPOSE(INDIRECT(SWITCH(Routes!B53,
"Scenic Walks &amp; Trails","scenicwalks",
"Nature &amp; Wildlife Exploration","natureexploration",
"Coastal Adventures","coastaladventure",
"Rideable Routes","wheelsroutes",
)))</f>
        <v>Woodland Walk</v>
      </c>
      <c r="B56" s="203" t="s">
        <v>556</v>
      </c>
      <c r="C56" s="203" t="s">
        <v>1159</v>
      </c>
      <c r="D56" s="203" t="s">
        <v>727</v>
      </c>
      <c r="E56" s="203" t="s">
        <v>1160</v>
      </c>
      <c r="F56" s="203" t="s">
        <v>1161</v>
      </c>
      <c r="G56" s="203" t="s">
        <v>1162</v>
      </c>
      <c r="H56" s="203" t="s">
        <v>1163</v>
      </c>
      <c r="I56" s="203" t="s">
        <v>1126</v>
      </c>
      <c r="J56" s="203" t="s">
        <v>363</v>
      </c>
      <c r="K56" s="203" t="s">
        <v>1165</v>
      </c>
      <c r="L56" s="203" t="s">
        <v>1166</v>
      </c>
      <c r="M56" s="203" t="s">
        <v>1084</v>
      </c>
    </row>
    <row r="57">
      <c r="A57" s="203" t="str">
        <f t="array" ref="A57:M57">TRANSPOSE(INDIRECT(SWITCH(Routes!B54,
"Scenic Walks &amp; Trails","scenicwalks",
"Nature &amp; Wildlife Exploration","natureexploration",
"Coastal Adventures","coastaladventure",
"Rideable Routes","wheelsroutes",
)))</f>
        <v>Woodland Walk</v>
      </c>
      <c r="B57" s="203" t="s">
        <v>556</v>
      </c>
      <c r="C57" s="203" t="s">
        <v>1159</v>
      </c>
      <c r="D57" s="203" t="s">
        <v>727</v>
      </c>
      <c r="E57" s="203" t="s">
        <v>1160</v>
      </c>
      <c r="F57" s="203" t="s">
        <v>1161</v>
      </c>
      <c r="G57" s="203" t="s">
        <v>1162</v>
      </c>
      <c r="H57" s="203" t="s">
        <v>1163</v>
      </c>
      <c r="I57" s="203" t="s">
        <v>1126</v>
      </c>
      <c r="J57" s="203" t="s">
        <v>363</v>
      </c>
      <c r="K57" s="203" t="s">
        <v>1165</v>
      </c>
      <c r="L57" s="203" t="s">
        <v>1166</v>
      </c>
      <c r="M57" s="203" t="s">
        <v>1084</v>
      </c>
    </row>
    <row r="58">
      <c r="A58" s="203" t="str">
        <f t="array" ref="A58:M58">TRANSPOSE(INDIRECT(SWITCH(Routes!B55,
"Scenic Walks &amp; Trails","scenicwalks",
"Nature &amp; Wildlife Exploration","natureexploration",
"Coastal Adventures","coastaladventure",
"Rideable Routes","wheelsroutes",
)))</f>
        <v>Woodland Walk</v>
      </c>
      <c r="B58" s="203" t="s">
        <v>556</v>
      </c>
      <c r="C58" s="203" t="s">
        <v>1159</v>
      </c>
      <c r="D58" s="203" t="s">
        <v>727</v>
      </c>
      <c r="E58" s="203" t="s">
        <v>1160</v>
      </c>
      <c r="F58" s="203" t="s">
        <v>1161</v>
      </c>
      <c r="G58" s="203" t="s">
        <v>1162</v>
      </c>
      <c r="H58" s="203" t="s">
        <v>1163</v>
      </c>
      <c r="I58" s="203" t="s">
        <v>1126</v>
      </c>
      <c r="J58" s="203" t="s">
        <v>363</v>
      </c>
      <c r="K58" s="203" t="s">
        <v>1165</v>
      </c>
      <c r="L58" s="203" t="s">
        <v>1166</v>
      </c>
      <c r="M58" s="203" t="s">
        <v>1084</v>
      </c>
    </row>
    <row r="59">
      <c r="A59" s="203" t="str">
        <f t="array" ref="A59">TRANSPOSE(INDIRECT(SWITCH(Routes!B56,
"Scenic Walks &amp; Trails","scenicwalks",
"Nature &amp; Wildlife Exploration","natureexploration",
"Coastal Adventures","coastaladventure",
"Rideable Routes","wheelsroutes",
)))</f>
        <v>#REF!</v>
      </c>
    </row>
    <row r="60">
      <c r="A60" s="203" t="str">
        <f t="array" ref="A60">TRANSPOSE(INDIRECT(SWITCH(Routes!B57,
"Scenic Walks &amp; Trails","scenicwalks",
"Nature &amp; Wildlife Exploration","natureexploration",
"Coastal Adventures","coastaladventure",
"Rideable Routes","wheelsroutes",
)))</f>
        <v>#REF!</v>
      </c>
    </row>
    <row r="61">
      <c r="A61" s="203" t="str">
        <f t="array" ref="A61">TRANSPOSE(INDIRECT(SWITCH(Routes!B58,
"Scenic Walks &amp; Trails","scenicwalks",
"Nature &amp; Wildlife Exploration","natureexploration",
"Coastal Adventures","coastaladventure",
"Rideable Routes","wheelsroutes",
)))</f>
        <v>#REF!</v>
      </c>
    </row>
    <row r="62">
      <c r="A62" s="203" t="str">
        <f t="array" ref="A62">TRANSPOSE(INDIRECT(SWITCH(Routes!B59,
"Scenic Walks &amp; Trails","scenicwalks",
"Nature &amp; Wildlife Exploration","natureexploration",
"Coastal Adventures","coastaladventure",
"Rideable Routes","wheelsroutes",
)))</f>
        <v>#REF!</v>
      </c>
    </row>
    <row r="63">
      <c r="A63" s="203" t="str">
        <f t="array" ref="A63">TRANSPOSE(INDIRECT(SWITCH(Routes!B60,
"Scenic Walks &amp; Trails","scenicwalks",
"Nature &amp; Wildlife Exploration","natureexploration",
"Coastal Adventures","coastaladventure",
"Rideable Routes","wheelsroutes",
)))</f>
        <v>#REF!</v>
      </c>
    </row>
    <row r="64">
      <c r="A64" s="203" t="str">
        <f t="array" ref="A64">TRANSPOSE(INDIRECT(SWITCH(Routes!B61,
"Scenic Walks &amp; Trails","scenicwalks",
"Nature &amp; Wildlife Exploration","natureexploration",
"Coastal Adventures","coastaladventure",
"Rideable Routes","wheelsroutes",
)))</f>
        <v>#REF!</v>
      </c>
    </row>
    <row r="65">
      <c r="A65" s="203" t="str">
        <f t="array" ref="A65">TRANSPOSE(INDIRECT(SWITCH(Routes!B62,
"Scenic Walks &amp; Trails","scenicwalks",
"Nature &amp; Wildlife Exploration","natureexploration",
"Coastal Adventures","coastaladventure",
"Rideable Routes","wheelsroutes",
)))</f>
        <v>#REF!</v>
      </c>
    </row>
    <row r="66">
      <c r="A66" s="203" t="str">
        <f t="array" ref="A66">TRANSPOSE(INDIRECT(SWITCH(Routes!B63,
"Scenic Walks &amp; Trails","scenicwalks",
"Nature &amp; Wildlife Exploration","natureexploration",
"Coastal Adventures","coastaladventure",
"Rideable Routes","wheelsroutes",
)))</f>
        <v>#REF!</v>
      </c>
    </row>
    <row r="67">
      <c r="A67" s="203" t="str">
        <f t="array" ref="A67">TRANSPOSE(INDIRECT(SWITCH(Routes!B64,
"Scenic Walks &amp; Trails","scenicwalks",
"Nature &amp; Wildlife Exploration","natureexploration",
"Coastal Adventures","coastaladventure",
"Rideable Routes","wheelsroutes",
)))</f>
        <v>#REF!</v>
      </c>
    </row>
    <row r="68">
      <c r="A68" s="203" t="str">
        <f t="array" ref="A68">TRANSPOSE(INDIRECT(SWITCH(Routes!B65,
"Scenic Walks &amp; Trails","scenicwalks",
"Nature &amp; Wildlife Exploration","natureexploration",
"Coastal Adventures","coastaladventure",
"Rideable Routes","wheelsroutes",
)))</f>
        <v>#REF!</v>
      </c>
    </row>
    <row r="69">
      <c r="A69" s="203" t="str">
        <f t="array" ref="A69">TRANSPOSE(INDIRECT(SWITCH(Routes!B66,
"Scenic Walks &amp; Trails","scenicwalks",
"Nature &amp; Wildlife Exploration","natureexploration",
"Coastal Adventures","coastaladventure",
"Rideable Routes","wheelsroutes",
)))</f>
        <v>#REF!</v>
      </c>
    </row>
    <row r="70">
      <c r="A70" s="203" t="str">
        <f t="array" ref="A70">TRANSPOSE(INDIRECT(SWITCH(Routes!B67,
"Scenic Walks &amp; Trails","scenicwalks",
"Nature &amp; Wildlife Exploration","natureexploration",
"Coastal Adventures","coastaladventure",
"Rideable Routes","wheelsroutes",
)))</f>
        <v>#REF!</v>
      </c>
    </row>
    <row r="71">
      <c r="A71" s="203" t="str">
        <f t="array" ref="A71">TRANSPOSE(INDIRECT(SWITCH(Routes!B68,
"Scenic Walks &amp; Trails","scenicwalks",
"Nature &amp; Wildlife Exploration","natureexploration",
"Coastal Adventures","coastaladventure",
"Rideable Routes","wheelsroutes",
)))</f>
        <v>#REF!</v>
      </c>
    </row>
    <row r="72">
      <c r="A72" s="203" t="str">
        <f t="array" ref="A72">TRANSPOSE(INDIRECT(SWITCH(Routes!B69,
"Scenic Walks &amp; Trails","scenicwalks",
"Nature &amp; Wildlife Exploration","natureexploration",
"Coastal Adventures","coastaladventure",
"Rideable Routes","wheelsroutes",
)))</f>
        <v>#REF!</v>
      </c>
    </row>
    <row r="73">
      <c r="A73" s="203" t="str">
        <f t="array" ref="A73">TRANSPOSE(INDIRECT(SWITCH(Routes!B70,
"Scenic Walks &amp; Trails","scenicwalks",
"Nature &amp; Wildlife Exploration","natureexploration",
"Coastal Adventures","coastaladventure",
"Rideable Routes","wheelsroutes",
)))</f>
        <v>#REF!</v>
      </c>
    </row>
    <row r="74">
      <c r="A74" s="203" t="str">
        <f t="array" ref="A74">TRANSPOSE(INDIRECT(SWITCH(Routes!B71,
"Scenic Walks &amp; Trails","scenicwalks",
"Nature &amp; Wildlife Exploration","natureexploration",
"Coastal Adventures","coastaladventure",
"Rideable Routes","wheelsroutes",
)))</f>
        <v>#REF!</v>
      </c>
    </row>
    <row r="75">
      <c r="A75" s="203" t="str">
        <f t="array" ref="A75">TRANSPOSE(INDIRECT(SWITCH(Routes!B72,
"Scenic Walks &amp; Trails","scenicwalks",
"Nature &amp; Wildlife Exploration","natureexploration",
"Coastal Adventures","coastaladventure",
"Rideable Routes","wheelsroutes",
)))</f>
        <v>#REF!</v>
      </c>
    </row>
    <row r="76">
      <c r="A76" s="203" t="str">
        <f t="array" ref="A76">TRANSPOSE(INDIRECT(SWITCH(Routes!B73,
"Scenic Walks &amp; Trails","scenicwalks",
"Nature &amp; Wildlife Exploration","natureexploration",
"Coastal Adventures","coastaladventure",
"Rideable Routes","wheelsroutes",
)))</f>
        <v>#REF!</v>
      </c>
    </row>
    <row r="77">
      <c r="A77" s="203" t="str">
        <f t="array" ref="A77">TRANSPOSE(INDIRECT(SWITCH(Routes!B74,
"Scenic Walks &amp; Trails","scenicwalks",
"Nature &amp; Wildlife Exploration","natureexploration",
"Coastal Adventures","coastaladventure",
"Rideable Routes","wheelsroutes",
)))</f>
        <v>#REF!</v>
      </c>
    </row>
    <row r="78">
      <c r="A78" s="203" t="str">
        <f t="array" ref="A78">TRANSPOSE(INDIRECT(SWITCH(Routes!B75,
"Scenic Walks &amp; Trails","scenicwalks",
"Nature &amp; Wildlife Exploration","natureexploration",
"Coastal Adventures","coastaladventure",
"Rideable Routes","wheelsroutes",
)))</f>
        <v>#REF!</v>
      </c>
    </row>
    <row r="79">
      <c r="A79" s="203" t="str">
        <f t="shared" ref="A79:A90" si="1">TRANSPOSE(INDIRECT(SWITCH(#REF!,
"Scenic Walks &amp; Trails","scenicwalks",
"Nature &amp; Wildlife Exploration","natureexploration",
"Coastal Adventures","coastaladventure",
"Rideable Routes","wheelsroutes",
)))</f>
        <v>#REF!</v>
      </c>
    </row>
    <row r="80">
      <c r="A80" s="203" t="str">
        <f t="shared" si="1"/>
        <v>#REF!</v>
      </c>
    </row>
    <row r="81">
      <c r="A81" s="203" t="str">
        <f t="shared" si="1"/>
        <v>#REF!</v>
      </c>
    </row>
    <row r="82">
      <c r="A82" s="203" t="str">
        <f t="shared" si="1"/>
        <v>#REF!</v>
      </c>
    </row>
    <row r="83">
      <c r="A83" s="203" t="str">
        <f t="shared" si="1"/>
        <v>#REF!</v>
      </c>
    </row>
    <row r="84">
      <c r="A84" s="203" t="str">
        <f t="shared" si="1"/>
        <v>#REF!</v>
      </c>
    </row>
    <row r="85">
      <c r="A85" s="203" t="str">
        <f t="shared" si="1"/>
        <v>#REF!</v>
      </c>
    </row>
    <row r="86">
      <c r="A86" s="203" t="str">
        <f t="shared" si="1"/>
        <v>#REF!</v>
      </c>
    </row>
    <row r="87">
      <c r="A87" s="203" t="str">
        <f t="shared" si="1"/>
        <v>#REF!</v>
      </c>
    </row>
    <row r="88">
      <c r="A88" s="203" t="str">
        <f t="shared" si="1"/>
        <v>#REF!</v>
      </c>
    </row>
    <row r="89">
      <c r="A89" s="203" t="str">
        <f t="shared" si="1"/>
        <v>#REF!</v>
      </c>
    </row>
    <row r="90">
      <c r="A90" s="203" t="str">
        <f t="shared" si="1"/>
        <v>#REF!</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03" t="str">
        <f t="array" ref="A5:E5">TRANSPOSE(INDIRECT(SWITCH(Venues!B5,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5" s="203" t="s">
        <v>1430</v>
      </c>
      <c r="C5" s="203" t="s">
        <v>1432</v>
      </c>
      <c r="D5" s="203" t="s">
        <v>1283</v>
      </c>
      <c r="E5" s="203" t="s">
        <v>1260</v>
      </c>
    </row>
    <row r="6">
      <c r="A6" s="203" t="str">
        <f t="array" ref="A6:D6">TRANSPOSE(INDIRECT(SWITCH(Venues!B6,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6" s="203" t="s">
        <v>538</v>
      </c>
      <c r="C6" s="203" t="s">
        <v>1449</v>
      </c>
      <c r="D6" s="203" t="s">
        <v>1451</v>
      </c>
    </row>
    <row r="7">
      <c r="A7" s="203" t="str">
        <f t="array" ref="A7:D7">TRANSPOSE(INDIRECT(SWITCH(Venues!B7,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 Eateries</v>
      </c>
      <c r="B7" s="203" t="s">
        <v>1470</v>
      </c>
      <c r="C7" s="203" t="s">
        <v>1471</v>
      </c>
      <c r="D7" s="203" t="s">
        <v>1472</v>
      </c>
    </row>
    <row r="8">
      <c r="A8" s="203" t="str">
        <f t="array" ref="A8:J8">TRANSPOSE(INDIRECT(SWITCH(Venues!B8,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8" s="203" t="s">
        <v>650</v>
      </c>
      <c r="C8" s="203" t="s">
        <v>1069</v>
      </c>
      <c r="D8" s="203" t="s">
        <v>661</v>
      </c>
      <c r="E8" s="203" t="s">
        <v>1072</v>
      </c>
      <c r="F8" s="203" t="s">
        <v>1073</v>
      </c>
      <c r="G8" s="203" t="s">
        <v>1074</v>
      </c>
      <c r="H8" s="203" t="s">
        <v>1075</v>
      </c>
      <c r="I8" s="203" t="s">
        <v>1076</v>
      </c>
      <c r="J8" s="203" t="s">
        <v>1077</v>
      </c>
    </row>
    <row r="9">
      <c r="A9" s="203" t="str">
        <f t="array" ref="A9:F9">TRANSPOSE(INDIRECT(SWITCH(Venues!B9,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9" s="203" t="s">
        <v>1497</v>
      </c>
      <c r="C9" s="203" t="s">
        <v>1499</v>
      </c>
      <c r="D9" s="203" t="s">
        <v>1357</v>
      </c>
      <c r="E9" s="203" t="s">
        <v>1500</v>
      </c>
      <c r="F9" s="203" t="s">
        <v>1502</v>
      </c>
    </row>
    <row r="10">
      <c r="A10" s="203" t="str">
        <f t="array" ref="A10:L10">TRANSPOSE(INDIRECT(SWITCH(Venues!B10,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0" s="203" t="s">
        <v>782</v>
      </c>
      <c r="C10" s="203" t="s">
        <v>1507</v>
      </c>
      <c r="D10" s="203" t="s">
        <v>1509</v>
      </c>
      <c r="E10" s="203" t="s">
        <v>1510</v>
      </c>
      <c r="F10" s="203" t="s">
        <v>1511</v>
      </c>
      <c r="G10" s="203" t="s">
        <v>1513</v>
      </c>
      <c r="H10" s="203" t="s">
        <v>1514</v>
      </c>
      <c r="I10" s="203" t="s">
        <v>1515</v>
      </c>
      <c r="J10" s="203" t="s">
        <v>1516</v>
      </c>
      <c r="K10" s="203" t="s">
        <v>1134</v>
      </c>
      <c r="L10" s="203" t="s">
        <v>1517</v>
      </c>
    </row>
    <row r="11">
      <c r="A11" s="203" t="str">
        <f t="array" ref="A11:J11">TRANSPOSE(INDIRECT(SWITCH(Venues!B11,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11" s="203" t="s">
        <v>1541</v>
      </c>
      <c r="C11" s="203" t="s">
        <v>1543</v>
      </c>
      <c r="D11" s="203" t="s">
        <v>1544</v>
      </c>
      <c r="E11" s="203" t="s">
        <v>1545</v>
      </c>
      <c r="F11" s="203" t="s">
        <v>1546</v>
      </c>
      <c r="G11" s="203" t="s">
        <v>1174</v>
      </c>
      <c r="H11" s="203" t="s">
        <v>1196</v>
      </c>
      <c r="I11" s="203" t="s">
        <v>1547</v>
      </c>
      <c r="J11" s="203" t="s">
        <v>1548</v>
      </c>
    </row>
    <row r="12">
      <c r="A12" s="203" t="str">
        <f t="array" ref="A12:G12">TRANSPOSE(INDIRECT(SWITCH(Venues!B12,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2" s="203" t="s">
        <v>967</v>
      </c>
      <c r="C12" s="203" t="s">
        <v>1553</v>
      </c>
      <c r="D12" s="203" t="s">
        <v>1555</v>
      </c>
      <c r="E12" s="203" t="s">
        <v>1556</v>
      </c>
      <c r="F12" s="203" t="s">
        <v>1558</v>
      </c>
      <c r="G12" s="203" t="s">
        <v>1559</v>
      </c>
    </row>
    <row r="13">
      <c r="A13" s="203" t="str">
        <f t="array" ref="A13:G13">TRANSPOSE(INDIRECT(SWITCH(Venues!B13,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13" s="203" t="s">
        <v>1568</v>
      </c>
      <c r="C13" s="203" t="s">
        <v>1406</v>
      </c>
      <c r="D13" s="203" t="s">
        <v>1569</v>
      </c>
      <c r="E13" s="203" t="s">
        <v>1570</v>
      </c>
      <c r="F13" s="203" t="s">
        <v>1571</v>
      </c>
      <c r="G13" s="203" t="s">
        <v>1572</v>
      </c>
    </row>
    <row r="14">
      <c r="A14" s="203" t="str">
        <f t="array" ref="A14:G14">TRANSPOSE(INDIRECT(SWITCH(Venues!B14,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14" s="203" t="s">
        <v>1579</v>
      </c>
      <c r="C14" s="203" t="s">
        <v>1580</v>
      </c>
      <c r="D14" s="203" t="s">
        <v>1063</v>
      </c>
      <c r="E14" s="203" t="s">
        <v>1581</v>
      </c>
      <c r="F14" s="203" t="s">
        <v>1582</v>
      </c>
      <c r="G14" s="203" t="s">
        <v>1162</v>
      </c>
    </row>
    <row r="15">
      <c r="A15" s="203" t="str">
        <f t="array" ref="A15:O15">TRANSPOSE(INDIRECT(SWITCH(Venues!B15,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15" s="203" t="s">
        <v>1192</v>
      </c>
      <c r="C15" s="203" t="s">
        <v>817</v>
      </c>
      <c r="D15" s="203" t="s">
        <v>1193</v>
      </c>
      <c r="E15" s="203" t="s">
        <v>1194</v>
      </c>
      <c r="F15" s="203" t="s">
        <v>1195</v>
      </c>
      <c r="G15" s="203" t="s">
        <v>1196</v>
      </c>
      <c r="H15" s="203" t="s">
        <v>962</v>
      </c>
      <c r="I15" s="203" t="s">
        <v>1198</v>
      </c>
      <c r="J15" s="203" t="s">
        <v>1199</v>
      </c>
      <c r="K15" s="203" t="s">
        <v>1200</v>
      </c>
      <c r="L15" s="203" t="s">
        <v>1201</v>
      </c>
      <c r="M15" s="203" t="s">
        <v>1203</v>
      </c>
      <c r="N15" s="203" t="s">
        <v>1204</v>
      </c>
      <c r="O15" s="203" t="s">
        <v>1205</v>
      </c>
    </row>
    <row r="16">
      <c r="A16" s="203" t="str">
        <f t="array" ref="A16:L16">TRANSPOSE(INDIRECT(SWITCH(Venues!B16,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6" s="203" t="s">
        <v>782</v>
      </c>
      <c r="C16" s="203" t="s">
        <v>1507</v>
      </c>
      <c r="D16" s="203" t="s">
        <v>1509</v>
      </c>
      <c r="E16" s="203" t="s">
        <v>1510</v>
      </c>
      <c r="F16" s="203" t="s">
        <v>1511</v>
      </c>
      <c r="G16" s="203" t="s">
        <v>1513</v>
      </c>
      <c r="H16" s="203" t="s">
        <v>1514</v>
      </c>
      <c r="I16" s="203" t="s">
        <v>1515</v>
      </c>
      <c r="J16" s="203" t="s">
        <v>1516</v>
      </c>
      <c r="K16" s="203" t="s">
        <v>1134</v>
      </c>
      <c r="L16" s="203" t="s">
        <v>1517</v>
      </c>
    </row>
    <row r="17">
      <c r="A17" s="203" t="str">
        <f t="array" ref="A17:J17">TRANSPOSE(INDIRECT(SWITCH(Venues!B17,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17" s="203" t="s">
        <v>1541</v>
      </c>
      <c r="C17" s="203" t="s">
        <v>1543</v>
      </c>
      <c r="D17" s="203" t="s">
        <v>1544</v>
      </c>
      <c r="E17" s="203" t="s">
        <v>1545</v>
      </c>
      <c r="F17" s="203" t="s">
        <v>1546</v>
      </c>
      <c r="G17" s="203" t="s">
        <v>1174</v>
      </c>
      <c r="H17" s="203" t="s">
        <v>1196</v>
      </c>
      <c r="I17" s="203" t="s">
        <v>1547</v>
      </c>
      <c r="J17" s="203" t="s">
        <v>1548</v>
      </c>
    </row>
    <row r="18">
      <c r="A18" s="203" t="str">
        <f t="array" ref="A18:L18">TRANSPOSE(INDIRECT(SWITCH(Venues!B18,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8" s="203" t="s">
        <v>782</v>
      </c>
      <c r="C18" s="203" t="s">
        <v>1507</v>
      </c>
      <c r="D18" s="203" t="s">
        <v>1509</v>
      </c>
      <c r="E18" s="203" t="s">
        <v>1510</v>
      </c>
      <c r="F18" s="203" t="s">
        <v>1511</v>
      </c>
      <c r="G18" s="203" t="s">
        <v>1513</v>
      </c>
      <c r="H18" s="203" t="s">
        <v>1514</v>
      </c>
      <c r="I18" s="203" t="s">
        <v>1515</v>
      </c>
      <c r="J18" s="203" t="s">
        <v>1516</v>
      </c>
      <c r="K18" s="203" t="s">
        <v>1134</v>
      </c>
      <c r="L18" s="203" t="s">
        <v>1517</v>
      </c>
    </row>
    <row r="19">
      <c r="A19" s="203" t="str">
        <f t="array" ref="A19:L19">TRANSPOSE(INDIRECT(SWITCH(Venues!B19,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9" s="203" t="s">
        <v>782</v>
      </c>
      <c r="C19" s="203" t="s">
        <v>1507</v>
      </c>
      <c r="D19" s="203" t="s">
        <v>1509</v>
      </c>
      <c r="E19" s="203" t="s">
        <v>1510</v>
      </c>
      <c r="F19" s="203" t="s">
        <v>1511</v>
      </c>
      <c r="G19" s="203" t="s">
        <v>1513</v>
      </c>
      <c r="H19" s="203" t="s">
        <v>1514</v>
      </c>
      <c r="I19" s="203" t="s">
        <v>1515</v>
      </c>
      <c r="J19" s="203" t="s">
        <v>1516</v>
      </c>
      <c r="K19" s="203" t="s">
        <v>1134</v>
      </c>
      <c r="L19" s="203" t="s">
        <v>1517</v>
      </c>
    </row>
    <row r="20">
      <c r="A20" s="203" t="str">
        <f t="array" ref="A20:E20">TRANSPOSE(INDIRECT(SWITCH(Venues!B20,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20" s="203" t="s">
        <v>1430</v>
      </c>
      <c r="C20" s="203" t="s">
        <v>1432</v>
      </c>
      <c r="D20" s="203" t="s">
        <v>1283</v>
      </c>
      <c r="E20" s="203" t="s">
        <v>1260</v>
      </c>
    </row>
    <row r="21">
      <c r="A21" s="203" t="str">
        <f t="array" ref="A21:E21">TRANSPOSE(INDIRECT(SWITCH(Venues!B21,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21" s="203" t="s">
        <v>1430</v>
      </c>
      <c r="C21" s="203" t="s">
        <v>1432</v>
      </c>
      <c r="D21" s="203" t="s">
        <v>1283</v>
      </c>
      <c r="E21" s="203" t="s">
        <v>1260</v>
      </c>
    </row>
    <row r="22">
      <c r="A22" s="203" t="str">
        <f t="array" ref="A22:G22">TRANSPOSE(INDIRECT(SWITCH(Venues!B22,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22" s="203" t="s">
        <v>967</v>
      </c>
      <c r="C22" s="203" t="s">
        <v>1553</v>
      </c>
      <c r="D22" s="203" t="s">
        <v>1555</v>
      </c>
      <c r="E22" s="203" t="s">
        <v>1556</v>
      </c>
      <c r="F22" s="203" t="s">
        <v>1558</v>
      </c>
      <c r="G22" s="203" t="s">
        <v>1559</v>
      </c>
    </row>
    <row r="23">
      <c r="A23" s="203" t="str">
        <f t="array" ref="A23:J23">TRANSPOSE(INDIRECT(SWITCH(Venues!B23,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23" s="203" t="s">
        <v>650</v>
      </c>
      <c r="C23" s="203" t="s">
        <v>1069</v>
      </c>
      <c r="D23" s="203" t="s">
        <v>661</v>
      </c>
      <c r="E23" s="203" t="s">
        <v>1072</v>
      </c>
      <c r="F23" s="203" t="s">
        <v>1073</v>
      </c>
      <c r="G23" s="203" t="s">
        <v>1074</v>
      </c>
      <c r="H23" s="203" t="s">
        <v>1075</v>
      </c>
      <c r="I23" s="203" t="s">
        <v>1076</v>
      </c>
      <c r="J23" s="203" t="s">
        <v>1077</v>
      </c>
    </row>
    <row r="24">
      <c r="A24" s="203" t="str">
        <f t="array" ref="A24:G24">TRANSPOSE(INDIRECT(SWITCH(Venues!B24,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24" s="203" t="s">
        <v>967</v>
      </c>
      <c r="C24" s="203" t="s">
        <v>1553</v>
      </c>
      <c r="D24" s="203" t="s">
        <v>1555</v>
      </c>
      <c r="E24" s="203" t="s">
        <v>1556</v>
      </c>
      <c r="F24" s="203" t="s">
        <v>1558</v>
      </c>
      <c r="G24" s="203" t="s">
        <v>1559</v>
      </c>
    </row>
    <row r="25">
      <c r="A25" s="203" t="str">
        <f t="array" ref="A25:F25">TRANSPOSE(INDIRECT(SWITCH(Venues!B25,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25" s="203" t="s">
        <v>1497</v>
      </c>
      <c r="C25" s="203" t="s">
        <v>1499</v>
      </c>
      <c r="D25" s="203" t="s">
        <v>1357</v>
      </c>
      <c r="E25" s="203" t="s">
        <v>1500</v>
      </c>
      <c r="F25" s="203" t="s">
        <v>1502</v>
      </c>
    </row>
    <row r="26">
      <c r="A26" s="203" t="str">
        <f t="array" ref="A26:G26">TRANSPOSE(INDIRECT(SWITCH(Venues!B26,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26" s="203" t="s">
        <v>967</v>
      </c>
      <c r="C26" s="203" t="s">
        <v>1553</v>
      </c>
      <c r="D26" s="203" t="s">
        <v>1555</v>
      </c>
      <c r="E26" s="203" t="s">
        <v>1556</v>
      </c>
      <c r="F26" s="203" t="s">
        <v>1558</v>
      </c>
      <c r="G26" s="203" t="s">
        <v>1559</v>
      </c>
    </row>
    <row r="27">
      <c r="A27" s="203" t="str">
        <f t="array" ref="A27:G27">TRANSPOSE(INDIRECT(SWITCH(Venues!B27,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27" s="203" t="s">
        <v>1568</v>
      </c>
      <c r="C27" s="203" t="s">
        <v>1406</v>
      </c>
      <c r="D27" s="203" t="s">
        <v>1569</v>
      </c>
      <c r="E27" s="203" t="s">
        <v>1570</v>
      </c>
      <c r="F27" s="203" t="s">
        <v>1571</v>
      </c>
      <c r="G27" s="203" t="s">
        <v>1572</v>
      </c>
    </row>
    <row r="28">
      <c r="A28" s="203" t="str">
        <f t="array" ref="A28:H28">TRANSPOSE(INDIRECT(SWITCH(Venues!B28,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Ancient Site</v>
      </c>
      <c r="B28" s="203" t="s">
        <v>1439</v>
      </c>
      <c r="C28" s="203" t="s">
        <v>1831</v>
      </c>
      <c r="D28" s="203" t="s">
        <v>1832</v>
      </c>
      <c r="E28" s="203" t="s">
        <v>1833</v>
      </c>
      <c r="F28" s="203" t="s">
        <v>1834</v>
      </c>
      <c r="G28" s="203" t="s">
        <v>1835</v>
      </c>
      <c r="H28" s="203" t="s">
        <v>1837</v>
      </c>
    </row>
    <row r="29">
      <c r="A29" s="203" t="str">
        <f t="array" ref="A29:J29">TRANSPOSE(INDIRECT(SWITCH(Venues!B29,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29" s="203" t="s">
        <v>650</v>
      </c>
      <c r="C29" s="203" t="s">
        <v>1069</v>
      </c>
      <c r="D29" s="203" t="s">
        <v>661</v>
      </c>
      <c r="E29" s="203" t="s">
        <v>1072</v>
      </c>
      <c r="F29" s="203" t="s">
        <v>1073</v>
      </c>
      <c r="G29" s="203" t="s">
        <v>1074</v>
      </c>
      <c r="H29" s="203" t="s">
        <v>1075</v>
      </c>
      <c r="I29" s="203" t="s">
        <v>1076</v>
      </c>
      <c r="J29" s="203" t="s">
        <v>1077</v>
      </c>
    </row>
    <row r="30">
      <c r="A30" s="203" t="str">
        <f t="array" ref="A30:G30">TRANSPOSE(INDIRECT(SWITCH(Venues!B30,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30" s="203" t="s">
        <v>967</v>
      </c>
      <c r="C30" s="203" t="s">
        <v>1553</v>
      </c>
      <c r="D30" s="203" t="s">
        <v>1555</v>
      </c>
      <c r="E30" s="203" t="s">
        <v>1556</v>
      </c>
      <c r="F30" s="203" t="s">
        <v>1558</v>
      </c>
      <c r="G30" s="203" t="s">
        <v>1559</v>
      </c>
    </row>
    <row r="31">
      <c r="A31" s="203" t="str">
        <f t="array" ref="A31:D31">TRANSPOSE(INDIRECT(SWITCH(Venues!B31,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Quick spin</v>
      </c>
      <c r="B31" s="203" t="s">
        <v>777</v>
      </c>
      <c r="C31" s="203" t="s">
        <v>1233</v>
      </c>
      <c r="D31" s="203" t="s">
        <v>1234</v>
      </c>
    </row>
    <row r="32">
      <c r="A32" s="203" t="str">
        <f t="array" ref="A32:G32">TRANSPOSE(INDIRECT(SWITCH(Venues!B32,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32" s="203" t="s">
        <v>967</v>
      </c>
      <c r="C32" s="203" t="s">
        <v>1553</v>
      </c>
      <c r="D32" s="203" t="s">
        <v>1555</v>
      </c>
      <c r="E32" s="203" t="s">
        <v>1556</v>
      </c>
      <c r="F32" s="203" t="s">
        <v>1558</v>
      </c>
      <c r="G32" s="203" t="s">
        <v>1559</v>
      </c>
    </row>
    <row r="33">
      <c r="A33" s="203" t="str">
        <f t="array" ref="A33:J33">TRANSPOSE(INDIRECT(SWITCH(Venues!B33,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33" s="203" t="s">
        <v>1541</v>
      </c>
      <c r="C33" s="203" t="s">
        <v>1543</v>
      </c>
      <c r="D33" s="203" t="s">
        <v>1544</v>
      </c>
      <c r="E33" s="203" t="s">
        <v>1545</v>
      </c>
      <c r="F33" s="203" t="s">
        <v>1546</v>
      </c>
      <c r="G33" s="203" t="s">
        <v>1174</v>
      </c>
      <c r="H33" s="203" t="s">
        <v>1196</v>
      </c>
      <c r="I33" s="203" t="s">
        <v>1547</v>
      </c>
      <c r="J33" s="203" t="s">
        <v>1548</v>
      </c>
    </row>
    <row r="34">
      <c r="A34" s="203" t="str">
        <f t="array" ref="A34:G34">TRANSPOSE(INDIRECT(SWITCH(Venues!B34,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34" s="203" t="s">
        <v>1579</v>
      </c>
      <c r="C34" s="203" t="s">
        <v>1580</v>
      </c>
      <c r="D34" s="203" t="s">
        <v>1063</v>
      </c>
      <c r="E34" s="203" t="s">
        <v>1581</v>
      </c>
      <c r="F34" s="203" t="s">
        <v>1582</v>
      </c>
      <c r="G34" s="203" t="s">
        <v>1162</v>
      </c>
    </row>
    <row r="35">
      <c r="A35" s="203" t="str">
        <f t="array" ref="A35:O35">TRANSPOSE(INDIRECT(SWITCH(Venues!B35,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35" s="203" t="s">
        <v>1192</v>
      </c>
      <c r="C35" s="203" t="s">
        <v>817</v>
      </c>
      <c r="D35" s="203" t="s">
        <v>1193</v>
      </c>
      <c r="E35" s="203" t="s">
        <v>1194</v>
      </c>
      <c r="F35" s="203" t="s">
        <v>1195</v>
      </c>
      <c r="G35" s="203" t="s">
        <v>1196</v>
      </c>
      <c r="H35" s="203" t="s">
        <v>962</v>
      </c>
      <c r="I35" s="203" t="s">
        <v>1198</v>
      </c>
      <c r="J35" s="203" t="s">
        <v>1199</v>
      </c>
      <c r="K35" s="203" t="s">
        <v>1200</v>
      </c>
      <c r="L35" s="203" t="s">
        <v>1201</v>
      </c>
      <c r="M35" s="203" t="s">
        <v>1203</v>
      </c>
      <c r="N35" s="203" t="s">
        <v>1204</v>
      </c>
      <c r="O35" s="203" t="s">
        <v>1205</v>
      </c>
    </row>
    <row r="36">
      <c r="A36" s="203" t="str">
        <f t="array" ref="A36:O36">TRANSPOSE(INDIRECT(SWITCH(Venues!B36,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36" s="203" t="s">
        <v>1192</v>
      </c>
      <c r="C36" s="203" t="s">
        <v>817</v>
      </c>
      <c r="D36" s="203" t="s">
        <v>1193</v>
      </c>
      <c r="E36" s="203" t="s">
        <v>1194</v>
      </c>
      <c r="F36" s="203" t="s">
        <v>1195</v>
      </c>
      <c r="G36" s="203" t="s">
        <v>1196</v>
      </c>
      <c r="H36" s="203" t="s">
        <v>962</v>
      </c>
      <c r="I36" s="203" t="s">
        <v>1198</v>
      </c>
      <c r="J36" s="203" t="s">
        <v>1199</v>
      </c>
      <c r="K36" s="203" t="s">
        <v>1200</v>
      </c>
      <c r="L36" s="203" t="s">
        <v>1201</v>
      </c>
      <c r="M36" s="203" t="s">
        <v>1203</v>
      </c>
      <c r="N36" s="203" t="s">
        <v>1204</v>
      </c>
      <c r="O36" s="203" t="s">
        <v>1205</v>
      </c>
    </row>
    <row r="37">
      <c r="A37" s="203" t="str">
        <f t="array" ref="A37:D37">TRANSPOSE(INDIRECT(SWITCH(Venues!B37,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 Eateries</v>
      </c>
      <c r="B37" s="203" t="s">
        <v>1470</v>
      </c>
      <c r="C37" s="203" t="s">
        <v>1471</v>
      </c>
      <c r="D37" s="203" t="s">
        <v>1472</v>
      </c>
    </row>
    <row r="38">
      <c r="A38" s="203" t="str">
        <f t="array" ref="A38:J38">TRANSPOSE(INDIRECT(SWITCH(Venues!B38,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38" s="203" t="s">
        <v>650</v>
      </c>
      <c r="C38" s="203" t="s">
        <v>1069</v>
      </c>
      <c r="D38" s="203" t="s">
        <v>661</v>
      </c>
      <c r="E38" s="203" t="s">
        <v>1072</v>
      </c>
      <c r="F38" s="203" t="s">
        <v>1073</v>
      </c>
      <c r="G38" s="203" t="s">
        <v>1074</v>
      </c>
      <c r="H38" s="203" t="s">
        <v>1075</v>
      </c>
      <c r="I38" s="203" t="s">
        <v>1076</v>
      </c>
      <c r="J38" s="203" t="s">
        <v>1077</v>
      </c>
    </row>
    <row r="39">
      <c r="A39" s="203" t="str">
        <f t="array" ref="A39:G39">TRANSPOSE(INDIRECT(SWITCH(Venues!B39,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39" s="203" t="s">
        <v>1579</v>
      </c>
      <c r="C39" s="203" t="s">
        <v>1580</v>
      </c>
      <c r="D39" s="203" t="s">
        <v>1063</v>
      </c>
      <c r="E39" s="203" t="s">
        <v>1581</v>
      </c>
      <c r="F39" s="203" t="s">
        <v>1582</v>
      </c>
      <c r="G39" s="203" t="s">
        <v>1162</v>
      </c>
    </row>
    <row r="40">
      <c r="A40" s="203" t="str">
        <f t="array" ref="A40:D40">TRANSPOSE(INDIRECT(SWITCH(Venues!B40,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Quick spin</v>
      </c>
      <c r="B40" s="203" t="s">
        <v>777</v>
      </c>
      <c r="C40" s="203" t="s">
        <v>1233</v>
      </c>
      <c r="D40" s="203" t="s">
        <v>1234</v>
      </c>
    </row>
    <row r="41">
      <c r="A41" s="203" t="str">
        <f t="array" ref="A41:G41">TRANSPOSE(INDIRECT(SWITCH(Venues!B41,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41" s="203" t="s">
        <v>1568</v>
      </c>
      <c r="C41" s="203" t="s">
        <v>1406</v>
      </c>
      <c r="D41" s="203" t="s">
        <v>1569</v>
      </c>
      <c r="E41" s="203" t="s">
        <v>1570</v>
      </c>
      <c r="F41" s="203" t="s">
        <v>1571</v>
      </c>
      <c r="G41" s="203" t="s">
        <v>1572</v>
      </c>
    </row>
    <row r="42">
      <c r="A42" s="203" t="str">
        <f t="array" ref="A42:J42">TRANSPOSE(INDIRECT(SWITCH(Venues!B42,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42" s="203" t="s">
        <v>650</v>
      </c>
      <c r="C42" s="203" t="s">
        <v>1069</v>
      </c>
      <c r="D42" s="203" t="s">
        <v>661</v>
      </c>
      <c r="E42" s="203" t="s">
        <v>1072</v>
      </c>
      <c r="F42" s="203" t="s">
        <v>1073</v>
      </c>
      <c r="G42" s="203" t="s">
        <v>1074</v>
      </c>
      <c r="H42" s="203" t="s">
        <v>1075</v>
      </c>
      <c r="I42" s="203" t="s">
        <v>1076</v>
      </c>
      <c r="J42" s="203" t="s">
        <v>1077</v>
      </c>
    </row>
    <row r="43">
      <c r="A43" s="203" t="str">
        <f t="array" ref="A43:I43">TRANSPOSE(INDIRECT(SWITCH(Venues!B43,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43" s="203" t="s">
        <v>1671</v>
      </c>
      <c r="C43" s="203" t="s">
        <v>1672</v>
      </c>
      <c r="D43" s="203" t="s">
        <v>1673</v>
      </c>
      <c r="E43" s="203" t="s">
        <v>1674</v>
      </c>
      <c r="F43" s="203" t="s">
        <v>506</v>
      </c>
      <c r="G43" s="203" t="s">
        <v>1677</v>
      </c>
      <c r="H43" s="203" t="s">
        <v>1678</v>
      </c>
      <c r="I43" s="203" t="s">
        <v>1680</v>
      </c>
    </row>
    <row r="44">
      <c r="A44" s="203" t="str">
        <f t="array" ref="A44:L44">TRANSPOSE(INDIRECT(SWITCH(Venues!B44,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44" s="203" t="s">
        <v>782</v>
      </c>
      <c r="C44" s="203" t="s">
        <v>1507</v>
      </c>
      <c r="D44" s="203" t="s">
        <v>1509</v>
      </c>
      <c r="E44" s="203" t="s">
        <v>1510</v>
      </c>
      <c r="F44" s="203" t="s">
        <v>1511</v>
      </c>
      <c r="G44" s="203" t="s">
        <v>1513</v>
      </c>
      <c r="H44" s="203" t="s">
        <v>1514</v>
      </c>
      <c r="I44" s="203" t="s">
        <v>1515</v>
      </c>
      <c r="J44" s="203" t="s">
        <v>1516</v>
      </c>
      <c r="K44" s="203" t="s">
        <v>1134</v>
      </c>
      <c r="L44" s="203" t="s">
        <v>1517</v>
      </c>
    </row>
    <row r="45">
      <c r="A45" s="203" t="str">
        <f t="array" ref="A45:E45">TRANSPOSE(INDIRECT(SWITCH(Venues!B45,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45" s="203" t="s">
        <v>1430</v>
      </c>
      <c r="C45" s="203" t="s">
        <v>1432</v>
      </c>
      <c r="D45" s="203" t="s">
        <v>1283</v>
      </c>
      <c r="E45" s="203" t="s">
        <v>1260</v>
      </c>
    </row>
    <row r="46">
      <c r="A46" s="203" t="str">
        <f t="array" ref="A46:G46">TRANSPOSE(INDIRECT(SWITCH(Venues!B46,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46" s="203" t="s">
        <v>1579</v>
      </c>
      <c r="C46" s="203" t="s">
        <v>1580</v>
      </c>
      <c r="D46" s="203" t="s">
        <v>1063</v>
      </c>
      <c r="E46" s="203" t="s">
        <v>1581</v>
      </c>
      <c r="F46" s="203" t="s">
        <v>1582</v>
      </c>
      <c r="G46" s="203" t="s">
        <v>1162</v>
      </c>
    </row>
    <row r="47">
      <c r="A47" s="203" t="str">
        <f t="array" ref="A47:J47">TRANSPOSE(INDIRECT(SWITCH(Venues!B47,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47" s="203" t="s">
        <v>1541</v>
      </c>
      <c r="C47" s="203" t="s">
        <v>1543</v>
      </c>
      <c r="D47" s="203" t="s">
        <v>1544</v>
      </c>
      <c r="E47" s="203" t="s">
        <v>1545</v>
      </c>
      <c r="F47" s="203" t="s">
        <v>1546</v>
      </c>
      <c r="G47" s="203" t="s">
        <v>1174</v>
      </c>
      <c r="H47" s="203" t="s">
        <v>1196</v>
      </c>
      <c r="I47" s="203" t="s">
        <v>1547</v>
      </c>
      <c r="J47" s="203" t="s">
        <v>1548</v>
      </c>
    </row>
    <row r="48">
      <c r="A48" s="203" t="str">
        <f t="array" ref="A48:I48">TRANSPOSE(INDIRECT(SWITCH(Venues!B48,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48" s="203" t="s">
        <v>1671</v>
      </c>
      <c r="C48" s="203" t="s">
        <v>1672</v>
      </c>
      <c r="D48" s="203" t="s">
        <v>1673</v>
      </c>
      <c r="E48" s="203" t="s">
        <v>1674</v>
      </c>
      <c r="F48" s="203" t="s">
        <v>506</v>
      </c>
      <c r="G48" s="203" t="s">
        <v>1677</v>
      </c>
      <c r="H48" s="203" t="s">
        <v>1678</v>
      </c>
      <c r="I48" s="203" t="s">
        <v>1680</v>
      </c>
    </row>
    <row r="49">
      <c r="A49" s="203" t="str">
        <f t="array" ref="A49:G49">TRANSPOSE(INDIRECT(SWITCH(Venues!B49,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49" s="203" t="s">
        <v>967</v>
      </c>
      <c r="C49" s="203" t="s">
        <v>1553</v>
      </c>
      <c r="D49" s="203" t="s">
        <v>1555</v>
      </c>
      <c r="E49" s="203" t="s">
        <v>1556</v>
      </c>
      <c r="F49" s="203" t="s">
        <v>1558</v>
      </c>
      <c r="G49" s="203" t="s">
        <v>1559</v>
      </c>
    </row>
    <row r="50">
      <c r="A50" s="203" t="str">
        <f t="array" ref="A50:O50">TRANSPOSE(INDIRECT(SWITCH(Venues!B50,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50" s="203" t="s">
        <v>1192</v>
      </c>
      <c r="C50" s="203" t="s">
        <v>817</v>
      </c>
      <c r="D50" s="203" t="s">
        <v>1193</v>
      </c>
      <c r="E50" s="203" t="s">
        <v>1194</v>
      </c>
      <c r="F50" s="203" t="s">
        <v>1195</v>
      </c>
      <c r="G50" s="203" t="s">
        <v>1196</v>
      </c>
      <c r="H50" s="203" t="s">
        <v>962</v>
      </c>
      <c r="I50" s="203" t="s">
        <v>1198</v>
      </c>
      <c r="J50" s="203" t="s">
        <v>1199</v>
      </c>
      <c r="K50" s="203" t="s">
        <v>1200</v>
      </c>
      <c r="L50" s="203" t="s">
        <v>1201</v>
      </c>
      <c r="M50" s="203" t="s">
        <v>1203</v>
      </c>
      <c r="N50" s="203" t="s">
        <v>1204</v>
      </c>
      <c r="O50" s="203" t="s">
        <v>1205</v>
      </c>
    </row>
    <row r="51">
      <c r="A51" s="203" t="str">
        <f t="array" ref="A51:O51">TRANSPOSE(INDIRECT(SWITCH(Venues!B51,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51" s="203" t="s">
        <v>1192</v>
      </c>
      <c r="C51" s="203" t="s">
        <v>817</v>
      </c>
      <c r="D51" s="203" t="s">
        <v>1193</v>
      </c>
      <c r="E51" s="203" t="s">
        <v>1194</v>
      </c>
      <c r="F51" s="203" t="s">
        <v>1195</v>
      </c>
      <c r="G51" s="203" t="s">
        <v>1196</v>
      </c>
      <c r="H51" s="203" t="s">
        <v>962</v>
      </c>
      <c r="I51" s="203" t="s">
        <v>1198</v>
      </c>
      <c r="J51" s="203" t="s">
        <v>1199</v>
      </c>
      <c r="K51" s="203" t="s">
        <v>1200</v>
      </c>
      <c r="L51" s="203" t="s">
        <v>1201</v>
      </c>
      <c r="M51" s="203" t="s">
        <v>1203</v>
      </c>
      <c r="N51" s="203" t="s">
        <v>1204</v>
      </c>
      <c r="O51" s="203" t="s">
        <v>1205</v>
      </c>
    </row>
    <row r="52">
      <c r="A52" s="203" t="str">
        <f t="array" ref="A52:L52">TRANSPOSE(INDIRECT(SWITCH(Venues!B52,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52" s="203" t="s">
        <v>782</v>
      </c>
      <c r="C52" s="203" t="s">
        <v>1507</v>
      </c>
      <c r="D52" s="203" t="s">
        <v>1509</v>
      </c>
      <c r="E52" s="203" t="s">
        <v>1510</v>
      </c>
      <c r="F52" s="203" t="s">
        <v>1511</v>
      </c>
      <c r="G52" s="203" t="s">
        <v>1513</v>
      </c>
      <c r="H52" s="203" t="s">
        <v>1514</v>
      </c>
      <c r="I52" s="203" t="s">
        <v>1515</v>
      </c>
      <c r="J52" s="203" t="s">
        <v>1516</v>
      </c>
      <c r="K52" s="203" t="s">
        <v>1134</v>
      </c>
      <c r="L52" s="203" t="s">
        <v>1517</v>
      </c>
    </row>
    <row r="53">
      <c r="A53" s="203" t="str">
        <f t="array" ref="A53:E53">TRANSPOSE(INDIRECT(SWITCH(Venues!B53,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53" s="203" t="s">
        <v>1430</v>
      </c>
      <c r="C53" s="203" t="s">
        <v>1432</v>
      </c>
      <c r="D53" s="203" t="s">
        <v>1283</v>
      </c>
      <c r="E53" s="203" t="s">
        <v>1260</v>
      </c>
    </row>
    <row r="54">
      <c r="A54" s="203" t="str">
        <f t="array" ref="A54:G54">TRANSPOSE(INDIRECT(SWITCH(Venues!B54,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54" s="203" t="s">
        <v>967</v>
      </c>
      <c r="C54" s="203" t="s">
        <v>1553</v>
      </c>
      <c r="D54" s="203" t="s">
        <v>1555</v>
      </c>
      <c r="E54" s="203" t="s">
        <v>1556</v>
      </c>
      <c r="F54" s="203" t="s">
        <v>1558</v>
      </c>
      <c r="G54" s="203" t="s">
        <v>1559</v>
      </c>
    </row>
    <row r="55">
      <c r="A55" s="203" t="str">
        <f t="array" ref="A55:I55">TRANSPOSE(INDIRECT(SWITCH(Venues!B55,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55" s="203" t="s">
        <v>1671</v>
      </c>
      <c r="C55" s="203" t="s">
        <v>1672</v>
      </c>
      <c r="D55" s="203" t="s">
        <v>1673</v>
      </c>
      <c r="E55" s="203" t="s">
        <v>1674</v>
      </c>
      <c r="F55" s="203" t="s">
        <v>506</v>
      </c>
      <c r="G55" s="203" t="s">
        <v>1677</v>
      </c>
      <c r="H55" s="203" t="s">
        <v>1678</v>
      </c>
      <c r="I55" s="203" t="s">
        <v>1680</v>
      </c>
    </row>
    <row r="56">
      <c r="A56" s="203" t="str">
        <f t="array" ref="A56:J56">TRANSPOSE(INDIRECT(SWITCH(Venues!B56,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56" s="203" t="s">
        <v>1541</v>
      </c>
      <c r="C56" s="203" t="s">
        <v>1543</v>
      </c>
      <c r="D56" s="203" t="s">
        <v>1544</v>
      </c>
      <c r="E56" s="203" t="s">
        <v>1545</v>
      </c>
      <c r="F56" s="203" t="s">
        <v>1546</v>
      </c>
      <c r="G56" s="203" t="s">
        <v>1174</v>
      </c>
      <c r="H56" s="203" t="s">
        <v>1196</v>
      </c>
      <c r="I56" s="203" t="s">
        <v>1547</v>
      </c>
      <c r="J56" s="203" t="s">
        <v>1548</v>
      </c>
    </row>
    <row r="57">
      <c r="A57" s="203" t="str">
        <f t="array" ref="A57:J57">TRANSPOSE(INDIRECT(SWITCH(Venues!B57,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57" s="203" t="s">
        <v>1541</v>
      </c>
      <c r="C57" s="203" t="s">
        <v>1543</v>
      </c>
      <c r="D57" s="203" t="s">
        <v>1544</v>
      </c>
      <c r="E57" s="203" t="s">
        <v>1545</v>
      </c>
      <c r="F57" s="203" t="s">
        <v>1546</v>
      </c>
      <c r="G57" s="203" t="s">
        <v>1174</v>
      </c>
      <c r="H57" s="203" t="s">
        <v>1196</v>
      </c>
      <c r="I57" s="203" t="s">
        <v>1547</v>
      </c>
      <c r="J57" s="203" t="s">
        <v>1548</v>
      </c>
    </row>
    <row r="58">
      <c r="A58" s="203" t="str">
        <f t="array" ref="A58:F58">TRANSPOSE(INDIRECT(SWITCH(Venues!B58,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58" s="203" t="s">
        <v>1497</v>
      </c>
      <c r="C58" s="203" t="s">
        <v>1499</v>
      </c>
      <c r="D58" s="203" t="s">
        <v>1357</v>
      </c>
      <c r="E58" s="203" t="s">
        <v>1500</v>
      </c>
      <c r="F58" s="203" t="s">
        <v>1502</v>
      </c>
    </row>
    <row r="59">
      <c r="A59" s="203" t="str">
        <f t="array" ref="A59:G59">TRANSPOSE(INDIRECT(SWITCH(Venues!B59,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59" s="203" t="s">
        <v>967</v>
      </c>
      <c r="C59" s="203" t="s">
        <v>1553</v>
      </c>
      <c r="D59" s="203" t="s">
        <v>1555</v>
      </c>
      <c r="E59" s="203" t="s">
        <v>1556</v>
      </c>
      <c r="F59" s="203" t="s">
        <v>1558</v>
      </c>
      <c r="G59" s="203" t="s">
        <v>1559</v>
      </c>
    </row>
    <row r="60">
      <c r="A60" s="203" t="str">
        <f t="array" ref="A60:I60">TRANSPOSE(INDIRECT(SWITCH(Venues!B60,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60" s="203" t="s">
        <v>1671</v>
      </c>
      <c r="C60" s="203" t="s">
        <v>1672</v>
      </c>
      <c r="D60" s="203" t="s">
        <v>1673</v>
      </c>
      <c r="E60" s="203" t="s">
        <v>1674</v>
      </c>
      <c r="F60" s="203" t="s">
        <v>506</v>
      </c>
      <c r="G60" s="203" t="s">
        <v>1677</v>
      </c>
      <c r="H60" s="203" t="s">
        <v>1678</v>
      </c>
      <c r="I60" s="203" t="s">
        <v>1680</v>
      </c>
    </row>
    <row r="61">
      <c r="A61" s="203" t="str">
        <f t="array" ref="A61:D61">TRANSPOSE(INDIRECT(SWITCH(Venues!B61,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 Eateries</v>
      </c>
      <c r="B61" s="203" t="s">
        <v>1470</v>
      </c>
      <c r="C61" s="203" t="s">
        <v>1471</v>
      </c>
      <c r="D61" s="203" t="s">
        <v>1472</v>
      </c>
    </row>
    <row r="62">
      <c r="A62" s="203" t="str">
        <f t="array" ref="A62:G62">TRANSPOSE(INDIRECT(SWITCH(Venues!B62,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62" s="203" t="s">
        <v>1568</v>
      </c>
      <c r="C62" s="203" t="s">
        <v>1406</v>
      </c>
      <c r="D62" s="203" t="s">
        <v>1569</v>
      </c>
      <c r="E62" s="203" t="s">
        <v>1570</v>
      </c>
      <c r="F62" s="203" t="s">
        <v>1571</v>
      </c>
      <c r="G62" s="203" t="s">
        <v>1572</v>
      </c>
    </row>
    <row r="63">
      <c r="A63" s="203" t="str">
        <f t="array" ref="A63:E63">TRANSPOSE(INDIRECT(SWITCH(Venues!B63,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63" s="203" t="s">
        <v>1430</v>
      </c>
      <c r="C63" s="203" t="s">
        <v>1432</v>
      </c>
      <c r="D63" s="203" t="s">
        <v>1283</v>
      </c>
      <c r="E63" s="203" t="s">
        <v>1260</v>
      </c>
    </row>
    <row r="64">
      <c r="A64" s="203" t="str">
        <f t="array" ref="A64:G64">TRANSPOSE(INDIRECT(SWITCH(Venues!B64,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64" s="203" t="s">
        <v>967</v>
      </c>
      <c r="C64" s="203" t="s">
        <v>1553</v>
      </c>
      <c r="D64" s="203" t="s">
        <v>1555</v>
      </c>
      <c r="E64" s="203" t="s">
        <v>1556</v>
      </c>
      <c r="F64" s="203" t="s">
        <v>1558</v>
      </c>
      <c r="G64" s="203" t="s">
        <v>1559</v>
      </c>
    </row>
    <row r="65">
      <c r="A65" s="203" t="str">
        <f t="array" ref="A65:D65">TRANSPOSE(INDIRECT(SWITCH(Venues!B65,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 Eateries</v>
      </c>
      <c r="B65" s="203" t="s">
        <v>1470</v>
      </c>
      <c r="C65" s="203" t="s">
        <v>1471</v>
      </c>
      <c r="D65" s="203" t="s">
        <v>1472</v>
      </c>
    </row>
    <row r="66">
      <c r="A66" s="203" t="str">
        <f t="array" ref="A66:D66">TRANSPOSE(INDIRECT(SWITCH(Venues!B66,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 Eateries</v>
      </c>
      <c r="B66" s="203" t="s">
        <v>1470</v>
      </c>
      <c r="C66" s="203" t="s">
        <v>1471</v>
      </c>
      <c r="D66" s="203" t="s">
        <v>1472</v>
      </c>
    </row>
    <row r="67">
      <c r="A67" s="203" t="str">
        <f t="array" ref="A67:E67">TRANSPOSE(INDIRECT(SWITCH(Venues!B67,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67" s="203" t="s">
        <v>1430</v>
      </c>
      <c r="C67" s="203" t="s">
        <v>1432</v>
      </c>
      <c r="D67" s="203" t="s">
        <v>1283</v>
      </c>
      <c r="E67" s="203" t="s">
        <v>1260</v>
      </c>
    </row>
    <row r="68">
      <c r="A68" s="203" t="str">
        <f t="array" ref="A68:F68">TRANSPOSE(INDIRECT(SWITCH(Venues!B68,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Creative Artwork</v>
      </c>
      <c r="B68" s="203" t="s">
        <v>1743</v>
      </c>
      <c r="C68" s="203" t="s">
        <v>1744</v>
      </c>
      <c r="D68" s="203" t="s">
        <v>1745</v>
      </c>
      <c r="E68" s="203" t="s">
        <v>1746</v>
      </c>
      <c r="F68" s="203" t="s">
        <v>1747</v>
      </c>
    </row>
    <row r="69">
      <c r="A69" s="203" t="str">
        <f t="array" ref="A69:E69">TRANSPOSE(INDIRECT(SWITCH(Venues!B69,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69" s="203" t="s">
        <v>1430</v>
      </c>
      <c r="C69" s="203" t="s">
        <v>1432</v>
      </c>
      <c r="D69" s="203" t="s">
        <v>1283</v>
      </c>
      <c r="E69" s="203" t="s">
        <v>1260</v>
      </c>
    </row>
    <row r="70">
      <c r="A70" s="203" t="str">
        <f t="array" ref="A70:L70">TRANSPOSE(INDIRECT(SWITCH(Venues!B70,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70" s="203" t="s">
        <v>782</v>
      </c>
      <c r="C70" s="203" t="s">
        <v>1507</v>
      </c>
      <c r="D70" s="203" t="s">
        <v>1509</v>
      </c>
      <c r="E70" s="203" t="s">
        <v>1510</v>
      </c>
      <c r="F70" s="203" t="s">
        <v>1511</v>
      </c>
      <c r="G70" s="203" t="s">
        <v>1513</v>
      </c>
      <c r="H70" s="203" t="s">
        <v>1514</v>
      </c>
      <c r="I70" s="203" t="s">
        <v>1515</v>
      </c>
      <c r="J70" s="203" t="s">
        <v>1516</v>
      </c>
      <c r="K70" s="203" t="s">
        <v>1134</v>
      </c>
      <c r="L70" s="203" t="s">
        <v>1517</v>
      </c>
    </row>
    <row r="71">
      <c r="A71" s="203" t="str">
        <f t="array" ref="A71:E71">TRANSPOSE(INDIRECT(SWITCH(Venues!B71,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Science &amp; Discovery</v>
      </c>
      <c r="B71" s="203" t="s">
        <v>2525</v>
      </c>
      <c r="C71" s="203" t="s">
        <v>2327</v>
      </c>
      <c r="D71" s="203" t="s">
        <v>2527</v>
      </c>
      <c r="E71" s="203" t="s">
        <v>2528</v>
      </c>
    </row>
    <row r="72">
      <c r="A72" s="203" t="str">
        <f t="array" ref="A72:F72">TRANSPOSE(INDIRECT(SWITCH(Venues!B72,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72" s="203" t="s">
        <v>2529</v>
      </c>
      <c r="C72" s="203" t="s">
        <v>2530</v>
      </c>
      <c r="D72" s="203" t="s">
        <v>2531</v>
      </c>
      <c r="E72" s="203" t="s">
        <v>2354</v>
      </c>
      <c r="F72" s="203" t="s">
        <v>2532</v>
      </c>
    </row>
    <row r="73">
      <c r="A73" s="203" t="str">
        <f t="array" ref="A73:D73">TRANSPOSE(INDIRECT(SWITCH(Venues!B73,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73" s="203" t="s">
        <v>538</v>
      </c>
      <c r="C73" s="203" t="s">
        <v>1449</v>
      </c>
      <c r="D73" s="203" t="s">
        <v>1451</v>
      </c>
    </row>
    <row r="74">
      <c r="A74" s="203" t="str">
        <f t="array" ref="A74:F74">TRANSPOSE(INDIRECT(SWITCH(Venues!B74,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74" s="203" t="s">
        <v>2529</v>
      </c>
      <c r="C74" s="203" t="s">
        <v>2530</v>
      </c>
      <c r="D74" s="203" t="s">
        <v>2531</v>
      </c>
      <c r="E74" s="203" t="s">
        <v>2354</v>
      </c>
      <c r="F74" s="203" t="s">
        <v>2532</v>
      </c>
    </row>
    <row r="75">
      <c r="A75" s="203" t="str">
        <f t="array" ref="A75:L75">TRANSPOSE(INDIRECT(SWITCH(Venues!B75,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75" s="203" t="s">
        <v>782</v>
      </c>
      <c r="C75" s="203" t="s">
        <v>1507</v>
      </c>
      <c r="D75" s="203" t="s">
        <v>1509</v>
      </c>
      <c r="E75" s="203" t="s">
        <v>1510</v>
      </c>
      <c r="F75" s="203" t="s">
        <v>1511</v>
      </c>
      <c r="G75" s="203" t="s">
        <v>1513</v>
      </c>
      <c r="H75" s="203" t="s">
        <v>1514</v>
      </c>
      <c r="I75" s="203" t="s">
        <v>1515</v>
      </c>
      <c r="J75" s="203" t="s">
        <v>1516</v>
      </c>
      <c r="K75" s="203" t="s">
        <v>1134</v>
      </c>
      <c r="L75" s="203" t="s">
        <v>1517</v>
      </c>
    </row>
    <row r="76">
      <c r="A76" s="203" t="str">
        <f t="array" ref="A76:O76">TRANSPOSE(INDIRECT(SWITCH(Venues!B76,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76" s="203" t="s">
        <v>1192</v>
      </c>
      <c r="C76" s="203" t="s">
        <v>817</v>
      </c>
      <c r="D76" s="203" t="s">
        <v>1193</v>
      </c>
      <c r="E76" s="203" t="s">
        <v>1194</v>
      </c>
      <c r="F76" s="203" t="s">
        <v>1195</v>
      </c>
      <c r="G76" s="203" t="s">
        <v>1196</v>
      </c>
      <c r="H76" s="203" t="s">
        <v>962</v>
      </c>
      <c r="I76" s="203" t="s">
        <v>1198</v>
      </c>
      <c r="J76" s="203" t="s">
        <v>1199</v>
      </c>
      <c r="K76" s="203" t="s">
        <v>1200</v>
      </c>
      <c r="L76" s="203" t="s">
        <v>1201</v>
      </c>
      <c r="M76" s="203" t="s">
        <v>1203</v>
      </c>
      <c r="N76" s="203" t="s">
        <v>1204</v>
      </c>
      <c r="O76" s="203" t="s">
        <v>1205</v>
      </c>
    </row>
    <row r="77">
      <c r="A77" s="203" t="str">
        <f t="array" ref="A77:G77">TRANSPOSE(INDIRECT(SWITCH(Venues!B77,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77" s="203" t="s">
        <v>1568</v>
      </c>
      <c r="C77" s="203" t="s">
        <v>1406</v>
      </c>
      <c r="D77" s="203" t="s">
        <v>1569</v>
      </c>
      <c r="E77" s="203" t="s">
        <v>1570</v>
      </c>
      <c r="F77" s="203" t="s">
        <v>1571</v>
      </c>
      <c r="G77" s="203" t="s">
        <v>1572</v>
      </c>
    </row>
    <row r="78">
      <c r="A78" s="203" t="str">
        <f t="array" ref="A78:G78">TRANSPOSE(INDIRECT(SWITCH(Venues!B78,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78" s="203" t="s">
        <v>1568</v>
      </c>
      <c r="C78" s="203" t="s">
        <v>1406</v>
      </c>
      <c r="D78" s="203" t="s">
        <v>1569</v>
      </c>
      <c r="E78" s="203" t="s">
        <v>1570</v>
      </c>
      <c r="F78" s="203" t="s">
        <v>1571</v>
      </c>
      <c r="G78" s="203" t="s">
        <v>1572</v>
      </c>
    </row>
    <row r="79">
      <c r="A79" s="203" t="str">
        <f t="array" ref="A79:G79">TRANSPOSE(INDIRECT(SWITCH(Venues!B79,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79" s="203" t="s">
        <v>967</v>
      </c>
      <c r="C79" s="203" t="s">
        <v>1553</v>
      </c>
      <c r="D79" s="203" t="s">
        <v>1555</v>
      </c>
      <c r="E79" s="203" t="s">
        <v>1556</v>
      </c>
      <c r="F79" s="203" t="s">
        <v>1558</v>
      </c>
      <c r="G79" s="203" t="s">
        <v>1559</v>
      </c>
    </row>
    <row r="80">
      <c r="A80" s="203" t="str">
        <f t="array" ref="A80:G80">TRANSPOSE(INDIRECT(SWITCH(Venues!B80,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80" s="203" t="s">
        <v>967</v>
      </c>
      <c r="C80" s="203" t="s">
        <v>1553</v>
      </c>
      <c r="D80" s="203" t="s">
        <v>1555</v>
      </c>
      <c r="E80" s="203" t="s">
        <v>1556</v>
      </c>
      <c r="F80" s="203" t="s">
        <v>1558</v>
      </c>
      <c r="G80" s="203" t="s">
        <v>1559</v>
      </c>
    </row>
    <row r="81">
      <c r="A81" s="203" t="str">
        <f t="array" ref="A81:G81">TRANSPOSE(INDIRECT(SWITCH(Venues!B81,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81" s="203" t="s">
        <v>967</v>
      </c>
      <c r="C81" s="203" t="s">
        <v>1553</v>
      </c>
      <c r="D81" s="203" t="s">
        <v>1555</v>
      </c>
      <c r="E81" s="203" t="s">
        <v>1556</v>
      </c>
      <c r="F81" s="203" t="s">
        <v>1558</v>
      </c>
      <c r="G81" s="203" t="s">
        <v>1559</v>
      </c>
    </row>
    <row r="82">
      <c r="A82" s="203" t="str">
        <f t="array" ref="A82:G82">TRANSPOSE(INDIRECT(SWITCH(Venues!B82,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82" s="203" t="s">
        <v>967</v>
      </c>
      <c r="C82" s="203" t="s">
        <v>1553</v>
      </c>
      <c r="D82" s="203" t="s">
        <v>1555</v>
      </c>
      <c r="E82" s="203" t="s">
        <v>1556</v>
      </c>
      <c r="F82" s="203" t="s">
        <v>1558</v>
      </c>
      <c r="G82" s="203" t="s">
        <v>1559</v>
      </c>
    </row>
    <row r="83">
      <c r="A83" s="203" t="str">
        <f t="array" ref="A83:E83">TRANSPOSE(INDIRECT(SWITCH(Venues!B83,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83" s="203" t="s">
        <v>1430</v>
      </c>
      <c r="C83" s="203" t="s">
        <v>1432</v>
      </c>
      <c r="D83" s="203" t="s">
        <v>1283</v>
      </c>
      <c r="E83" s="203" t="s">
        <v>1260</v>
      </c>
    </row>
    <row r="84">
      <c r="A84" s="203" t="str">
        <f t="array" ref="A84:G84">TRANSPOSE(INDIRECT(SWITCH(Venues!B84,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84" s="203" t="s">
        <v>1568</v>
      </c>
      <c r="C84" s="203" t="s">
        <v>1406</v>
      </c>
      <c r="D84" s="203" t="s">
        <v>1569</v>
      </c>
      <c r="E84" s="203" t="s">
        <v>1570</v>
      </c>
      <c r="F84" s="203" t="s">
        <v>1571</v>
      </c>
      <c r="G84" s="203" t="s">
        <v>1572</v>
      </c>
    </row>
    <row r="85">
      <c r="A85" s="203" t="str">
        <f t="array" ref="A85:L85">TRANSPOSE(INDIRECT(SWITCH(Venues!B85,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85" s="203" t="s">
        <v>782</v>
      </c>
      <c r="C85" s="203" t="s">
        <v>1507</v>
      </c>
      <c r="D85" s="203" t="s">
        <v>1509</v>
      </c>
      <c r="E85" s="203" t="s">
        <v>1510</v>
      </c>
      <c r="F85" s="203" t="s">
        <v>1511</v>
      </c>
      <c r="G85" s="203" t="s">
        <v>1513</v>
      </c>
      <c r="H85" s="203" t="s">
        <v>1514</v>
      </c>
      <c r="I85" s="203" t="s">
        <v>1515</v>
      </c>
      <c r="J85" s="203" t="s">
        <v>1516</v>
      </c>
      <c r="K85" s="203" t="s">
        <v>1134</v>
      </c>
      <c r="L85" s="203" t="s">
        <v>1517</v>
      </c>
    </row>
    <row r="86">
      <c r="A86" s="203" t="str">
        <f t="array" ref="A86:L86">TRANSPOSE(INDIRECT(SWITCH(Venues!B86,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86" s="203" t="s">
        <v>782</v>
      </c>
      <c r="C86" s="203" t="s">
        <v>1507</v>
      </c>
      <c r="D86" s="203" t="s">
        <v>1509</v>
      </c>
      <c r="E86" s="203" t="s">
        <v>1510</v>
      </c>
      <c r="F86" s="203" t="s">
        <v>1511</v>
      </c>
      <c r="G86" s="203" t="s">
        <v>1513</v>
      </c>
      <c r="H86" s="203" t="s">
        <v>1514</v>
      </c>
      <c r="I86" s="203" t="s">
        <v>1515</v>
      </c>
      <c r="J86" s="203" t="s">
        <v>1516</v>
      </c>
      <c r="K86" s="203" t="s">
        <v>1134</v>
      </c>
      <c r="L86" s="203" t="s">
        <v>1517</v>
      </c>
    </row>
    <row r="87">
      <c r="A87" s="203" t="str">
        <f t="array" ref="A87:F87">TRANSPOSE(INDIRECT(SWITCH(Venues!B87,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Creative Artwork</v>
      </c>
      <c r="B87" s="203" t="s">
        <v>1743</v>
      </c>
      <c r="C87" s="203" t="s">
        <v>1744</v>
      </c>
      <c r="D87" s="203" t="s">
        <v>1745</v>
      </c>
      <c r="E87" s="203" t="s">
        <v>1746</v>
      </c>
      <c r="F87" s="203" t="s">
        <v>1747</v>
      </c>
    </row>
    <row r="88">
      <c r="A88" s="203" t="str">
        <f t="array" ref="A88:G88">TRANSPOSE(INDIRECT(SWITCH(Venues!B88,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88" s="203" t="s">
        <v>1579</v>
      </c>
      <c r="C88" s="203" t="s">
        <v>1580</v>
      </c>
      <c r="D88" s="203" t="s">
        <v>1063</v>
      </c>
      <c r="E88" s="203" t="s">
        <v>1581</v>
      </c>
      <c r="F88" s="203" t="s">
        <v>1582</v>
      </c>
      <c r="G88" s="203" t="s">
        <v>1162</v>
      </c>
    </row>
    <row r="89">
      <c r="A89" s="203" t="str">
        <f t="array" ref="A89:L89">TRANSPOSE(INDIRECT(SWITCH(Venues!B89,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89" s="203" t="s">
        <v>782</v>
      </c>
      <c r="C89" s="203" t="s">
        <v>1507</v>
      </c>
      <c r="D89" s="203" t="s">
        <v>1509</v>
      </c>
      <c r="E89" s="203" t="s">
        <v>1510</v>
      </c>
      <c r="F89" s="203" t="s">
        <v>1511</v>
      </c>
      <c r="G89" s="203" t="s">
        <v>1513</v>
      </c>
      <c r="H89" s="203" t="s">
        <v>1514</v>
      </c>
      <c r="I89" s="203" t="s">
        <v>1515</v>
      </c>
      <c r="J89" s="203" t="s">
        <v>1516</v>
      </c>
      <c r="K89" s="203" t="s">
        <v>1134</v>
      </c>
      <c r="L89" s="203" t="s">
        <v>1517</v>
      </c>
    </row>
    <row r="90">
      <c r="A90" s="203" t="str">
        <f t="array" ref="A90:O90">TRANSPOSE(INDIRECT(SWITCH(Venues!B90,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90" s="203" t="s">
        <v>1192</v>
      </c>
      <c r="C90" s="203" t="s">
        <v>817</v>
      </c>
      <c r="D90" s="203" t="s">
        <v>1193</v>
      </c>
      <c r="E90" s="203" t="s">
        <v>1194</v>
      </c>
      <c r="F90" s="203" t="s">
        <v>1195</v>
      </c>
      <c r="G90" s="203" t="s">
        <v>1196</v>
      </c>
      <c r="H90" s="203" t="s">
        <v>962</v>
      </c>
      <c r="I90" s="203" t="s">
        <v>1198</v>
      </c>
      <c r="J90" s="203" t="s">
        <v>1199</v>
      </c>
      <c r="K90" s="203" t="s">
        <v>1200</v>
      </c>
      <c r="L90" s="203" t="s">
        <v>1201</v>
      </c>
      <c r="M90" s="203" t="s">
        <v>1203</v>
      </c>
      <c r="N90" s="203" t="s">
        <v>1204</v>
      </c>
      <c r="O90" s="203" t="s">
        <v>1205</v>
      </c>
    </row>
    <row r="91">
      <c r="A91" s="203" t="str">
        <f t="array" ref="A91:G91">TRANSPOSE(INDIRECT(SWITCH(Venues!B91,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91" s="203" t="s">
        <v>967</v>
      </c>
      <c r="C91" s="203" t="s">
        <v>1553</v>
      </c>
      <c r="D91" s="203" t="s">
        <v>1555</v>
      </c>
      <c r="E91" s="203" t="s">
        <v>1556</v>
      </c>
      <c r="F91" s="203" t="s">
        <v>1558</v>
      </c>
      <c r="G91" s="203" t="s">
        <v>1559</v>
      </c>
    </row>
    <row r="92">
      <c r="A92" s="203" t="str">
        <f t="array" ref="A92:G92">TRANSPOSE(INDIRECT(SWITCH(Venues!B92,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92" s="203" t="s">
        <v>967</v>
      </c>
      <c r="C92" s="203" t="s">
        <v>1553</v>
      </c>
      <c r="D92" s="203" t="s">
        <v>1555</v>
      </c>
      <c r="E92" s="203" t="s">
        <v>1556</v>
      </c>
      <c r="F92" s="203" t="s">
        <v>1558</v>
      </c>
      <c r="G92" s="203" t="s">
        <v>1559</v>
      </c>
    </row>
    <row r="93">
      <c r="A93" s="203" t="str">
        <f t="array" ref="A93:G93">TRANSPOSE(INDIRECT(SWITCH(Venues!B93,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93" s="203" t="s">
        <v>967</v>
      </c>
      <c r="C93" s="203" t="s">
        <v>1553</v>
      </c>
      <c r="D93" s="203" t="s">
        <v>1555</v>
      </c>
      <c r="E93" s="203" t="s">
        <v>1556</v>
      </c>
      <c r="F93" s="203" t="s">
        <v>1558</v>
      </c>
      <c r="G93" s="203" t="s">
        <v>1559</v>
      </c>
    </row>
    <row r="94">
      <c r="A94" s="203" t="str">
        <f t="array" ref="A94:G94">TRANSPOSE(INDIRECT(SWITCH(Venues!B94,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94" s="203" t="s">
        <v>1579</v>
      </c>
      <c r="C94" s="203" t="s">
        <v>1580</v>
      </c>
      <c r="D94" s="203" t="s">
        <v>1063</v>
      </c>
      <c r="E94" s="203" t="s">
        <v>1581</v>
      </c>
      <c r="F94" s="203" t="s">
        <v>1582</v>
      </c>
      <c r="G94" s="203" t="s">
        <v>1162</v>
      </c>
    </row>
    <row r="95">
      <c r="A95" s="203" t="str">
        <f t="array" ref="A95:E95">TRANSPOSE(INDIRECT(SWITCH(Venues!B95,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Science &amp; Discovery</v>
      </c>
      <c r="B95" s="203" t="s">
        <v>2525</v>
      </c>
      <c r="C95" s="203" t="s">
        <v>2327</v>
      </c>
      <c r="D95" s="203" t="s">
        <v>2527</v>
      </c>
      <c r="E95" s="203" t="s">
        <v>2528</v>
      </c>
    </row>
    <row r="96">
      <c r="A96" s="203" t="str">
        <f t="array" ref="A96:K96">TRANSPOSE(INDIRECT(SWITCH(Venues!B96,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Cinema</v>
      </c>
      <c r="B96" s="203" t="s">
        <v>2692</v>
      </c>
      <c r="C96" s="203" t="s">
        <v>2694</v>
      </c>
      <c r="D96" s="203" t="s">
        <v>2695</v>
      </c>
      <c r="E96" s="203" t="s">
        <v>2696</v>
      </c>
      <c r="F96" s="203" t="s">
        <v>2698</v>
      </c>
      <c r="G96" s="203" t="s">
        <v>2699</v>
      </c>
      <c r="H96" s="203" t="s">
        <v>2700</v>
      </c>
      <c r="I96" s="203" t="s">
        <v>2702</v>
      </c>
      <c r="J96" s="203" t="s">
        <v>2703</v>
      </c>
      <c r="K96" s="203" t="s">
        <v>2655</v>
      </c>
    </row>
    <row r="97">
      <c r="A97" s="203" t="str">
        <f t="array" ref="A97:F97">TRANSPOSE(INDIRECT(SWITCH(Venues!B97,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97" s="203" t="s">
        <v>2529</v>
      </c>
      <c r="C97" s="203" t="s">
        <v>2530</v>
      </c>
      <c r="D97" s="203" t="s">
        <v>2531</v>
      </c>
      <c r="E97" s="203" t="s">
        <v>2354</v>
      </c>
      <c r="F97" s="203" t="s">
        <v>2532</v>
      </c>
    </row>
    <row r="98">
      <c r="A98" s="203" t="str">
        <f t="array" ref="A98:H98">TRANSPOSE(INDIRECT(SWITCH(Venues!B98,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Ancient Site</v>
      </c>
      <c r="B98" s="203" t="s">
        <v>1439</v>
      </c>
      <c r="C98" s="203" t="s">
        <v>1831</v>
      </c>
      <c r="D98" s="203" t="s">
        <v>1832</v>
      </c>
      <c r="E98" s="203" t="s">
        <v>1833</v>
      </c>
      <c r="F98" s="203" t="s">
        <v>1834</v>
      </c>
      <c r="G98" s="203" t="s">
        <v>1835</v>
      </c>
      <c r="H98" s="203" t="s">
        <v>1837</v>
      </c>
    </row>
    <row r="99">
      <c r="A99" s="203" t="str">
        <f t="array" ref="A99:G99">TRANSPOSE(INDIRECT(SWITCH(Venues!B99,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99" s="203" t="s">
        <v>967</v>
      </c>
      <c r="C99" s="203" t="s">
        <v>1553</v>
      </c>
      <c r="D99" s="203" t="s">
        <v>1555</v>
      </c>
      <c r="E99" s="203" t="s">
        <v>1556</v>
      </c>
      <c r="F99" s="203" t="s">
        <v>1558</v>
      </c>
      <c r="G99" s="203" t="s">
        <v>1559</v>
      </c>
    </row>
    <row r="100">
      <c r="A100" s="203" t="str">
        <f t="array" ref="A100:L100">TRANSPOSE(INDIRECT(SWITCH(Venues!B100,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00" s="203" t="s">
        <v>782</v>
      </c>
      <c r="C100" s="203" t="s">
        <v>1507</v>
      </c>
      <c r="D100" s="203" t="s">
        <v>1509</v>
      </c>
      <c r="E100" s="203" t="s">
        <v>1510</v>
      </c>
      <c r="F100" s="203" t="s">
        <v>1511</v>
      </c>
      <c r="G100" s="203" t="s">
        <v>1513</v>
      </c>
      <c r="H100" s="203" t="s">
        <v>1514</v>
      </c>
      <c r="I100" s="203" t="s">
        <v>1515</v>
      </c>
      <c r="J100" s="203" t="s">
        <v>1516</v>
      </c>
      <c r="K100" s="203" t="s">
        <v>1134</v>
      </c>
      <c r="L100" s="203" t="s">
        <v>1517</v>
      </c>
    </row>
    <row r="101">
      <c r="A101" s="203" t="str">
        <f t="array" ref="A101:D101">TRANSPOSE(INDIRECT(SWITCH(Venues!B101,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 Eateries</v>
      </c>
      <c r="B101" s="203" t="s">
        <v>1470</v>
      </c>
      <c r="C101" s="203" t="s">
        <v>1471</v>
      </c>
      <c r="D101" s="203" t="s">
        <v>1472</v>
      </c>
    </row>
    <row r="102">
      <c r="A102" s="203" t="str">
        <f t="array" ref="A102:H102">TRANSPOSE(INDIRECT(SWITCH(Venues!B102,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Ancient Site</v>
      </c>
      <c r="B102" s="203" t="s">
        <v>1439</v>
      </c>
      <c r="C102" s="203" t="s">
        <v>1831</v>
      </c>
      <c r="D102" s="203" t="s">
        <v>1832</v>
      </c>
      <c r="E102" s="203" t="s">
        <v>1833</v>
      </c>
      <c r="F102" s="203" t="s">
        <v>1834</v>
      </c>
      <c r="G102" s="203" t="s">
        <v>1835</v>
      </c>
      <c r="H102" s="203" t="s">
        <v>1837</v>
      </c>
    </row>
    <row r="103">
      <c r="A103" s="203" t="str">
        <f t="array" ref="A103:E103">TRANSPOSE(INDIRECT(SWITCH(Venues!B103,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103" s="203" t="s">
        <v>1430</v>
      </c>
      <c r="C103" s="203" t="s">
        <v>1432</v>
      </c>
      <c r="D103" s="203" t="s">
        <v>1283</v>
      </c>
      <c r="E103" s="203" t="s">
        <v>1260</v>
      </c>
    </row>
    <row r="104">
      <c r="A104" s="203" t="str">
        <f t="array" ref="A104:E104">TRANSPOSE(INDIRECT(SWITCH(Venues!B104,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Sensory garden</v>
      </c>
      <c r="B104" s="203" t="s">
        <v>2761</v>
      </c>
      <c r="C104" s="203" t="s">
        <v>2762</v>
      </c>
      <c r="D104" s="203" t="s">
        <v>2763</v>
      </c>
      <c r="E104" s="203" t="s">
        <v>2754</v>
      </c>
    </row>
    <row r="105">
      <c r="A105" s="203" t="str">
        <f t="array" ref="A105:I105">TRANSPOSE(INDIRECT(SWITCH(Venues!B105,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105" s="203" t="s">
        <v>1671</v>
      </c>
      <c r="C105" s="203" t="s">
        <v>1672</v>
      </c>
      <c r="D105" s="203" t="s">
        <v>1673</v>
      </c>
      <c r="E105" s="203" t="s">
        <v>1674</v>
      </c>
      <c r="F105" s="203" t="s">
        <v>506</v>
      </c>
      <c r="G105" s="203" t="s">
        <v>1677</v>
      </c>
      <c r="H105" s="203" t="s">
        <v>1678</v>
      </c>
      <c r="I105" s="203" t="s">
        <v>1680</v>
      </c>
    </row>
    <row r="106">
      <c r="A106" s="203" t="str">
        <f t="array" ref="A106:J106">TRANSPOSE(INDIRECT(SWITCH(Venues!B106,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106" s="203" t="s">
        <v>1541</v>
      </c>
      <c r="C106" s="203" t="s">
        <v>1543</v>
      </c>
      <c r="D106" s="203" t="s">
        <v>1544</v>
      </c>
      <c r="E106" s="203" t="s">
        <v>1545</v>
      </c>
      <c r="F106" s="203" t="s">
        <v>1546</v>
      </c>
      <c r="G106" s="203" t="s">
        <v>1174</v>
      </c>
      <c r="H106" s="203" t="s">
        <v>1196</v>
      </c>
      <c r="I106" s="203" t="s">
        <v>1547</v>
      </c>
      <c r="J106" s="203" t="s">
        <v>1548</v>
      </c>
    </row>
    <row r="107">
      <c r="A107" s="203" t="str">
        <f t="array" ref="A107:I107">TRANSPOSE(INDIRECT(SWITCH(Venues!B107,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107" s="203" t="s">
        <v>1671</v>
      </c>
      <c r="C107" s="203" t="s">
        <v>1672</v>
      </c>
      <c r="D107" s="203" t="s">
        <v>1673</v>
      </c>
      <c r="E107" s="203" t="s">
        <v>1674</v>
      </c>
      <c r="F107" s="203" t="s">
        <v>506</v>
      </c>
      <c r="G107" s="203" t="s">
        <v>1677</v>
      </c>
      <c r="H107" s="203" t="s">
        <v>1678</v>
      </c>
      <c r="I107" s="203" t="s">
        <v>1680</v>
      </c>
    </row>
    <row r="108">
      <c r="A108" s="203" t="str">
        <f t="array" ref="A108:O108">TRANSPOSE(INDIRECT(SWITCH(Venues!B108,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108" s="203" t="s">
        <v>1192</v>
      </c>
      <c r="C108" s="203" t="s">
        <v>817</v>
      </c>
      <c r="D108" s="203" t="s">
        <v>1193</v>
      </c>
      <c r="E108" s="203" t="s">
        <v>1194</v>
      </c>
      <c r="F108" s="203" t="s">
        <v>1195</v>
      </c>
      <c r="G108" s="203" t="s">
        <v>1196</v>
      </c>
      <c r="H108" s="203" t="s">
        <v>962</v>
      </c>
      <c r="I108" s="203" t="s">
        <v>1198</v>
      </c>
      <c r="J108" s="203" t="s">
        <v>1199</v>
      </c>
      <c r="K108" s="203" t="s">
        <v>1200</v>
      </c>
      <c r="L108" s="203" t="s">
        <v>1201</v>
      </c>
      <c r="M108" s="203" t="s">
        <v>1203</v>
      </c>
      <c r="N108" s="203" t="s">
        <v>1204</v>
      </c>
      <c r="O108" s="203" t="s">
        <v>1205</v>
      </c>
    </row>
    <row r="109">
      <c r="A109" s="203" t="str">
        <f t="array" ref="A109:G109">TRANSPOSE(INDIRECT(SWITCH(Venues!B109,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09" s="203" t="s">
        <v>967</v>
      </c>
      <c r="C109" s="203" t="s">
        <v>1553</v>
      </c>
      <c r="D109" s="203" t="s">
        <v>1555</v>
      </c>
      <c r="E109" s="203" t="s">
        <v>1556</v>
      </c>
      <c r="F109" s="203" t="s">
        <v>1558</v>
      </c>
      <c r="G109" s="203" t="s">
        <v>1559</v>
      </c>
    </row>
    <row r="110">
      <c r="A110" s="203" t="str">
        <f t="array" ref="A110:G110">TRANSPOSE(INDIRECT(SWITCH(Venues!B110,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10" s="203" t="s">
        <v>967</v>
      </c>
      <c r="C110" s="203" t="s">
        <v>1553</v>
      </c>
      <c r="D110" s="203" t="s">
        <v>1555</v>
      </c>
      <c r="E110" s="203" t="s">
        <v>1556</v>
      </c>
      <c r="F110" s="203" t="s">
        <v>1558</v>
      </c>
      <c r="G110" s="203" t="s">
        <v>1559</v>
      </c>
    </row>
    <row r="111">
      <c r="A111" s="203" t="str">
        <f t="array" ref="A111:G111">TRANSPOSE(INDIRECT(SWITCH(Venues!B111,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111" s="203" t="s">
        <v>1579</v>
      </c>
      <c r="C111" s="203" t="s">
        <v>1580</v>
      </c>
      <c r="D111" s="203" t="s">
        <v>1063</v>
      </c>
      <c r="E111" s="203" t="s">
        <v>1581</v>
      </c>
      <c r="F111" s="203" t="s">
        <v>1582</v>
      </c>
      <c r="G111" s="203" t="s">
        <v>1162</v>
      </c>
    </row>
    <row r="112">
      <c r="A112" s="203" t="str">
        <f t="array" ref="A112:I112">TRANSPOSE(INDIRECT(SWITCH(Venues!B112,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112" s="203" t="s">
        <v>1671</v>
      </c>
      <c r="C112" s="203" t="s">
        <v>1672</v>
      </c>
      <c r="D112" s="203" t="s">
        <v>1673</v>
      </c>
      <c r="E112" s="203" t="s">
        <v>1674</v>
      </c>
      <c r="F112" s="203" t="s">
        <v>506</v>
      </c>
      <c r="G112" s="203" t="s">
        <v>1677</v>
      </c>
      <c r="H112" s="203" t="s">
        <v>1678</v>
      </c>
      <c r="I112" s="203" t="s">
        <v>1680</v>
      </c>
    </row>
    <row r="113">
      <c r="A113" s="203" t="str">
        <f t="array" ref="A113:L113">TRANSPOSE(INDIRECT(SWITCH(Venues!B113,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13" s="203" t="s">
        <v>782</v>
      </c>
      <c r="C113" s="203" t="s">
        <v>1507</v>
      </c>
      <c r="D113" s="203" t="s">
        <v>1509</v>
      </c>
      <c r="E113" s="203" t="s">
        <v>1510</v>
      </c>
      <c r="F113" s="203" t="s">
        <v>1511</v>
      </c>
      <c r="G113" s="203" t="s">
        <v>1513</v>
      </c>
      <c r="H113" s="203" t="s">
        <v>1514</v>
      </c>
      <c r="I113" s="203" t="s">
        <v>1515</v>
      </c>
      <c r="J113" s="203" t="s">
        <v>1516</v>
      </c>
      <c r="K113" s="203" t="s">
        <v>1134</v>
      </c>
      <c r="L113" s="203" t="s">
        <v>1517</v>
      </c>
    </row>
    <row r="114">
      <c r="A114" s="203" t="str">
        <f t="array" ref="A114:G114">TRANSPOSE(INDIRECT(SWITCH(Venues!B114,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14" s="203" t="s">
        <v>967</v>
      </c>
      <c r="C114" s="203" t="s">
        <v>1553</v>
      </c>
      <c r="D114" s="203" t="s">
        <v>1555</v>
      </c>
      <c r="E114" s="203" t="s">
        <v>1556</v>
      </c>
      <c r="F114" s="203" t="s">
        <v>1558</v>
      </c>
      <c r="G114" s="203" t="s">
        <v>1559</v>
      </c>
    </row>
    <row r="115">
      <c r="A115" s="203" t="str">
        <f t="array" ref="A115:E115">TRANSPOSE(INDIRECT(SWITCH(Venues!B115,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Science &amp; Discovery</v>
      </c>
      <c r="B115" s="203" t="s">
        <v>2525</v>
      </c>
      <c r="C115" s="203" t="s">
        <v>2327</v>
      </c>
      <c r="D115" s="203" t="s">
        <v>2527</v>
      </c>
      <c r="E115" s="203" t="s">
        <v>2528</v>
      </c>
    </row>
    <row r="116">
      <c r="A116" s="203" t="str">
        <f t="array" ref="A116:G116">TRANSPOSE(INDIRECT(SWITCH(Venues!B116,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116" s="203" t="s">
        <v>1568</v>
      </c>
      <c r="C116" s="203" t="s">
        <v>1406</v>
      </c>
      <c r="D116" s="203" t="s">
        <v>1569</v>
      </c>
      <c r="E116" s="203" t="s">
        <v>1570</v>
      </c>
      <c r="F116" s="203" t="s">
        <v>1571</v>
      </c>
      <c r="G116" s="203" t="s">
        <v>1572</v>
      </c>
    </row>
    <row r="117">
      <c r="A117" s="203" t="str">
        <f t="array" ref="A117:E117">TRANSPOSE(INDIRECT(SWITCH(Venues!B117,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117" s="203" t="s">
        <v>1430</v>
      </c>
      <c r="C117" s="203" t="s">
        <v>1432</v>
      </c>
      <c r="D117" s="203" t="s">
        <v>1283</v>
      </c>
      <c r="E117" s="203" t="s">
        <v>1260</v>
      </c>
    </row>
    <row r="118">
      <c r="A118" s="203" t="str">
        <f t="array" ref="A118:G118">TRANSPOSE(INDIRECT(SWITCH(Venues!B118,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18" s="203" t="s">
        <v>967</v>
      </c>
      <c r="C118" s="203" t="s">
        <v>1553</v>
      </c>
      <c r="D118" s="203" t="s">
        <v>1555</v>
      </c>
      <c r="E118" s="203" t="s">
        <v>1556</v>
      </c>
      <c r="F118" s="203" t="s">
        <v>1558</v>
      </c>
      <c r="G118" s="203" t="s">
        <v>1559</v>
      </c>
    </row>
    <row r="119">
      <c r="A119" s="203" t="str">
        <f t="array" ref="A119:J119">TRANSPOSE(INDIRECT(SWITCH(Venues!B119,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119" s="203" t="s">
        <v>1541</v>
      </c>
      <c r="C119" s="203" t="s">
        <v>1543</v>
      </c>
      <c r="D119" s="203" t="s">
        <v>1544</v>
      </c>
      <c r="E119" s="203" t="s">
        <v>1545</v>
      </c>
      <c r="F119" s="203" t="s">
        <v>1546</v>
      </c>
      <c r="G119" s="203" t="s">
        <v>1174</v>
      </c>
      <c r="H119" s="203" t="s">
        <v>1196</v>
      </c>
      <c r="I119" s="203" t="s">
        <v>1547</v>
      </c>
      <c r="J119" s="203" t="s">
        <v>1548</v>
      </c>
    </row>
    <row r="120">
      <c r="A120" s="203" t="str">
        <f t="array" ref="A120:J120">TRANSPOSE(INDIRECT(SWITCH(Venues!B120,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120" s="203" t="s">
        <v>1541</v>
      </c>
      <c r="C120" s="203" t="s">
        <v>1543</v>
      </c>
      <c r="D120" s="203" t="s">
        <v>1544</v>
      </c>
      <c r="E120" s="203" t="s">
        <v>1545</v>
      </c>
      <c r="F120" s="203" t="s">
        <v>1546</v>
      </c>
      <c r="G120" s="203" t="s">
        <v>1174</v>
      </c>
      <c r="H120" s="203" t="s">
        <v>1196</v>
      </c>
      <c r="I120" s="203" t="s">
        <v>1547</v>
      </c>
      <c r="J120" s="203" t="s">
        <v>1548</v>
      </c>
    </row>
    <row r="121">
      <c r="A121" s="203" t="str">
        <f t="array" ref="A121:J121">TRANSPOSE(INDIRECT(SWITCH(Venues!B121,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121" s="203" t="s">
        <v>650</v>
      </c>
      <c r="C121" s="203" t="s">
        <v>1069</v>
      </c>
      <c r="D121" s="203" t="s">
        <v>661</v>
      </c>
      <c r="E121" s="203" t="s">
        <v>1072</v>
      </c>
      <c r="F121" s="203" t="s">
        <v>1073</v>
      </c>
      <c r="G121" s="203" t="s">
        <v>1074</v>
      </c>
      <c r="H121" s="203" t="s">
        <v>1075</v>
      </c>
      <c r="I121" s="203" t="s">
        <v>1076</v>
      </c>
      <c r="J121" s="203" t="s">
        <v>1077</v>
      </c>
    </row>
    <row r="122">
      <c r="A122" s="203" t="str">
        <f t="array" ref="A122:E122">TRANSPOSE(INDIRECT(SWITCH(Venues!B122,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122" s="203" t="s">
        <v>1430</v>
      </c>
      <c r="C122" s="203" t="s">
        <v>1432</v>
      </c>
      <c r="D122" s="203" t="s">
        <v>1283</v>
      </c>
      <c r="E122" s="203" t="s">
        <v>1260</v>
      </c>
    </row>
    <row r="123">
      <c r="A123" s="203" t="str">
        <f t="array" ref="A123:L123">TRANSPOSE(INDIRECT(SWITCH(Venues!B123,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23" s="203" t="s">
        <v>782</v>
      </c>
      <c r="C123" s="203" t="s">
        <v>1507</v>
      </c>
      <c r="D123" s="203" t="s">
        <v>1509</v>
      </c>
      <c r="E123" s="203" t="s">
        <v>1510</v>
      </c>
      <c r="F123" s="203" t="s">
        <v>1511</v>
      </c>
      <c r="G123" s="203" t="s">
        <v>1513</v>
      </c>
      <c r="H123" s="203" t="s">
        <v>1514</v>
      </c>
      <c r="I123" s="203" t="s">
        <v>1515</v>
      </c>
      <c r="J123" s="203" t="s">
        <v>1516</v>
      </c>
      <c r="K123" s="203" t="s">
        <v>1134</v>
      </c>
      <c r="L123" s="203" t="s">
        <v>1517</v>
      </c>
    </row>
    <row r="124">
      <c r="A124" s="203" t="str">
        <f t="array" ref="A124:L124">TRANSPOSE(INDIRECT(SWITCH(Venues!B124,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24" s="203" t="s">
        <v>782</v>
      </c>
      <c r="C124" s="203" t="s">
        <v>1507</v>
      </c>
      <c r="D124" s="203" t="s">
        <v>1509</v>
      </c>
      <c r="E124" s="203" t="s">
        <v>1510</v>
      </c>
      <c r="F124" s="203" t="s">
        <v>1511</v>
      </c>
      <c r="G124" s="203" t="s">
        <v>1513</v>
      </c>
      <c r="H124" s="203" t="s">
        <v>1514</v>
      </c>
      <c r="I124" s="203" t="s">
        <v>1515</v>
      </c>
      <c r="J124" s="203" t="s">
        <v>1516</v>
      </c>
      <c r="K124" s="203" t="s">
        <v>1134</v>
      </c>
      <c r="L124" s="203" t="s">
        <v>1517</v>
      </c>
    </row>
    <row r="125">
      <c r="A125" s="203" t="str">
        <f t="array" ref="A125:E125">TRANSPOSE(INDIRECT(SWITCH(Venues!B125,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Sensory garden</v>
      </c>
      <c r="B125" s="203" t="s">
        <v>2761</v>
      </c>
      <c r="C125" s="203" t="s">
        <v>2762</v>
      </c>
      <c r="D125" s="203" t="s">
        <v>2763</v>
      </c>
      <c r="E125" s="203" t="s">
        <v>2754</v>
      </c>
    </row>
    <row r="126">
      <c r="A126" s="203" t="str">
        <f t="array" ref="A126:L126">TRANSPOSE(INDIRECT(SWITCH(Venues!B126,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26" s="203" t="s">
        <v>782</v>
      </c>
      <c r="C126" s="203" t="s">
        <v>1507</v>
      </c>
      <c r="D126" s="203" t="s">
        <v>1509</v>
      </c>
      <c r="E126" s="203" t="s">
        <v>1510</v>
      </c>
      <c r="F126" s="203" t="s">
        <v>1511</v>
      </c>
      <c r="G126" s="203" t="s">
        <v>1513</v>
      </c>
      <c r="H126" s="203" t="s">
        <v>1514</v>
      </c>
      <c r="I126" s="203" t="s">
        <v>1515</v>
      </c>
      <c r="J126" s="203" t="s">
        <v>1516</v>
      </c>
      <c r="K126" s="203" t="s">
        <v>1134</v>
      </c>
      <c r="L126" s="203" t="s">
        <v>1517</v>
      </c>
    </row>
    <row r="127">
      <c r="A127" s="203" t="str">
        <f t="array" ref="A127:L127">TRANSPOSE(INDIRECT(SWITCH(Venues!B127,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27" s="203" t="s">
        <v>782</v>
      </c>
      <c r="C127" s="203" t="s">
        <v>1507</v>
      </c>
      <c r="D127" s="203" t="s">
        <v>1509</v>
      </c>
      <c r="E127" s="203" t="s">
        <v>1510</v>
      </c>
      <c r="F127" s="203" t="s">
        <v>1511</v>
      </c>
      <c r="G127" s="203" t="s">
        <v>1513</v>
      </c>
      <c r="H127" s="203" t="s">
        <v>1514</v>
      </c>
      <c r="I127" s="203" t="s">
        <v>1515</v>
      </c>
      <c r="J127" s="203" t="s">
        <v>1516</v>
      </c>
      <c r="K127" s="203" t="s">
        <v>1134</v>
      </c>
      <c r="L127" s="203" t="s">
        <v>1517</v>
      </c>
    </row>
    <row r="128">
      <c r="A128" s="203" t="str">
        <f t="array" ref="A128:J128">TRANSPOSE(INDIRECT(SWITCH(Venues!B128,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128" s="203" t="s">
        <v>650</v>
      </c>
      <c r="C128" s="203" t="s">
        <v>1069</v>
      </c>
      <c r="D128" s="203" t="s">
        <v>661</v>
      </c>
      <c r="E128" s="203" t="s">
        <v>1072</v>
      </c>
      <c r="F128" s="203" t="s">
        <v>1073</v>
      </c>
      <c r="G128" s="203" t="s">
        <v>1074</v>
      </c>
      <c r="H128" s="203" t="s">
        <v>1075</v>
      </c>
      <c r="I128" s="203" t="s">
        <v>1076</v>
      </c>
      <c r="J128" s="203" t="s">
        <v>1077</v>
      </c>
    </row>
    <row r="129">
      <c r="A129" s="203" t="str">
        <f t="array" ref="A129:G129">TRANSPOSE(INDIRECT(SWITCH(Venues!B129,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129" s="203" t="s">
        <v>1579</v>
      </c>
      <c r="C129" s="203" t="s">
        <v>1580</v>
      </c>
      <c r="D129" s="203" t="s">
        <v>1063</v>
      </c>
      <c r="E129" s="203" t="s">
        <v>1581</v>
      </c>
      <c r="F129" s="203" t="s">
        <v>1582</v>
      </c>
      <c r="G129" s="203" t="s">
        <v>1162</v>
      </c>
    </row>
    <row r="130">
      <c r="A130" s="203" t="str">
        <f t="array" ref="A130:L130">TRANSPOSE(INDIRECT(SWITCH(Venues!B130,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30" s="203" t="s">
        <v>782</v>
      </c>
      <c r="C130" s="203" t="s">
        <v>1507</v>
      </c>
      <c r="D130" s="203" t="s">
        <v>1509</v>
      </c>
      <c r="E130" s="203" t="s">
        <v>1510</v>
      </c>
      <c r="F130" s="203" t="s">
        <v>1511</v>
      </c>
      <c r="G130" s="203" t="s">
        <v>1513</v>
      </c>
      <c r="H130" s="203" t="s">
        <v>1514</v>
      </c>
      <c r="I130" s="203" t="s">
        <v>1515</v>
      </c>
      <c r="J130" s="203" t="s">
        <v>1516</v>
      </c>
      <c r="K130" s="203" t="s">
        <v>1134</v>
      </c>
      <c r="L130" s="203" t="s">
        <v>1517</v>
      </c>
    </row>
    <row r="131">
      <c r="A131" s="203" t="str">
        <f t="array" ref="A131:K131">TRANSPOSE(INDIRECT(SWITCH(Venues!B131,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Cinema</v>
      </c>
      <c r="B131" s="203" t="s">
        <v>2692</v>
      </c>
      <c r="C131" s="203" t="s">
        <v>2694</v>
      </c>
      <c r="D131" s="203" t="s">
        <v>2695</v>
      </c>
      <c r="E131" s="203" t="s">
        <v>2696</v>
      </c>
      <c r="F131" s="203" t="s">
        <v>2698</v>
      </c>
      <c r="G131" s="203" t="s">
        <v>2699</v>
      </c>
      <c r="H131" s="203" t="s">
        <v>2700</v>
      </c>
      <c r="I131" s="203" t="s">
        <v>2702</v>
      </c>
      <c r="J131" s="203" t="s">
        <v>2703</v>
      </c>
      <c r="K131" s="203" t="s">
        <v>2655</v>
      </c>
    </row>
    <row r="132">
      <c r="A132" s="203" t="str">
        <f t="array" ref="A132:K132">TRANSPOSE(INDIRECT(SWITCH(Venues!B132,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Cinema</v>
      </c>
      <c r="B132" s="203" t="s">
        <v>2692</v>
      </c>
      <c r="C132" s="203" t="s">
        <v>2694</v>
      </c>
      <c r="D132" s="203" t="s">
        <v>2695</v>
      </c>
      <c r="E132" s="203" t="s">
        <v>2696</v>
      </c>
      <c r="F132" s="203" t="s">
        <v>2698</v>
      </c>
      <c r="G132" s="203" t="s">
        <v>2699</v>
      </c>
      <c r="H132" s="203" t="s">
        <v>2700</v>
      </c>
      <c r="I132" s="203" t="s">
        <v>2702</v>
      </c>
      <c r="J132" s="203" t="s">
        <v>2703</v>
      </c>
      <c r="K132" s="203" t="s">
        <v>2655</v>
      </c>
    </row>
    <row r="133">
      <c r="A133" s="203" t="str">
        <f t="array" ref="A133:K133">TRANSPOSE(INDIRECT(SWITCH(Venues!B133,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Cinema</v>
      </c>
      <c r="B133" s="203" t="s">
        <v>2692</v>
      </c>
      <c r="C133" s="203" t="s">
        <v>2694</v>
      </c>
      <c r="D133" s="203" t="s">
        <v>2695</v>
      </c>
      <c r="E133" s="203" t="s">
        <v>2696</v>
      </c>
      <c r="F133" s="203" t="s">
        <v>2698</v>
      </c>
      <c r="G133" s="203" t="s">
        <v>2699</v>
      </c>
      <c r="H133" s="203" t="s">
        <v>2700</v>
      </c>
      <c r="I133" s="203" t="s">
        <v>2702</v>
      </c>
      <c r="J133" s="203" t="s">
        <v>2703</v>
      </c>
      <c r="K133" s="203" t="s">
        <v>2655</v>
      </c>
    </row>
    <row r="134">
      <c r="A134" s="203" t="str">
        <f t="array" ref="A134:F134">TRANSPOSE(INDIRECT(SWITCH(Venues!B134,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134" s="203" t="s">
        <v>2529</v>
      </c>
      <c r="C134" s="203" t="s">
        <v>2530</v>
      </c>
      <c r="D134" s="203" t="s">
        <v>2531</v>
      </c>
      <c r="E134" s="203" t="s">
        <v>2354</v>
      </c>
      <c r="F134" s="203" t="s">
        <v>2532</v>
      </c>
    </row>
    <row r="135">
      <c r="A135" s="203" t="str">
        <f t="array" ref="A135:E135">TRANSPOSE(INDIRECT(SWITCH(Venues!B135,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135" s="203" t="s">
        <v>1430</v>
      </c>
      <c r="C135" s="203" t="s">
        <v>1432</v>
      </c>
      <c r="D135" s="203" t="s">
        <v>1283</v>
      </c>
      <c r="E135" s="203" t="s">
        <v>1260</v>
      </c>
    </row>
    <row r="136">
      <c r="A136" s="203" t="str">
        <f t="array" ref="A136:G136">TRANSPOSE(INDIRECT(SWITCH(Venues!B136,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36" s="203" t="s">
        <v>967</v>
      </c>
      <c r="C136" s="203" t="s">
        <v>1553</v>
      </c>
      <c r="D136" s="203" t="s">
        <v>1555</v>
      </c>
      <c r="E136" s="203" t="s">
        <v>1556</v>
      </c>
      <c r="F136" s="203" t="s">
        <v>1558</v>
      </c>
      <c r="G136" s="203" t="s">
        <v>1559</v>
      </c>
    </row>
    <row r="137">
      <c r="A137" s="203" t="str">
        <f t="array" ref="A137:K137">TRANSPOSE(INDIRECT(SWITCH(Venues!B137,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Cinema</v>
      </c>
      <c r="B137" s="203" t="s">
        <v>2692</v>
      </c>
      <c r="C137" s="203" t="s">
        <v>2694</v>
      </c>
      <c r="D137" s="203" t="s">
        <v>2695</v>
      </c>
      <c r="E137" s="203" t="s">
        <v>2696</v>
      </c>
      <c r="F137" s="203" t="s">
        <v>2698</v>
      </c>
      <c r="G137" s="203" t="s">
        <v>2699</v>
      </c>
      <c r="H137" s="203" t="s">
        <v>2700</v>
      </c>
      <c r="I137" s="203" t="s">
        <v>2702</v>
      </c>
      <c r="J137" s="203" t="s">
        <v>2703</v>
      </c>
      <c r="K137" s="203" t="s">
        <v>2655</v>
      </c>
    </row>
    <row r="138">
      <c r="A138" s="203" t="str">
        <f t="array" ref="A138:G138">TRANSPOSE(INDIRECT(SWITCH(Venues!B138,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138" s="203" t="s">
        <v>1579</v>
      </c>
      <c r="C138" s="203" t="s">
        <v>1580</v>
      </c>
      <c r="D138" s="203" t="s">
        <v>1063</v>
      </c>
      <c r="E138" s="203" t="s">
        <v>1581</v>
      </c>
      <c r="F138" s="203" t="s">
        <v>1582</v>
      </c>
      <c r="G138" s="203" t="s">
        <v>1162</v>
      </c>
    </row>
    <row r="139">
      <c r="A139" s="203" t="str">
        <f t="array" ref="A139:K139">TRANSPOSE(INDIRECT(SWITCH(Venues!B139,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Cinema</v>
      </c>
      <c r="B139" s="203" t="s">
        <v>2692</v>
      </c>
      <c r="C139" s="203" t="s">
        <v>2694</v>
      </c>
      <c r="D139" s="203" t="s">
        <v>2695</v>
      </c>
      <c r="E139" s="203" t="s">
        <v>2696</v>
      </c>
      <c r="F139" s="203" t="s">
        <v>2698</v>
      </c>
      <c r="G139" s="203" t="s">
        <v>2699</v>
      </c>
      <c r="H139" s="203" t="s">
        <v>2700</v>
      </c>
      <c r="I139" s="203" t="s">
        <v>2702</v>
      </c>
      <c r="J139" s="203" t="s">
        <v>2703</v>
      </c>
      <c r="K139" s="203" t="s">
        <v>2655</v>
      </c>
    </row>
    <row r="140">
      <c r="A140" s="203" t="str">
        <f t="array" ref="A140:E140">TRANSPOSE(INDIRECT(SWITCH(Venues!B140,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140" s="203" t="s">
        <v>1430</v>
      </c>
      <c r="C140" s="203" t="s">
        <v>1432</v>
      </c>
      <c r="D140" s="203" t="s">
        <v>1283</v>
      </c>
      <c r="E140" s="203" t="s">
        <v>1260</v>
      </c>
    </row>
    <row r="141">
      <c r="A141" s="203" t="str">
        <f t="array" ref="A141:G141">TRANSPOSE(INDIRECT(SWITCH(Venues!B141,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41" s="203" t="s">
        <v>967</v>
      </c>
      <c r="C141" s="203" t="s">
        <v>1553</v>
      </c>
      <c r="D141" s="203" t="s">
        <v>1555</v>
      </c>
      <c r="E141" s="203" t="s">
        <v>1556</v>
      </c>
      <c r="F141" s="203" t="s">
        <v>1558</v>
      </c>
      <c r="G141" s="203" t="s">
        <v>1559</v>
      </c>
    </row>
    <row r="142">
      <c r="A142" s="203" t="str">
        <f t="array" ref="A142:L142">TRANSPOSE(INDIRECT(SWITCH(Venues!B142,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42" s="203" t="s">
        <v>782</v>
      </c>
      <c r="C142" s="203" t="s">
        <v>1507</v>
      </c>
      <c r="D142" s="203" t="s">
        <v>1509</v>
      </c>
      <c r="E142" s="203" t="s">
        <v>1510</v>
      </c>
      <c r="F142" s="203" t="s">
        <v>1511</v>
      </c>
      <c r="G142" s="203" t="s">
        <v>1513</v>
      </c>
      <c r="H142" s="203" t="s">
        <v>1514</v>
      </c>
      <c r="I142" s="203" t="s">
        <v>1515</v>
      </c>
      <c r="J142" s="203" t="s">
        <v>1516</v>
      </c>
      <c r="K142" s="203" t="s">
        <v>1134</v>
      </c>
      <c r="L142" s="203" t="s">
        <v>1517</v>
      </c>
    </row>
    <row r="143">
      <c r="A143" s="203" t="str">
        <f t="array" ref="A143:G143">TRANSPOSE(INDIRECT(SWITCH(Venues!B143,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43" s="203" t="s">
        <v>967</v>
      </c>
      <c r="C143" s="203" t="s">
        <v>1553</v>
      </c>
      <c r="D143" s="203" t="s">
        <v>1555</v>
      </c>
      <c r="E143" s="203" t="s">
        <v>1556</v>
      </c>
      <c r="F143" s="203" t="s">
        <v>1558</v>
      </c>
      <c r="G143" s="203" t="s">
        <v>1559</v>
      </c>
    </row>
    <row r="144">
      <c r="A144" s="203" t="str">
        <f t="array" ref="A144:D144">TRANSPOSE(INDIRECT(SWITCH(Venues!B144,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 Eateries</v>
      </c>
      <c r="B144" s="203" t="s">
        <v>1470</v>
      </c>
      <c r="C144" s="203" t="s">
        <v>1471</v>
      </c>
      <c r="D144" s="203" t="s">
        <v>1472</v>
      </c>
    </row>
    <row r="145">
      <c r="A145" s="203" t="str">
        <f t="array" ref="A145:H145">TRANSPOSE(INDIRECT(SWITCH(Venues!B145,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Ancient Site</v>
      </c>
      <c r="B145" s="203" t="s">
        <v>1439</v>
      </c>
      <c r="C145" s="203" t="s">
        <v>1831</v>
      </c>
      <c r="D145" s="203" t="s">
        <v>1832</v>
      </c>
      <c r="E145" s="203" t="s">
        <v>1833</v>
      </c>
      <c r="F145" s="203" t="s">
        <v>1834</v>
      </c>
      <c r="G145" s="203" t="s">
        <v>1835</v>
      </c>
      <c r="H145" s="203" t="s">
        <v>1837</v>
      </c>
    </row>
    <row r="146">
      <c r="A146" s="203" t="str">
        <f t="array" ref="A146:J146">TRANSPOSE(INDIRECT(SWITCH(Venues!B146,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146" s="203" t="s">
        <v>1541</v>
      </c>
      <c r="C146" s="203" t="s">
        <v>1543</v>
      </c>
      <c r="D146" s="203" t="s">
        <v>1544</v>
      </c>
      <c r="E146" s="203" t="s">
        <v>1545</v>
      </c>
      <c r="F146" s="203" t="s">
        <v>1546</v>
      </c>
      <c r="G146" s="203" t="s">
        <v>1174</v>
      </c>
      <c r="H146" s="203" t="s">
        <v>1196</v>
      </c>
      <c r="I146" s="203" t="s">
        <v>1547</v>
      </c>
      <c r="J146" s="203" t="s">
        <v>1548</v>
      </c>
    </row>
    <row r="147">
      <c r="A147" s="203" t="str">
        <f t="array" ref="A147:J147">TRANSPOSE(INDIRECT(SWITCH(Venues!B147,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147" s="203" t="s">
        <v>1541</v>
      </c>
      <c r="C147" s="203" t="s">
        <v>1543</v>
      </c>
      <c r="D147" s="203" t="s">
        <v>1544</v>
      </c>
      <c r="E147" s="203" t="s">
        <v>1545</v>
      </c>
      <c r="F147" s="203" t="s">
        <v>1546</v>
      </c>
      <c r="G147" s="203" t="s">
        <v>1174</v>
      </c>
      <c r="H147" s="203" t="s">
        <v>1196</v>
      </c>
      <c r="I147" s="203" t="s">
        <v>1547</v>
      </c>
      <c r="J147" s="203" t="s">
        <v>1548</v>
      </c>
    </row>
    <row r="148">
      <c r="A148" s="203" t="str">
        <f t="array" ref="A148:G148">TRANSPOSE(INDIRECT(SWITCH(Venues!B148,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48" s="203" t="s">
        <v>967</v>
      </c>
      <c r="C148" s="203" t="s">
        <v>1553</v>
      </c>
      <c r="D148" s="203" t="s">
        <v>1555</v>
      </c>
      <c r="E148" s="203" t="s">
        <v>1556</v>
      </c>
      <c r="F148" s="203" t="s">
        <v>1558</v>
      </c>
      <c r="G148" s="203" t="s">
        <v>1559</v>
      </c>
    </row>
    <row r="149">
      <c r="A149" s="203" t="str">
        <f t="array" ref="A149:G149">TRANSPOSE(INDIRECT(SWITCH(Venues!B149,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49" s="203" t="s">
        <v>967</v>
      </c>
      <c r="C149" s="203" t="s">
        <v>1553</v>
      </c>
      <c r="D149" s="203" t="s">
        <v>1555</v>
      </c>
      <c r="E149" s="203" t="s">
        <v>1556</v>
      </c>
      <c r="F149" s="203" t="s">
        <v>1558</v>
      </c>
      <c r="G149" s="203" t="s">
        <v>1559</v>
      </c>
    </row>
    <row r="150">
      <c r="A150" s="203" t="str">
        <f t="array" ref="A150:I150">TRANSPOSE(INDIRECT(SWITCH(Venues!B150,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150" s="203" t="s">
        <v>1671</v>
      </c>
      <c r="C150" s="203" t="s">
        <v>1672</v>
      </c>
      <c r="D150" s="203" t="s">
        <v>1673</v>
      </c>
      <c r="E150" s="203" t="s">
        <v>1674</v>
      </c>
      <c r="F150" s="203" t="s">
        <v>506</v>
      </c>
      <c r="G150" s="203" t="s">
        <v>1677</v>
      </c>
      <c r="H150" s="203" t="s">
        <v>1678</v>
      </c>
      <c r="I150" s="203" t="s">
        <v>1680</v>
      </c>
    </row>
    <row r="151">
      <c r="A151" s="203" t="str">
        <f t="array" ref="A151:G151">TRANSPOSE(INDIRECT(SWITCH(Venues!B151,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51" s="203" t="s">
        <v>967</v>
      </c>
      <c r="C151" s="203" t="s">
        <v>1553</v>
      </c>
      <c r="D151" s="203" t="s">
        <v>1555</v>
      </c>
      <c r="E151" s="203" t="s">
        <v>1556</v>
      </c>
      <c r="F151" s="203" t="s">
        <v>1558</v>
      </c>
      <c r="G151" s="203" t="s">
        <v>1559</v>
      </c>
    </row>
    <row r="152">
      <c r="A152" s="203" t="str">
        <f t="array" ref="A152:G152">TRANSPOSE(INDIRECT(SWITCH(Venues!B152,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52" s="203" t="s">
        <v>967</v>
      </c>
      <c r="C152" s="203" t="s">
        <v>1553</v>
      </c>
      <c r="D152" s="203" t="s">
        <v>1555</v>
      </c>
      <c r="E152" s="203" t="s">
        <v>1556</v>
      </c>
      <c r="F152" s="203" t="s">
        <v>1558</v>
      </c>
      <c r="G152" s="203" t="s">
        <v>1559</v>
      </c>
    </row>
    <row r="153">
      <c r="A153" s="203" t="str">
        <f t="array" ref="A153:L153">TRANSPOSE(INDIRECT(SWITCH(Venues!B153,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153" s="203" t="s">
        <v>782</v>
      </c>
      <c r="C153" s="203" t="s">
        <v>1507</v>
      </c>
      <c r="D153" s="203" t="s">
        <v>1509</v>
      </c>
      <c r="E153" s="203" t="s">
        <v>1510</v>
      </c>
      <c r="F153" s="203" t="s">
        <v>1511</v>
      </c>
      <c r="G153" s="203" t="s">
        <v>1513</v>
      </c>
      <c r="H153" s="203" t="s">
        <v>1514</v>
      </c>
      <c r="I153" s="203" t="s">
        <v>1515</v>
      </c>
      <c r="J153" s="203" t="s">
        <v>1516</v>
      </c>
      <c r="K153" s="203" t="s">
        <v>1134</v>
      </c>
      <c r="L153" s="203" t="s">
        <v>1517</v>
      </c>
    </row>
    <row r="154">
      <c r="A154" s="203" t="str">
        <f t="array" ref="A154:F154">TRANSPOSE(INDIRECT(SWITCH(Venues!B154,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154" s="203" t="s">
        <v>1497</v>
      </c>
      <c r="C154" s="203" t="s">
        <v>1499</v>
      </c>
      <c r="D154" s="203" t="s">
        <v>1357</v>
      </c>
      <c r="E154" s="203" t="s">
        <v>1500</v>
      </c>
      <c r="F154" s="203" t="s">
        <v>1502</v>
      </c>
    </row>
    <row r="155">
      <c r="A155" s="203" t="str">
        <f t="array" ref="A155">TRANSPOSE(INDIRECT(SWITCH(Venues!B155,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5" s="203"/>
      <c r="C155" s="203"/>
      <c r="D155" s="203"/>
      <c r="E155" s="203"/>
      <c r="F155" s="203"/>
      <c r="G155" s="203"/>
    </row>
    <row r="156">
      <c r="A156" s="203" t="str">
        <f t="array" ref="A156">TRANSPOSE(INDIRECT(SWITCH(Venues!B156,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6" s="203"/>
      <c r="C156" s="203"/>
      <c r="D156" s="203"/>
      <c r="E156" s="203"/>
      <c r="F156" s="203"/>
      <c r="G156" s="203"/>
      <c r="H156" s="203"/>
      <c r="I156" s="203"/>
      <c r="J156" s="203"/>
      <c r="K156" s="203"/>
      <c r="L156" s="203"/>
    </row>
    <row r="157">
      <c r="A157" s="203" t="str">
        <f t="array" ref="A157">TRANSPOSE(INDIRECT(SWITCH(Venues!B157,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7" s="203"/>
      <c r="C157" s="203"/>
      <c r="D157" s="203"/>
      <c r="E157" s="203"/>
      <c r="F157" s="203"/>
    </row>
    <row r="158">
      <c r="A158" s="203" t="str">
        <f t="array" ref="A158">TRANSPOSE(INDIRECT(SWITCH(Venues!B158,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59">
      <c r="A159" s="203" t="str">
        <f t="array" ref="A159">TRANSPOSE(INDIRECT(SWITCH(Venues!B159,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0">
      <c r="A160" s="203" t="str">
        <f t="array" ref="A160">TRANSPOSE(INDIRECT(SWITCH(Venues!B160,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1">
      <c r="A161" s="203" t="str">
        <f t="array" ref="A161">TRANSPOSE(INDIRECT(SWITCH(Venues!B161,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2">
      <c r="A162" s="203" t="str">
        <f t="array" ref="A162">TRANSPOSE(INDIRECT(SWITCH(Venues!B162,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3">
      <c r="A163" s="203" t="str">
        <f t="array" ref="A163">TRANSPOSE(INDIRECT(SWITCH(Venues!B163,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4">
      <c r="A164" s="203" t="str">
        <f t="array" ref="A164">TRANSPOSE(INDIRECT(SWITCH(Venues!B164,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5">
      <c r="A165" s="203" t="str">
        <f t="array" ref="A165">TRANSPOSE(INDIRECT(SWITCH(Venues!B165,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6">
      <c r="A166" s="203" t="str">
        <f t="array" ref="A166">TRANSPOSE(INDIRECT(SWITCH(Venues!B166,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7">
      <c r="A167" s="203" t="str">
        <f t="array" ref="A167">TRANSPOSE(INDIRECT(SWITCH(Venues!B167,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8">
      <c r="A168" s="203" t="str">
        <f t="array" ref="A168">TRANSPOSE(INDIRECT(SWITCH(Venues!B168,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9">
      <c r="A169" s="203" t="str">
        <f t="array" ref="A169">TRANSPOSE(INDIRECT(SWITCH(Venues!B169,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0">
      <c r="A170" s="203" t="str">
        <f t="array" ref="A170">TRANSPOSE(INDIRECT(SWITCH(Venues!B170,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1">
      <c r="A171" s="203" t="str">
        <f t="array" ref="A171">TRANSPOSE(INDIRECT(SWITCH(Venues!B171,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2">
      <c r="A172" s="203" t="str">
        <f t="array" ref="A172">TRANSPOSE(INDIRECT(SWITCH(Venues!B172,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3">
      <c r="A173" s="203" t="str">
        <f t="array" ref="A173">TRANSPOSE(INDIRECT(SWITCH(Venues!B173,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4">
      <c r="A174" s="203" t="str">
        <f t="array" ref="A174">TRANSPOSE(INDIRECT(SWITCH(Venues!B174,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5">
      <c r="A175" s="203" t="str">
        <f t="array" ref="A175">TRANSPOSE(INDIRECT(SWITCH(Venues!B175,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6">
      <c r="A176" s="203" t="str">
        <f t="array" ref="A176">TRANSPOSE(INDIRECT(SWITCH(Venues!B176,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7">
      <c r="A177" s="203" t="str">
        <f t="array" ref="A177">TRANSPOSE(INDIRECT(SWITCH(Venues!B177,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8">
      <c r="A178" s="203" t="str">
        <f t="array" ref="A178">TRANSPOSE(INDIRECT(SWITCH(Venues!B178,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9">
      <c r="A179" s="203" t="str">
        <f t="array" ref="A179">TRANSPOSE(INDIRECT(SWITCH(Venues!B179,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03" t="str">
        <f t="array" ref="A5:I5">TRANSPOSE(INDIRECT(SWITCH(Events!B5,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Farm or Smallholding</v>
      </c>
      <c r="B5" s="203" t="s">
        <v>1671</v>
      </c>
      <c r="C5" s="203" t="s">
        <v>1672</v>
      </c>
      <c r="D5" s="203" t="s">
        <v>1673</v>
      </c>
      <c r="E5" s="203" t="s">
        <v>1674</v>
      </c>
      <c r="F5" s="203" t="s">
        <v>506</v>
      </c>
      <c r="G5" s="203" t="s">
        <v>1677</v>
      </c>
      <c r="H5" s="203" t="s">
        <v>1678</v>
      </c>
      <c r="I5" s="203" t="s">
        <v>1680</v>
      </c>
    </row>
    <row r="6">
      <c r="A6" s="203" t="str">
        <f t="array" ref="A6:J6">TRANSPOSE(INDIRECT(SWITCH(Events!B6,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Nature Reserve</v>
      </c>
      <c r="B6" s="203" t="s">
        <v>650</v>
      </c>
      <c r="C6" s="203" t="s">
        <v>1069</v>
      </c>
      <c r="D6" s="203" t="s">
        <v>661</v>
      </c>
      <c r="E6" s="203" t="s">
        <v>1072</v>
      </c>
      <c r="F6" s="203" t="s">
        <v>1073</v>
      </c>
      <c r="G6" s="203" t="s">
        <v>1074</v>
      </c>
      <c r="H6" s="203" t="s">
        <v>1075</v>
      </c>
      <c r="I6" s="203" t="s">
        <v>1076</v>
      </c>
      <c r="J6" s="203" t="s">
        <v>1077</v>
      </c>
    </row>
    <row r="7">
      <c r="A7" s="203" t="str">
        <f t="array" ref="A7:F7">TRANSPOSE(INDIRECT(SWITCH(Events!B7,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Creative Artwork</v>
      </c>
      <c r="B7" s="203" t="s">
        <v>1743</v>
      </c>
      <c r="C7" s="203" t="s">
        <v>1744</v>
      </c>
      <c r="D7" s="203" t="s">
        <v>1745</v>
      </c>
      <c r="E7" s="203" t="s">
        <v>1746</v>
      </c>
      <c r="F7" s="203" t="s">
        <v>1747</v>
      </c>
    </row>
    <row r="8">
      <c r="A8" s="203" t="str">
        <f t="array" ref="A8:J8">TRANSPOSE(INDIRECT(SWITCH(Events!B8,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Nature Reserve</v>
      </c>
      <c r="B8" s="203" t="s">
        <v>650</v>
      </c>
      <c r="C8" s="203" t="s">
        <v>1069</v>
      </c>
      <c r="D8" s="203" t="s">
        <v>661</v>
      </c>
      <c r="E8" s="203" t="s">
        <v>1072</v>
      </c>
      <c r="F8" s="203" t="s">
        <v>1073</v>
      </c>
      <c r="G8" s="203" t="s">
        <v>1074</v>
      </c>
      <c r="H8" s="203" t="s">
        <v>1075</v>
      </c>
      <c r="I8" s="203" t="s">
        <v>1076</v>
      </c>
      <c r="J8" s="203" t="s">
        <v>1077</v>
      </c>
    </row>
    <row r="9">
      <c r="A9" s="203" t="str">
        <f t="array" ref="A9:E9">TRANSPOSE(INDIRECT(SWITCH(Events!B9,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Family-Friendly Cafés</v>
      </c>
      <c r="B9" s="203" t="s">
        <v>1430</v>
      </c>
      <c r="C9" s="203" t="s">
        <v>1432</v>
      </c>
      <c r="D9" s="203" t="s">
        <v>1283</v>
      </c>
      <c r="E9" s="203" t="s">
        <v>1260</v>
      </c>
    </row>
    <row r="10">
      <c r="A10" s="203" t="str">
        <f t="array" ref="A10">TRANSPOSE(INDIRECT(SWITCH(Events!B10,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1">
      <c r="A11" s="203" t="str">
        <f t="array" ref="A11">TRANSPOSE(INDIRECT(SWITCH(Events!B11,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2">
      <c r="A12" s="203" t="str">
        <f t="array" ref="A12">TRANSPOSE(INDIRECT(SWITCH(Events!B12,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3">
      <c r="A13" s="203" t="str">
        <f t="array" ref="A13">TRANSPOSE(INDIRECT(SWITCH(Events!B13,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4">
      <c r="A14" s="203" t="str">
        <f t="shared" ref="A14:A37"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5">
      <c r="A15" s="203" t="str">
        <f t="shared" si="1"/>
        <v>#REF!</v>
      </c>
    </row>
    <row r="16">
      <c r="A16" s="203" t="str">
        <f t="shared" si="1"/>
        <v>#REF!</v>
      </c>
    </row>
    <row r="17">
      <c r="A17" s="203" t="str">
        <f t="shared" si="1"/>
        <v>#REF!</v>
      </c>
    </row>
    <row r="18">
      <c r="A18" s="203" t="str">
        <f t="shared" si="1"/>
        <v>#REF!</v>
      </c>
    </row>
    <row r="19">
      <c r="A19" s="203" t="str">
        <f t="shared" si="1"/>
        <v>#REF!</v>
      </c>
    </row>
    <row r="20">
      <c r="A20" s="203" t="str">
        <f t="shared" si="1"/>
        <v>#REF!</v>
      </c>
    </row>
    <row r="21">
      <c r="A21" s="203" t="str">
        <f t="shared" si="1"/>
        <v>#REF!</v>
      </c>
    </row>
    <row r="22">
      <c r="A22" s="203" t="str">
        <f t="shared" si="1"/>
        <v>#REF!</v>
      </c>
    </row>
    <row r="23">
      <c r="A23" s="203" t="str">
        <f t="shared" si="1"/>
        <v>#REF!</v>
      </c>
    </row>
    <row r="24">
      <c r="A24" s="203" t="str">
        <f t="shared" si="1"/>
        <v>#REF!</v>
      </c>
    </row>
    <row r="25">
      <c r="A25" s="203" t="str">
        <f t="shared" si="1"/>
        <v>#REF!</v>
      </c>
    </row>
    <row r="26">
      <c r="A26" s="203" t="str">
        <f t="shared" si="1"/>
        <v>#REF!</v>
      </c>
    </row>
    <row r="27">
      <c r="A27" s="203" t="str">
        <f t="shared" si="1"/>
        <v>#REF!</v>
      </c>
    </row>
    <row r="28">
      <c r="A28" s="203" t="str">
        <f t="shared" si="1"/>
        <v>#REF!</v>
      </c>
    </row>
    <row r="29">
      <c r="A29" s="203" t="str">
        <f t="shared" si="1"/>
        <v>#REF!</v>
      </c>
    </row>
    <row r="30">
      <c r="A30" s="203" t="str">
        <f t="shared" si="1"/>
        <v>#REF!</v>
      </c>
    </row>
    <row r="31">
      <c r="A31" s="203" t="str">
        <f t="shared" si="1"/>
        <v>#REF!</v>
      </c>
    </row>
    <row r="32">
      <c r="A32" s="203" t="str">
        <f t="shared" si="1"/>
        <v>#REF!</v>
      </c>
    </row>
    <row r="33">
      <c r="A33" s="203" t="str">
        <f t="shared" si="1"/>
        <v>#REF!</v>
      </c>
    </row>
    <row r="34">
      <c r="A34" s="203" t="str">
        <f t="shared" si="1"/>
        <v>#REF!</v>
      </c>
    </row>
    <row r="35">
      <c r="A35" s="203" t="str">
        <f t="shared" si="1"/>
        <v>#REF!</v>
      </c>
    </row>
    <row r="36">
      <c r="A36" s="203" t="str">
        <f t="shared" si="1"/>
        <v>#REF!</v>
      </c>
    </row>
    <row r="37">
      <c r="A37" s="203" t="str">
        <f t="shared" si="1"/>
        <v>#REF!</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03" t="str">
        <f t="array" ref="A5:S5">TRANSPOSE(INDIRECT(SWITCH(Clubs!B5,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5" s="203" t="s">
        <v>1716</v>
      </c>
      <c r="C5" s="203" t="s">
        <v>1718</v>
      </c>
      <c r="D5" s="203" t="s">
        <v>1720</v>
      </c>
      <c r="E5" s="203" t="s">
        <v>1722</v>
      </c>
      <c r="F5" s="203" t="s">
        <v>1723</v>
      </c>
      <c r="G5" s="203" t="s">
        <v>1724</v>
      </c>
      <c r="H5" s="203" t="s">
        <v>1726</v>
      </c>
      <c r="I5" s="203" t="s">
        <v>1727</v>
      </c>
      <c r="J5" s="203" t="s">
        <v>1729</v>
      </c>
      <c r="K5" s="203" t="s">
        <v>1730</v>
      </c>
      <c r="L5" s="203" t="s">
        <v>1731</v>
      </c>
      <c r="M5" s="203" t="s">
        <v>1732</v>
      </c>
      <c r="N5" s="203" t="s">
        <v>1733</v>
      </c>
      <c r="O5" s="203" t="s">
        <v>1734</v>
      </c>
      <c r="P5" s="203" t="s">
        <v>1735</v>
      </c>
      <c r="Q5" s="203" t="s">
        <v>1736</v>
      </c>
      <c r="R5" s="203" t="s">
        <v>1738</v>
      </c>
      <c r="S5" s="203" t="s">
        <v>1739</v>
      </c>
    </row>
    <row r="6">
      <c r="A6" s="203" t="str">
        <f t="array" ref="A6">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c r="B6" s="203"/>
      <c r="C6" s="203"/>
      <c r="D6" s="203"/>
      <c r="E6" s="203"/>
      <c r="F6" s="203"/>
      <c r="G6" s="203"/>
      <c r="H6" s="203"/>
      <c r="I6" s="203"/>
      <c r="J6" s="203"/>
      <c r="K6" s="203"/>
      <c r="L6" s="203"/>
      <c r="M6" s="203"/>
      <c r="N6" s="203"/>
      <c r="O6" s="203"/>
      <c r="P6" s="203"/>
      <c r="Q6" s="203"/>
      <c r="R6" s="203"/>
      <c r="S6" s="203"/>
      <c r="T6" s="203"/>
      <c r="U6" s="203"/>
      <c r="V6" s="203"/>
      <c r="W6" s="203"/>
      <c r="X6" s="203"/>
      <c r="Y6" s="203"/>
      <c r="Z6" s="203"/>
      <c r="AA6" s="203"/>
      <c r="AB6" s="203"/>
    </row>
    <row r="7">
      <c r="A7" s="203" t="str">
        <f t="array" ref="A7:AF7">TRANSPOSE(INDIRECT(SWITCH(Clubs!B6,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7" s="203" t="s">
        <v>1760</v>
      </c>
      <c r="C7" s="203" t="s">
        <v>1761</v>
      </c>
      <c r="D7" s="203" t="s">
        <v>1762</v>
      </c>
      <c r="E7" s="203" t="s">
        <v>1763</v>
      </c>
      <c r="F7" s="203" t="s">
        <v>1764</v>
      </c>
      <c r="G7" s="203" t="s">
        <v>1765</v>
      </c>
      <c r="H7" s="203" t="s">
        <v>1766</v>
      </c>
      <c r="I7" s="203" t="s">
        <v>1767</v>
      </c>
      <c r="J7" s="203" t="s">
        <v>1768</v>
      </c>
      <c r="K7" s="203" t="s">
        <v>1769</v>
      </c>
      <c r="L7" s="203" t="s">
        <v>1770</v>
      </c>
      <c r="M7" s="203" t="s">
        <v>1771</v>
      </c>
      <c r="N7" s="203" t="s">
        <v>1772</v>
      </c>
      <c r="O7" s="203" t="s">
        <v>1773</v>
      </c>
      <c r="P7" s="203" t="s">
        <v>1774</v>
      </c>
      <c r="Q7" s="203" t="s">
        <v>1775</v>
      </c>
      <c r="R7" s="203" t="s">
        <v>876</v>
      </c>
      <c r="S7" s="203" t="s">
        <v>1776</v>
      </c>
      <c r="T7" s="203" t="s">
        <v>1777</v>
      </c>
      <c r="U7" s="203" t="s">
        <v>1778</v>
      </c>
      <c r="V7" s="203" t="s">
        <v>1779</v>
      </c>
      <c r="W7" s="203" t="s">
        <v>1780</v>
      </c>
      <c r="X7" s="203" t="s">
        <v>1781</v>
      </c>
      <c r="Y7" s="203" t="s">
        <v>1782</v>
      </c>
      <c r="Z7" s="203" t="s">
        <v>1783</v>
      </c>
      <c r="AA7" s="203" t="s">
        <v>1784</v>
      </c>
      <c r="AB7" s="203" t="s">
        <v>1785</v>
      </c>
      <c r="AC7" s="203" t="s">
        <v>1786</v>
      </c>
      <c r="AD7" s="203" t="s">
        <v>1788</v>
      </c>
      <c r="AE7" s="203" t="s">
        <v>1789</v>
      </c>
      <c r="AF7" s="203" t="s">
        <v>1790</v>
      </c>
    </row>
    <row r="8">
      <c r="A8" s="203" t="str">
        <f t="array" ref="A8:AF8">TRANSPOSE(INDIRECT(SWITCH(Clubs!B7,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8" s="203" t="s">
        <v>1760</v>
      </c>
      <c r="C8" s="203" t="s">
        <v>1761</v>
      </c>
      <c r="D8" s="203" t="s">
        <v>1762</v>
      </c>
      <c r="E8" s="203" t="s">
        <v>1763</v>
      </c>
      <c r="F8" s="203" t="s">
        <v>1764</v>
      </c>
      <c r="G8" s="203" t="s">
        <v>1765</v>
      </c>
      <c r="H8" s="203" t="s">
        <v>1766</v>
      </c>
      <c r="I8" s="203" t="s">
        <v>1767</v>
      </c>
      <c r="J8" s="203" t="s">
        <v>1768</v>
      </c>
      <c r="K8" s="203" t="s">
        <v>1769</v>
      </c>
      <c r="L8" s="203" t="s">
        <v>1770</v>
      </c>
      <c r="M8" s="203" t="s">
        <v>1771</v>
      </c>
      <c r="N8" s="203" t="s">
        <v>1772</v>
      </c>
      <c r="O8" s="203" t="s">
        <v>1773</v>
      </c>
      <c r="P8" s="203" t="s">
        <v>1774</v>
      </c>
      <c r="Q8" s="203" t="s">
        <v>1775</v>
      </c>
      <c r="R8" s="203" t="s">
        <v>876</v>
      </c>
      <c r="S8" s="203" t="s">
        <v>1776</v>
      </c>
      <c r="T8" s="203" t="s">
        <v>1777</v>
      </c>
      <c r="U8" s="203" t="s">
        <v>1778</v>
      </c>
      <c r="V8" s="203" t="s">
        <v>1779</v>
      </c>
      <c r="W8" s="203" t="s">
        <v>1780</v>
      </c>
      <c r="X8" s="203" t="s">
        <v>1781</v>
      </c>
      <c r="Y8" s="203" t="s">
        <v>1782</v>
      </c>
      <c r="Z8" s="203" t="s">
        <v>1783</v>
      </c>
      <c r="AA8" s="203" t="s">
        <v>1784</v>
      </c>
      <c r="AB8" s="203" t="s">
        <v>1785</v>
      </c>
      <c r="AC8" s="203" t="s">
        <v>1786</v>
      </c>
      <c r="AD8" s="203" t="s">
        <v>1788</v>
      </c>
      <c r="AE8" s="203" t="s">
        <v>1789</v>
      </c>
      <c r="AF8" s="203" t="s">
        <v>1790</v>
      </c>
    </row>
    <row r="9">
      <c r="A9" s="203" t="str">
        <f t="array" ref="A9:AF9">TRANSPOSE(INDIRECT(SWITCH(Clubs!B8,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9" s="203" t="s">
        <v>1760</v>
      </c>
      <c r="C9" s="203" t="s">
        <v>1761</v>
      </c>
      <c r="D9" s="203" t="s">
        <v>1762</v>
      </c>
      <c r="E9" s="203" t="s">
        <v>1763</v>
      </c>
      <c r="F9" s="203" t="s">
        <v>1764</v>
      </c>
      <c r="G9" s="203" t="s">
        <v>1765</v>
      </c>
      <c r="H9" s="203" t="s">
        <v>1766</v>
      </c>
      <c r="I9" s="203" t="s">
        <v>1767</v>
      </c>
      <c r="J9" s="203" t="s">
        <v>1768</v>
      </c>
      <c r="K9" s="203" t="s">
        <v>1769</v>
      </c>
      <c r="L9" s="203" t="s">
        <v>1770</v>
      </c>
      <c r="M9" s="203" t="s">
        <v>1771</v>
      </c>
      <c r="N9" s="203" t="s">
        <v>1772</v>
      </c>
      <c r="O9" s="203" t="s">
        <v>1773</v>
      </c>
      <c r="P9" s="203" t="s">
        <v>1774</v>
      </c>
      <c r="Q9" s="203" t="s">
        <v>1775</v>
      </c>
      <c r="R9" s="203" t="s">
        <v>876</v>
      </c>
      <c r="S9" s="203" t="s">
        <v>1776</v>
      </c>
      <c r="T9" s="203" t="s">
        <v>1777</v>
      </c>
      <c r="U9" s="203" t="s">
        <v>1778</v>
      </c>
      <c r="V9" s="203" t="s">
        <v>1779</v>
      </c>
      <c r="W9" s="203" t="s">
        <v>1780</v>
      </c>
      <c r="X9" s="203" t="s">
        <v>1781</v>
      </c>
      <c r="Y9" s="203" t="s">
        <v>1782</v>
      </c>
      <c r="Z9" s="203" t="s">
        <v>1783</v>
      </c>
      <c r="AA9" s="203" t="s">
        <v>1784</v>
      </c>
      <c r="AB9" s="203" t="s">
        <v>1785</v>
      </c>
      <c r="AC9" s="203" t="s">
        <v>1786</v>
      </c>
      <c r="AD9" s="203" t="s">
        <v>1788</v>
      </c>
      <c r="AE9" s="203" t="s">
        <v>1789</v>
      </c>
      <c r="AF9" s="203" t="s">
        <v>1790</v>
      </c>
    </row>
    <row r="10">
      <c r="A10" s="203" t="str">
        <f t="array" ref="A10">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1">
      <c r="A11" s="203" t="str">
        <f t="array" ref="A11:AF11">TRANSPOSE(INDIRECT(SWITCH(Clubs!B9,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11" s="203" t="s">
        <v>1760</v>
      </c>
      <c r="C11" s="203" t="s">
        <v>1761</v>
      </c>
      <c r="D11" s="203" t="s">
        <v>1762</v>
      </c>
      <c r="E11" s="203" t="s">
        <v>1763</v>
      </c>
      <c r="F11" s="203" t="s">
        <v>1764</v>
      </c>
      <c r="G11" s="203" t="s">
        <v>1765</v>
      </c>
      <c r="H11" s="203" t="s">
        <v>1766</v>
      </c>
      <c r="I11" s="203" t="s">
        <v>1767</v>
      </c>
      <c r="J11" s="203" t="s">
        <v>1768</v>
      </c>
      <c r="K11" s="203" t="s">
        <v>1769</v>
      </c>
      <c r="L11" s="203" t="s">
        <v>1770</v>
      </c>
      <c r="M11" s="203" t="s">
        <v>1771</v>
      </c>
      <c r="N11" s="203" t="s">
        <v>1772</v>
      </c>
      <c r="O11" s="203" t="s">
        <v>1773</v>
      </c>
      <c r="P11" s="203" t="s">
        <v>1774</v>
      </c>
      <c r="Q11" s="203" t="s">
        <v>1775</v>
      </c>
      <c r="R11" s="203" t="s">
        <v>876</v>
      </c>
      <c r="S11" s="203" t="s">
        <v>1776</v>
      </c>
      <c r="T11" s="203" t="s">
        <v>1777</v>
      </c>
      <c r="U11" s="203" t="s">
        <v>1778</v>
      </c>
      <c r="V11" s="203" t="s">
        <v>1779</v>
      </c>
      <c r="W11" s="203" t="s">
        <v>1780</v>
      </c>
      <c r="X11" s="203" t="s">
        <v>1781</v>
      </c>
      <c r="Y11" s="203" t="s">
        <v>1782</v>
      </c>
      <c r="Z11" s="203" t="s">
        <v>1783</v>
      </c>
      <c r="AA11" s="203" t="s">
        <v>1784</v>
      </c>
      <c r="AB11" s="203" t="s">
        <v>1785</v>
      </c>
      <c r="AC11" s="203" t="s">
        <v>1786</v>
      </c>
      <c r="AD11" s="203" t="s">
        <v>1788</v>
      </c>
      <c r="AE11" s="203" t="s">
        <v>1789</v>
      </c>
      <c r="AF11" s="203" t="s">
        <v>1790</v>
      </c>
    </row>
    <row r="12">
      <c r="A12" s="203" t="str">
        <f t="array" ref="A12">TRANSPOSE(INDIRECT(SWITCH(Clubs!B10,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3">
      <c r="A13" s="203" t="str">
        <f t="array" ref="A13">TRANSPOSE(INDIRECT(SWITCH(Clubs!B11,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4">
      <c r="A14" s="203" t="str">
        <f t="shared" ref="A14:A87"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5">
      <c r="A15" s="203" t="str">
        <f t="shared" si="1"/>
        <v>#REF!</v>
      </c>
    </row>
    <row r="16">
      <c r="A16" s="203" t="str">
        <f t="shared" si="1"/>
        <v>#REF!</v>
      </c>
    </row>
    <row r="17">
      <c r="A17" s="203" t="str">
        <f t="shared" si="1"/>
        <v>#REF!</v>
      </c>
    </row>
    <row r="18">
      <c r="A18" s="203" t="str">
        <f t="shared" si="1"/>
        <v>#REF!</v>
      </c>
    </row>
    <row r="19">
      <c r="A19" s="203" t="str">
        <f t="shared" si="1"/>
        <v>#REF!</v>
      </c>
    </row>
    <row r="20">
      <c r="A20" s="203" t="str">
        <f t="shared" si="1"/>
        <v>#REF!</v>
      </c>
    </row>
    <row r="21">
      <c r="A21" s="203" t="str">
        <f t="shared" si="1"/>
        <v>#REF!</v>
      </c>
    </row>
    <row r="22">
      <c r="A22" s="203" t="str">
        <f t="shared" si="1"/>
        <v>#REF!</v>
      </c>
    </row>
    <row r="23">
      <c r="A23" s="203" t="str">
        <f t="shared" si="1"/>
        <v>#REF!</v>
      </c>
    </row>
    <row r="24">
      <c r="A24" s="203" t="str">
        <f t="shared" si="1"/>
        <v>#REF!</v>
      </c>
    </row>
    <row r="25">
      <c r="A25" s="203" t="str">
        <f t="shared" si="1"/>
        <v>#REF!</v>
      </c>
    </row>
    <row r="26">
      <c r="A26" s="203" t="str">
        <f t="shared" si="1"/>
        <v>#REF!</v>
      </c>
    </row>
    <row r="27">
      <c r="A27" s="203" t="str">
        <f t="shared" si="1"/>
        <v>#REF!</v>
      </c>
    </row>
    <row r="28">
      <c r="A28" s="203" t="str">
        <f t="shared" si="1"/>
        <v>#REF!</v>
      </c>
    </row>
    <row r="29">
      <c r="A29" s="203" t="str">
        <f t="shared" si="1"/>
        <v>#REF!</v>
      </c>
    </row>
    <row r="30">
      <c r="A30" s="203" t="str">
        <f t="shared" si="1"/>
        <v>#REF!</v>
      </c>
    </row>
    <row r="31">
      <c r="A31" s="203" t="str">
        <f t="shared" si="1"/>
        <v>#REF!</v>
      </c>
    </row>
    <row r="32">
      <c r="A32" s="203" t="str">
        <f t="shared" si="1"/>
        <v>#REF!</v>
      </c>
    </row>
    <row r="33">
      <c r="A33" s="203" t="str">
        <f t="shared" si="1"/>
        <v>#REF!</v>
      </c>
    </row>
    <row r="34">
      <c r="A34" s="203" t="str">
        <f t="shared" si="1"/>
        <v>#REF!</v>
      </c>
    </row>
    <row r="35">
      <c r="A35" s="203" t="str">
        <f t="shared" si="1"/>
        <v>#REF!</v>
      </c>
    </row>
    <row r="36">
      <c r="A36" s="203" t="str">
        <f t="shared" si="1"/>
        <v>#REF!</v>
      </c>
    </row>
    <row r="37">
      <c r="A37" s="203" t="str">
        <f t="shared" si="1"/>
        <v>#REF!</v>
      </c>
    </row>
    <row r="38">
      <c r="A38" s="203" t="str">
        <f t="shared" si="1"/>
        <v>#REF!</v>
      </c>
    </row>
    <row r="39">
      <c r="A39" s="203" t="str">
        <f t="shared" si="1"/>
        <v>#REF!</v>
      </c>
    </row>
    <row r="40">
      <c r="A40" s="203" t="str">
        <f t="shared" si="1"/>
        <v>#REF!</v>
      </c>
    </row>
    <row r="41">
      <c r="A41" s="203" t="str">
        <f t="shared" si="1"/>
        <v>#REF!</v>
      </c>
    </row>
    <row r="42">
      <c r="A42" s="203" t="str">
        <f t="shared" si="1"/>
        <v>#REF!</v>
      </c>
    </row>
    <row r="43">
      <c r="A43" s="203" t="str">
        <f t="shared" si="1"/>
        <v>#REF!</v>
      </c>
    </row>
    <row r="44">
      <c r="A44" s="203" t="str">
        <f t="shared" si="1"/>
        <v>#REF!</v>
      </c>
    </row>
    <row r="45">
      <c r="A45" s="203" t="str">
        <f t="shared" si="1"/>
        <v>#REF!</v>
      </c>
    </row>
    <row r="46">
      <c r="A46" s="203" t="str">
        <f t="shared" si="1"/>
        <v>#REF!</v>
      </c>
    </row>
    <row r="47">
      <c r="A47" s="203" t="str">
        <f t="shared" si="1"/>
        <v>#REF!</v>
      </c>
    </row>
    <row r="48">
      <c r="A48" s="203" t="str">
        <f t="shared" si="1"/>
        <v>#REF!</v>
      </c>
    </row>
    <row r="49">
      <c r="A49" s="203" t="str">
        <f t="shared" si="1"/>
        <v>#REF!</v>
      </c>
    </row>
    <row r="50">
      <c r="A50" s="203" t="str">
        <f t="shared" si="1"/>
        <v>#REF!</v>
      </c>
    </row>
    <row r="51">
      <c r="A51" s="203" t="str">
        <f t="shared" si="1"/>
        <v>#REF!</v>
      </c>
    </row>
    <row r="52">
      <c r="A52" s="203" t="str">
        <f t="shared" si="1"/>
        <v>#REF!</v>
      </c>
    </row>
    <row r="53">
      <c r="A53" s="203" t="str">
        <f t="shared" si="1"/>
        <v>#REF!</v>
      </c>
    </row>
    <row r="54">
      <c r="A54" s="203" t="str">
        <f t="shared" si="1"/>
        <v>#REF!</v>
      </c>
    </row>
    <row r="55">
      <c r="A55" s="203" t="str">
        <f t="shared" si="1"/>
        <v>#REF!</v>
      </c>
    </row>
    <row r="56">
      <c r="A56" s="203" t="str">
        <f t="shared" si="1"/>
        <v>#REF!</v>
      </c>
    </row>
    <row r="57">
      <c r="A57" s="203" t="str">
        <f t="shared" si="1"/>
        <v>#REF!</v>
      </c>
    </row>
    <row r="58">
      <c r="A58" s="203" t="str">
        <f t="shared" si="1"/>
        <v>#REF!</v>
      </c>
    </row>
    <row r="59">
      <c r="A59" s="203" t="str">
        <f t="shared" si="1"/>
        <v>#REF!</v>
      </c>
    </row>
    <row r="60">
      <c r="A60" s="203" t="str">
        <f t="shared" si="1"/>
        <v>#REF!</v>
      </c>
    </row>
    <row r="61">
      <c r="A61" s="203" t="str">
        <f t="shared" si="1"/>
        <v>#REF!</v>
      </c>
    </row>
    <row r="62">
      <c r="A62" s="203" t="str">
        <f t="shared" si="1"/>
        <v>#REF!</v>
      </c>
    </row>
    <row r="63">
      <c r="A63" s="203" t="str">
        <f t="shared" si="1"/>
        <v>#REF!</v>
      </c>
    </row>
    <row r="64">
      <c r="A64" s="203" t="str">
        <f t="shared" si="1"/>
        <v>#REF!</v>
      </c>
    </row>
    <row r="65">
      <c r="A65" s="203" t="str">
        <f t="shared" si="1"/>
        <v>#REF!</v>
      </c>
    </row>
    <row r="66">
      <c r="A66" s="203" t="str">
        <f t="shared" si="1"/>
        <v>#REF!</v>
      </c>
    </row>
    <row r="67">
      <c r="A67" s="203" t="str">
        <f t="shared" si="1"/>
        <v>#REF!</v>
      </c>
    </row>
    <row r="68">
      <c r="A68" s="203" t="str">
        <f t="shared" si="1"/>
        <v>#REF!</v>
      </c>
    </row>
    <row r="69">
      <c r="A69" s="203" t="str">
        <f t="shared" si="1"/>
        <v>#REF!</v>
      </c>
    </row>
    <row r="70">
      <c r="A70" s="203" t="str">
        <f t="shared" si="1"/>
        <v>#REF!</v>
      </c>
    </row>
    <row r="71">
      <c r="A71" s="203" t="str">
        <f t="shared" si="1"/>
        <v>#REF!</v>
      </c>
    </row>
    <row r="72">
      <c r="A72" s="203" t="str">
        <f t="shared" si="1"/>
        <v>#REF!</v>
      </c>
    </row>
    <row r="73">
      <c r="A73" s="203" t="str">
        <f t="shared" si="1"/>
        <v>#REF!</v>
      </c>
    </row>
    <row r="74">
      <c r="A74" s="203" t="str">
        <f t="shared" si="1"/>
        <v>#REF!</v>
      </c>
    </row>
    <row r="75">
      <c r="A75" s="203" t="str">
        <f t="shared" si="1"/>
        <v>#REF!</v>
      </c>
    </row>
    <row r="76">
      <c r="A76" s="203" t="str">
        <f t="shared" si="1"/>
        <v>#REF!</v>
      </c>
    </row>
    <row r="77">
      <c r="A77" s="203" t="str">
        <f t="shared" si="1"/>
        <v>#REF!</v>
      </c>
    </row>
    <row r="78">
      <c r="A78" s="203" t="str">
        <f t="shared" si="1"/>
        <v>#REF!</v>
      </c>
    </row>
    <row r="79">
      <c r="A79" s="203" t="str">
        <f t="shared" si="1"/>
        <v>#REF!</v>
      </c>
    </row>
    <row r="80">
      <c r="A80" s="203" t="str">
        <f t="shared" si="1"/>
        <v>#REF!</v>
      </c>
    </row>
    <row r="81">
      <c r="A81" s="203" t="str">
        <f t="shared" si="1"/>
        <v>#REF!</v>
      </c>
    </row>
    <row r="82">
      <c r="A82" s="203" t="str">
        <f t="shared" si="1"/>
        <v>#REF!</v>
      </c>
    </row>
    <row r="83">
      <c r="A83" s="203" t="str">
        <f t="shared" si="1"/>
        <v>#REF!</v>
      </c>
    </row>
    <row r="84">
      <c r="A84" s="203" t="str">
        <f t="shared" si="1"/>
        <v>#REF!</v>
      </c>
    </row>
    <row r="85">
      <c r="A85" s="203" t="str">
        <f t="shared" si="1"/>
        <v>#REF!</v>
      </c>
    </row>
    <row r="86">
      <c r="A86" s="203" t="str">
        <f t="shared" si="1"/>
        <v>#REF!</v>
      </c>
    </row>
    <row r="87">
      <c r="A87" s="203" t="str">
        <f t="shared" si="1"/>
        <v>#REF!</v>
      </c>
    </row>
    <row r="88">
      <c r="A88" s="203" t="str">
        <f t="array" ref="A88">TRANSPOSE(INDIRECT(SWITCH(Clubs!B13,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89">
      <c r="A89" s="203" t="str">
        <f t="array" ref="A89">TRANSPOSE(INDIRECT(SWITCH(Clubs!B14,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90">
      <c r="A90" s="203" t="str">
        <f t="array" ref="A90">TRANSPOSE(INDIRECT(SWITCH(Clubs!B15,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03" t="str">
        <f t="array" ref="A5:S5">TRANSPOSE(INDIRECT(SWITCH(Routes!B5,
"Nature &amp; Wildlife Exploration","highlightsnature",
"Coastal Adventures","highlightscoastal",
"Rideable Routes","highlightswheels",
"Scenic Walks &amp; Trails","highlightswalks"
)))</f>
        <v>Waterfalls</v>
      </c>
      <c r="B5" s="203" t="s">
        <v>1877</v>
      </c>
      <c r="C5" s="203" t="s">
        <v>1878</v>
      </c>
      <c r="D5" s="203" t="s">
        <v>1879</v>
      </c>
      <c r="E5" s="203" t="s">
        <v>1880</v>
      </c>
      <c r="F5" s="203" t="s">
        <v>1881</v>
      </c>
      <c r="G5" s="203" t="s">
        <v>1882</v>
      </c>
      <c r="H5" s="203" t="s">
        <v>1883</v>
      </c>
      <c r="I5" s="203" t="s">
        <v>1884</v>
      </c>
      <c r="J5" s="203" t="s">
        <v>1885</v>
      </c>
      <c r="K5" s="203" t="s">
        <v>1886</v>
      </c>
      <c r="L5" s="203" t="s">
        <v>1887</v>
      </c>
      <c r="M5" s="203" t="s">
        <v>1122</v>
      </c>
      <c r="N5" s="203" t="s">
        <v>1889</v>
      </c>
      <c r="O5" s="203" t="s">
        <v>1890</v>
      </c>
      <c r="P5" s="203" t="s">
        <v>1892</v>
      </c>
      <c r="Q5" s="203" t="s">
        <v>1893</v>
      </c>
      <c r="R5" s="203" t="s">
        <v>1894</v>
      </c>
      <c r="S5" s="203" t="s">
        <v>1142</v>
      </c>
    </row>
    <row r="6">
      <c r="A6" s="203" t="str">
        <f t="array" ref="A6:S6">TRANSPOSE(INDIRECT(SWITCH(Routes!B6,
"Nature &amp; Wildlife Exploration","highlightsnature",
"Coastal Adventures","highlightscoastal",
"Rideable Routes","highlightswheels",
"Scenic Walks &amp; Trails","highlightswalks"
)))</f>
        <v>Waterfalls</v>
      </c>
      <c r="B6" s="203" t="s">
        <v>1877</v>
      </c>
      <c r="C6" s="203" t="s">
        <v>1878</v>
      </c>
      <c r="D6" s="203" t="s">
        <v>1879</v>
      </c>
      <c r="E6" s="203" t="s">
        <v>1880</v>
      </c>
      <c r="F6" s="203" t="s">
        <v>1881</v>
      </c>
      <c r="G6" s="203" t="s">
        <v>1882</v>
      </c>
      <c r="H6" s="203" t="s">
        <v>1883</v>
      </c>
      <c r="I6" s="203" t="s">
        <v>1884</v>
      </c>
      <c r="J6" s="203" t="s">
        <v>1885</v>
      </c>
      <c r="K6" s="203" t="s">
        <v>1886</v>
      </c>
      <c r="L6" s="203" t="s">
        <v>1887</v>
      </c>
      <c r="M6" s="203" t="s">
        <v>1122</v>
      </c>
      <c r="N6" s="203" t="s">
        <v>1889</v>
      </c>
      <c r="O6" s="203" t="s">
        <v>1890</v>
      </c>
      <c r="P6" s="203" t="s">
        <v>1892</v>
      </c>
      <c r="Q6" s="203" t="s">
        <v>1893</v>
      </c>
      <c r="R6" s="203" t="s">
        <v>1894</v>
      </c>
      <c r="S6" s="203" t="s">
        <v>1142</v>
      </c>
    </row>
    <row r="7">
      <c r="A7" s="203" t="str">
        <f t="array" ref="A7:S7">TRANSPOSE(INDIRECT(SWITCH(Routes!B7,
"Nature &amp; Wildlife Exploration","highlightsnature",
"Coastal Adventures","highlightscoastal",
"Rideable Routes","highlightswheels",
"Scenic Walks &amp; Trails","highlightswalks"
)))</f>
        <v>Waterfalls</v>
      </c>
      <c r="B7" s="203" t="s">
        <v>1877</v>
      </c>
      <c r="C7" s="203" t="s">
        <v>1878</v>
      </c>
      <c r="D7" s="203" t="s">
        <v>1879</v>
      </c>
      <c r="E7" s="203" t="s">
        <v>1880</v>
      </c>
      <c r="F7" s="203" t="s">
        <v>1881</v>
      </c>
      <c r="G7" s="203" t="s">
        <v>1882</v>
      </c>
      <c r="H7" s="203" t="s">
        <v>1883</v>
      </c>
      <c r="I7" s="203" t="s">
        <v>1884</v>
      </c>
      <c r="J7" s="203" t="s">
        <v>1885</v>
      </c>
      <c r="K7" s="203" t="s">
        <v>1886</v>
      </c>
      <c r="L7" s="203" t="s">
        <v>1887</v>
      </c>
      <c r="M7" s="203" t="s">
        <v>1122</v>
      </c>
      <c r="N7" s="203" t="s">
        <v>1889</v>
      </c>
      <c r="O7" s="203" t="s">
        <v>1890</v>
      </c>
      <c r="P7" s="203" t="s">
        <v>1892</v>
      </c>
      <c r="Q7" s="203" t="s">
        <v>1893</v>
      </c>
      <c r="R7" s="203" t="s">
        <v>1894</v>
      </c>
      <c r="S7" s="203" t="s">
        <v>1142</v>
      </c>
    </row>
    <row r="8">
      <c r="A8" s="203" t="str">
        <f t="array" ref="A8:S8">TRANSPOSE(INDIRECT(SWITCH(Routes!B8,
"Nature &amp; Wildlife Exploration","highlightsnature",
"Coastal Adventures","highlightscoastal",
"Rideable Routes","highlightswheels",
"Scenic Walks &amp; Trails","highlightswalks"
)))</f>
        <v>Waterfalls</v>
      </c>
      <c r="B8" s="203" t="s">
        <v>1877</v>
      </c>
      <c r="C8" s="203" t="s">
        <v>1878</v>
      </c>
      <c r="D8" s="203" t="s">
        <v>1879</v>
      </c>
      <c r="E8" s="203" t="s">
        <v>1880</v>
      </c>
      <c r="F8" s="203" t="s">
        <v>1881</v>
      </c>
      <c r="G8" s="203" t="s">
        <v>1882</v>
      </c>
      <c r="H8" s="203" t="s">
        <v>1883</v>
      </c>
      <c r="I8" s="203" t="s">
        <v>1884</v>
      </c>
      <c r="J8" s="203" t="s">
        <v>1885</v>
      </c>
      <c r="K8" s="203" t="s">
        <v>1886</v>
      </c>
      <c r="L8" s="203" t="s">
        <v>1887</v>
      </c>
      <c r="M8" s="203" t="s">
        <v>1122</v>
      </c>
      <c r="N8" s="203" t="s">
        <v>1889</v>
      </c>
      <c r="O8" s="203" t="s">
        <v>1890</v>
      </c>
      <c r="P8" s="203" t="s">
        <v>1892</v>
      </c>
      <c r="Q8" s="203" t="s">
        <v>1893</v>
      </c>
      <c r="R8" s="203" t="s">
        <v>1894</v>
      </c>
      <c r="S8" s="203" t="s">
        <v>1142</v>
      </c>
    </row>
    <row r="9">
      <c r="A9" s="203" t="str">
        <f t="array" ref="A9:S9">TRANSPOSE(INDIRECT(SWITCH(Routes!B9,
"Nature &amp; Wildlife Exploration","highlightsnature",
"Coastal Adventures","highlightscoastal",
"Rideable Routes","highlightswheels",
"Scenic Walks &amp; Trails","highlightswalks"
)))</f>
        <v>Waterfalls</v>
      </c>
      <c r="B9" s="203" t="s">
        <v>1877</v>
      </c>
      <c r="C9" s="203" t="s">
        <v>1878</v>
      </c>
      <c r="D9" s="203" t="s">
        <v>1879</v>
      </c>
      <c r="E9" s="203" t="s">
        <v>1880</v>
      </c>
      <c r="F9" s="203" t="s">
        <v>1881</v>
      </c>
      <c r="G9" s="203" t="s">
        <v>1882</v>
      </c>
      <c r="H9" s="203" t="s">
        <v>1883</v>
      </c>
      <c r="I9" s="203" t="s">
        <v>1884</v>
      </c>
      <c r="J9" s="203" t="s">
        <v>1885</v>
      </c>
      <c r="K9" s="203" t="s">
        <v>1886</v>
      </c>
      <c r="L9" s="203" t="s">
        <v>1887</v>
      </c>
      <c r="M9" s="203" t="s">
        <v>1122</v>
      </c>
      <c r="N9" s="203" t="s">
        <v>1889</v>
      </c>
      <c r="O9" s="203" t="s">
        <v>1890</v>
      </c>
      <c r="P9" s="203" t="s">
        <v>1892</v>
      </c>
      <c r="Q9" s="203" t="s">
        <v>1893</v>
      </c>
      <c r="R9" s="203" t="s">
        <v>1894</v>
      </c>
      <c r="S9" s="203" t="s">
        <v>1142</v>
      </c>
    </row>
    <row r="10">
      <c r="A10" s="203" t="str">
        <f t="array" ref="A10:R10">TRANSPOSE(INDIRECT(SWITCH(Routes!B10,
"Nature &amp; Wildlife Exploration","highlightsnature",
"Coastal Adventures","highlightscoastal",
"Rideable Routes","highlightswheels",
"Scenic Walks &amp; Trails","highlightswalks"
)))</f>
        <v>Traffic-free sections</v>
      </c>
      <c r="B10" s="203" t="s">
        <v>1919</v>
      </c>
      <c r="C10" s="203" t="s">
        <v>1921</v>
      </c>
      <c r="D10" s="203" t="s">
        <v>1922</v>
      </c>
      <c r="E10" s="203" t="s">
        <v>1923</v>
      </c>
      <c r="F10" s="203" t="s">
        <v>1924</v>
      </c>
      <c r="G10" s="203" t="s">
        <v>1925</v>
      </c>
      <c r="H10" s="203" t="s">
        <v>1926</v>
      </c>
      <c r="I10" s="203" t="s">
        <v>1927</v>
      </c>
      <c r="J10" s="203" t="s">
        <v>1928</v>
      </c>
      <c r="K10" s="203" t="s">
        <v>1929</v>
      </c>
      <c r="L10" s="203" t="s">
        <v>1930</v>
      </c>
      <c r="M10" s="203" t="s">
        <v>1931</v>
      </c>
      <c r="N10" s="203" t="s">
        <v>1932</v>
      </c>
      <c r="O10" s="203" t="s">
        <v>1933</v>
      </c>
      <c r="P10" s="203" t="s">
        <v>1934</v>
      </c>
      <c r="Q10" s="203" t="s">
        <v>1935</v>
      </c>
      <c r="R10" s="203" t="s">
        <v>1937</v>
      </c>
    </row>
    <row r="11">
      <c r="A11" s="203" t="str">
        <f t="array" ref="A11:S11">TRANSPOSE(INDIRECT(SWITCH(Routes!B11,
"Nature &amp; Wildlife Exploration","highlightsnature",
"Coastal Adventures","highlightscoastal",
"Rideable Routes","highlightswheels",
"Scenic Walks &amp; Trails","highlightswalks"
)))</f>
        <v>Waterfalls</v>
      </c>
      <c r="B11" s="203" t="s">
        <v>1877</v>
      </c>
      <c r="C11" s="203" t="s">
        <v>1878</v>
      </c>
      <c r="D11" s="203" t="s">
        <v>1879</v>
      </c>
      <c r="E11" s="203" t="s">
        <v>1880</v>
      </c>
      <c r="F11" s="203" t="s">
        <v>1881</v>
      </c>
      <c r="G11" s="203" t="s">
        <v>1882</v>
      </c>
      <c r="H11" s="203" t="s">
        <v>1883</v>
      </c>
      <c r="I11" s="203" t="s">
        <v>1884</v>
      </c>
      <c r="J11" s="203" t="s">
        <v>1885</v>
      </c>
      <c r="K11" s="203" t="s">
        <v>1886</v>
      </c>
      <c r="L11" s="203" t="s">
        <v>1887</v>
      </c>
      <c r="M11" s="203" t="s">
        <v>1122</v>
      </c>
      <c r="N11" s="203" t="s">
        <v>1889</v>
      </c>
      <c r="O11" s="203" t="s">
        <v>1890</v>
      </c>
      <c r="P11" s="203" t="s">
        <v>1892</v>
      </c>
      <c r="Q11" s="203" t="s">
        <v>1893</v>
      </c>
      <c r="R11" s="203" t="s">
        <v>1894</v>
      </c>
      <c r="S11" s="203" t="s">
        <v>1142</v>
      </c>
    </row>
    <row r="12">
      <c r="A12" s="203" t="str">
        <f t="array" ref="A12:S12">TRANSPOSE(INDIRECT(SWITCH(Routes!B12,
"Nature &amp; Wildlife Exploration","highlightsnature",
"Coastal Adventures","highlightscoastal",
"Rideable Routes","highlightswheels",
"Scenic Walks &amp; Trails","highlightswalks"
)))</f>
        <v>Waterfalls</v>
      </c>
      <c r="B12" s="203" t="s">
        <v>1877</v>
      </c>
      <c r="C12" s="203" t="s">
        <v>1878</v>
      </c>
      <c r="D12" s="203" t="s">
        <v>1879</v>
      </c>
      <c r="E12" s="203" t="s">
        <v>1880</v>
      </c>
      <c r="F12" s="203" t="s">
        <v>1881</v>
      </c>
      <c r="G12" s="203" t="s">
        <v>1882</v>
      </c>
      <c r="H12" s="203" t="s">
        <v>1883</v>
      </c>
      <c r="I12" s="203" t="s">
        <v>1884</v>
      </c>
      <c r="J12" s="203" t="s">
        <v>1885</v>
      </c>
      <c r="K12" s="203" t="s">
        <v>1886</v>
      </c>
      <c r="L12" s="203" t="s">
        <v>1887</v>
      </c>
      <c r="M12" s="203" t="s">
        <v>1122</v>
      </c>
      <c r="N12" s="203" t="s">
        <v>1889</v>
      </c>
      <c r="O12" s="203" t="s">
        <v>1890</v>
      </c>
      <c r="P12" s="203" t="s">
        <v>1892</v>
      </c>
      <c r="Q12" s="203" t="s">
        <v>1893</v>
      </c>
      <c r="R12" s="203" t="s">
        <v>1894</v>
      </c>
      <c r="S12" s="203" t="s">
        <v>1142</v>
      </c>
    </row>
    <row r="13">
      <c r="A13" s="203" t="str">
        <f t="array" ref="A13:S13">TRANSPOSE(INDIRECT(SWITCH(Routes!B13,
"Nature &amp; Wildlife Exploration","highlightsnature",
"Coastal Adventures","highlightscoastal",
"Rideable Routes","highlightswheels",
"Scenic Walks &amp; Trails","highlightswalks"
)))</f>
        <v>Waterfalls</v>
      </c>
      <c r="B13" s="203" t="s">
        <v>1877</v>
      </c>
      <c r="C13" s="203" t="s">
        <v>1878</v>
      </c>
      <c r="D13" s="203" t="s">
        <v>1879</v>
      </c>
      <c r="E13" s="203" t="s">
        <v>1880</v>
      </c>
      <c r="F13" s="203" t="s">
        <v>1881</v>
      </c>
      <c r="G13" s="203" t="s">
        <v>1882</v>
      </c>
      <c r="H13" s="203" t="s">
        <v>1883</v>
      </c>
      <c r="I13" s="203" t="s">
        <v>1884</v>
      </c>
      <c r="J13" s="203" t="s">
        <v>1885</v>
      </c>
      <c r="K13" s="203" t="s">
        <v>1886</v>
      </c>
      <c r="L13" s="203" t="s">
        <v>1887</v>
      </c>
      <c r="M13" s="203" t="s">
        <v>1122</v>
      </c>
      <c r="N13" s="203" t="s">
        <v>1889</v>
      </c>
      <c r="O13" s="203" t="s">
        <v>1890</v>
      </c>
      <c r="P13" s="203" t="s">
        <v>1892</v>
      </c>
      <c r="Q13" s="203" t="s">
        <v>1893</v>
      </c>
      <c r="R13" s="203" t="s">
        <v>1894</v>
      </c>
      <c r="S13" s="203" t="s">
        <v>1142</v>
      </c>
    </row>
    <row r="14">
      <c r="A14" s="203" t="str">
        <f t="array" ref="A14:S14">TRANSPOSE(INDIRECT(SWITCH(Routes!B14,
"Nature &amp; Wildlife Exploration","highlightsnature",
"Coastal Adventures","highlightscoastal",
"Rideable Routes","highlightswheels",
"Scenic Walks &amp; Trails","highlightswalks"
)))</f>
        <v>Waterfalls</v>
      </c>
      <c r="B14" s="203" t="s">
        <v>1877</v>
      </c>
      <c r="C14" s="203" t="s">
        <v>1878</v>
      </c>
      <c r="D14" s="203" t="s">
        <v>1879</v>
      </c>
      <c r="E14" s="203" t="s">
        <v>1880</v>
      </c>
      <c r="F14" s="203" t="s">
        <v>1881</v>
      </c>
      <c r="G14" s="203" t="s">
        <v>1882</v>
      </c>
      <c r="H14" s="203" t="s">
        <v>1883</v>
      </c>
      <c r="I14" s="203" t="s">
        <v>1884</v>
      </c>
      <c r="J14" s="203" t="s">
        <v>1885</v>
      </c>
      <c r="K14" s="203" t="s">
        <v>1886</v>
      </c>
      <c r="L14" s="203" t="s">
        <v>1887</v>
      </c>
      <c r="M14" s="203" t="s">
        <v>1122</v>
      </c>
      <c r="N14" s="203" t="s">
        <v>1889</v>
      </c>
      <c r="O14" s="203" t="s">
        <v>1890</v>
      </c>
      <c r="P14" s="203" t="s">
        <v>1892</v>
      </c>
      <c r="Q14" s="203" t="s">
        <v>1893</v>
      </c>
      <c r="R14" s="203" t="s">
        <v>1894</v>
      </c>
      <c r="S14" s="203" t="s">
        <v>1142</v>
      </c>
    </row>
    <row r="15">
      <c r="A15" s="203" t="str">
        <f t="array" ref="A15:S15">TRANSPOSE(INDIRECT(SWITCH(Routes!B15,
"Nature &amp; Wildlife Exploration","highlightsnature",
"Coastal Adventures","highlightscoastal",
"Rideable Routes","highlightswheels",
"Scenic Walks &amp; Trails","highlightswalks"
)))</f>
        <v>Waterfalls</v>
      </c>
      <c r="B15" s="203" t="s">
        <v>1877</v>
      </c>
      <c r="C15" s="203" t="s">
        <v>1878</v>
      </c>
      <c r="D15" s="203" t="s">
        <v>1879</v>
      </c>
      <c r="E15" s="203" t="s">
        <v>1880</v>
      </c>
      <c r="F15" s="203" t="s">
        <v>1881</v>
      </c>
      <c r="G15" s="203" t="s">
        <v>1882</v>
      </c>
      <c r="H15" s="203" t="s">
        <v>1883</v>
      </c>
      <c r="I15" s="203" t="s">
        <v>1884</v>
      </c>
      <c r="J15" s="203" t="s">
        <v>1885</v>
      </c>
      <c r="K15" s="203" t="s">
        <v>1886</v>
      </c>
      <c r="L15" s="203" t="s">
        <v>1887</v>
      </c>
      <c r="M15" s="203" t="s">
        <v>1122</v>
      </c>
      <c r="N15" s="203" t="s">
        <v>1889</v>
      </c>
      <c r="O15" s="203" t="s">
        <v>1890</v>
      </c>
      <c r="P15" s="203" t="s">
        <v>1892</v>
      </c>
      <c r="Q15" s="203" t="s">
        <v>1893</v>
      </c>
      <c r="R15" s="203" t="s">
        <v>1894</v>
      </c>
      <c r="S15" s="203" t="s">
        <v>1142</v>
      </c>
    </row>
    <row r="16">
      <c r="A16" s="203" t="str">
        <f t="array" ref="A16:S16">TRANSPOSE(INDIRECT(SWITCH(Routes!B16,
"Nature &amp; Wildlife Exploration","highlightsnature",
"Coastal Adventures","highlightscoastal",
"Rideable Routes","highlightswheels",
"Scenic Walks &amp; Trails","highlightswalks"
)))</f>
        <v>Waterfalls</v>
      </c>
      <c r="B16" s="203" t="s">
        <v>1877</v>
      </c>
      <c r="C16" s="203" t="s">
        <v>1878</v>
      </c>
      <c r="D16" s="203" t="s">
        <v>1879</v>
      </c>
      <c r="E16" s="203" t="s">
        <v>1880</v>
      </c>
      <c r="F16" s="203" t="s">
        <v>1881</v>
      </c>
      <c r="G16" s="203" t="s">
        <v>1882</v>
      </c>
      <c r="H16" s="203" t="s">
        <v>1883</v>
      </c>
      <c r="I16" s="203" t="s">
        <v>1884</v>
      </c>
      <c r="J16" s="203" t="s">
        <v>1885</v>
      </c>
      <c r="K16" s="203" t="s">
        <v>1886</v>
      </c>
      <c r="L16" s="203" t="s">
        <v>1887</v>
      </c>
      <c r="M16" s="203" t="s">
        <v>1122</v>
      </c>
      <c r="N16" s="203" t="s">
        <v>1889</v>
      </c>
      <c r="O16" s="203" t="s">
        <v>1890</v>
      </c>
      <c r="P16" s="203" t="s">
        <v>1892</v>
      </c>
      <c r="Q16" s="203" t="s">
        <v>1893</v>
      </c>
      <c r="R16" s="203" t="s">
        <v>1894</v>
      </c>
      <c r="S16" s="203" t="s">
        <v>1142</v>
      </c>
    </row>
    <row r="17">
      <c r="A17" s="203" t="str">
        <f t="array" ref="A17:S17">TRANSPOSE(INDIRECT(SWITCH(Routes!B17,
"Nature &amp; Wildlife Exploration","highlightsnature",
"Coastal Adventures","highlightscoastal",
"Rideable Routes","highlightswheels",
"Scenic Walks &amp; Trails","highlightswalks"
)))</f>
        <v>Waterfalls</v>
      </c>
      <c r="B17" s="203" t="s">
        <v>1877</v>
      </c>
      <c r="C17" s="203" t="s">
        <v>1878</v>
      </c>
      <c r="D17" s="203" t="s">
        <v>1879</v>
      </c>
      <c r="E17" s="203" t="s">
        <v>1880</v>
      </c>
      <c r="F17" s="203" t="s">
        <v>1881</v>
      </c>
      <c r="G17" s="203" t="s">
        <v>1882</v>
      </c>
      <c r="H17" s="203" t="s">
        <v>1883</v>
      </c>
      <c r="I17" s="203" t="s">
        <v>1884</v>
      </c>
      <c r="J17" s="203" t="s">
        <v>1885</v>
      </c>
      <c r="K17" s="203" t="s">
        <v>1886</v>
      </c>
      <c r="L17" s="203" t="s">
        <v>1887</v>
      </c>
      <c r="M17" s="203" t="s">
        <v>1122</v>
      </c>
      <c r="N17" s="203" t="s">
        <v>1889</v>
      </c>
      <c r="O17" s="203" t="s">
        <v>1890</v>
      </c>
      <c r="P17" s="203" t="s">
        <v>1892</v>
      </c>
      <c r="Q17" s="203" t="s">
        <v>1893</v>
      </c>
      <c r="R17" s="203" t="s">
        <v>1894</v>
      </c>
      <c r="S17" s="203" t="s">
        <v>1142</v>
      </c>
    </row>
    <row r="18">
      <c r="A18" s="203" t="str">
        <f t="array" ref="A18:S18">TRANSPOSE(INDIRECT(SWITCH(Routes!B18,
"Nature &amp; Wildlife Exploration","highlightsnature",
"Coastal Adventures","highlightscoastal",
"Rideable Routes","highlightswheels",
"Scenic Walks &amp; Trails","highlightswalks"
)))</f>
        <v>Waterfalls</v>
      </c>
      <c r="B18" s="203" t="s">
        <v>1877</v>
      </c>
      <c r="C18" s="203" t="s">
        <v>1878</v>
      </c>
      <c r="D18" s="203" t="s">
        <v>1879</v>
      </c>
      <c r="E18" s="203" t="s">
        <v>1880</v>
      </c>
      <c r="F18" s="203" t="s">
        <v>1881</v>
      </c>
      <c r="G18" s="203" t="s">
        <v>1882</v>
      </c>
      <c r="H18" s="203" t="s">
        <v>1883</v>
      </c>
      <c r="I18" s="203" t="s">
        <v>1884</v>
      </c>
      <c r="J18" s="203" t="s">
        <v>1885</v>
      </c>
      <c r="K18" s="203" t="s">
        <v>1886</v>
      </c>
      <c r="L18" s="203" t="s">
        <v>1887</v>
      </c>
      <c r="M18" s="203" t="s">
        <v>1122</v>
      </c>
      <c r="N18" s="203" t="s">
        <v>1889</v>
      </c>
      <c r="O18" s="203" t="s">
        <v>1890</v>
      </c>
      <c r="P18" s="203" t="s">
        <v>1892</v>
      </c>
      <c r="Q18" s="203" t="s">
        <v>1893</v>
      </c>
      <c r="R18" s="203" t="s">
        <v>1894</v>
      </c>
      <c r="S18" s="203" t="s">
        <v>1142</v>
      </c>
    </row>
    <row r="19">
      <c r="A19" s="203" t="str">
        <f t="array" ref="A19:S19">TRANSPOSE(INDIRECT(SWITCH(Routes!B19,
"Nature &amp; Wildlife Exploration","highlightsnature",
"Coastal Adventures","highlightscoastal",
"Rideable Routes","highlightswheels",
"Scenic Walks &amp; Trails","highlightswalks"
)))</f>
        <v>Waterfalls</v>
      </c>
      <c r="B19" s="203" t="s">
        <v>1877</v>
      </c>
      <c r="C19" s="203" t="s">
        <v>1878</v>
      </c>
      <c r="D19" s="203" t="s">
        <v>1879</v>
      </c>
      <c r="E19" s="203" t="s">
        <v>1880</v>
      </c>
      <c r="F19" s="203" t="s">
        <v>1881</v>
      </c>
      <c r="G19" s="203" t="s">
        <v>1882</v>
      </c>
      <c r="H19" s="203" t="s">
        <v>1883</v>
      </c>
      <c r="I19" s="203" t="s">
        <v>1884</v>
      </c>
      <c r="J19" s="203" t="s">
        <v>1885</v>
      </c>
      <c r="K19" s="203" t="s">
        <v>1886</v>
      </c>
      <c r="L19" s="203" t="s">
        <v>1887</v>
      </c>
      <c r="M19" s="203" t="s">
        <v>1122</v>
      </c>
      <c r="N19" s="203" t="s">
        <v>1889</v>
      </c>
      <c r="O19" s="203" t="s">
        <v>1890</v>
      </c>
      <c r="P19" s="203" t="s">
        <v>1892</v>
      </c>
      <c r="Q19" s="203" t="s">
        <v>1893</v>
      </c>
      <c r="R19" s="203" t="s">
        <v>1894</v>
      </c>
      <c r="S19" s="203" t="s">
        <v>1142</v>
      </c>
    </row>
    <row r="20">
      <c r="A20" s="203" t="str">
        <f t="array" ref="A20:R20">TRANSPOSE(INDIRECT(SWITCH(Routes!B20,
"Nature &amp; Wildlife Exploration","highlightsnature",
"Coastal Adventures","highlightscoastal",
"Rideable Routes","highlightswheels",
"Scenic Walks &amp; Trails","highlightswalks"
)))</f>
        <v>Traffic-free sections</v>
      </c>
      <c r="B20" s="203" t="s">
        <v>1919</v>
      </c>
      <c r="C20" s="203" t="s">
        <v>1921</v>
      </c>
      <c r="D20" s="203" t="s">
        <v>1922</v>
      </c>
      <c r="E20" s="203" t="s">
        <v>1923</v>
      </c>
      <c r="F20" s="203" t="s">
        <v>1924</v>
      </c>
      <c r="G20" s="203" t="s">
        <v>1925</v>
      </c>
      <c r="H20" s="203" t="s">
        <v>1926</v>
      </c>
      <c r="I20" s="203" t="s">
        <v>1927</v>
      </c>
      <c r="J20" s="203" t="s">
        <v>1928</v>
      </c>
      <c r="K20" s="203" t="s">
        <v>1929</v>
      </c>
      <c r="L20" s="203" t="s">
        <v>1930</v>
      </c>
      <c r="M20" s="203" t="s">
        <v>1931</v>
      </c>
      <c r="N20" s="203" t="s">
        <v>1932</v>
      </c>
      <c r="O20" s="203" t="s">
        <v>1933</v>
      </c>
      <c r="P20" s="203" t="s">
        <v>1934</v>
      </c>
      <c r="Q20" s="203" t="s">
        <v>1935</v>
      </c>
      <c r="R20" s="203" t="s">
        <v>1937</v>
      </c>
    </row>
    <row r="21">
      <c r="A21" s="203" t="str">
        <f t="array" ref="A21:S21">TRANSPOSE(INDIRECT(SWITCH(Routes!B21,
"Nature &amp; Wildlife Exploration","highlightsnature",
"Coastal Adventures","highlightscoastal",
"Rideable Routes","highlightswheels",
"Scenic Walks &amp; Trails","highlightswalks"
)))</f>
        <v>Waterfalls</v>
      </c>
      <c r="B21" s="203" t="s">
        <v>1877</v>
      </c>
      <c r="C21" s="203" t="s">
        <v>1878</v>
      </c>
      <c r="D21" s="203" t="s">
        <v>1879</v>
      </c>
      <c r="E21" s="203" t="s">
        <v>1880</v>
      </c>
      <c r="F21" s="203" t="s">
        <v>1881</v>
      </c>
      <c r="G21" s="203" t="s">
        <v>1882</v>
      </c>
      <c r="H21" s="203" t="s">
        <v>1883</v>
      </c>
      <c r="I21" s="203" t="s">
        <v>1884</v>
      </c>
      <c r="J21" s="203" t="s">
        <v>1885</v>
      </c>
      <c r="K21" s="203" t="s">
        <v>1886</v>
      </c>
      <c r="L21" s="203" t="s">
        <v>1887</v>
      </c>
      <c r="M21" s="203" t="s">
        <v>1122</v>
      </c>
      <c r="N21" s="203" t="s">
        <v>1889</v>
      </c>
      <c r="O21" s="203" t="s">
        <v>1890</v>
      </c>
      <c r="P21" s="203" t="s">
        <v>1892</v>
      </c>
      <c r="Q21" s="203" t="s">
        <v>1893</v>
      </c>
      <c r="R21" s="203" t="s">
        <v>1894</v>
      </c>
      <c r="S21" s="203" t="s">
        <v>1142</v>
      </c>
    </row>
    <row r="22">
      <c r="A22" s="203" t="str">
        <f t="array" ref="A22:R22">TRANSPOSE(INDIRECT(SWITCH(Routes!B22,
"Nature &amp; Wildlife Exploration","highlightsnature",
"Coastal Adventures","highlightscoastal",
"Rideable Routes","highlightswheels",
"Scenic Walks &amp; Trails","highlightswalks"
)))</f>
        <v>Traffic-free sections</v>
      </c>
      <c r="B22" s="203" t="s">
        <v>1919</v>
      </c>
      <c r="C22" s="203" t="s">
        <v>1921</v>
      </c>
      <c r="D22" s="203" t="s">
        <v>1922</v>
      </c>
      <c r="E22" s="203" t="s">
        <v>1923</v>
      </c>
      <c r="F22" s="203" t="s">
        <v>1924</v>
      </c>
      <c r="G22" s="203" t="s">
        <v>1925</v>
      </c>
      <c r="H22" s="203" t="s">
        <v>1926</v>
      </c>
      <c r="I22" s="203" t="s">
        <v>1927</v>
      </c>
      <c r="J22" s="203" t="s">
        <v>1928</v>
      </c>
      <c r="K22" s="203" t="s">
        <v>1929</v>
      </c>
      <c r="L22" s="203" t="s">
        <v>1930</v>
      </c>
      <c r="M22" s="203" t="s">
        <v>1931</v>
      </c>
      <c r="N22" s="203" t="s">
        <v>1932</v>
      </c>
      <c r="O22" s="203" t="s">
        <v>1933</v>
      </c>
      <c r="P22" s="203" t="s">
        <v>1934</v>
      </c>
      <c r="Q22" s="203" t="s">
        <v>1935</v>
      </c>
      <c r="R22" s="203" t="s">
        <v>1937</v>
      </c>
    </row>
    <row r="23">
      <c r="A23" s="203" t="str">
        <f t="array" ref="A23:R23">TRANSPOSE(INDIRECT(SWITCH(Routes!B23,
"Nature &amp; Wildlife Exploration","highlightsnature",
"Coastal Adventures","highlightscoastal",
"Rideable Routes","highlightswheels",
"Scenic Walks &amp; Trails","highlightswalks"
)))</f>
        <v>Traffic-free sections</v>
      </c>
      <c r="B23" s="203" t="s">
        <v>1919</v>
      </c>
      <c r="C23" s="203" t="s">
        <v>1921</v>
      </c>
      <c r="D23" s="203" t="s">
        <v>1922</v>
      </c>
      <c r="E23" s="203" t="s">
        <v>1923</v>
      </c>
      <c r="F23" s="203" t="s">
        <v>1924</v>
      </c>
      <c r="G23" s="203" t="s">
        <v>1925</v>
      </c>
      <c r="H23" s="203" t="s">
        <v>1926</v>
      </c>
      <c r="I23" s="203" t="s">
        <v>1927</v>
      </c>
      <c r="J23" s="203" t="s">
        <v>1928</v>
      </c>
      <c r="K23" s="203" t="s">
        <v>1929</v>
      </c>
      <c r="L23" s="203" t="s">
        <v>1930</v>
      </c>
      <c r="M23" s="203" t="s">
        <v>1931</v>
      </c>
      <c r="N23" s="203" t="s">
        <v>1932</v>
      </c>
      <c r="O23" s="203" t="s">
        <v>1933</v>
      </c>
      <c r="P23" s="203" t="s">
        <v>1934</v>
      </c>
      <c r="Q23" s="203" t="s">
        <v>1935</v>
      </c>
      <c r="R23" s="203" t="s">
        <v>1937</v>
      </c>
    </row>
    <row r="24">
      <c r="A24" s="203" t="str">
        <f t="array" ref="A24:R24">TRANSPOSE(INDIRECT(SWITCH(Routes!B24,
"Nature &amp; Wildlife Exploration","highlightsnature",
"Coastal Adventures","highlightscoastal",
"Rideable Routes","highlightswheels",
"Scenic Walks &amp; Trails","highlightswalks"
)))</f>
        <v>Traffic-free sections</v>
      </c>
      <c r="B24" s="203" t="s">
        <v>1919</v>
      </c>
      <c r="C24" s="203" t="s">
        <v>1921</v>
      </c>
      <c r="D24" s="203" t="s">
        <v>1922</v>
      </c>
      <c r="E24" s="203" t="s">
        <v>1923</v>
      </c>
      <c r="F24" s="203" t="s">
        <v>1924</v>
      </c>
      <c r="G24" s="203" t="s">
        <v>1925</v>
      </c>
      <c r="H24" s="203" t="s">
        <v>1926</v>
      </c>
      <c r="I24" s="203" t="s">
        <v>1927</v>
      </c>
      <c r="J24" s="203" t="s">
        <v>1928</v>
      </c>
      <c r="K24" s="203" t="s">
        <v>1929</v>
      </c>
      <c r="L24" s="203" t="s">
        <v>1930</v>
      </c>
      <c r="M24" s="203" t="s">
        <v>1931</v>
      </c>
      <c r="N24" s="203" t="s">
        <v>1932</v>
      </c>
      <c r="O24" s="203" t="s">
        <v>1933</v>
      </c>
      <c r="P24" s="203" t="s">
        <v>1934</v>
      </c>
      <c r="Q24" s="203" t="s">
        <v>1935</v>
      </c>
      <c r="R24" s="203" t="s">
        <v>1937</v>
      </c>
    </row>
    <row r="25">
      <c r="A25" s="203" t="str">
        <f t="array" ref="A25:R25">TRANSPOSE(INDIRECT(SWITCH(Routes!B25,
"Nature &amp; Wildlife Exploration","highlightsnature",
"Coastal Adventures","highlightscoastal",
"Rideable Routes","highlightswheels",
"Scenic Walks &amp; Trails","highlightswalks"
)))</f>
        <v>Traffic-free sections</v>
      </c>
      <c r="B25" s="203" t="s">
        <v>1919</v>
      </c>
      <c r="C25" s="203" t="s">
        <v>1921</v>
      </c>
      <c r="D25" s="203" t="s">
        <v>1922</v>
      </c>
      <c r="E25" s="203" t="s">
        <v>1923</v>
      </c>
      <c r="F25" s="203" t="s">
        <v>1924</v>
      </c>
      <c r="G25" s="203" t="s">
        <v>1925</v>
      </c>
      <c r="H25" s="203" t="s">
        <v>1926</v>
      </c>
      <c r="I25" s="203" t="s">
        <v>1927</v>
      </c>
      <c r="J25" s="203" t="s">
        <v>1928</v>
      </c>
      <c r="K25" s="203" t="s">
        <v>1929</v>
      </c>
      <c r="L25" s="203" t="s">
        <v>1930</v>
      </c>
      <c r="M25" s="203" t="s">
        <v>1931</v>
      </c>
      <c r="N25" s="203" t="s">
        <v>1932</v>
      </c>
      <c r="O25" s="203" t="s">
        <v>1933</v>
      </c>
      <c r="P25" s="203" t="s">
        <v>1934</v>
      </c>
      <c r="Q25" s="203" t="s">
        <v>1935</v>
      </c>
      <c r="R25" s="203" t="s">
        <v>1937</v>
      </c>
    </row>
    <row r="26">
      <c r="A26" s="203" t="str">
        <f t="array" ref="A26:R26">TRANSPOSE(INDIRECT(SWITCH(Routes!B26,
"Nature &amp; Wildlife Exploration","highlightsnature",
"Coastal Adventures","highlightscoastal",
"Rideable Routes","highlightswheels",
"Scenic Walks &amp; Trails","highlightswalks"
)))</f>
        <v>Traffic-free sections</v>
      </c>
      <c r="B26" s="203" t="s">
        <v>1919</v>
      </c>
      <c r="C26" s="203" t="s">
        <v>1921</v>
      </c>
      <c r="D26" s="203" t="s">
        <v>1922</v>
      </c>
      <c r="E26" s="203" t="s">
        <v>1923</v>
      </c>
      <c r="F26" s="203" t="s">
        <v>1924</v>
      </c>
      <c r="G26" s="203" t="s">
        <v>1925</v>
      </c>
      <c r="H26" s="203" t="s">
        <v>1926</v>
      </c>
      <c r="I26" s="203" t="s">
        <v>1927</v>
      </c>
      <c r="J26" s="203" t="s">
        <v>1928</v>
      </c>
      <c r="K26" s="203" t="s">
        <v>1929</v>
      </c>
      <c r="L26" s="203" t="s">
        <v>1930</v>
      </c>
      <c r="M26" s="203" t="s">
        <v>1931</v>
      </c>
      <c r="N26" s="203" t="s">
        <v>1932</v>
      </c>
      <c r="O26" s="203" t="s">
        <v>1933</v>
      </c>
      <c r="P26" s="203" t="s">
        <v>1934</v>
      </c>
      <c r="Q26" s="203" t="s">
        <v>1935</v>
      </c>
      <c r="R26" s="203" t="s">
        <v>1937</v>
      </c>
    </row>
    <row r="27">
      <c r="A27" s="203" t="str">
        <f t="array" ref="A27:S27">TRANSPOSE(INDIRECT(SWITCH(Routes!B27,
"Nature &amp; Wildlife Exploration","highlightsnature",
"Coastal Adventures","highlightscoastal",
"Rideable Routes","highlightswheels",
"Scenic Walks &amp; Trails","highlightswalks"
)))</f>
        <v>Waterfalls</v>
      </c>
      <c r="B27" s="203" t="s">
        <v>1877</v>
      </c>
      <c r="C27" s="203" t="s">
        <v>1878</v>
      </c>
      <c r="D27" s="203" t="s">
        <v>1879</v>
      </c>
      <c r="E27" s="203" t="s">
        <v>1880</v>
      </c>
      <c r="F27" s="203" t="s">
        <v>1881</v>
      </c>
      <c r="G27" s="203" t="s">
        <v>1882</v>
      </c>
      <c r="H27" s="203" t="s">
        <v>1883</v>
      </c>
      <c r="I27" s="203" t="s">
        <v>1884</v>
      </c>
      <c r="J27" s="203" t="s">
        <v>1885</v>
      </c>
      <c r="K27" s="203" t="s">
        <v>1886</v>
      </c>
      <c r="L27" s="203" t="s">
        <v>1887</v>
      </c>
      <c r="M27" s="203" t="s">
        <v>1122</v>
      </c>
      <c r="N27" s="203" t="s">
        <v>1889</v>
      </c>
      <c r="O27" s="203" t="s">
        <v>1890</v>
      </c>
      <c r="P27" s="203" t="s">
        <v>1892</v>
      </c>
      <c r="Q27" s="203" t="s">
        <v>1893</v>
      </c>
      <c r="R27" s="203" t="s">
        <v>1894</v>
      </c>
      <c r="S27" s="203" t="s">
        <v>1142</v>
      </c>
    </row>
    <row r="28">
      <c r="A28" s="203" t="str">
        <f t="array" ref="A28:R28">TRANSPOSE(INDIRECT(SWITCH(Routes!B28,
"Nature &amp; Wildlife Exploration","highlightsnature",
"Coastal Adventures","highlightscoastal",
"Rideable Routes","highlightswheels",
"Scenic Walks &amp; Trails","highlightswalks"
)))</f>
        <v>Traffic-free sections</v>
      </c>
      <c r="B28" s="203" t="s">
        <v>1919</v>
      </c>
      <c r="C28" s="203" t="s">
        <v>1921</v>
      </c>
      <c r="D28" s="203" t="s">
        <v>1922</v>
      </c>
      <c r="E28" s="203" t="s">
        <v>1923</v>
      </c>
      <c r="F28" s="203" t="s">
        <v>1924</v>
      </c>
      <c r="G28" s="203" t="s">
        <v>1925</v>
      </c>
      <c r="H28" s="203" t="s">
        <v>1926</v>
      </c>
      <c r="I28" s="203" t="s">
        <v>1927</v>
      </c>
      <c r="J28" s="203" t="s">
        <v>1928</v>
      </c>
      <c r="K28" s="203" t="s">
        <v>1929</v>
      </c>
      <c r="L28" s="203" t="s">
        <v>1930</v>
      </c>
      <c r="M28" s="203" t="s">
        <v>1931</v>
      </c>
      <c r="N28" s="203" t="s">
        <v>1932</v>
      </c>
      <c r="O28" s="203" t="s">
        <v>1933</v>
      </c>
      <c r="P28" s="203" t="s">
        <v>1934</v>
      </c>
      <c r="Q28" s="203" t="s">
        <v>1935</v>
      </c>
      <c r="R28" s="203" t="s">
        <v>1937</v>
      </c>
    </row>
    <row r="29">
      <c r="A29" s="203" t="str">
        <f t="array" ref="A29:S29">TRANSPOSE(INDIRECT(SWITCH(Routes!B29,
"Nature &amp; Wildlife Exploration","highlightsnature",
"Coastal Adventures","highlightscoastal",
"Rideable Routes","highlightswheels",
"Scenic Walks &amp; Trails","highlightswalks"
)))</f>
        <v>Waterfalls</v>
      </c>
      <c r="B29" s="203" t="s">
        <v>1877</v>
      </c>
      <c r="C29" s="203" t="s">
        <v>1878</v>
      </c>
      <c r="D29" s="203" t="s">
        <v>1879</v>
      </c>
      <c r="E29" s="203" t="s">
        <v>1880</v>
      </c>
      <c r="F29" s="203" t="s">
        <v>1881</v>
      </c>
      <c r="G29" s="203" t="s">
        <v>1882</v>
      </c>
      <c r="H29" s="203" t="s">
        <v>1883</v>
      </c>
      <c r="I29" s="203" t="s">
        <v>1884</v>
      </c>
      <c r="J29" s="203" t="s">
        <v>1885</v>
      </c>
      <c r="K29" s="203" t="s">
        <v>1886</v>
      </c>
      <c r="L29" s="203" t="s">
        <v>1887</v>
      </c>
      <c r="M29" s="203" t="s">
        <v>1122</v>
      </c>
      <c r="N29" s="203" t="s">
        <v>1889</v>
      </c>
      <c r="O29" s="203" t="s">
        <v>1890</v>
      </c>
      <c r="P29" s="203" t="s">
        <v>1892</v>
      </c>
      <c r="Q29" s="203" t="s">
        <v>1893</v>
      </c>
      <c r="R29" s="203" t="s">
        <v>1894</v>
      </c>
      <c r="S29" s="203" t="s">
        <v>1142</v>
      </c>
    </row>
    <row r="30">
      <c r="A30" s="203" t="str">
        <f t="array" ref="A30:R30">TRANSPOSE(INDIRECT(SWITCH(Routes!B30,
"Nature &amp; Wildlife Exploration","highlightsnature",
"Coastal Adventures","highlightscoastal",
"Rideable Routes","highlightswheels",
"Scenic Walks &amp; Trails","highlightswalks"
)))</f>
        <v>Traffic-free sections</v>
      </c>
      <c r="B30" s="203" t="s">
        <v>1919</v>
      </c>
      <c r="C30" s="203" t="s">
        <v>1921</v>
      </c>
      <c r="D30" s="203" t="s">
        <v>1922</v>
      </c>
      <c r="E30" s="203" t="s">
        <v>1923</v>
      </c>
      <c r="F30" s="203" t="s">
        <v>1924</v>
      </c>
      <c r="G30" s="203" t="s">
        <v>1925</v>
      </c>
      <c r="H30" s="203" t="s">
        <v>1926</v>
      </c>
      <c r="I30" s="203" t="s">
        <v>1927</v>
      </c>
      <c r="J30" s="203" t="s">
        <v>1928</v>
      </c>
      <c r="K30" s="203" t="s">
        <v>1929</v>
      </c>
      <c r="L30" s="203" t="s">
        <v>1930</v>
      </c>
      <c r="M30" s="203" t="s">
        <v>1931</v>
      </c>
      <c r="N30" s="203" t="s">
        <v>1932</v>
      </c>
      <c r="O30" s="203" t="s">
        <v>1933</v>
      </c>
      <c r="P30" s="203" t="s">
        <v>1934</v>
      </c>
      <c r="Q30" s="203" t="s">
        <v>1935</v>
      </c>
      <c r="R30" s="203" t="s">
        <v>1937</v>
      </c>
    </row>
    <row r="31">
      <c r="A31" s="203" t="str">
        <f t="array" ref="A31:S31">TRANSPOSE(INDIRECT(SWITCH(Routes!B31,
"Nature &amp; Wildlife Exploration","highlightsnature",
"Coastal Adventures","highlightscoastal",
"Rideable Routes","highlightswheels",
"Scenic Walks &amp; Trails","highlightswalks"
)))</f>
        <v>Waterfalls</v>
      </c>
      <c r="B31" s="203" t="s">
        <v>1877</v>
      </c>
      <c r="C31" s="203" t="s">
        <v>1878</v>
      </c>
      <c r="D31" s="203" t="s">
        <v>1879</v>
      </c>
      <c r="E31" s="203" t="s">
        <v>1880</v>
      </c>
      <c r="F31" s="203" t="s">
        <v>1881</v>
      </c>
      <c r="G31" s="203" t="s">
        <v>1882</v>
      </c>
      <c r="H31" s="203" t="s">
        <v>1883</v>
      </c>
      <c r="I31" s="203" t="s">
        <v>1884</v>
      </c>
      <c r="J31" s="203" t="s">
        <v>1885</v>
      </c>
      <c r="K31" s="203" t="s">
        <v>1886</v>
      </c>
      <c r="L31" s="203" t="s">
        <v>1887</v>
      </c>
      <c r="M31" s="203" t="s">
        <v>1122</v>
      </c>
      <c r="N31" s="203" t="s">
        <v>1889</v>
      </c>
      <c r="O31" s="203" t="s">
        <v>1890</v>
      </c>
      <c r="P31" s="203" t="s">
        <v>1892</v>
      </c>
      <c r="Q31" s="203" t="s">
        <v>1893</v>
      </c>
      <c r="R31" s="203" t="s">
        <v>1894</v>
      </c>
      <c r="S31" s="203" t="s">
        <v>1142</v>
      </c>
    </row>
    <row r="32">
      <c r="A32" s="203" t="str">
        <f t="array" ref="A32:S32">TRANSPOSE(INDIRECT(SWITCH(Routes!B32,
"Nature &amp; Wildlife Exploration","highlightsnature",
"Coastal Adventures","highlightscoastal",
"Rideable Routes","highlightswheels",
"Scenic Walks &amp; Trails","highlightswalks"
)))</f>
        <v>Waterfalls</v>
      </c>
      <c r="B32" s="203" t="s">
        <v>1877</v>
      </c>
      <c r="C32" s="203" t="s">
        <v>1878</v>
      </c>
      <c r="D32" s="203" t="s">
        <v>1879</v>
      </c>
      <c r="E32" s="203" t="s">
        <v>1880</v>
      </c>
      <c r="F32" s="203" t="s">
        <v>1881</v>
      </c>
      <c r="G32" s="203" t="s">
        <v>1882</v>
      </c>
      <c r="H32" s="203" t="s">
        <v>1883</v>
      </c>
      <c r="I32" s="203" t="s">
        <v>1884</v>
      </c>
      <c r="J32" s="203" t="s">
        <v>1885</v>
      </c>
      <c r="K32" s="203" t="s">
        <v>1886</v>
      </c>
      <c r="L32" s="203" t="s">
        <v>1887</v>
      </c>
      <c r="M32" s="203" t="s">
        <v>1122</v>
      </c>
      <c r="N32" s="203" t="s">
        <v>1889</v>
      </c>
      <c r="O32" s="203" t="s">
        <v>1890</v>
      </c>
      <c r="P32" s="203" t="s">
        <v>1892</v>
      </c>
      <c r="Q32" s="203" t="s">
        <v>1893</v>
      </c>
      <c r="R32" s="203" t="s">
        <v>1894</v>
      </c>
      <c r="S32" s="203" t="s">
        <v>1142</v>
      </c>
    </row>
    <row r="33">
      <c r="A33" s="203" t="str">
        <f t="array" ref="A33:S33">TRANSPOSE(INDIRECT(SWITCH(Routes!B33,
"Nature &amp; Wildlife Exploration","highlightsnature",
"Coastal Adventures","highlightscoastal",
"Rideable Routes","highlightswheels",
"Scenic Walks &amp; Trails","highlightswalks"
)))</f>
        <v>Waterfalls</v>
      </c>
      <c r="B33" s="203" t="s">
        <v>1877</v>
      </c>
      <c r="C33" s="203" t="s">
        <v>1878</v>
      </c>
      <c r="D33" s="203" t="s">
        <v>1879</v>
      </c>
      <c r="E33" s="203" t="s">
        <v>1880</v>
      </c>
      <c r="F33" s="203" t="s">
        <v>1881</v>
      </c>
      <c r="G33" s="203" t="s">
        <v>1882</v>
      </c>
      <c r="H33" s="203" t="s">
        <v>1883</v>
      </c>
      <c r="I33" s="203" t="s">
        <v>1884</v>
      </c>
      <c r="J33" s="203" t="s">
        <v>1885</v>
      </c>
      <c r="K33" s="203" t="s">
        <v>1886</v>
      </c>
      <c r="L33" s="203" t="s">
        <v>1887</v>
      </c>
      <c r="M33" s="203" t="s">
        <v>1122</v>
      </c>
      <c r="N33" s="203" t="s">
        <v>1889</v>
      </c>
      <c r="O33" s="203" t="s">
        <v>1890</v>
      </c>
      <c r="P33" s="203" t="s">
        <v>1892</v>
      </c>
      <c r="Q33" s="203" t="s">
        <v>1893</v>
      </c>
      <c r="R33" s="203" t="s">
        <v>1894</v>
      </c>
      <c r="S33" s="203" t="s">
        <v>1142</v>
      </c>
    </row>
    <row r="34">
      <c r="A34" s="203" t="str">
        <f t="array" ref="A34:R34">TRANSPOSE(INDIRECT(SWITCH(Routes!B34,
"Nature &amp; Wildlife Exploration","highlightsnature",
"Coastal Adventures","highlightscoastal",
"Rideable Routes","highlightswheels",
"Scenic Walks &amp; Trails","highlightswalks"
)))</f>
        <v>Traffic-free sections</v>
      </c>
      <c r="B34" s="203" t="s">
        <v>1919</v>
      </c>
      <c r="C34" s="203" t="s">
        <v>1921</v>
      </c>
      <c r="D34" s="203" t="s">
        <v>1922</v>
      </c>
      <c r="E34" s="203" t="s">
        <v>1923</v>
      </c>
      <c r="F34" s="203" t="s">
        <v>1924</v>
      </c>
      <c r="G34" s="203" t="s">
        <v>1925</v>
      </c>
      <c r="H34" s="203" t="s">
        <v>1926</v>
      </c>
      <c r="I34" s="203" t="s">
        <v>1927</v>
      </c>
      <c r="J34" s="203" t="s">
        <v>1928</v>
      </c>
      <c r="K34" s="203" t="s">
        <v>1929</v>
      </c>
      <c r="L34" s="203" t="s">
        <v>1930</v>
      </c>
      <c r="M34" s="203" t="s">
        <v>1931</v>
      </c>
      <c r="N34" s="203" t="s">
        <v>1932</v>
      </c>
      <c r="O34" s="203" t="s">
        <v>1933</v>
      </c>
      <c r="P34" s="203" t="s">
        <v>1934</v>
      </c>
      <c r="Q34" s="203" t="s">
        <v>1935</v>
      </c>
      <c r="R34" s="203" t="s">
        <v>1937</v>
      </c>
    </row>
    <row r="35">
      <c r="A35" s="203" t="str">
        <f t="array" ref="A35:S35">TRANSPOSE(INDIRECT(SWITCH(Routes!B35,
"Nature &amp; Wildlife Exploration","highlightsnature",
"Coastal Adventures","highlightscoastal",
"Rideable Routes","highlightswheels",
"Scenic Walks &amp; Trails","highlightswalks"
)))</f>
        <v>Waterfalls</v>
      </c>
      <c r="B35" s="203" t="s">
        <v>1877</v>
      </c>
      <c r="C35" s="203" t="s">
        <v>1878</v>
      </c>
      <c r="D35" s="203" t="s">
        <v>1879</v>
      </c>
      <c r="E35" s="203" t="s">
        <v>1880</v>
      </c>
      <c r="F35" s="203" t="s">
        <v>1881</v>
      </c>
      <c r="G35" s="203" t="s">
        <v>1882</v>
      </c>
      <c r="H35" s="203" t="s">
        <v>1883</v>
      </c>
      <c r="I35" s="203" t="s">
        <v>1884</v>
      </c>
      <c r="J35" s="203" t="s">
        <v>1885</v>
      </c>
      <c r="K35" s="203" t="s">
        <v>1886</v>
      </c>
      <c r="L35" s="203" t="s">
        <v>1887</v>
      </c>
      <c r="M35" s="203" t="s">
        <v>1122</v>
      </c>
      <c r="N35" s="203" t="s">
        <v>1889</v>
      </c>
      <c r="O35" s="203" t="s">
        <v>1890</v>
      </c>
      <c r="P35" s="203" t="s">
        <v>1892</v>
      </c>
      <c r="Q35" s="203" t="s">
        <v>1893</v>
      </c>
      <c r="R35" s="203" t="s">
        <v>1894</v>
      </c>
      <c r="S35" s="203" t="s">
        <v>1142</v>
      </c>
    </row>
    <row r="36">
      <c r="A36" s="203" t="str">
        <f t="array" ref="A36">TRANSPOSE(INDIRECT(SWITCH(#REF!,
"Nature &amp; Wildlife Exploration","highlightsnature",
"Coastal Adventures","highlightscoastal",
"Rideable Routes","highlightswheels",
"Scenic Walks &amp; Trails","highlightswalks"
)))</f>
        <v>#REF!</v>
      </c>
    </row>
    <row r="37">
      <c r="A37" s="203" t="str">
        <f t="array" ref="A37:S37">TRANSPOSE(INDIRECT(SWITCH(Routes!B36,
"Nature &amp; Wildlife Exploration","highlightsnature",
"Coastal Adventures","highlightscoastal",
"Rideable Routes","highlightswheels",
"Scenic Walks &amp; Trails","highlightswalks"
)))</f>
        <v>Waterfalls</v>
      </c>
      <c r="B37" s="203" t="s">
        <v>1877</v>
      </c>
      <c r="C37" s="203" t="s">
        <v>1878</v>
      </c>
      <c r="D37" s="203" t="s">
        <v>1879</v>
      </c>
      <c r="E37" s="203" t="s">
        <v>1880</v>
      </c>
      <c r="F37" s="203" t="s">
        <v>1881</v>
      </c>
      <c r="G37" s="203" t="s">
        <v>1882</v>
      </c>
      <c r="H37" s="203" t="s">
        <v>1883</v>
      </c>
      <c r="I37" s="203" t="s">
        <v>1884</v>
      </c>
      <c r="J37" s="203" t="s">
        <v>1885</v>
      </c>
      <c r="K37" s="203" t="s">
        <v>1886</v>
      </c>
      <c r="L37" s="203" t="s">
        <v>1887</v>
      </c>
      <c r="M37" s="203" t="s">
        <v>1122</v>
      </c>
      <c r="N37" s="203" t="s">
        <v>1889</v>
      </c>
      <c r="O37" s="203" t="s">
        <v>1890</v>
      </c>
      <c r="P37" s="203" t="s">
        <v>1892</v>
      </c>
      <c r="Q37" s="203" t="s">
        <v>1893</v>
      </c>
      <c r="R37" s="203" t="s">
        <v>1894</v>
      </c>
      <c r="S37" s="203" t="s">
        <v>1142</v>
      </c>
    </row>
    <row r="38">
      <c r="A38" s="203" t="str">
        <f t="array" ref="A38:R38">TRANSPOSE(INDIRECT(SWITCH(Routes!B37,
"Nature &amp; Wildlife Exploration","highlightsnature",
"Coastal Adventures","highlightscoastal",
"Rideable Routes","highlightswheels",
"Scenic Walks &amp; Trails","highlightswalks"
)))</f>
        <v>Traffic-free sections</v>
      </c>
      <c r="B38" s="203" t="s">
        <v>1919</v>
      </c>
      <c r="C38" s="203" t="s">
        <v>1921</v>
      </c>
      <c r="D38" s="203" t="s">
        <v>1922</v>
      </c>
      <c r="E38" s="203" t="s">
        <v>1923</v>
      </c>
      <c r="F38" s="203" t="s">
        <v>1924</v>
      </c>
      <c r="G38" s="203" t="s">
        <v>1925</v>
      </c>
      <c r="H38" s="203" t="s">
        <v>1926</v>
      </c>
      <c r="I38" s="203" t="s">
        <v>1927</v>
      </c>
      <c r="J38" s="203" t="s">
        <v>1928</v>
      </c>
      <c r="K38" s="203" t="s">
        <v>1929</v>
      </c>
      <c r="L38" s="203" t="s">
        <v>1930</v>
      </c>
      <c r="M38" s="203" t="s">
        <v>1931</v>
      </c>
      <c r="N38" s="203" t="s">
        <v>1932</v>
      </c>
      <c r="O38" s="203" t="s">
        <v>1933</v>
      </c>
      <c r="P38" s="203" t="s">
        <v>1934</v>
      </c>
      <c r="Q38" s="203" t="s">
        <v>1935</v>
      </c>
      <c r="R38" s="203" t="s">
        <v>1937</v>
      </c>
    </row>
    <row r="39">
      <c r="A39" s="203" t="str">
        <f t="array" ref="A39">TRANSPOSE(INDIRECT(SWITCH(#REF!,
"Nature &amp; Wildlife Exploration","highlightsnature",
"Coastal Adventures","highlightscoastal",
"Rideable Routes","highlightswheels",
"Scenic Walks &amp; Trails","highlightswalks"
)))</f>
        <v>#REF!</v>
      </c>
    </row>
    <row r="40">
      <c r="A40" s="203" t="str">
        <f t="array" ref="A40:S40">TRANSPOSE(INDIRECT(SWITCH(Routes!B38,
"Nature &amp; Wildlife Exploration","highlightsnature",
"Coastal Adventures","highlightscoastal",
"Rideable Routes","highlightswheels",
"Scenic Walks &amp; Trails","highlightswalks"
)))</f>
        <v>Waterfalls</v>
      </c>
      <c r="B40" s="203" t="s">
        <v>1877</v>
      </c>
      <c r="C40" s="203" t="s">
        <v>1878</v>
      </c>
      <c r="D40" s="203" t="s">
        <v>1879</v>
      </c>
      <c r="E40" s="203" t="s">
        <v>1880</v>
      </c>
      <c r="F40" s="203" t="s">
        <v>1881</v>
      </c>
      <c r="G40" s="203" t="s">
        <v>1882</v>
      </c>
      <c r="H40" s="203" t="s">
        <v>1883</v>
      </c>
      <c r="I40" s="203" t="s">
        <v>1884</v>
      </c>
      <c r="J40" s="203" t="s">
        <v>1885</v>
      </c>
      <c r="K40" s="203" t="s">
        <v>1886</v>
      </c>
      <c r="L40" s="203" t="s">
        <v>1887</v>
      </c>
      <c r="M40" s="203" t="s">
        <v>1122</v>
      </c>
      <c r="N40" s="203" t="s">
        <v>1889</v>
      </c>
      <c r="O40" s="203" t="s">
        <v>1890</v>
      </c>
      <c r="P40" s="203" t="s">
        <v>1892</v>
      </c>
      <c r="Q40" s="203" t="s">
        <v>1893</v>
      </c>
      <c r="R40" s="203" t="s">
        <v>1894</v>
      </c>
      <c r="S40" s="203" t="s">
        <v>1142</v>
      </c>
    </row>
    <row r="41">
      <c r="A41" s="203" t="str">
        <f t="array" ref="A41:S41">TRANSPOSE(INDIRECT(SWITCH(Routes!B39,
"Nature &amp; Wildlife Exploration","highlightsnature",
"Coastal Adventures","highlightscoastal",
"Rideable Routes","highlightswheels",
"Scenic Walks &amp; Trails","highlightswalks"
)))</f>
        <v>Waterfalls</v>
      </c>
      <c r="B41" s="203" t="s">
        <v>1877</v>
      </c>
      <c r="C41" s="203" t="s">
        <v>1878</v>
      </c>
      <c r="D41" s="203" t="s">
        <v>1879</v>
      </c>
      <c r="E41" s="203" t="s">
        <v>1880</v>
      </c>
      <c r="F41" s="203" t="s">
        <v>1881</v>
      </c>
      <c r="G41" s="203" t="s">
        <v>1882</v>
      </c>
      <c r="H41" s="203" t="s">
        <v>1883</v>
      </c>
      <c r="I41" s="203" t="s">
        <v>1884</v>
      </c>
      <c r="J41" s="203" t="s">
        <v>1885</v>
      </c>
      <c r="K41" s="203" t="s">
        <v>1886</v>
      </c>
      <c r="L41" s="203" t="s">
        <v>1887</v>
      </c>
      <c r="M41" s="203" t="s">
        <v>1122</v>
      </c>
      <c r="N41" s="203" t="s">
        <v>1889</v>
      </c>
      <c r="O41" s="203" t="s">
        <v>1890</v>
      </c>
      <c r="P41" s="203" t="s">
        <v>1892</v>
      </c>
      <c r="Q41" s="203" t="s">
        <v>1893</v>
      </c>
      <c r="R41" s="203" t="s">
        <v>1894</v>
      </c>
      <c r="S41" s="203" t="s">
        <v>1142</v>
      </c>
    </row>
    <row r="42">
      <c r="A42" s="203" t="str">
        <f t="array" ref="A42:S42">TRANSPOSE(INDIRECT(SWITCH(Routes!B40,
"Nature &amp; Wildlife Exploration","highlightsnature",
"Coastal Adventures","highlightscoastal",
"Rideable Routes","highlightswheels",
"Scenic Walks &amp; Trails","highlightswalks"
)))</f>
        <v>Waterfalls</v>
      </c>
      <c r="B42" s="203" t="s">
        <v>1877</v>
      </c>
      <c r="C42" s="203" t="s">
        <v>1878</v>
      </c>
      <c r="D42" s="203" t="s">
        <v>1879</v>
      </c>
      <c r="E42" s="203" t="s">
        <v>1880</v>
      </c>
      <c r="F42" s="203" t="s">
        <v>1881</v>
      </c>
      <c r="G42" s="203" t="s">
        <v>1882</v>
      </c>
      <c r="H42" s="203" t="s">
        <v>1883</v>
      </c>
      <c r="I42" s="203" t="s">
        <v>1884</v>
      </c>
      <c r="J42" s="203" t="s">
        <v>1885</v>
      </c>
      <c r="K42" s="203" t="s">
        <v>1886</v>
      </c>
      <c r="L42" s="203" t="s">
        <v>1887</v>
      </c>
      <c r="M42" s="203" t="s">
        <v>1122</v>
      </c>
      <c r="N42" s="203" t="s">
        <v>1889</v>
      </c>
      <c r="O42" s="203" t="s">
        <v>1890</v>
      </c>
      <c r="P42" s="203" t="s">
        <v>1892</v>
      </c>
      <c r="Q42" s="203" t="s">
        <v>1893</v>
      </c>
      <c r="R42" s="203" t="s">
        <v>1894</v>
      </c>
      <c r="S42" s="203" t="s">
        <v>1142</v>
      </c>
    </row>
    <row r="43">
      <c r="A43" s="203" t="str">
        <f t="array" ref="A43:S43">TRANSPOSE(INDIRECT(SWITCH(Routes!B41,
"Nature &amp; Wildlife Exploration","highlightsnature",
"Coastal Adventures","highlightscoastal",
"Rideable Routes","highlightswheels",
"Scenic Walks &amp; Trails","highlightswalks"
)))</f>
        <v>Waterfalls</v>
      </c>
      <c r="B43" s="203" t="s">
        <v>1877</v>
      </c>
      <c r="C43" s="203" t="s">
        <v>1878</v>
      </c>
      <c r="D43" s="203" t="s">
        <v>1879</v>
      </c>
      <c r="E43" s="203" t="s">
        <v>1880</v>
      </c>
      <c r="F43" s="203" t="s">
        <v>1881</v>
      </c>
      <c r="G43" s="203" t="s">
        <v>1882</v>
      </c>
      <c r="H43" s="203" t="s">
        <v>1883</v>
      </c>
      <c r="I43" s="203" t="s">
        <v>1884</v>
      </c>
      <c r="J43" s="203" t="s">
        <v>1885</v>
      </c>
      <c r="K43" s="203" t="s">
        <v>1886</v>
      </c>
      <c r="L43" s="203" t="s">
        <v>1887</v>
      </c>
      <c r="M43" s="203" t="s">
        <v>1122</v>
      </c>
      <c r="N43" s="203" t="s">
        <v>1889</v>
      </c>
      <c r="O43" s="203" t="s">
        <v>1890</v>
      </c>
      <c r="P43" s="203" t="s">
        <v>1892</v>
      </c>
      <c r="Q43" s="203" t="s">
        <v>1893</v>
      </c>
      <c r="R43" s="203" t="s">
        <v>1894</v>
      </c>
      <c r="S43" s="203" t="s">
        <v>1142</v>
      </c>
    </row>
    <row r="44">
      <c r="A44" s="203" t="str">
        <f t="array" ref="A44:S44">TRANSPOSE(INDIRECT(SWITCH(Routes!B42,
"Nature &amp; Wildlife Exploration","highlightsnature",
"Coastal Adventures","highlightscoastal",
"Rideable Routes","highlightswheels",
"Scenic Walks &amp; Trails","highlightswalks"
)))</f>
        <v>Waterfalls</v>
      </c>
      <c r="B44" s="203" t="s">
        <v>1877</v>
      </c>
      <c r="C44" s="203" t="s">
        <v>1878</v>
      </c>
      <c r="D44" s="203" t="s">
        <v>1879</v>
      </c>
      <c r="E44" s="203" t="s">
        <v>1880</v>
      </c>
      <c r="F44" s="203" t="s">
        <v>1881</v>
      </c>
      <c r="G44" s="203" t="s">
        <v>1882</v>
      </c>
      <c r="H44" s="203" t="s">
        <v>1883</v>
      </c>
      <c r="I44" s="203" t="s">
        <v>1884</v>
      </c>
      <c r="J44" s="203" t="s">
        <v>1885</v>
      </c>
      <c r="K44" s="203" t="s">
        <v>1886</v>
      </c>
      <c r="L44" s="203" t="s">
        <v>1887</v>
      </c>
      <c r="M44" s="203" t="s">
        <v>1122</v>
      </c>
      <c r="N44" s="203" t="s">
        <v>1889</v>
      </c>
      <c r="O44" s="203" t="s">
        <v>1890</v>
      </c>
      <c r="P44" s="203" t="s">
        <v>1892</v>
      </c>
      <c r="Q44" s="203" t="s">
        <v>1893</v>
      </c>
      <c r="R44" s="203" t="s">
        <v>1894</v>
      </c>
      <c r="S44" s="203" t="s">
        <v>1142</v>
      </c>
    </row>
    <row r="45">
      <c r="A45" s="203" t="str">
        <f t="array" ref="A45:S45">TRANSPOSE(INDIRECT(SWITCH(Routes!B43,
"Nature &amp; Wildlife Exploration","highlightsnature",
"Coastal Adventures","highlightscoastal",
"Rideable Routes","highlightswheels",
"Scenic Walks &amp; Trails","highlightswalks"
)))</f>
        <v>Waterfalls</v>
      </c>
      <c r="B45" s="203" t="s">
        <v>1877</v>
      </c>
      <c r="C45" s="203" t="s">
        <v>1878</v>
      </c>
      <c r="D45" s="203" t="s">
        <v>1879</v>
      </c>
      <c r="E45" s="203" t="s">
        <v>1880</v>
      </c>
      <c r="F45" s="203" t="s">
        <v>1881</v>
      </c>
      <c r="G45" s="203" t="s">
        <v>1882</v>
      </c>
      <c r="H45" s="203" t="s">
        <v>1883</v>
      </c>
      <c r="I45" s="203" t="s">
        <v>1884</v>
      </c>
      <c r="J45" s="203" t="s">
        <v>1885</v>
      </c>
      <c r="K45" s="203" t="s">
        <v>1886</v>
      </c>
      <c r="L45" s="203" t="s">
        <v>1887</v>
      </c>
      <c r="M45" s="203" t="s">
        <v>1122</v>
      </c>
      <c r="N45" s="203" t="s">
        <v>1889</v>
      </c>
      <c r="O45" s="203" t="s">
        <v>1890</v>
      </c>
      <c r="P45" s="203" t="s">
        <v>1892</v>
      </c>
      <c r="Q45" s="203" t="s">
        <v>1893</v>
      </c>
      <c r="R45" s="203" t="s">
        <v>1894</v>
      </c>
      <c r="S45" s="203" t="s">
        <v>1142</v>
      </c>
    </row>
    <row r="46">
      <c r="A46" s="203" t="str">
        <f t="array" ref="A46">TRANSPOSE(INDIRECT(SWITCH(#REF!,
"Nature &amp; Wildlife Exploration","highlightsnature",
"Coastal Adventures","highlightscoastal",
"Rideable Routes","highlightswheels",
"Scenic Walks &amp; Trails","highlightswalks"
)))</f>
        <v>#REF!</v>
      </c>
    </row>
    <row r="47">
      <c r="A47" s="203" t="str">
        <f t="array" ref="A47:S47">TRANSPOSE(INDIRECT(SWITCH(Routes!B44,
"Nature &amp; Wildlife Exploration","highlightsnature",
"Coastal Adventures","highlightscoastal",
"Rideable Routes","highlightswheels",
"Scenic Walks &amp; Trails","highlightswalks"
)))</f>
        <v>Waterfalls</v>
      </c>
      <c r="B47" s="203" t="s">
        <v>1877</v>
      </c>
      <c r="C47" s="203" t="s">
        <v>1878</v>
      </c>
      <c r="D47" s="203" t="s">
        <v>1879</v>
      </c>
      <c r="E47" s="203" t="s">
        <v>1880</v>
      </c>
      <c r="F47" s="203" t="s">
        <v>1881</v>
      </c>
      <c r="G47" s="203" t="s">
        <v>1882</v>
      </c>
      <c r="H47" s="203" t="s">
        <v>1883</v>
      </c>
      <c r="I47" s="203" t="s">
        <v>1884</v>
      </c>
      <c r="J47" s="203" t="s">
        <v>1885</v>
      </c>
      <c r="K47" s="203" t="s">
        <v>1886</v>
      </c>
      <c r="L47" s="203" t="s">
        <v>1887</v>
      </c>
      <c r="M47" s="203" t="s">
        <v>1122</v>
      </c>
      <c r="N47" s="203" t="s">
        <v>1889</v>
      </c>
      <c r="O47" s="203" t="s">
        <v>1890</v>
      </c>
      <c r="P47" s="203" t="s">
        <v>1892</v>
      </c>
      <c r="Q47" s="203" t="s">
        <v>1893</v>
      </c>
      <c r="R47" s="203" t="s">
        <v>1894</v>
      </c>
      <c r="S47" s="203" t="s">
        <v>1142</v>
      </c>
    </row>
    <row r="48">
      <c r="A48" s="203" t="str">
        <f t="array" ref="A48:S48">TRANSPOSE(INDIRECT(SWITCH(Routes!B45,
"Nature &amp; Wildlife Exploration","highlightsnature",
"Coastal Adventures","highlightscoastal",
"Rideable Routes","highlightswheels",
"Scenic Walks &amp; Trails","highlightswalks"
)))</f>
        <v>Waterfalls</v>
      </c>
      <c r="B48" s="203" t="s">
        <v>1877</v>
      </c>
      <c r="C48" s="203" t="s">
        <v>1878</v>
      </c>
      <c r="D48" s="203" t="s">
        <v>1879</v>
      </c>
      <c r="E48" s="203" t="s">
        <v>1880</v>
      </c>
      <c r="F48" s="203" t="s">
        <v>1881</v>
      </c>
      <c r="G48" s="203" t="s">
        <v>1882</v>
      </c>
      <c r="H48" s="203" t="s">
        <v>1883</v>
      </c>
      <c r="I48" s="203" t="s">
        <v>1884</v>
      </c>
      <c r="J48" s="203" t="s">
        <v>1885</v>
      </c>
      <c r="K48" s="203" t="s">
        <v>1886</v>
      </c>
      <c r="L48" s="203" t="s">
        <v>1887</v>
      </c>
      <c r="M48" s="203" t="s">
        <v>1122</v>
      </c>
      <c r="N48" s="203" t="s">
        <v>1889</v>
      </c>
      <c r="O48" s="203" t="s">
        <v>1890</v>
      </c>
      <c r="P48" s="203" t="s">
        <v>1892</v>
      </c>
      <c r="Q48" s="203" t="s">
        <v>1893</v>
      </c>
      <c r="R48" s="203" t="s">
        <v>1894</v>
      </c>
      <c r="S48" s="203" t="s">
        <v>1142</v>
      </c>
    </row>
    <row r="49">
      <c r="A49" s="203" t="str">
        <f t="array" ref="A49:R49">TRANSPOSE(INDIRECT(SWITCH(Routes!B46,
"Nature &amp; Wildlife Exploration","highlightsnature",
"Coastal Adventures","highlightscoastal",
"Rideable Routes","highlightswheels",
"Scenic Walks &amp; Trails","highlightswalks"
)))</f>
        <v>Traffic-free sections</v>
      </c>
      <c r="B49" s="203" t="s">
        <v>1919</v>
      </c>
      <c r="C49" s="203" t="s">
        <v>1921</v>
      </c>
      <c r="D49" s="203" t="s">
        <v>1922</v>
      </c>
      <c r="E49" s="203" t="s">
        <v>1923</v>
      </c>
      <c r="F49" s="203" t="s">
        <v>1924</v>
      </c>
      <c r="G49" s="203" t="s">
        <v>1925</v>
      </c>
      <c r="H49" s="203" t="s">
        <v>1926</v>
      </c>
      <c r="I49" s="203" t="s">
        <v>1927</v>
      </c>
      <c r="J49" s="203" t="s">
        <v>1928</v>
      </c>
      <c r="K49" s="203" t="s">
        <v>1929</v>
      </c>
      <c r="L49" s="203" t="s">
        <v>1930</v>
      </c>
      <c r="M49" s="203" t="s">
        <v>1931</v>
      </c>
      <c r="N49" s="203" t="s">
        <v>1932</v>
      </c>
      <c r="O49" s="203" t="s">
        <v>1933</v>
      </c>
      <c r="P49" s="203" t="s">
        <v>1934</v>
      </c>
      <c r="Q49" s="203" t="s">
        <v>1935</v>
      </c>
      <c r="R49" s="203" t="s">
        <v>1937</v>
      </c>
    </row>
    <row r="50">
      <c r="A50" s="203" t="str">
        <f t="array" ref="A50:S50">TRANSPOSE(INDIRECT(SWITCH(Routes!B47,
"Nature &amp; Wildlife Exploration","highlightsnature",
"Coastal Adventures","highlightscoastal",
"Rideable Routes","highlightswheels",
"Scenic Walks &amp; Trails","highlightswalks"
)))</f>
        <v>Waterfalls</v>
      </c>
      <c r="B50" s="203" t="s">
        <v>1877</v>
      </c>
      <c r="C50" s="203" t="s">
        <v>1878</v>
      </c>
      <c r="D50" s="203" t="s">
        <v>1879</v>
      </c>
      <c r="E50" s="203" t="s">
        <v>1880</v>
      </c>
      <c r="F50" s="203" t="s">
        <v>1881</v>
      </c>
      <c r="G50" s="203" t="s">
        <v>1882</v>
      </c>
      <c r="H50" s="203" t="s">
        <v>1883</v>
      </c>
      <c r="I50" s="203" t="s">
        <v>1884</v>
      </c>
      <c r="J50" s="203" t="s">
        <v>1885</v>
      </c>
      <c r="K50" s="203" t="s">
        <v>1886</v>
      </c>
      <c r="L50" s="203" t="s">
        <v>1887</v>
      </c>
      <c r="M50" s="203" t="s">
        <v>1122</v>
      </c>
      <c r="N50" s="203" t="s">
        <v>1889</v>
      </c>
      <c r="O50" s="203" t="s">
        <v>1890</v>
      </c>
      <c r="P50" s="203" t="s">
        <v>1892</v>
      </c>
      <c r="Q50" s="203" t="s">
        <v>1893</v>
      </c>
      <c r="R50" s="203" t="s">
        <v>1894</v>
      </c>
      <c r="S50" s="203" t="s">
        <v>1142</v>
      </c>
    </row>
    <row r="51">
      <c r="A51" s="203" t="str">
        <f t="array" ref="A51:S51">TRANSPOSE(INDIRECT(SWITCH(Routes!B48,
"Nature &amp; Wildlife Exploration","highlightsnature",
"Coastal Adventures","highlightscoastal",
"Rideable Routes","highlightswheels",
"Scenic Walks &amp; Trails","highlightswalks"
)))</f>
        <v>Waterfalls</v>
      </c>
      <c r="B51" s="203" t="s">
        <v>1877</v>
      </c>
      <c r="C51" s="203" t="s">
        <v>1878</v>
      </c>
      <c r="D51" s="203" t="s">
        <v>1879</v>
      </c>
      <c r="E51" s="203" t="s">
        <v>1880</v>
      </c>
      <c r="F51" s="203" t="s">
        <v>1881</v>
      </c>
      <c r="G51" s="203" t="s">
        <v>1882</v>
      </c>
      <c r="H51" s="203" t="s">
        <v>1883</v>
      </c>
      <c r="I51" s="203" t="s">
        <v>1884</v>
      </c>
      <c r="J51" s="203" t="s">
        <v>1885</v>
      </c>
      <c r="K51" s="203" t="s">
        <v>1886</v>
      </c>
      <c r="L51" s="203" t="s">
        <v>1887</v>
      </c>
      <c r="M51" s="203" t="s">
        <v>1122</v>
      </c>
      <c r="N51" s="203" t="s">
        <v>1889</v>
      </c>
      <c r="O51" s="203" t="s">
        <v>1890</v>
      </c>
      <c r="P51" s="203" t="s">
        <v>1892</v>
      </c>
      <c r="Q51" s="203" t="s">
        <v>1893</v>
      </c>
      <c r="R51" s="203" t="s">
        <v>1894</v>
      </c>
      <c r="S51" s="203" t="s">
        <v>1142</v>
      </c>
    </row>
    <row r="52">
      <c r="A52" s="203" t="str">
        <f t="array" ref="A52:S52">TRANSPOSE(INDIRECT(SWITCH(Routes!B49,
"Nature &amp; Wildlife Exploration","highlightsnature",
"Coastal Adventures","highlightscoastal",
"Rideable Routes","highlightswheels",
"Scenic Walks &amp; Trails","highlightswalks"
)))</f>
        <v>Waterfalls</v>
      </c>
      <c r="B52" s="203" t="s">
        <v>1877</v>
      </c>
      <c r="C52" s="203" t="s">
        <v>1878</v>
      </c>
      <c r="D52" s="203" t="s">
        <v>1879</v>
      </c>
      <c r="E52" s="203" t="s">
        <v>1880</v>
      </c>
      <c r="F52" s="203" t="s">
        <v>1881</v>
      </c>
      <c r="G52" s="203" t="s">
        <v>1882</v>
      </c>
      <c r="H52" s="203" t="s">
        <v>1883</v>
      </c>
      <c r="I52" s="203" t="s">
        <v>1884</v>
      </c>
      <c r="J52" s="203" t="s">
        <v>1885</v>
      </c>
      <c r="K52" s="203" t="s">
        <v>1886</v>
      </c>
      <c r="L52" s="203" t="s">
        <v>1887</v>
      </c>
      <c r="M52" s="203" t="s">
        <v>1122</v>
      </c>
      <c r="N52" s="203" t="s">
        <v>1889</v>
      </c>
      <c r="O52" s="203" t="s">
        <v>1890</v>
      </c>
      <c r="P52" s="203" t="s">
        <v>1892</v>
      </c>
      <c r="Q52" s="203" t="s">
        <v>1893</v>
      </c>
      <c r="R52" s="203" t="s">
        <v>1894</v>
      </c>
      <c r="S52" s="203" t="s">
        <v>1142</v>
      </c>
    </row>
    <row r="53">
      <c r="A53" s="203" t="str">
        <f t="array" ref="A53:S53">TRANSPOSE(INDIRECT(SWITCH(Routes!B50,
"Nature &amp; Wildlife Exploration","highlightsnature",
"Coastal Adventures","highlightscoastal",
"Rideable Routes","highlightswheels",
"Scenic Walks &amp; Trails","highlightswalks"
)))</f>
        <v>Waterfalls</v>
      </c>
      <c r="B53" s="203" t="s">
        <v>1877</v>
      </c>
      <c r="C53" s="203" t="s">
        <v>1878</v>
      </c>
      <c r="D53" s="203" t="s">
        <v>1879</v>
      </c>
      <c r="E53" s="203" t="s">
        <v>1880</v>
      </c>
      <c r="F53" s="203" t="s">
        <v>1881</v>
      </c>
      <c r="G53" s="203" t="s">
        <v>1882</v>
      </c>
      <c r="H53" s="203" t="s">
        <v>1883</v>
      </c>
      <c r="I53" s="203" t="s">
        <v>1884</v>
      </c>
      <c r="J53" s="203" t="s">
        <v>1885</v>
      </c>
      <c r="K53" s="203" t="s">
        <v>1886</v>
      </c>
      <c r="L53" s="203" t="s">
        <v>1887</v>
      </c>
      <c r="M53" s="203" t="s">
        <v>1122</v>
      </c>
      <c r="N53" s="203" t="s">
        <v>1889</v>
      </c>
      <c r="O53" s="203" t="s">
        <v>1890</v>
      </c>
      <c r="P53" s="203" t="s">
        <v>1892</v>
      </c>
      <c r="Q53" s="203" t="s">
        <v>1893</v>
      </c>
      <c r="R53" s="203" t="s">
        <v>1894</v>
      </c>
      <c r="S53" s="203" t="s">
        <v>1142</v>
      </c>
    </row>
    <row r="54">
      <c r="A54" s="203" t="str">
        <f t="array" ref="A54:S54">TRANSPOSE(INDIRECT(SWITCH(Routes!B51,
"Nature &amp; Wildlife Exploration","highlightsnature",
"Coastal Adventures","highlightscoastal",
"Rideable Routes","highlightswheels",
"Scenic Walks &amp; Trails","highlightswalks"
)))</f>
        <v>Waterfalls</v>
      </c>
      <c r="B54" s="203" t="s">
        <v>1877</v>
      </c>
      <c r="C54" s="203" t="s">
        <v>1878</v>
      </c>
      <c r="D54" s="203" t="s">
        <v>1879</v>
      </c>
      <c r="E54" s="203" t="s">
        <v>1880</v>
      </c>
      <c r="F54" s="203" t="s">
        <v>1881</v>
      </c>
      <c r="G54" s="203" t="s">
        <v>1882</v>
      </c>
      <c r="H54" s="203" t="s">
        <v>1883</v>
      </c>
      <c r="I54" s="203" t="s">
        <v>1884</v>
      </c>
      <c r="J54" s="203" t="s">
        <v>1885</v>
      </c>
      <c r="K54" s="203" t="s">
        <v>1886</v>
      </c>
      <c r="L54" s="203" t="s">
        <v>1887</v>
      </c>
      <c r="M54" s="203" t="s">
        <v>1122</v>
      </c>
      <c r="N54" s="203" t="s">
        <v>1889</v>
      </c>
      <c r="O54" s="203" t="s">
        <v>1890</v>
      </c>
      <c r="P54" s="203" t="s">
        <v>1892</v>
      </c>
      <c r="Q54" s="203" t="s">
        <v>1893</v>
      </c>
      <c r="R54" s="203" t="s">
        <v>1894</v>
      </c>
      <c r="S54" s="203" t="s">
        <v>1142</v>
      </c>
    </row>
    <row r="55">
      <c r="A55" s="203" t="str">
        <f t="array" ref="A55:S55">TRANSPOSE(INDIRECT(SWITCH(Routes!B52,
"Nature &amp; Wildlife Exploration","highlightsnature",
"Coastal Adventures","highlightscoastal",
"Rideable Routes","highlightswheels",
"Scenic Walks &amp; Trails","highlightswalks"
)))</f>
        <v>Waterfalls</v>
      </c>
      <c r="B55" s="203" t="s">
        <v>1877</v>
      </c>
      <c r="C55" s="203" t="s">
        <v>1878</v>
      </c>
      <c r="D55" s="203" t="s">
        <v>1879</v>
      </c>
      <c r="E55" s="203" t="s">
        <v>1880</v>
      </c>
      <c r="F55" s="203" t="s">
        <v>1881</v>
      </c>
      <c r="G55" s="203" t="s">
        <v>1882</v>
      </c>
      <c r="H55" s="203" t="s">
        <v>1883</v>
      </c>
      <c r="I55" s="203" t="s">
        <v>1884</v>
      </c>
      <c r="J55" s="203" t="s">
        <v>1885</v>
      </c>
      <c r="K55" s="203" t="s">
        <v>1886</v>
      </c>
      <c r="L55" s="203" t="s">
        <v>1887</v>
      </c>
      <c r="M55" s="203" t="s">
        <v>1122</v>
      </c>
      <c r="N55" s="203" t="s">
        <v>1889</v>
      </c>
      <c r="O55" s="203" t="s">
        <v>1890</v>
      </c>
      <c r="P55" s="203" t="s">
        <v>1892</v>
      </c>
      <c r="Q55" s="203" t="s">
        <v>1893</v>
      </c>
      <c r="R55" s="203" t="s">
        <v>1894</v>
      </c>
      <c r="S55" s="203" t="s">
        <v>1142</v>
      </c>
    </row>
    <row r="56">
      <c r="A56" s="203" t="str">
        <f t="array" ref="A56:S56">TRANSPOSE(INDIRECT(SWITCH(Routes!B53,
"Nature &amp; Wildlife Exploration","highlightsnature",
"Coastal Adventures","highlightscoastal",
"Rideable Routes","highlightswheels",
"Scenic Walks &amp; Trails","highlightswalks"
)))</f>
        <v>Waterfalls</v>
      </c>
      <c r="B56" s="203" t="s">
        <v>1877</v>
      </c>
      <c r="C56" s="203" t="s">
        <v>1878</v>
      </c>
      <c r="D56" s="203" t="s">
        <v>1879</v>
      </c>
      <c r="E56" s="203" t="s">
        <v>1880</v>
      </c>
      <c r="F56" s="203" t="s">
        <v>1881</v>
      </c>
      <c r="G56" s="203" t="s">
        <v>1882</v>
      </c>
      <c r="H56" s="203" t="s">
        <v>1883</v>
      </c>
      <c r="I56" s="203" t="s">
        <v>1884</v>
      </c>
      <c r="J56" s="203" t="s">
        <v>1885</v>
      </c>
      <c r="K56" s="203" t="s">
        <v>1886</v>
      </c>
      <c r="L56" s="203" t="s">
        <v>1887</v>
      </c>
      <c r="M56" s="203" t="s">
        <v>1122</v>
      </c>
      <c r="N56" s="203" t="s">
        <v>1889</v>
      </c>
      <c r="O56" s="203" t="s">
        <v>1890</v>
      </c>
      <c r="P56" s="203" t="s">
        <v>1892</v>
      </c>
      <c r="Q56" s="203" t="s">
        <v>1893</v>
      </c>
      <c r="R56" s="203" t="s">
        <v>1894</v>
      </c>
      <c r="S56" s="203" t="s">
        <v>1142</v>
      </c>
    </row>
    <row r="57">
      <c r="A57" s="203" t="str">
        <f t="array" ref="A57:S57">TRANSPOSE(INDIRECT(SWITCH(Routes!B54,
"Nature &amp; Wildlife Exploration","highlightsnature",
"Coastal Adventures","highlightscoastal",
"Rideable Routes","highlightswheels",
"Scenic Walks &amp; Trails","highlightswalks"
)))</f>
        <v>Waterfalls</v>
      </c>
      <c r="B57" s="203" t="s">
        <v>1877</v>
      </c>
      <c r="C57" s="203" t="s">
        <v>1878</v>
      </c>
      <c r="D57" s="203" t="s">
        <v>1879</v>
      </c>
      <c r="E57" s="203" t="s">
        <v>1880</v>
      </c>
      <c r="F57" s="203" t="s">
        <v>1881</v>
      </c>
      <c r="G57" s="203" t="s">
        <v>1882</v>
      </c>
      <c r="H57" s="203" t="s">
        <v>1883</v>
      </c>
      <c r="I57" s="203" t="s">
        <v>1884</v>
      </c>
      <c r="J57" s="203" t="s">
        <v>1885</v>
      </c>
      <c r="K57" s="203" t="s">
        <v>1886</v>
      </c>
      <c r="L57" s="203" t="s">
        <v>1887</v>
      </c>
      <c r="M57" s="203" t="s">
        <v>1122</v>
      </c>
      <c r="N57" s="203" t="s">
        <v>1889</v>
      </c>
      <c r="O57" s="203" t="s">
        <v>1890</v>
      </c>
      <c r="P57" s="203" t="s">
        <v>1892</v>
      </c>
      <c r="Q57" s="203" t="s">
        <v>1893</v>
      </c>
      <c r="R57" s="203" t="s">
        <v>1894</v>
      </c>
      <c r="S57" s="203" t="s">
        <v>1142</v>
      </c>
    </row>
    <row r="58">
      <c r="A58" s="203" t="str">
        <f t="array" ref="A58:S58">TRANSPOSE(INDIRECT(SWITCH(Routes!B55,
"Nature &amp; Wildlife Exploration","highlightsnature",
"Coastal Adventures","highlightscoastal",
"Rideable Routes","highlightswheels",
"Scenic Walks &amp; Trails","highlightswalks"
)))</f>
        <v>Waterfalls</v>
      </c>
      <c r="B58" s="203" t="s">
        <v>1877</v>
      </c>
      <c r="C58" s="203" t="s">
        <v>1878</v>
      </c>
      <c r="D58" s="203" t="s">
        <v>1879</v>
      </c>
      <c r="E58" s="203" t="s">
        <v>1880</v>
      </c>
      <c r="F58" s="203" t="s">
        <v>1881</v>
      </c>
      <c r="G58" s="203" t="s">
        <v>1882</v>
      </c>
      <c r="H58" s="203" t="s">
        <v>1883</v>
      </c>
      <c r="I58" s="203" t="s">
        <v>1884</v>
      </c>
      <c r="J58" s="203" t="s">
        <v>1885</v>
      </c>
      <c r="K58" s="203" t="s">
        <v>1886</v>
      </c>
      <c r="L58" s="203" t="s">
        <v>1887</v>
      </c>
      <c r="M58" s="203" t="s">
        <v>1122</v>
      </c>
      <c r="N58" s="203" t="s">
        <v>1889</v>
      </c>
      <c r="O58" s="203" t="s">
        <v>1890</v>
      </c>
      <c r="P58" s="203" t="s">
        <v>1892</v>
      </c>
      <c r="Q58" s="203" t="s">
        <v>1893</v>
      </c>
      <c r="R58" s="203" t="s">
        <v>1894</v>
      </c>
      <c r="S58" s="203" t="s">
        <v>1142</v>
      </c>
    </row>
    <row r="59">
      <c r="A59" s="203" t="str">
        <f t="array" ref="A59">TRANSPOSE(INDIRECT(SWITCH(Routes!B56,
"Nature &amp; Wildlife Exploration","highlightsnature",
"Coastal Adventures","highlightscoastal",
"Rideable Routes","highlightswheels",
"Scenic Walks &amp; Trails","highlightswalks"
)))</f>
        <v>#N/A</v>
      </c>
    </row>
    <row r="60">
      <c r="A60" s="203" t="str">
        <f t="array" ref="A60">TRANSPOSE(INDIRECT(SWITCH(Routes!B57,
"Nature &amp; Wildlife Exploration","highlightsnature",
"Coastal Adventures","highlightscoastal",
"Rideable Routes","highlightswheels",
"Scenic Walks &amp; Trails","highlightswalks"
)))</f>
        <v>#N/A</v>
      </c>
    </row>
    <row r="61">
      <c r="A61" s="203" t="str">
        <f t="array" ref="A61">TRANSPOSE(INDIRECT(SWITCH(Routes!B58,
"Nature &amp; Wildlife Exploration","highlightsnature",
"Coastal Adventures","highlightscoastal",
"Rideable Routes","highlightswheels",
"Scenic Walks &amp; Trails","highlightswalks"
)))</f>
        <v>#N/A</v>
      </c>
    </row>
    <row r="62">
      <c r="A62" s="203" t="str">
        <f t="array" ref="A62">TRANSPOSE(INDIRECT(SWITCH(Routes!B59,
"Nature &amp; Wildlife Exploration","highlightsnature",
"Coastal Adventures","highlightscoastal",
"Rideable Routes","highlightswheels",
"Scenic Walks &amp; Trails","highlightswalks"
)))</f>
        <v>#N/A</v>
      </c>
    </row>
    <row r="63">
      <c r="A63" s="203" t="str">
        <f t="array" ref="A63">TRANSPOSE(INDIRECT(SWITCH(Routes!B60,
"Nature &amp; Wildlife Exploration","highlightsnature",
"Coastal Adventures","highlightscoastal",
"Rideable Routes","highlightswheels",
"Scenic Walks &amp; Trails","highlightswalks"
)))</f>
        <v>#N/A</v>
      </c>
    </row>
    <row r="64">
      <c r="A64" s="203" t="str">
        <f t="array" ref="A64">TRANSPOSE(INDIRECT(SWITCH(Routes!B61,
"Nature &amp; Wildlife Exploration","highlightsnature",
"Coastal Adventures","highlightscoastal",
"Rideable Routes","highlightswheels",
"Scenic Walks &amp; Trails","highlightswalks"
)))</f>
        <v>#N/A</v>
      </c>
    </row>
    <row r="65">
      <c r="A65" s="203" t="str">
        <f t="array" ref="A65">TRANSPOSE(INDIRECT(SWITCH(Routes!B62,
"Nature &amp; Wildlife Exploration","highlightsnature",
"Coastal Adventures","highlightscoastal",
"Rideable Routes","highlightswheels",
"Scenic Walks &amp; Trails","highlightswalks"
)))</f>
        <v>#N/A</v>
      </c>
    </row>
    <row r="66">
      <c r="A66" s="203" t="str">
        <f t="shared" ref="A66:A90" si="1">TRANSPOSE(INDIRECT(SWITCH(#REF!,
"Nature &amp; Wildlife Exploration","highlightsnature",
"Coastal Adventures","highlightscoastal",
"Rideable Routes","highlightswheels",
"Scenic Walks &amp; Trails","highlightswalks"
)))</f>
        <v>#REF!</v>
      </c>
    </row>
    <row r="67">
      <c r="A67" s="203" t="str">
        <f t="shared" si="1"/>
        <v>#REF!</v>
      </c>
    </row>
    <row r="68">
      <c r="A68" s="203" t="str">
        <f t="shared" si="1"/>
        <v>#REF!</v>
      </c>
    </row>
    <row r="69">
      <c r="A69" s="203" t="str">
        <f t="shared" si="1"/>
        <v>#REF!</v>
      </c>
    </row>
    <row r="70">
      <c r="A70" s="203" t="str">
        <f t="shared" si="1"/>
        <v>#REF!</v>
      </c>
    </row>
    <row r="71">
      <c r="A71" s="203" t="str">
        <f t="shared" si="1"/>
        <v>#REF!</v>
      </c>
    </row>
    <row r="72">
      <c r="A72" s="203" t="str">
        <f t="shared" si="1"/>
        <v>#REF!</v>
      </c>
    </row>
    <row r="73">
      <c r="A73" s="203" t="str">
        <f t="shared" si="1"/>
        <v>#REF!</v>
      </c>
    </row>
    <row r="74">
      <c r="A74" s="203" t="str">
        <f t="shared" si="1"/>
        <v>#REF!</v>
      </c>
    </row>
    <row r="75">
      <c r="A75" s="203" t="str">
        <f t="shared" si="1"/>
        <v>#REF!</v>
      </c>
    </row>
    <row r="76">
      <c r="A76" s="203" t="str">
        <f t="shared" si="1"/>
        <v>#REF!</v>
      </c>
    </row>
    <row r="77">
      <c r="A77" s="203" t="str">
        <f t="shared" si="1"/>
        <v>#REF!</v>
      </c>
    </row>
    <row r="78">
      <c r="A78" s="203" t="str">
        <f t="shared" si="1"/>
        <v>#REF!</v>
      </c>
    </row>
    <row r="79">
      <c r="A79" s="203" t="str">
        <f t="shared" si="1"/>
        <v>#REF!</v>
      </c>
    </row>
    <row r="80">
      <c r="A80" s="203" t="str">
        <f t="shared" si="1"/>
        <v>#REF!</v>
      </c>
    </row>
    <row r="81">
      <c r="A81" s="203" t="str">
        <f t="shared" si="1"/>
        <v>#REF!</v>
      </c>
    </row>
    <row r="82">
      <c r="A82" s="203" t="str">
        <f t="shared" si="1"/>
        <v>#REF!</v>
      </c>
    </row>
    <row r="83">
      <c r="A83" s="203" t="str">
        <f t="shared" si="1"/>
        <v>#REF!</v>
      </c>
    </row>
    <row r="84">
      <c r="A84" s="203" t="str">
        <f t="shared" si="1"/>
        <v>#REF!</v>
      </c>
    </row>
    <row r="85">
      <c r="A85" s="203" t="str">
        <f t="shared" si="1"/>
        <v>#REF!</v>
      </c>
    </row>
    <row r="86">
      <c r="A86" s="203" t="str">
        <f t="shared" si="1"/>
        <v>#REF!</v>
      </c>
    </row>
    <row r="87">
      <c r="A87" s="203" t="str">
        <f t="shared" si="1"/>
        <v>#REF!</v>
      </c>
    </row>
    <row r="88">
      <c r="A88" s="203" t="str">
        <f t="shared" si="1"/>
        <v>#REF!</v>
      </c>
    </row>
    <row r="89">
      <c r="A89" s="203" t="str">
        <f t="shared" si="1"/>
        <v>#REF!</v>
      </c>
    </row>
    <row r="90">
      <c r="A90" s="203" t="str">
        <f t="shared" si="1"/>
        <v>#REF!</v>
      </c>
    </row>
    <row r="91">
      <c r="A91" s="203" t="str">
        <f t="array" ref="A91">TRANSPOSE(INDIRECT(SWITCH(Routes!B56,
"Nature &amp; Wildlife Exploration","highlightsnature",
"Coastal Adventures","highlightscoastal",
"Rideable Routes","highlightswheels",
"Scenic Walks &amp; Trails","highlightswalks"
)))</f>
        <v>#N/A</v>
      </c>
    </row>
    <row r="92">
      <c r="A92" s="203" t="str">
        <f t="array" ref="A92">TRANSPOSE(INDIRECT(SWITCH(Routes!B57,
"Nature &amp; Wildlife Exploration","highlightsnature",
"Coastal Adventures","highlightscoastal",
"Rideable Routes","highlightswheels",
"Scenic Walks &amp; Trails","highlightswalks"
)))</f>
        <v>#N/A</v>
      </c>
    </row>
    <row r="93">
      <c r="A93" s="203" t="str">
        <f t="array" ref="A93">TRANSPOSE(INDIRECT(SWITCH(Routes!B58,
"Nature &amp; Wildlife Exploration","highlightsnature",
"Coastal Adventures","highlightscoastal",
"Rideable Routes","highlightswheels",
"Scenic Walks &amp; Trails","highlightswalks"
)))</f>
        <v>#N/A</v>
      </c>
    </row>
    <row r="94">
      <c r="A94" s="203" t="str">
        <f t="array" ref="A94">TRANSPOSE(INDIRECT(SWITCH(Routes!B59,
"Nature &amp; Wildlife Exploration","highlightsnature",
"Coastal Adventures","highlightscoastal",
"Rideable Routes","highlightswheels",
"Scenic Walks &amp; Trails","highlightswalks"
)))</f>
        <v>#N/A</v>
      </c>
    </row>
    <row r="95">
      <c r="A95" s="203" t="str">
        <f t="array" ref="A95">TRANSPOSE(INDIRECT(SWITCH(Routes!B60,
"Nature &amp; Wildlife Exploration","highlightsnature",
"Coastal Adventures","highlightscoastal",
"Rideable Routes","highlightswheels",
"Scenic Walks &amp; Trails","highlightswalks"
)))</f>
        <v>#N/A</v>
      </c>
    </row>
    <row r="96">
      <c r="A96" s="203" t="str">
        <f t="array" ref="A96">TRANSPOSE(INDIRECT(SWITCH(Routes!B61,
"Nature &amp; Wildlife Exploration","highlightsnature",
"Coastal Adventures","highlightscoastal",
"Rideable Routes","highlightswheels",
"Scenic Walks &amp; Trails","highlightswalks"
)))</f>
        <v>#N/A</v>
      </c>
    </row>
    <row r="97">
      <c r="A97" s="203" t="str">
        <f t="array" ref="A97">TRANSPOSE(INDIRECT(SWITCH(Routes!B62,
"Nature &amp; Wildlife Exploration","highlightsnature",
"Coastal Adventures","highlightscoastal",
"Rideable Routes","highlightswheels",
"Scenic Walks &amp; Trails","highlightswalks"
)))</f>
        <v>#N/A</v>
      </c>
    </row>
    <row r="98">
      <c r="A98" s="203" t="str">
        <f t="array" ref="A98">TRANSPOSE(INDIRECT(SWITCH(Routes!B63,
"Nature &amp; Wildlife Exploration","highlightsnature",
"Coastal Adventures","highlightscoastal",
"Rideable Routes","highlightswheels",
"Scenic Walks &amp; Trails","highlightswalks"
)))</f>
        <v>#N/A</v>
      </c>
    </row>
    <row r="99">
      <c r="A99" s="203" t="str">
        <f t="array" ref="A99">TRANSPOSE(INDIRECT(SWITCH(Routes!B64,
"Nature &amp; Wildlife Exploration","highlightsnature",
"Coastal Adventures","highlightscoastal",
"Rideable Routes","highlightswheels",
"Scenic Walks &amp; Trails","highlightswalks"
)))</f>
        <v>#N/A</v>
      </c>
    </row>
    <row r="100">
      <c r="A100" s="203" t="str">
        <f t="array" ref="A100">TRANSPOSE(INDIRECT(SWITCH(Routes!B65,
"Nature &amp; Wildlife Exploration","highlightsnature",
"Coastal Adventures","highlightscoastal",
"Rideable Routes","highlightswheels",
"Scenic Walks &amp; Trails","highlightswalks"
)))</f>
        <v>#N/A</v>
      </c>
    </row>
    <row r="101">
      <c r="A101" s="203" t="str">
        <f t="array" ref="A101">TRANSPOSE(INDIRECT(SWITCH(Routes!B66,
"Nature &amp; Wildlife Exploration","highlightsnature",
"Coastal Adventures","highlightscoastal",
"Rideable Routes","highlightswheels",
"Scenic Walks &amp; Trails","highlightswalks"
)))</f>
        <v>#N/A</v>
      </c>
    </row>
    <row r="102">
      <c r="A102" s="203" t="str">
        <f t="array" ref="A102">TRANSPOSE(INDIRECT(SWITCH(Routes!B67,
"Nature &amp; Wildlife Exploration","highlightsnature",
"Coastal Adventures","highlightscoastal",
"Rideable Routes","highlightswheels",
"Scenic Walks &amp; Trails","highlightswalks"
)))</f>
        <v>#N/A</v>
      </c>
    </row>
    <row r="103">
      <c r="A103" s="203" t="str">
        <f t="array" ref="A103">TRANSPOSE(INDIRECT(SWITCH(Routes!B68,
"Nature &amp; Wildlife Exploration","highlightsnature",
"Coastal Adventures","highlightscoastal",
"Rideable Routes","highlightswheels",
"Scenic Walks &amp; Trails","highlightswalks"
)))</f>
        <v>#N/A</v>
      </c>
    </row>
    <row r="104">
      <c r="A104" s="203" t="str">
        <f t="array" ref="A104">TRANSPOSE(INDIRECT(SWITCH(Routes!B69,
"Nature &amp; Wildlife Exploration","highlightsnature",
"Coastal Adventures","highlightscoastal",
"Rideable Routes","highlightswheels",
"Scenic Walks &amp; Trails","highlightswalks"
)))</f>
        <v>#N/A</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03" t="str">
        <f t="array" ref="A5:J5">TRANSPOSE(INDIRECT(SWITCH(Venues!B5,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5" s="203" t="s">
        <v>1954</v>
      </c>
      <c r="C5" s="203" t="s">
        <v>1956</v>
      </c>
      <c r="D5" s="203" t="s">
        <v>1957</v>
      </c>
      <c r="E5" s="203" t="s">
        <v>1959</v>
      </c>
      <c r="F5" s="203" t="s">
        <v>1961</v>
      </c>
      <c r="G5" s="203" t="s">
        <v>1962</v>
      </c>
      <c r="H5" s="203" t="s">
        <v>1964</v>
      </c>
      <c r="I5" s="203" t="s">
        <v>1296</v>
      </c>
      <c r="J5" s="203" t="s">
        <v>1966</v>
      </c>
    </row>
    <row r="6">
      <c r="A6" s="203" t="str">
        <f t="array" ref="A6:O6">TRANSPOSE(INDIRECT(SWITCH(Venues!B6,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Themed environments</v>
      </c>
      <c r="B6" s="203" t="s">
        <v>1980</v>
      </c>
      <c r="C6" s="203" t="s">
        <v>1981</v>
      </c>
      <c r="D6" s="203" t="s">
        <v>1982</v>
      </c>
      <c r="E6" s="203" t="s">
        <v>1983</v>
      </c>
      <c r="F6" s="203" t="s">
        <v>1984</v>
      </c>
      <c r="G6" s="203" t="s">
        <v>1985</v>
      </c>
      <c r="H6" s="203" t="s">
        <v>1986</v>
      </c>
      <c r="I6" s="203" t="s">
        <v>1987</v>
      </c>
      <c r="J6" s="203" t="s">
        <v>1988</v>
      </c>
      <c r="K6" s="203" t="s">
        <v>1989</v>
      </c>
      <c r="L6" s="203" t="s">
        <v>1990</v>
      </c>
      <c r="M6" s="203" t="s">
        <v>1991</v>
      </c>
      <c r="N6" s="203" t="s">
        <v>1992</v>
      </c>
      <c r="O6" s="203" t="s">
        <v>1993</v>
      </c>
    </row>
    <row r="7">
      <c r="A7" s="203" t="str">
        <f t="array" ref="A7:I7">TRANSPOSE(INDIRECT(SWITCH(Venues!B7,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Children’s menu</v>
      </c>
      <c r="B7" s="203" t="s">
        <v>2001</v>
      </c>
      <c r="C7" s="203" t="s">
        <v>2002</v>
      </c>
      <c r="D7" s="203" t="s">
        <v>2003</v>
      </c>
      <c r="E7" s="203" t="s">
        <v>2004</v>
      </c>
      <c r="F7" s="203" t="s">
        <v>2005</v>
      </c>
      <c r="G7" s="203" t="s">
        <v>2006</v>
      </c>
      <c r="H7" s="203" t="s">
        <v>2007</v>
      </c>
      <c r="I7" s="203" t="s">
        <v>2009</v>
      </c>
    </row>
    <row r="8">
      <c r="A8" s="203" t="str">
        <f t="array" ref="A8:S8">TRANSPOSE(INDIRECT(SWITCH(Venues!B8,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8" s="203" t="s">
        <v>1716</v>
      </c>
      <c r="C8" s="203" t="s">
        <v>1718</v>
      </c>
      <c r="D8" s="203" t="s">
        <v>1720</v>
      </c>
      <c r="E8" s="203" t="s">
        <v>1722</v>
      </c>
      <c r="F8" s="203" t="s">
        <v>1723</v>
      </c>
      <c r="G8" s="203" t="s">
        <v>1724</v>
      </c>
      <c r="H8" s="203" t="s">
        <v>1726</v>
      </c>
      <c r="I8" s="203" t="s">
        <v>1727</v>
      </c>
      <c r="J8" s="203" t="s">
        <v>1729</v>
      </c>
      <c r="K8" s="203" t="s">
        <v>1730</v>
      </c>
      <c r="L8" s="203" t="s">
        <v>1731</v>
      </c>
      <c r="M8" s="203" t="s">
        <v>1732</v>
      </c>
      <c r="N8" s="203" t="s">
        <v>1733</v>
      </c>
      <c r="O8" s="203" t="s">
        <v>1734</v>
      </c>
      <c r="P8" s="203" t="s">
        <v>1735</v>
      </c>
      <c r="Q8" s="203" t="s">
        <v>1736</v>
      </c>
      <c r="R8" s="203" t="s">
        <v>1738</v>
      </c>
      <c r="S8" s="203" t="s">
        <v>1739</v>
      </c>
    </row>
    <row r="9">
      <c r="A9" s="203" t="str">
        <f t="array" ref="A9:O9">TRANSPOSE(INDIRECT(SWITCH(Venues!B9,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Rides &amp; attractions</v>
      </c>
      <c r="B9" s="203" t="s">
        <v>2028</v>
      </c>
      <c r="C9" s="203" t="s">
        <v>2029</v>
      </c>
      <c r="D9" s="203" t="s">
        <v>2030</v>
      </c>
      <c r="E9" s="203" t="s">
        <v>2031</v>
      </c>
      <c r="F9" s="203" t="s">
        <v>2032</v>
      </c>
      <c r="G9" s="203" t="s">
        <v>2033</v>
      </c>
      <c r="H9" s="203" t="s">
        <v>2034</v>
      </c>
      <c r="I9" s="203" t="s">
        <v>2035</v>
      </c>
      <c r="J9" s="203" t="s">
        <v>2036</v>
      </c>
      <c r="K9" s="203" t="s">
        <v>2037</v>
      </c>
      <c r="L9" s="203" t="s">
        <v>2038</v>
      </c>
      <c r="M9" s="203" t="s">
        <v>2039</v>
      </c>
      <c r="N9" s="203" t="s">
        <v>2040</v>
      </c>
      <c r="O9" s="203" t="s">
        <v>2041</v>
      </c>
    </row>
    <row r="10">
      <c r="A10" s="203" t="str">
        <f t="array" ref="A10:AE10">TRANSPOSE(INDIRECT(SWITCH(Venues!B10,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0" s="203" t="s">
        <v>2048</v>
      </c>
      <c r="C10" s="203" t="s">
        <v>2050</v>
      </c>
      <c r="D10" s="203" t="s">
        <v>1732</v>
      </c>
      <c r="E10" s="203" t="s">
        <v>2051</v>
      </c>
      <c r="F10" s="203" t="s">
        <v>2053</v>
      </c>
      <c r="G10" s="203" t="s">
        <v>2054</v>
      </c>
      <c r="H10" s="203" t="s">
        <v>2055</v>
      </c>
      <c r="I10" s="203" t="s">
        <v>2056</v>
      </c>
      <c r="J10" s="203" t="s">
        <v>2057</v>
      </c>
      <c r="K10" s="203" t="s">
        <v>2058</v>
      </c>
      <c r="L10" s="203" t="s">
        <v>2059</v>
      </c>
      <c r="M10" s="203" t="s">
        <v>2060</v>
      </c>
      <c r="N10" s="203" t="s">
        <v>2061</v>
      </c>
      <c r="O10" s="203" t="s">
        <v>2062</v>
      </c>
      <c r="P10" s="203" t="s">
        <v>2063</v>
      </c>
      <c r="Q10" s="203" t="s">
        <v>2065</v>
      </c>
      <c r="R10" s="203" t="s">
        <v>2066</v>
      </c>
      <c r="S10" s="203" t="s">
        <v>2067</v>
      </c>
      <c r="T10" s="203" t="s">
        <v>2068</v>
      </c>
      <c r="U10" s="203" t="s">
        <v>1774</v>
      </c>
      <c r="V10" s="203" t="s">
        <v>2070</v>
      </c>
      <c r="W10" s="203" t="s">
        <v>2071</v>
      </c>
      <c r="X10" s="203" t="s">
        <v>2072</v>
      </c>
      <c r="Y10" s="203" t="s">
        <v>2073</v>
      </c>
      <c r="Z10" s="203" t="s">
        <v>2074</v>
      </c>
      <c r="AA10" s="203" t="s">
        <v>2075</v>
      </c>
      <c r="AB10" s="203" t="s">
        <v>2076</v>
      </c>
      <c r="AC10" s="203" t="s">
        <v>2077</v>
      </c>
      <c r="AD10" s="203" t="s">
        <v>2078</v>
      </c>
      <c r="AE10" s="203" t="s">
        <v>2079</v>
      </c>
    </row>
    <row r="11">
      <c r="A11" s="203" t="str">
        <f t="array" ref="A11:AF11">TRANSPOSE(INDIRECT(SWITCH(Venues!B11,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11" s="203" t="s">
        <v>2080</v>
      </c>
      <c r="C11" s="203" t="s">
        <v>2081</v>
      </c>
      <c r="D11" s="203" t="s">
        <v>2082</v>
      </c>
      <c r="E11" s="203" t="s">
        <v>2083</v>
      </c>
      <c r="F11" s="203" t="s">
        <v>2084</v>
      </c>
      <c r="G11" s="203" t="s">
        <v>2086</v>
      </c>
      <c r="H11" s="203" t="s">
        <v>2087</v>
      </c>
      <c r="I11" s="203" t="s">
        <v>2088</v>
      </c>
      <c r="J11" s="203" t="s">
        <v>2089</v>
      </c>
      <c r="K11" s="203" t="s">
        <v>1893</v>
      </c>
      <c r="L11" s="203" t="s">
        <v>2090</v>
      </c>
      <c r="M11" s="203" t="s">
        <v>2091</v>
      </c>
      <c r="N11" s="203" t="s">
        <v>2092</v>
      </c>
      <c r="O11" s="203" t="s">
        <v>2093</v>
      </c>
      <c r="P11" s="203" t="s">
        <v>2094</v>
      </c>
      <c r="Q11" s="203" t="s">
        <v>2095</v>
      </c>
      <c r="R11" s="203" t="s">
        <v>2096</v>
      </c>
      <c r="S11" s="203" t="s">
        <v>2097</v>
      </c>
      <c r="T11" s="203" t="s">
        <v>2098</v>
      </c>
      <c r="U11" s="203" t="s">
        <v>1543</v>
      </c>
      <c r="V11" s="203" t="s">
        <v>1880</v>
      </c>
      <c r="W11" s="203" t="s">
        <v>1160</v>
      </c>
      <c r="X11" s="203" t="s">
        <v>2102</v>
      </c>
      <c r="Y11" s="203" t="s">
        <v>2104</v>
      </c>
      <c r="Z11" s="203" t="s">
        <v>2105</v>
      </c>
      <c r="AA11" s="203" t="s">
        <v>2106</v>
      </c>
      <c r="AB11" s="203" t="s">
        <v>2108</v>
      </c>
      <c r="AC11" s="203" t="s">
        <v>2110</v>
      </c>
      <c r="AD11" s="203" t="s">
        <v>2111</v>
      </c>
      <c r="AE11" s="203" t="s">
        <v>2112</v>
      </c>
      <c r="AF11" s="203" t="s">
        <v>2113</v>
      </c>
    </row>
    <row r="12">
      <c r="A12" s="203" t="str">
        <f t="array" ref="A12:AT12">TRANSPOSE(INDIRECT(SWITCH(Venues!B12,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2" s="203" t="s">
        <v>2117</v>
      </c>
      <c r="C12" s="203" t="s">
        <v>2118</v>
      </c>
      <c r="D12" s="203" t="s">
        <v>2119</v>
      </c>
      <c r="E12" s="203" t="s">
        <v>2120</v>
      </c>
      <c r="F12" s="203" t="s">
        <v>2121</v>
      </c>
      <c r="G12" s="203" t="s">
        <v>2123</v>
      </c>
      <c r="H12" s="203" t="s">
        <v>2124</v>
      </c>
      <c r="I12" s="203" t="s">
        <v>2125</v>
      </c>
      <c r="J12" s="203" t="s">
        <v>2127</v>
      </c>
      <c r="K12" s="203" t="s">
        <v>2128</v>
      </c>
      <c r="L12" s="203" t="s">
        <v>2129</v>
      </c>
      <c r="M12" s="203" t="s">
        <v>2130</v>
      </c>
      <c r="N12" s="203" t="s">
        <v>2131</v>
      </c>
      <c r="O12" s="203" t="s">
        <v>2132</v>
      </c>
      <c r="P12" s="203" t="s">
        <v>2133</v>
      </c>
      <c r="Q12" s="203" t="s">
        <v>2134</v>
      </c>
      <c r="R12" s="203" t="s">
        <v>1782</v>
      </c>
      <c r="S12" s="203" t="s">
        <v>2135</v>
      </c>
      <c r="T12" s="203" t="s">
        <v>2136</v>
      </c>
      <c r="U12" s="203" t="s">
        <v>2137</v>
      </c>
      <c r="V12" s="203" t="s">
        <v>2138</v>
      </c>
      <c r="W12" s="203" t="s">
        <v>2139</v>
      </c>
      <c r="X12" s="203" t="s">
        <v>2140</v>
      </c>
      <c r="Y12" s="203" t="s">
        <v>2142</v>
      </c>
      <c r="Z12" s="203" t="s">
        <v>2143</v>
      </c>
      <c r="AA12" s="203" t="s">
        <v>2144</v>
      </c>
      <c r="AB12" s="203" t="s">
        <v>2145</v>
      </c>
      <c r="AC12" s="203" t="s">
        <v>2146</v>
      </c>
      <c r="AD12" s="203" t="s">
        <v>2148</v>
      </c>
      <c r="AE12" s="203" t="s">
        <v>2150</v>
      </c>
      <c r="AF12" s="203" t="s">
        <v>2151</v>
      </c>
      <c r="AG12" s="203" t="s">
        <v>2152</v>
      </c>
      <c r="AH12" s="203" t="s">
        <v>2154</v>
      </c>
      <c r="AI12" s="203" t="s">
        <v>2156</v>
      </c>
      <c r="AJ12" s="203" t="s">
        <v>2157</v>
      </c>
      <c r="AK12" s="203" t="s">
        <v>2158</v>
      </c>
      <c r="AL12" s="203" t="s">
        <v>2159</v>
      </c>
      <c r="AM12" s="203" t="s">
        <v>2160</v>
      </c>
      <c r="AN12" s="203" t="s">
        <v>2161</v>
      </c>
      <c r="AO12" s="203" t="s">
        <v>2162</v>
      </c>
      <c r="AP12" s="203" t="s">
        <v>2163</v>
      </c>
      <c r="AQ12" s="203" t="s">
        <v>2164</v>
      </c>
      <c r="AR12" s="203" t="s">
        <v>2165</v>
      </c>
      <c r="AS12" s="203" t="s">
        <v>2166</v>
      </c>
      <c r="AT12" s="203" t="s">
        <v>2167</v>
      </c>
    </row>
    <row r="13">
      <c r="A13" s="203" t="str">
        <f t="array" ref="A13:V13">TRANSPOSE(INDIRECT(SWITCH(Venues!B13,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13" s="203" t="s">
        <v>2169</v>
      </c>
      <c r="C13" s="203" t="s">
        <v>2170</v>
      </c>
      <c r="D13" s="203" t="s">
        <v>2171</v>
      </c>
      <c r="E13" s="203" t="s">
        <v>2172</v>
      </c>
      <c r="F13" s="203" t="s">
        <v>2173</v>
      </c>
      <c r="G13" s="203" t="s">
        <v>2174</v>
      </c>
      <c r="H13" s="203" t="s">
        <v>2175</v>
      </c>
      <c r="I13" s="203" t="s">
        <v>2176</v>
      </c>
      <c r="J13" s="203" t="s">
        <v>2177</v>
      </c>
      <c r="K13" s="203" t="s">
        <v>2178</v>
      </c>
      <c r="L13" s="203" t="s">
        <v>2179</v>
      </c>
      <c r="M13" s="203" t="s">
        <v>2180</v>
      </c>
      <c r="N13" s="203" t="s">
        <v>2181</v>
      </c>
      <c r="O13" s="203" t="s">
        <v>1729</v>
      </c>
      <c r="P13" s="203" t="s">
        <v>1730</v>
      </c>
      <c r="Q13" s="203" t="s">
        <v>2182</v>
      </c>
      <c r="R13" s="203" t="s">
        <v>2183</v>
      </c>
      <c r="S13" s="203" t="s">
        <v>2184</v>
      </c>
      <c r="T13" s="203" t="s">
        <v>2185</v>
      </c>
      <c r="U13" s="203" t="s">
        <v>2186</v>
      </c>
      <c r="V13" s="203" t="s">
        <v>2187</v>
      </c>
    </row>
    <row r="14">
      <c r="A14" s="203" t="str">
        <f t="array" ref="A14:T14">TRANSPOSE(INDIRECT(SWITCH(Venues!B14,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14" s="203" t="s">
        <v>2198</v>
      </c>
      <c r="C14" s="203" t="s">
        <v>2199</v>
      </c>
      <c r="D14" s="203" t="s">
        <v>2171</v>
      </c>
      <c r="E14" s="203" t="s">
        <v>2200</v>
      </c>
      <c r="F14" s="203" t="s">
        <v>1878</v>
      </c>
      <c r="G14" s="203" t="s">
        <v>2174</v>
      </c>
      <c r="H14" s="203" t="s">
        <v>2175</v>
      </c>
      <c r="I14" s="203" t="s">
        <v>1889</v>
      </c>
      <c r="J14" s="203" t="s">
        <v>2201</v>
      </c>
      <c r="K14" s="203" t="s">
        <v>2202</v>
      </c>
      <c r="L14" s="203" t="s">
        <v>1884</v>
      </c>
      <c r="M14" s="203" t="s">
        <v>2203</v>
      </c>
      <c r="N14" s="203" t="s">
        <v>2204</v>
      </c>
      <c r="O14" s="203" t="s">
        <v>2205</v>
      </c>
      <c r="P14" s="203" t="s">
        <v>2206</v>
      </c>
      <c r="Q14" s="203" t="s">
        <v>2207</v>
      </c>
      <c r="R14" s="203" t="s">
        <v>2208</v>
      </c>
      <c r="S14" s="203" t="s">
        <v>1729</v>
      </c>
      <c r="T14" s="203" t="s">
        <v>1730</v>
      </c>
    </row>
    <row r="15">
      <c r="A15" s="203" t="str">
        <f t="array" ref="A15:AF15">TRANSPOSE(INDIRECT(SWITCH(Venues!B15,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15" s="203" t="s">
        <v>1760</v>
      </c>
      <c r="C15" s="203" t="s">
        <v>1761</v>
      </c>
      <c r="D15" s="203" t="s">
        <v>1762</v>
      </c>
      <c r="E15" s="203" t="s">
        <v>1763</v>
      </c>
      <c r="F15" s="203" t="s">
        <v>1764</v>
      </c>
      <c r="G15" s="203" t="s">
        <v>1765</v>
      </c>
      <c r="H15" s="203" t="s">
        <v>1766</v>
      </c>
      <c r="I15" s="203" t="s">
        <v>1767</v>
      </c>
      <c r="J15" s="203" t="s">
        <v>1768</v>
      </c>
      <c r="K15" s="203" t="s">
        <v>1769</v>
      </c>
      <c r="L15" s="203" t="s">
        <v>1770</v>
      </c>
      <c r="M15" s="203" t="s">
        <v>1771</v>
      </c>
      <c r="N15" s="203" t="s">
        <v>1772</v>
      </c>
      <c r="O15" s="203" t="s">
        <v>1773</v>
      </c>
      <c r="P15" s="203" t="s">
        <v>1774</v>
      </c>
      <c r="Q15" s="203" t="s">
        <v>1775</v>
      </c>
      <c r="R15" s="203" t="s">
        <v>876</v>
      </c>
      <c r="S15" s="203" t="s">
        <v>1776</v>
      </c>
      <c r="T15" s="203" t="s">
        <v>1777</v>
      </c>
      <c r="U15" s="203" t="s">
        <v>1778</v>
      </c>
      <c r="V15" s="203" t="s">
        <v>1779</v>
      </c>
      <c r="W15" s="203" t="s">
        <v>1780</v>
      </c>
      <c r="X15" s="203" t="s">
        <v>1781</v>
      </c>
      <c r="Y15" s="203" t="s">
        <v>1782</v>
      </c>
      <c r="Z15" s="203" t="s">
        <v>1783</v>
      </c>
      <c r="AA15" s="203" t="s">
        <v>1784</v>
      </c>
      <c r="AB15" s="203" t="s">
        <v>1785</v>
      </c>
      <c r="AC15" s="203" t="s">
        <v>1786</v>
      </c>
      <c r="AD15" s="203" t="s">
        <v>1788</v>
      </c>
      <c r="AE15" s="203" t="s">
        <v>1789</v>
      </c>
      <c r="AF15" s="203" t="s">
        <v>1790</v>
      </c>
    </row>
    <row r="16">
      <c r="A16" s="203" t="str">
        <f t="array" ref="A16:AE16">TRANSPOSE(INDIRECT(SWITCH(Venues!B16,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6" s="203" t="s">
        <v>2048</v>
      </c>
      <c r="C16" s="203" t="s">
        <v>2050</v>
      </c>
      <c r="D16" s="203" t="s">
        <v>1732</v>
      </c>
      <c r="E16" s="203" t="s">
        <v>2051</v>
      </c>
      <c r="F16" s="203" t="s">
        <v>2053</v>
      </c>
      <c r="G16" s="203" t="s">
        <v>2054</v>
      </c>
      <c r="H16" s="203" t="s">
        <v>2055</v>
      </c>
      <c r="I16" s="203" t="s">
        <v>2056</v>
      </c>
      <c r="J16" s="203" t="s">
        <v>2057</v>
      </c>
      <c r="K16" s="203" t="s">
        <v>2058</v>
      </c>
      <c r="L16" s="203" t="s">
        <v>2059</v>
      </c>
      <c r="M16" s="203" t="s">
        <v>2060</v>
      </c>
      <c r="N16" s="203" t="s">
        <v>2061</v>
      </c>
      <c r="O16" s="203" t="s">
        <v>2062</v>
      </c>
      <c r="P16" s="203" t="s">
        <v>2063</v>
      </c>
      <c r="Q16" s="203" t="s">
        <v>2065</v>
      </c>
      <c r="R16" s="203" t="s">
        <v>2066</v>
      </c>
      <c r="S16" s="203" t="s">
        <v>2067</v>
      </c>
      <c r="T16" s="203" t="s">
        <v>2068</v>
      </c>
      <c r="U16" s="203" t="s">
        <v>1774</v>
      </c>
      <c r="V16" s="203" t="s">
        <v>2070</v>
      </c>
      <c r="W16" s="203" t="s">
        <v>2071</v>
      </c>
      <c r="X16" s="203" t="s">
        <v>2072</v>
      </c>
      <c r="Y16" s="203" t="s">
        <v>2073</v>
      </c>
      <c r="Z16" s="203" t="s">
        <v>2074</v>
      </c>
      <c r="AA16" s="203" t="s">
        <v>2075</v>
      </c>
      <c r="AB16" s="203" t="s">
        <v>2076</v>
      </c>
      <c r="AC16" s="203" t="s">
        <v>2077</v>
      </c>
      <c r="AD16" s="203" t="s">
        <v>2078</v>
      </c>
      <c r="AE16" s="203" t="s">
        <v>2079</v>
      </c>
    </row>
    <row r="17">
      <c r="A17" s="203" t="str">
        <f t="array" ref="A17:AF17">TRANSPOSE(INDIRECT(SWITCH(Venues!B17,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17" s="203" t="s">
        <v>2080</v>
      </c>
      <c r="C17" s="203" t="s">
        <v>2081</v>
      </c>
      <c r="D17" s="203" t="s">
        <v>2082</v>
      </c>
      <c r="E17" s="203" t="s">
        <v>2083</v>
      </c>
      <c r="F17" s="203" t="s">
        <v>2084</v>
      </c>
      <c r="G17" s="203" t="s">
        <v>2086</v>
      </c>
      <c r="H17" s="203" t="s">
        <v>2087</v>
      </c>
      <c r="I17" s="203" t="s">
        <v>2088</v>
      </c>
      <c r="J17" s="203" t="s">
        <v>2089</v>
      </c>
      <c r="K17" s="203" t="s">
        <v>1893</v>
      </c>
      <c r="L17" s="203" t="s">
        <v>2090</v>
      </c>
      <c r="M17" s="203" t="s">
        <v>2091</v>
      </c>
      <c r="N17" s="203" t="s">
        <v>2092</v>
      </c>
      <c r="O17" s="203" t="s">
        <v>2093</v>
      </c>
      <c r="P17" s="203" t="s">
        <v>2094</v>
      </c>
      <c r="Q17" s="203" t="s">
        <v>2095</v>
      </c>
      <c r="R17" s="203" t="s">
        <v>2096</v>
      </c>
      <c r="S17" s="203" t="s">
        <v>2097</v>
      </c>
      <c r="T17" s="203" t="s">
        <v>2098</v>
      </c>
      <c r="U17" s="203" t="s">
        <v>1543</v>
      </c>
      <c r="V17" s="203" t="s">
        <v>1880</v>
      </c>
      <c r="W17" s="203" t="s">
        <v>1160</v>
      </c>
      <c r="X17" s="203" t="s">
        <v>2102</v>
      </c>
      <c r="Y17" s="203" t="s">
        <v>2104</v>
      </c>
      <c r="Z17" s="203" t="s">
        <v>2105</v>
      </c>
      <c r="AA17" s="203" t="s">
        <v>2106</v>
      </c>
      <c r="AB17" s="203" t="s">
        <v>2108</v>
      </c>
      <c r="AC17" s="203" t="s">
        <v>2110</v>
      </c>
      <c r="AD17" s="203" t="s">
        <v>2111</v>
      </c>
      <c r="AE17" s="203" t="s">
        <v>2112</v>
      </c>
      <c r="AF17" s="203" t="s">
        <v>2113</v>
      </c>
    </row>
    <row r="18">
      <c r="A18" s="203" t="str">
        <f t="array" ref="A18:AE18">TRANSPOSE(INDIRECT(SWITCH(Venues!B18,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8" s="203" t="s">
        <v>2048</v>
      </c>
      <c r="C18" s="203" t="s">
        <v>2050</v>
      </c>
      <c r="D18" s="203" t="s">
        <v>1732</v>
      </c>
      <c r="E18" s="203" t="s">
        <v>2051</v>
      </c>
      <c r="F18" s="203" t="s">
        <v>2053</v>
      </c>
      <c r="G18" s="203" t="s">
        <v>2054</v>
      </c>
      <c r="H18" s="203" t="s">
        <v>2055</v>
      </c>
      <c r="I18" s="203" t="s">
        <v>2056</v>
      </c>
      <c r="J18" s="203" t="s">
        <v>2057</v>
      </c>
      <c r="K18" s="203" t="s">
        <v>2058</v>
      </c>
      <c r="L18" s="203" t="s">
        <v>2059</v>
      </c>
      <c r="M18" s="203" t="s">
        <v>2060</v>
      </c>
      <c r="N18" s="203" t="s">
        <v>2061</v>
      </c>
      <c r="O18" s="203" t="s">
        <v>2062</v>
      </c>
      <c r="P18" s="203" t="s">
        <v>2063</v>
      </c>
      <c r="Q18" s="203" t="s">
        <v>2065</v>
      </c>
      <c r="R18" s="203" t="s">
        <v>2066</v>
      </c>
      <c r="S18" s="203" t="s">
        <v>2067</v>
      </c>
      <c r="T18" s="203" t="s">
        <v>2068</v>
      </c>
      <c r="U18" s="203" t="s">
        <v>1774</v>
      </c>
      <c r="V18" s="203" t="s">
        <v>2070</v>
      </c>
      <c r="W18" s="203" t="s">
        <v>2071</v>
      </c>
      <c r="X18" s="203" t="s">
        <v>2072</v>
      </c>
      <c r="Y18" s="203" t="s">
        <v>2073</v>
      </c>
      <c r="Z18" s="203" t="s">
        <v>2074</v>
      </c>
      <c r="AA18" s="203" t="s">
        <v>2075</v>
      </c>
      <c r="AB18" s="203" t="s">
        <v>2076</v>
      </c>
      <c r="AC18" s="203" t="s">
        <v>2077</v>
      </c>
      <c r="AD18" s="203" t="s">
        <v>2078</v>
      </c>
      <c r="AE18" s="203" t="s">
        <v>2079</v>
      </c>
    </row>
    <row r="19">
      <c r="A19" s="203" t="str">
        <f t="array" ref="A19:AE19">TRANSPOSE(INDIRECT(SWITCH(Venues!B19,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9" s="203" t="s">
        <v>2048</v>
      </c>
      <c r="C19" s="203" t="s">
        <v>2050</v>
      </c>
      <c r="D19" s="203" t="s">
        <v>1732</v>
      </c>
      <c r="E19" s="203" t="s">
        <v>2051</v>
      </c>
      <c r="F19" s="203" t="s">
        <v>2053</v>
      </c>
      <c r="G19" s="203" t="s">
        <v>2054</v>
      </c>
      <c r="H19" s="203" t="s">
        <v>2055</v>
      </c>
      <c r="I19" s="203" t="s">
        <v>2056</v>
      </c>
      <c r="J19" s="203" t="s">
        <v>2057</v>
      </c>
      <c r="K19" s="203" t="s">
        <v>2058</v>
      </c>
      <c r="L19" s="203" t="s">
        <v>2059</v>
      </c>
      <c r="M19" s="203" t="s">
        <v>2060</v>
      </c>
      <c r="N19" s="203" t="s">
        <v>2061</v>
      </c>
      <c r="O19" s="203" t="s">
        <v>2062</v>
      </c>
      <c r="P19" s="203" t="s">
        <v>2063</v>
      </c>
      <c r="Q19" s="203" t="s">
        <v>2065</v>
      </c>
      <c r="R19" s="203" t="s">
        <v>2066</v>
      </c>
      <c r="S19" s="203" t="s">
        <v>2067</v>
      </c>
      <c r="T19" s="203" t="s">
        <v>2068</v>
      </c>
      <c r="U19" s="203" t="s">
        <v>1774</v>
      </c>
      <c r="V19" s="203" t="s">
        <v>2070</v>
      </c>
      <c r="W19" s="203" t="s">
        <v>2071</v>
      </c>
      <c r="X19" s="203" t="s">
        <v>2072</v>
      </c>
      <c r="Y19" s="203" t="s">
        <v>2073</v>
      </c>
      <c r="Z19" s="203" t="s">
        <v>2074</v>
      </c>
      <c r="AA19" s="203" t="s">
        <v>2075</v>
      </c>
      <c r="AB19" s="203" t="s">
        <v>2076</v>
      </c>
      <c r="AC19" s="203" t="s">
        <v>2077</v>
      </c>
      <c r="AD19" s="203" t="s">
        <v>2078</v>
      </c>
      <c r="AE19" s="203" t="s">
        <v>2079</v>
      </c>
    </row>
    <row r="20">
      <c r="A20" s="203" t="str">
        <f t="array" ref="A20:J20">TRANSPOSE(INDIRECT(SWITCH(Venues!B20,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20" s="203" t="s">
        <v>1954</v>
      </c>
      <c r="C20" s="203" t="s">
        <v>1956</v>
      </c>
      <c r="D20" s="203" t="s">
        <v>1957</v>
      </c>
      <c r="E20" s="203" t="s">
        <v>1959</v>
      </c>
      <c r="F20" s="203" t="s">
        <v>1961</v>
      </c>
      <c r="G20" s="203" t="s">
        <v>1962</v>
      </c>
      <c r="H20" s="203" t="s">
        <v>1964</v>
      </c>
      <c r="I20" s="203" t="s">
        <v>1296</v>
      </c>
      <c r="J20" s="203" t="s">
        <v>1966</v>
      </c>
    </row>
    <row r="21">
      <c r="A21" s="203" t="str">
        <f t="array" ref="A21:J21">TRANSPOSE(INDIRECT(SWITCH(Venues!B21,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21" s="203" t="s">
        <v>1954</v>
      </c>
      <c r="C21" s="203" t="s">
        <v>1956</v>
      </c>
      <c r="D21" s="203" t="s">
        <v>1957</v>
      </c>
      <c r="E21" s="203" t="s">
        <v>1959</v>
      </c>
      <c r="F21" s="203" t="s">
        <v>1961</v>
      </c>
      <c r="G21" s="203" t="s">
        <v>1962</v>
      </c>
      <c r="H21" s="203" t="s">
        <v>1964</v>
      </c>
      <c r="I21" s="203" t="s">
        <v>1296</v>
      </c>
      <c r="J21" s="203" t="s">
        <v>1966</v>
      </c>
    </row>
    <row r="22">
      <c r="A22" s="203" t="str">
        <f t="array" ref="A22:AT22">TRANSPOSE(INDIRECT(SWITCH(Venues!B22,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22" s="203" t="s">
        <v>2117</v>
      </c>
      <c r="C22" s="203" t="s">
        <v>2118</v>
      </c>
      <c r="D22" s="203" t="s">
        <v>2119</v>
      </c>
      <c r="E22" s="203" t="s">
        <v>2120</v>
      </c>
      <c r="F22" s="203" t="s">
        <v>2121</v>
      </c>
      <c r="G22" s="203" t="s">
        <v>2123</v>
      </c>
      <c r="H22" s="203" t="s">
        <v>2124</v>
      </c>
      <c r="I22" s="203" t="s">
        <v>2125</v>
      </c>
      <c r="J22" s="203" t="s">
        <v>2127</v>
      </c>
      <c r="K22" s="203" t="s">
        <v>2128</v>
      </c>
      <c r="L22" s="203" t="s">
        <v>2129</v>
      </c>
      <c r="M22" s="203" t="s">
        <v>2130</v>
      </c>
      <c r="N22" s="203" t="s">
        <v>2131</v>
      </c>
      <c r="O22" s="203" t="s">
        <v>2132</v>
      </c>
      <c r="P22" s="203" t="s">
        <v>2133</v>
      </c>
      <c r="Q22" s="203" t="s">
        <v>2134</v>
      </c>
      <c r="R22" s="203" t="s">
        <v>1782</v>
      </c>
      <c r="S22" s="203" t="s">
        <v>2135</v>
      </c>
      <c r="T22" s="203" t="s">
        <v>2136</v>
      </c>
      <c r="U22" s="203" t="s">
        <v>2137</v>
      </c>
      <c r="V22" s="203" t="s">
        <v>2138</v>
      </c>
      <c r="W22" s="203" t="s">
        <v>2139</v>
      </c>
      <c r="X22" s="203" t="s">
        <v>2140</v>
      </c>
      <c r="Y22" s="203" t="s">
        <v>2142</v>
      </c>
      <c r="Z22" s="203" t="s">
        <v>2143</v>
      </c>
      <c r="AA22" s="203" t="s">
        <v>2144</v>
      </c>
      <c r="AB22" s="203" t="s">
        <v>2145</v>
      </c>
      <c r="AC22" s="203" t="s">
        <v>2146</v>
      </c>
      <c r="AD22" s="203" t="s">
        <v>2148</v>
      </c>
      <c r="AE22" s="203" t="s">
        <v>2150</v>
      </c>
      <c r="AF22" s="203" t="s">
        <v>2151</v>
      </c>
      <c r="AG22" s="203" t="s">
        <v>2152</v>
      </c>
      <c r="AH22" s="203" t="s">
        <v>2154</v>
      </c>
      <c r="AI22" s="203" t="s">
        <v>2156</v>
      </c>
      <c r="AJ22" s="203" t="s">
        <v>2157</v>
      </c>
      <c r="AK22" s="203" t="s">
        <v>2158</v>
      </c>
      <c r="AL22" s="203" t="s">
        <v>2159</v>
      </c>
      <c r="AM22" s="203" t="s">
        <v>2160</v>
      </c>
      <c r="AN22" s="203" t="s">
        <v>2161</v>
      </c>
      <c r="AO22" s="203" t="s">
        <v>2162</v>
      </c>
      <c r="AP22" s="203" t="s">
        <v>2163</v>
      </c>
      <c r="AQ22" s="203" t="s">
        <v>2164</v>
      </c>
      <c r="AR22" s="203" t="s">
        <v>2165</v>
      </c>
      <c r="AS22" s="203" t="s">
        <v>2166</v>
      </c>
      <c r="AT22" s="203" t="s">
        <v>2167</v>
      </c>
    </row>
    <row r="23">
      <c r="A23" s="203" t="str">
        <f t="array" ref="A23:S23">TRANSPOSE(INDIRECT(SWITCH(Venues!B23,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23" s="203" t="s">
        <v>1716</v>
      </c>
      <c r="C23" s="203" t="s">
        <v>1718</v>
      </c>
      <c r="D23" s="203" t="s">
        <v>1720</v>
      </c>
      <c r="E23" s="203" t="s">
        <v>1722</v>
      </c>
      <c r="F23" s="203" t="s">
        <v>1723</v>
      </c>
      <c r="G23" s="203" t="s">
        <v>1724</v>
      </c>
      <c r="H23" s="203" t="s">
        <v>1726</v>
      </c>
      <c r="I23" s="203" t="s">
        <v>1727</v>
      </c>
      <c r="J23" s="203" t="s">
        <v>1729</v>
      </c>
      <c r="K23" s="203" t="s">
        <v>1730</v>
      </c>
      <c r="L23" s="203" t="s">
        <v>1731</v>
      </c>
      <c r="M23" s="203" t="s">
        <v>1732</v>
      </c>
      <c r="N23" s="203" t="s">
        <v>1733</v>
      </c>
      <c r="O23" s="203" t="s">
        <v>1734</v>
      </c>
      <c r="P23" s="203" t="s">
        <v>1735</v>
      </c>
      <c r="Q23" s="203" t="s">
        <v>1736</v>
      </c>
      <c r="R23" s="203" t="s">
        <v>1738</v>
      </c>
      <c r="S23" s="203" t="s">
        <v>1739</v>
      </c>
    </row>
    <row r="24">
      <c r="A24" s="203" t="str">
        <f t="array" ref="A24:AT24">TRANSPOSE(INDIRECT(SWITCH(Venues!B24,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24" s="203" t="s">
        <v>2117</v>
      </c>
      <c r="C24" s="203" t="s">
        <v>2118</v>
      </c>
      <c r="D24" s="203" t="s">
        <v>2119</v>
      </c>
      <c r="E24" s="203" t="s">
        <v>2120</v>
      </c>
      <c r="F24" s="203" t="s">
        <v>2121</v>
      </c>
      <c r="G24" s="203" t="s">
        <v>2123</v>
      </c>
      <c r="H24" s="203" t="s">
        <v>2124</v>
      </c>
      <c r="I24" s="203" t="s">
        <v>2125</v>
      </c>
      <c r="J24" s="203" t="s">
        <v>2127</v>
      </c>
      <c r="K24" s="203" t="s">
        <v>2128</v>
      </c>
      <c r="L24" s="203" t="s">
        <v>2129</v>
      </c>
      <c r="M24" s="203" t="s">
        <v>2130</v>
      </c>
      <c r="N24" s="203" t="s">
        <v>2131</v>
      </c>
      <c r="O24" s="203" t="s">
        <v>2132</v>
      </c>
      <c r="P24" s="203" t="s">
        <v>2133</v>
      </c>
      <c r="Q24" s="203" t="s">
        <v>2134</v>
      </c>
      <c r="R24" s="203" t="s">
        <v>1782</v>
      </c>
      <c r="S24" s="203" t="s">
        <v>2135</v>
      </c>
      <c r="T24" s="203" t="s">
        <v>2136</v>
      </c>
      <c r="U24" s="203" t="s">
        <v>2137</v>
      </c>
      <c r="V24" s="203" t="s">
        <v>2138</v>
      </c>
      <c r="W24" s="203" t="s">
        <v>2139</v>
      </c>
      <c r="X24" s="203" t="s">
        <v>2140</v>
      </c>
      <c r="Y24" s="203" t="s">
        <v>2142</v>
      </c>
      <c r="Z24" s="203" t="s">
        <v>2143</v>
      </c>
      <c r="AA24" s="203" t="s">
        <v>2144</v>
      </c>
      <c r="AB24" s="203" t="s">
        <v>2145</v>
      </c>
      <c r="AC24" s="203" t="s">
        <v>2146</v>
      </c>
      <c r="AD24" s="203" t="s">
        <v>2148</v>
      </c>
      <c r="AE24" s="203" t="s">
        <v>2150</v>
      </c>
      <c r="AF24" s="203" t="s">
        <v>2151</v>
      </c>
      <c r="AG24" s="203" t="s">
        <v>2152</v>
      </c>
      <c r="AH24" s="203" t="s">
        <v>2154</v>
      </c>
      <c r="AI24" s="203" t="s">
        <v>2156</v>
      </c>
      <c r="AJ24" s="203" t="s">
        <v>2157</v>
      </c>
      <c r="AK24" s="203" t="s">
        <v>2158</v>
      </c>
      <c r="AL24" s="203" t="s">
        <v>2159</v>
      </c>
      <c r="AM24" s="203" t="s">
        <v>2160</v>
      </c>
      <c r="AN24" s="203" t="s">
        <v>2161</v>
      </c>
      <c r="AO24" s="203" t="s">
        <v>2162</v>
      </c>
      <c r="AP24" s="203" t="s">
        <v>2163</v>
      </c>
      <c r="AQ24" s="203" t="s">
        <v>2164</v>
      </c>
      <c r="AR24" s="203" t="s">
        <v>2165</v>
      </c>
      <c r="AS24" s="203" t="s">
        <v>2166</v>
      </c>
      <c r="AT24" s="203" t="s">
        <v>2167</v>
      </c>
    </row>
    <row r="25">
      <c r="A25" s="203" t="str">
        <f t="array" ref="A25:O25">TRANSPOSE(INDIRECT(SWITCH(Venues!B25,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Rides &amp; attractions</v>
      </c>
      <c r="B25" s="203" t="s">
        <v>2028</v>
      </c>
      <c r="C25" s="203" t="s">
        <v>2029</v>
      </c>
      <c r="D25" s="203" t="s">
        <v>2030</v>
      </c>
      <c r="E25" s="203" t="s">
        <v>2031</v>
      </c>
      <c r="F25" s="203" t="s">
        <v>2032</v>
      </c>
      <c r="G25" s="203" t="s">
        <v>2033</v>
      </c>
      <c r="H25" s="203" t="s">
        <v>2034</v>
      </c>
      <c r="I25" s="203" t="s">
        <v>2035</v>
      </c>
      <c r="J25" s="203" t="s">
        <v>2036</v>
      </c>
      <c r="K25" s="203" t="s">
        <v>2037</v>
      </c>
      <c r="L25" s="203" t="s">
        <v>2038</v>
      </c>
      <c r="M25" s="203" t="s">
        <v>2039</v>
      </c>
      <c r="N25" s="203" t="s">
        <v>2040</v>
      </c>
      <c r="O25" s="203" t="s">
        <v>2041</v>
      </c>
    </row>
    <row r="26">
      <c r="A26" s="203" t="str">
        <f t="array" ref="A26:AT26">TRANSPOSE(INDIRECT(SWITCH(Venues!B26,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26" s="203" t="s">
        <v>2117</v>
      </c>
      <c r="C26" s="203" t="s">
        <v>2118</v>
      </c>
      <c r="D26" s="203" t="s">
        <v>2119</v>
      </c>
      <c r="E26" s="203" t="s">
        <v>2120</v>
      </c>
      <c r="F26" s="203" t="s">
        <v>2121</v>
      </c>
      <c r="G26" s="203" t="s">
        <v>2123</v>
      </c>
      <c r="H26" s="203" t="s">
        <v>2124</v>
      </c>
      <c r="I26" s="203" t="s">
        <v>2125</v>
      </c>
      <c r="J26" s="203" t="s">
        <v>2127</v>
      </c>
      <c r="K26" s="203" t="s">
        <v>2128</v>
      </c>
      <c r="L26" s="203" t="s">
        <v>2129</v>
      </c>
      <c r="M26" s="203" t="s">
        <v>2130</v>
      </c>
      <c r="N26" s="203" t="s">
        <v>2131</v>
      </c>
      <c r="O26" s="203" t="s">
        <v>2132</v>
      </c>
      <c r="P26" s="203" t="s">
        <v>2133</v>
      </c>
      <c r="Q26" s="203" t="s">
        <v>2134</v>
      </c>
      <c r="R26" s="203" t="s">
        <v>1782</v>
      </c>
      <c r="S26" s="203" t="s">
        <v>2135</v>
      </c>
      <c r="T26" s="203" t="s">
        <v>2136</v>
      </c>
      <c r="U26" s="203" t="s">
        <v>2137</v>
      </c>
      <c r="V26" s="203" t="s">
        <v>2138</v>
      </c>
      <c r="W26" s="203" t="s">
        <v>2139</v>
      </c>
      <c r="X26" s="203" t="s">
        <v>2140</v>
      </c>
      <c r="Y26" s="203" t="s">
        <v>2142</v>
      </c>
      <c r="Z26" s="203" t="s">
        <v>2143</v>
      </c>
      <c r="AA26" s="203" t="s">
        <v>2144</v>
      </c>
      <c r="AB26" s="203" t="s">
        <v>2145</v>
      </c>
      <c r="AC26" s="203" t="s">
        <v>2146</v>
      </c>
      <c r="AD26" s="203" t="s">
        <v>2148</v>
      </c>
      <c r="AE26" s="203" t="s">
        <v>2150</v>
      </c>
      <c r="AF26" s="203" t="s">
        <v>2151</v>
      </c>
      <c r="AG26" s="203" t="s">
        <v>2152</v>
      </c>
      <c r="AH26" s="203" t="s">
        <v>2154</v>
      </c>
      <c r="AI26" s="203" t="s">
        <v>2156</v>
      </c>
      <c r="AJ26" s="203" t="s">
        <v>2157</v>
      </c>
      <c r="AK26" s="203" t="s">
        <v>2158</v>
      </c>
      <c r="AL26" s="203" t="s">
        <v>2159</v>
      </c>
      <c r="AM26" s="203" t="s">
        <v>2160</v>
      </c>
      <c r="AN26" s="203" t="s">
        <v>2161</v>
      </c>
      <c r="AO26" s="203" t="s">
        <v>2162</v>
      </c>
      <c r="AP26" s="203" t="s">
        <v>2163</v>
      </c>
      <c r="AQ26" s="203" t="s">
        <v>2164</v>
      </c>
      <c r="AR26" s="203" t="s">
        <v>2165</v>
      </c>
      <c r="AS26" s="203" t="s">
        <v>2166</v>
      </c>
      <c r="AT26" s="203" t="s">
        <v>2167</v>
      </c>
    </row>
    <row r="27">
      <c r="A27" s="203" t="str">
        <f t="array" ref="A27:V27">TRANSPOSE(INDIRECT(SWITCH(Venues!B27,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27" s="203" t="s">
        <v>2169</v>
      </c>
      <c r="C27" s="203" t="s">
        <v>2170</v>
      </c>
      <c r="D27" s="203" t="s">
        <v>2171</v>
      </c>
      <c r="E27" s="203" t="s">
        <v>2172</v>
      </c>
      <c r="F27" s="203" t="s">
        <v>2173</v>
      </c>
      <c r="G27" s="203" t="s">
        <v>2174</v>
      </c>
      <c r="H27" s="203" t="s">
        <v>2175</v>
      </c>
      <c r="I27" s="203" t="s">
        <v>2176</v>
      </c>
      <c r="J27" s="203" t="s">
        <v>2177</v>
      </c>
      <c r="K27" s="203" t="s">
        <v>2178</v>
      </c>
      <c r="L27" s="203" t="s">
        <v>2179</v>
      </c>
      <c r="M27" s="203" t="s">
        <v>2180</v>
      </c>
      <c r="N27" s="203" t="s">
        <v>2181</v>
      </c>
      <c r="O27" s="203" t="s">
        <v>1729</v>
      </c>
      <c r="P27" s="203" t="s">
        <v>1730</v>
      </c>
      <c r="Q27" s="203" t="s">
        <v>2182</v>
      </c>
      <c r="R27" s="203" t="s">
        <v>2183</v>
      </c>
      <c r="S27" s="203" t="s">
        <v>2184</v>
      </c>
      <c r="T27" s="203" t="s">
        <v>2185</v>
      </c>
      <c r="U27" s="203" t="s">
        <v>2186</v>
      </c>
      <c r="V27" s="203" t="s">
        <v>2187</v>
      </c>
    </row>
    <row r="28">
      <c r="A28" s="203" t="str">
        <f t="array" ref="A28:U28">TRANSPOSE(INDIRECT(SWITCH(Venues!B28,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Historic buildings</v>
      </c>
      <c r="B28" s="203" t="s">
        <v>2388</v>
      </c>
      <c r="C28" s="203" t="s">
        <v>2389</v>
      </c>
      <c r="D28" s="203" t="s">
        <v>2390</v>
      </c>
      <c r="E28" s="203" t="s">
        <v>2391</v>
      </c>
      <c r="F28" s="203" t="s">
        <v>2392</v>
      </c>
      <c r="G28" s="203" t="s">
        <v>2393</v>
      </c>
      <c r="H28" s="203" t="s">
        <v>2394</v>
      </c>
      <c r="I28" s="203" t="s">
        <v>2395</v>
      </c>
      <c r="J28" s="203" t="s">
        <v>2396</v>
      </c>
      <c r="K28" s="203" t="s">
        <v>2397</v>
      </c>
      <c r="L28" s="203" t="s">
        <v>2398</v>
      </c>
      <c r="M28" s="203" t="s">
        <v>2399</v>
      </c>
      <c r="N28" s="203" t="s">
        <v>2400</v>
      </c>
      <c r="O28" s="203" t="s">
        <v>2402</v>
      </c>
      <c r="P28" s="203" t="s">
        <v>2034</v>
      </c>
      <c r="Q28" s="203" t="s">
        <v>2404</v>
      </c>
      <c r="R28" s="203" t="s">
        <v>2405</v>
      </c>
      <c r="S28" s="203" t="s">
        <v>2406</v>
      </c>
      <c r="T28" s="203" t="s">
        <v>2408</v>
      </c>
      <c r="U28" s="203" t="s">
        <v>2409</v>
      </c>
    </row>
    <row r="29">
      <c r="A29" s="203" t="str">
        <f t="array" ref="A29:S29">TRANSPOSE(INDIRECT(SWITCH(Venues!B29,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29" s="203" t="s">
        <v>1716</v>
      </c>
      <c r="C29" s="203" t="s">
        <v>1718</v>
      </c>
      <c r="D29" s="203" t="s">
        <v>1720</v>
      </c>
      <c r="E29" s="203" t="s">
        <v>1722</v>
      </c>
      <c r="F29" s="203" t="s">
        <v>1723</v>
      </c>
      <c r="G29" s="203" t="s">
        <v>1724</v>
      </c>
      <c r="H29" s="203" t="s">
        <v>1726</v>
      </c>
      <c r="I29" s="203" t="s">
        <v>1727</v>
      </c>
      <c r="J29" s="203" t="s">
        <v>1729</v>
      </c>
      <c r="K29" s="203" t="s">
        <v>1730</v>
      </c>
      <c r="L29" s="203" t="s">
        <v>1731</v>
      </c>
      <c r="M29" s="203" t="s">
        <v>1732</v>
      </c>
      <c r="N29" s="203" t="s">
        <v>1733</v>
      </c>
      <c r="O29" s="203" t="s">
        <v>1734</v>
      </c>
      <c r="P29" s="203" t="s">
        <v>1735</v>
      </c>
      <c r="Q29" s="203" t="s">
        <v>1736</v>
      </c>
      <c r="R29" s="203" t="s">
        <v>1738</v>
      </c>
      <c r="S29" s="203" t="s">
        <v>1739</v>
      </c>
    </row>
    <row r="30">
      <c r="A30" s="203" t="str">
        <f t="array" ref="A30:AT30">TRANSPOSE(INDIRECT(SWITCH(Venues!B30,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30" s="203" t="s">
        <v>2117</v>
      </c>
      <c r="C30" s="203" t="s">
        <v>2118</v>
      </c>
      <c r="D30" s="203" t="s">
        <v>2119</v>
      </c>
      <c r="E30" s="203" t="s">
        <v>2120</v>
      </c>
      <c r="F30" s="203" t="s">
        <v>2121</v>
      </c>
      <c r="G30" s="203" t="s">
        <v>2123</v>
      </c>
      <c r="H30" s="203" t="s">
        <v>2124</v>
      </c>
      <c r="I30" s="203" t="s">
        <v>2125</v>
      </c>
      <c r="J30" s="203" t="s">
        <v>2127</v>
      </c>
      <c r="K30" s="203" t="s">
        <v>2128</v>
      </c>
      <c r="L30" s="203" t="s">
        <v>2129</v>
      </c>
      <c r="M30" s="203" t="s">
        <v>2130</v>
      </c>
      <c r="N30" s="203" t="s">
        <v>2131</v>
      </c>
      <c r="O30" s="203" t="s">
        <v>2132</v>
      </c>
      <c r="P30" s="203" t="s">
        <v>2133</v>
      </c>
      <c r="Q30" s="203" t="s">
        <v>2134</v>
      </c>
      <c r="R30" s="203" t="s">
        <v>1782</v>
      </c>
      <c r="S30" s="203" t="s">
        <v>2135</v>
      </c>
      <c r="T30" s="203" t="s">
        <v>2136</v>
      </c>
      <c r="U30" s="203" t="s">
        <v>2137</v>
      </c>
      <c r="V30" s="203" t="s">
        <v>2138</v>
      </c>
      <c r="W30" s="203" t="s">
        <v>2139</v>
      </c>
      <c r="X30" s="203" t="s">
        <v>2140</v>
      </c>
      <c r="Y30" s="203" t="s">
        <v>2142</v>
      </c>
      <c r="Z30" s="203" t="s">
        <v>2143</v>
      </c>
      <c r="AA30" s="203" t="s">
        <v>2144</v>
      </c>
      <c r="AB30" s="203" t="s">
        <v>2145</v>
      </c>
      <c r="AC30" s="203" t="s">
        <v>2146</v>
      </c>
      <c r="AD30" s="203" t="s">
        <v>2148</v>
      </c>
      <c r="AE30" s="203" t="s">
        <v>2150</v>
      </c>
      <c r="AF30" s="203" t="s">
        <v>2151</v>
      </c>
      <c r="AG30" s="203" t="s">
        <v>2152</v>
      </c>
      <c r="AH30" s="203" t="s">
        <v>2154</v>
      </c>
      <c r="AI30" s="203" t="s">
        <v>2156</v>
      </c>
      <c r="AJ30" s="203" t="s">
        <v>2157</v>
      </c>
      <c r="AK30" s="203" t="s">
        <v>2158</v>
      </c>
      <c r="AL30" s="203" t="s">
        <v>2159</v>
      </c>
      <c r="AM30" s="203" t="s">
        <v>2160</v>
      </c>
      <c r="AN30" s="203" t="s">
        <v>2161</v>
      </c>
      <c r="AO30" s="203" t="s">
        <v>2162</v>
      </c>
      <c r="AP30" s="203" t="s">
        <v>2163</v>
      </c>
      <c r="AQ30" s="203" t="s">
        <v>2164</v>
      </c>
      <c r="AR30" s="203" t="s">
        <v>2165</v>
      </c>
      <c r="AS30" s="203" t="s">
        <v>2166</v>
      </c>
      <c r="AT30" s="203" t="s">
        <v>2167</v>
      </c>
    </row>
    <row r="31">
      <c r="A31" s="203" t="str">
        <f t="array" ref="A31:R31">TRANSPOSE(INDIRECT(SWITCH(Venues!B31,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Traffic-free sections</v>
      </c>
      <c r="B31" s="203" t="s">
        <v>1919</v>
      </c>
      <c r="C31" s="203" t="s">
        <v>1921</v>
      </c>
      <c r="D31" s="203" t="s">
        <v>1922</v>
      </c>
      <c r="E31" s="203" t="s">
        <v>1923</v>
      </c>
      <c r="F31" s="203" t="s">
        <v>1924</v>
      </c>
      <c r="G31" s="203" t="s">
        <v>1925</v>
      </c>
      <c r="H31" s="203" t="s">
        <v>1926</v>
      </c>
      <c r="I31" s="203" t="s">
        <v>1927</v>
      </c>
      <c r="J31" s="203" t="s">
        <v>1928</v>
      </c>
      <c r="K31" s="203" t="s">
        <v>1929</v>
      </c>
      <c r="L31" s="203" t="s">
        <v>1930</v>
      </c>
      <c r="M31" s="203" t="s">
        <v>1931</v>
      </c>
      <c r="N31" s="203" t="s">
        <v>1932</v>
      </c>
      <c r="O31" s="203" t="s">
        <v>1933</v>
      </c>
      <c r="P31" s="203" t="s">
        <v>1934</v>
      </c>
      <c r="Q31" s="203" t="s">
        <v>1935</v>
      </c>
      <c r="R31" s="203" t="s">
        <v>1937</v>
      </c>
    </row>
    <row r="32">
      <c r="A32" s="203" t="str">
        <f t="array" ref="A32:AT32">TRANSPOSE(INDIRECT(SWITCH(Venues!B32,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32" s="203" t="s">
        <v>2117</v>
      </c>
      <c r="C32" s="203" t="s">
        <v>2118</v>
      </c>
      <c r="D32" s="203" t="s">
        <v>2119</v>
      </c>
      <c r="E32" s="203" t="s">
        <v>2120</v>
      </c>
      <c r="F32" s="203" t="s">
        <v>2121</v>
      </c>
      <c r="G32" s="203" t="s">
        <v>2123</v>
      </c>
      <c r="H32" s="203" t="s">
        <v>2124</v>
      </c>
      <c r="I32" s="203" t="s">
        <v>2125</v>
      </c>
      <c r="J32" s="203" t="s">
        <v>2127</v>
      </c>
      <c r="K32" s="203" t="s">
        <v>2128</v>
      </c>
      <c r="L32" s="203" t="s">
        <v>2129</v>
      </c>
      <c r="M32" s="203" t="s">
        <v>2130</v>
      </c>
      <c r="N32" s="203" t="s">
        <v>2131</v>
      </c>
      <c r="O32" s="203" t="s">
        <v>2132</v>
      </c>
      <c r="P32" s="203" t="s">
        <v>2133</v>
      </c>
      <c r="Q32" s="203" t="s">
        <v>2134</v>
      </c>
      <c r="R32" s="203" t="s">
        <v>1782</v>
      </c>
      <c r="S32" s="203" t="s">
        <v>2135</v>
      </c>
      <c r="T32" s="203" t="s">
        <v>2136</v>
      </c>
      <c r="U32" s="203" t="s">
        <v>2137</v>
      </c>
      <c r="V32" s="203" t="s">
        <v>2138</v>
      </c>
      <c r="W32" s="203" t="s">
        <v>2139</v>
      </c>
      <c r="X32" s="203" t="s">
        <v>2140</v>
      </c>
      <c r="Y32" s="203" t="s">
        <v>2142</v>
      </c>
      <c r="Z32" s="203" t="s">
        <v>2143</v>
      </c>
      <c r="AA32" s="203" t="s">
        <v>2144</v>
      </c>
      <c r="AB32" s="203" t="s">
        <v>2145</v>
      </c>
      <c r="AC32" s="203" t="s">
        <v>2146</v>
      </c>
      <c r="AD32" s="203" t="s">
        <v>2148</v>
      </c>
      <c r="AE32" s="203" t="s">
        <v>2150</v>
      </c>
      <c r="AF32" s="203" t="s">
        <v>2151</v>
      </c>
      <c r="AG32" s="203" t="s">
        <v>2152</v>
      </c>
      <c r="AH32" s="203" t="s">
        <v>2154</v>
      </c>
      <c r="AI32" s="203" t="s">
        <v>2156</v>
      </c>
      <c r="AJ32" s="203" t="s">
        <v>2157</v>
      </c>
      <c r="AK32" s="203" t="s">
        <v>2158</v>
      </c>
      <c r="AL32" s="203" t="s">
        <v>2159</v>
      </c>
      <c r="AM32" s="203" t="s">
        <v>2160</v>
      </c>
      <c r="AN32" s="203" t="s">
        <v>2161</v>
      </c>
      <c r="AO32" s="203" t="s">
        <v>2162</v>
      </c>
      <c r="AP32" s="203" t="s">
        <v>2163</v>
      </c>
      <c r="AQ32" s="203" t="s">
        <v>2164</v>
      </c>
      <c r="AR32" s="203" t="s">
        <v>2165</v>
      </c>
      <c r="AS32" s="203" t="s">
        <v>2166</v>
      </c>
      <c r="AT32" s="203" t="s">
        <v>2167</v>
      </c>
    </row>
    <row r="33">
      <c r="A33" s="203" t="str">
        <f t="array" ref="A33:AF33">TRANSPOSE(INDIRECT(SWITCH(Venues!B33,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33" s="203" t="s">
        <v>2080</v>
      </c>
      <c r="C33" s="203" t="s">
        <v>2081</v>
      </c>
      <c r="D33" s="203" t="s">
        <v>2082</v>
      </c>
      <c r="E33" s="203" t="s">
        <v>2083</v>
      </c>
      <c r="F33" s="203" t="s">
        <v>2084</v>
      </c>
      <c r="G33" s="203" t="s">
        <v>2086</v>
      </c>
      <c r="H33" s="203" t="s">
        <v>2087</v>
      </c>
      <c r="I33" s="203" t="s">
        <v>2088</v>
      </c>
      <c r="J33" s="203" t="s">
        <v>2089</v>
      </c>
      <c r="K33" s="203" t="s">
        <v>1893</v>
      </c>
      <c r="L33" s="203" t="s">
        <v>2090</v>
      </c>
      <c r="M33" s="203" t="s">
        <v>2091</v>
      </c>
      <c r="N33" s="203" t="s">
        <v>2092</v>
      </c>
      <c r="O33" s="203" t="s">
        <v>2093</v>
      </c>
      <c r="P33" s="203" t="s">
        <v>2094</v>
      </c>
      <c r="Q33" s="203" t="s">
        <v>2095</v>
      </c>
      <c r="R33" s="203" t="s">
        <v>2096</v>
      </c>
      <c r="S33" s="203" t="s">
        <v>2097</v>
      </c>
      <c r="T33" s="203" t="s">
        <v>2098</v>
      </c>
      <c r="U33" s="203" t="s">
        <v>1543</v>
      </c>
      <c r="V33" s="203" t="s">
        <v>1880</v>
      </c>
      <c r="W33" s="203" t="s">
        <v>1160</v>
      </c>
      <c r="X33" s="203" t="s">
        <v>2102</v>
      </c>
      <c r="Y33" s="203" t="s">
        <v>2104</v>
      </c>
      <c r="Z33" s="203" t="s">
        <v>2105</v>
      </c>
      <c r="AA33" s="203" t="s">
        <v>2106</v>
      </c>
      <c r="AB33" s="203" t="s">
        <v>2108</v>
      </c>
      <c r="AC33" s="203" t="s">
        <v>2110</v>
      </c>
      <c r="AD33" s="203" t="s">
        <v>2111</v>
      </c>
      <c r="AE33" s="203" t="s">
        <v>2112</v>
      </c>
      <c r="AF33" s="203" t="s">
        <v>2113</v>
      </c>
    </row>
    <row r="34">
      <c r="A34" s="203" t="str">
        <f t="array" ref="A34:T34">TRANSPOSE(INDIRECT(SWITCH(Venues!B34,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34" s="203" t="s">
        <v>2198</v>
      </c>
      <c r="C34" s="203" t="s">
        <v>2199</v>
      </c>
      <c r="D34" s="203" t="s">
        <v>2171</v>
      </c>
      <c r="E34" s="203" t="s">
        <v>2200</v>
      </c>
      <c r="F34" s="203" t="s">
        <v>1878</v>
      </c>
      <c r="G34" s="203" t="s">
        <v>2174</v>
      </c>
      <c r="H34" s="203" t="s">
        <v>2175</v>
      </c>
      <c r="I34" s="203" t="s">
        <v>1889</v>
      </c>
      <c r="J34" s="203" t="s">
        <v>2201</v>
      </c>
      <c r="K34" s="203" t="s">
        <v>2202</v>
      </c>
      <c r="L34" s="203" t="s">
        <v>1884</v>
      </c>
      <c r="M34" s="203" t="s">
        <v>2203</v>
      </c>
      <c r="N34" s="203" t="s">
        <v>2204</v>
      </c>
      <c r="O34" s="203" t="s">
        <v>2205</v>
      </c>
      <c r="P34" s="203" t="s">
        <v>2206</v>
      </c>
      <c r="Q34" s="203" t="s">
        <v>2207</v>
      </c>
      <c r="R34" s="203" t="s">
        <v>2208</v>
      </c>
      <c r="S34" s="203" t="s">
        <v>1729</v>
      </c>
      <c r="T34" s="203" t="s">
        <v>1730</v>
      </c>
    </row>
    <row r="35">
      <c r="A35" s="203" t="str">
        <f t="array" ref="A35:AF35">TRANSPOSE(INDIRECT(SWITCH(Venues!B35,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35" s="203" t="s">
        <v>1760</v>
      </c>
      <c r="C35" s="203" t="s">
        <v>1761</v>
      </c>
      <c r="D35" s="203" t="s">
        <v>1762</v>
      </c>
      <c r="E35" s="203" t="s">
        <v>1763</v>
      </c>
      <c r="F35" s="203" t="s">
        <v>1764</v>
      </c>
      <c r="G35" s="203" t="s">
        <v>1765</v>
      </c>
      <c r="H35" s="203" t="s">
        <v>1766</v>
      </c>
      <c r="I35" s="203" t="s">
        <v>1767</v>
      </c>
      <c r="J35" s="203" t="s">
        <v>1768</v>
      </c>
      <c r="K35" s="203" t="s">
        <v>1769</v>
      </c>
      <c r="L35" s="203" t="s">
        <v>1770</v>
      </c>
      <c r="M35" s="203" t="s">
        <v>1771</v>
      </c>
      <c r="N35" s="203" t="s">
        <v>1772</v>
      </c>
      <c r="O35" s="203" t="s">
        <v>1773</v>
      </c>
      <c r="P35" s="203" t="s">
        <v>1774</v>
      </c>
      <c r="Q35" s="203" t="s">
        <v>1775</v>
      </c>
      <c r="R35" s="203" t="s">
        <v>876</v>
      </c>
      <c r="S35" s="203" t="s">
        <v>1776</v>
      </c>
      <c r="T35" s="203" t="s">
        <v>1777</v>
      </c>
      <c r="U35" s="203" t="s">
        <v>1778</v>
      </c>
      <c r="V35" s="203" t="s">
        <v>1779</v>
      </c>
      <c r="W35" s="203" t="s">
        <v>1780</v>
      </c>
      <c r="X35" s="203" t="s">
        <v>1781</v>
      </c>
      <c r="Y35" s="203" t="s">
        <v>1782</v>
      </c>
      <c r="Z35" s="203" t="s">
        <v>1783</v>
      </c>
      <c r="AA35" s="203" t="s">
        <v>1784</v>
      </c>
      <c r="AB35" s="203" t="s">
        <v>1785</v>
      </c>
      <c r="AC35" s="203" t="s">
        <v>1786</v>
      </c>
      <c r="AD35" s="203" t="s">
        <v>1788</v>
      </c>
      <c r="AE35" s="203" t="s">
        <v>1789</v>
      </c>
      <c r="AF35" s="203" t="s">
        <v>1790</v>
      </c>
    </row>
    <row r="36">
      <c r="A36" s="203" t="str">
        <f t="array" ref="A36:AF36">TRANSPOSE(INDIRECT(SWITCH(Venues!B36,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36" s="203" t="s">
        <v>1760</v>
      </c>
      <c r="C36" s="203" t="s">
        <v>1761</v>
      </c>
      <c r="D36" s="203" t="s">
        <v>1762</v>
      </c>
      <c r="E36" s="203" t="s">
        <v>1763</v>
      </c>
      <c r="F36" s="203" t="s">
        <v>1764</v>
      </c>
      <c r="G36" s="203" t="s">
        <v>1765</v>
      </c>
      <c r="H36" s="203" t="s">
        <v>1766</v>
      </c>
      <c r="I36" s="203" t="s">
        <v>1767</v>
      </c>
      <c r="J36" s="203" t="s">
        <v>1768</v>
      </c>
      <c r="K36" s="203" t="s">
        <v>1769</v>
      </c>
      <c r="L36" s="203" t="s">
        <v>1770</v>
      </c>
      <c r="M36" s="203" t="s">
        <v>1771</v>
      </c>
      <c r="N36" s="203" t="s">
        <v>1772</v>
      </c>
      <c r="O36" s="203" t="s">
        <v>1773</v>
      </c>
      <c r="P36" s="203" t="s">
        <v>1774</v>
      </c>
      <c r="Q36" s="203" t="s">
        <v>1775</v>
      </c>
      <c r="R36" s="203" t="s">
        <v>876</v>
      </c>
      <c r="S36" s="203" t="s">
        <v>1776</v>
      </c>
      <c r="T36" s="203" t="s">
        <v>1777</v>
      </c>
      <c r="U36" s="203" t="s">
        <v>1778</v>
      </c>
      <c r="V36" s="203" t="s">
        <v>1779</v>
      </c>
      <c r="W36" s="203" t="s">
        <v>1780</v>
      </c>
      <c r="X36" s="203" t="s">
        <v>1781</v>
      </c>
      <c r="Y36" s="203" t="s">
        <v>1782</v>
      </c>
      <c r="Z36" s="203" t="s">
        <v>1783</v>
      </c>
      <c r="AA36" s="203" t="s">
        <v>1784</v>
      </c>
      <c r="AB36" s="203" t="s">
        <v>1785</v>
      </c>
      <c r="AC36" s="203" t="s">
        <v>1786</v>
      </c>
      <c r="AD36" s="203" t="s">
        <v>1788</v>
      </c>
      <c r="AE36" s="203" t="s">
        <v>1789</v>
      </c>
      <c r="AF36" s="203" t="s">
        <v>1790</v>
      </c>
    </row>
    <row r="37">
      <c r="A37" s="203" t="str">
        <f t="array" ref="A37:I37">TRANSPOSE(INDIRECT(SWITCH(Venues!B37,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Children’s menu</v>
      </c>
      <c r="B37" s="203" t="s">
        <v>2001</v>
      </c>
      <c r="C37" s="203" t="s">
        <v>2002</v>
      </c>
      <c r="D37" s="203" t="s">
        <v>2003</v>
      </c>
      <c r="E37" s="203" t="s">
        <v>2004</v>
      </c>
      <c r="F37" s="203" t="s">
        <v>2005</v>
      </c>
      <c r="G37" s="203" t="s">
        <v>2006</v>
      </c>
      <c r="H37" s="203" t="s">
        <v>2007</v>
      </c>
      <c r="I37" s="203" t="s">
        <v>2009</v>
      </c>
    </row>
    <row r="38">
      <c r="A38" s="203" t="str">
        <f t="array" ref="A38:S38">TRANSPOSE(INDIRECT(SWITCH(Venues!B38,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38" s="203" t="s">
        <v>1716</v>
      </c>
      <c r="C38" s="203" t="s">
        <v>1718</v>
      </c>
      <c r="D38" s="203" t="s">
        <v>1720</v>
      </c>
      <c r="E38" s="203" t="s">
        <v>1722</v>
      </c>
      <c r="F38" s="203" t="s">
        <v>1723</v>
      </c>
      <c r="G38" s="203" t="s">
        <v>1724</v>
      </c>
      <c r="H38" s="203" t="s">
        <v>1726</v>
      </c>
      <c r="I38" s="203" t="s">
        <v>1727</v>
      </c>
      <c r="J38" s="203" t="s">
        <v>1729</v>
      </c>
      <c r="K38" s="203" t="s">
        <v>1730</v>
      </c>
      <c r="L38" s="203" t="s">
        <v>1731</v>
      </c>
      <c r="M38" s="203" t="s">
        <v>1732</v>
      </c>
      <c r="N38" s="203" t="s">
        <v>1733</v>
      </c>
      <c r="O38" s="203" t="s">
        <v>1734</v>
      </c>
      <c r="P38" s="203" t="s">
        <v>1735</v>
      </c>
      <c r="Q38" s="203" t="s">
        <v>1736</v>
      </c>
      <c r="R38" s="203" t="s">
        <v>1738</v>
      </c>
      <c r="S38" s="203" t="s">
        <v>1739</v>
      </c>
    </row>
    <row r="39">
      <c r="A39" s="203" t="str">
        <f t="array" ref="A39:T39">TRANSPOSE(INDIRECT(SWITCH(Venues!B39,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39" s="203" t="s">
        <v>2198</v>
      </c>
      <c r="C39" s="203" t="s">
        <v>2199</v>
      </c>
      <c r="D39" s="203" t="s">
        <v>2171</v>
      </c>
      <c r="E39" s="203" t="s">
        <v>2200</v>
      </c>
      <c r="F39" s="203" t="s">
        <v>1878</v>
      </c>
      <c r="G39" s="203" t="s">
        <v>2174</v>
      </c>
      <c r="H39" s="203" t="s">
        <v>2175</v>
      </c>
      <c r="I39" s="203" t="s">
        <v>1889</v>
      </c>
      <c r="J39" s="203" t="s">
        <v>2201</v>
      </c>
      <c r="K39" s="203" t="s">
        <v>2202</v>
      </c>
      <c r="L39" s="203" t="s">
        <v>1884</v>
      </c>
      <c r="M39" s="203" t="s">
        <v>2203</v>
      </c>
      <c r="N39" s="203" t="s">
        <v>2204</v>
      </c>
      <c r="O39" s="203" t="s">
        <v>2205</v>
      </c>
      <c r="P39" s="203" t="s">
        <v>2206</v>
      </c>
      <c r="Q39" s="203" t="s">
        <v>2207</v>
      </c>
      <c r="R39" s="203" t="s">
        <v>2208</v>
      </c>
      <c r="S39" s="203" t="s">
        <v>1729</v>
      </c>
      <c r="T39" s="203" t="s">
        <v>1730</v>
      </c>
    </row>
    <row r="40">
      <c r="A40" s="203" t="str">
        <f t="array" ref="A40:R40">TRANSPOSE(INDIRECT(SWITCH(Venues!B40,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Traffic-free sections</v>
      </c>
      <c r="B40" s="203" t="s">
        <v>1919</v>
      </c>
      <c r="C40" s="203" t="s">
        <v>1921</v>
      </c>
      <c r="D40" s="203" t="s">
        <v>1922</v>
      </c>
      <c r="E40" s="203" t="s">
        <v>1923</v>
      </c>
      <c r="F40" s="203" t="s">
        <v>1924</v>
      </c>
      <c r="G40" s="203" t="s">
        <v>1925</v>
      </c>
      <c r="H40" s="203" t="s">
        <v>1926</v>
      </c>
      <c r="I40" s="203" t="s">
        <v>1927</v>
      </c>
      <c r="J40" s="203" t="s">
        <v>1928</v>
      </c>
      <c r="K40" s="203" t="s">
        <v>1929</v>
      </c>
      <c r="L40" s="203" t="s">
        <v>1930</v>
      </c>
      <c r="M40" s="203" t="s">
        <v>1931</v>
      </c>
      <c r="N40" s="203" t="s">
        <v>1932</v>
      </c>
      <c r="O40" s="203" t="s">
        <v>1933</v>
      </c>
      <c r="P40" s="203" t="s">
        <v>1934</v>
      </c>
      <c r="Q40" s="203" t="s">
        <v>1935</v>
      </c>
      <c r="R40" s="203" t="s">
        <v>1937</v>
      </c>
    </row>
    <row r="41">
      <c r="A41" s="203" t="str">
        <f t="array" ref="A41:V41">TRANSPOSE(INDIRECT(SWITCH(Venues!B41,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41" s="203" t="s">
        <v>2169</v>
      </c>
      <c r="C41" s="203" t="s">
        <v>2170</v>
      </c>
      <c r="D41" s="203" t="s">
        <v>2171</v>
      </c>
      <c r="E41" s="203" t="s">
        <v>2172</v>
      </c>
      <c r="F41" s="203" t="s">
        <v>2173</v>
      </c>
      <c r="G41" s="203" t="s">
        <v>2174</v>
      </c>
      <c r="H41" s="203" t="s">
        <v>2175</v>
      </c>
      <c r="I41" s="203" t="s">
        <v>2176</v>
      </c>
      <c r="J41" s="203" t="s">
        <v>2177</v>
      </c>
      <c r="K41" s="203" t="s">
        <v>2178</v>
      </c>
      <c r="L41" s="203" t="s">
        <v>2179</v>
      </c>
      <c r="M41" s="203" t="s">
        <v>2180</v>
      </c>
      <c r="N41" s="203" t="s">
        <v>2181</v>
      </c>
      <c r="O41" s="203" t="s">
        <v>1729</v>
      </c>
      <c r="P41" s="203" t="s">
        <v>1730</v>
      </c>
      <c r="Q41" s="203" t="s">
        <v>2182</v>
      </c>
      <c r="R41" s="203" t="s">
        <v>2183</v>
      </c>
      <c r="S41" s="203" t="s">
        <v>2184</v>
      </c>
      <c r="T41" s="203" t="s">
        <v>2185</v>
      </c>
      <c r="U41" s="203" t="s">
        <v>2186</v>
      </c>
      <c r="V41" s="203" t="s">
        <v>2187</v>
      </c>
    </row>
    <row r="42">
      <c r="A42" s="203" t="str">
        <f t="array" ref="A42:S42">TRANSPOSE(INDIRECT(SWITCH(Venues!B42,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42" s="203" t="s">
        <v>1716</v>
      </c>
      <c r="C42" s="203" t="s">
        <v>1718</v>
      </c>
      <c r="D42" s="203" t="s">
        <v>1720</v>
      </c>
      <c r="E42" s="203" t="s">
        <v>1722</v>
      </c>
      <c r="F42" s="203" t="s">
        <v>1723</v>
      </c>
      <c r="G42" s="203" t="s">
        <v>1724</v>
      </c>
      <c r="H42" s="203" t="s">
        <v>1726</v>
      </c>
      <c r="I42" s="203" t="s">
        <v>1727</v>
      </c>
      <c r="J42" s="203" t="s">
        <v>1729</v>
      </c>
      <c r="K42" s="203" t="s">
        <v>1730</v>
      </c>
      <c r="L42" s="203" t="s">
        <v>1731</v>
      </c>
      <c r="M42" s="203" t="s">
        <v>1732</v>
      </c>
      <c r="N42" s="203" t="s">
        <v>1733</v>
      </c>
      <c r="O42" s="203" t="s">
        <v>1734</v>
      </c>
      <c r="P42" s="203" t="s">
        <v>1735</v>
      </c>
      <c r="Q42" s="203" t="s">
        <v>1736</v>
      </c>
      <c r="R42" s="203" t="s">
        <v>1738</v>
      </c>
      <c r="S42" s="203" t="s">
        <v>1739</v>
      </c>
    </row>
    <row r="43">
      <c r="A43" s="203" t="str">
        <f t="array" ref="A43:X43">TRANSPOSE(INDIRECT(SWITCH(Venues!B43,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43" s="203" t="s">
        <v>2337</v>
      </c>
      <c r="C43" s="203" t="s">
        <v>2338</v>
      </c>
      <c r="D43" s="203" t="s">
        <v>2340</v>
      </c>
      <c r="E43" s="203" t="s">
        <v>2341</v>
      </c>
      <c r="F43" s="203" t="s">
        <v>2342</v>
      </c>
      <c r="G43" s="203" t="s">
        <v>2343</v>
      </c>
      <c r="H43" s="203" t="s">
        <v>2345</v>
      </c>
      <c r="I43" s="203" t="s">
        <v>2347</v>
      </c>
      <c r="J43" s="203" t="s">
        <v>2348</v>
      </c>
      <c r="K43" s="203" t="s">
        <v>2349</v>
      </c>
      <c r="L43" s="203" t="s">
        <v>2350</v>
      </c>
      <c r="M43" s="203" t="s">
        <v>2352</v>
      </c>
      <c r="N43" s="203" t="s">
        <v>2353</v>
      </c>
      <c r="O43" s="203" t="s">
        <v>2355</v>
      </c>
      <c r="P43" s="203" t="s">
        <v>1674</v>
      </c>
      <c r="Q43" s="203" t="s">
        <v>2357</v>
      </c>
      <c r="R43" s="203" t="s">
        <v>2358</v>
      </c>
      <c r="S43" s="203" t="s">
        <v>2359</v>
      </c>
      <c r="T43" s="203" t="s">
        <v>2361</v>
      </c>
      <c r="U43" s="203" t="s">
        <v>2363</v>
      </c>
      <c r="V43" s="203" t="s">
        <v>1729</v>
      </c>
      <c r="W43" s="203" t="s">
        <v>1730</v>
      </c>
      <c r="X43" s="203" t="s">
        <v>2365</v>
      </c>
    </row>
    <row r="44">
      <c r="A44" s="203" t="str">
        <f t="array" ref="A44:AE44">TRANSPOSE(INDIRECT(SWITCH(Venues!B44,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44" s="203" t="s">
        <v>2048</v>
      </c>
      <c r="C44" s="203" t="s">
        <v>2050</v>
      </c>
      <c r="D44" s="203" t="s">
        <v>1732</v>
      </c>
      <c r="E44" s="203" t="s">
        <v>2051</v>
      </c>
      <c r="F44" s="203" t="s">
        <v>2053</v>
      </c>
      <c r="G44" s="203" t="s">
        <v>2054</v>
      </c>
      <c r="H44" s="203" t="s">
        <v>2055</v>
      </c>
      <c r="I44" s="203" t="s">
        <v>2056</v>
      </c>
      <c r="J44" s="203" t="s">
        <v>2057</v>
      </c>
      <c r="K44" s="203" t="s">
        <v>2058</v>
      </c>
      <c r="L44" s="203" t="s">
        <v>2059</v>
      </c>
      <c r="M44" s="203" t="s">
        <v>2060</v>
      </c>
      <c r="N44" s="203" t="s">
        <v>2061</v>
      </c>
      <c r="O44" s="203" t="s">
        <v>2062</v>
      </c>
      <c r="P44" s="203" t="s">
        <v>2063</v>
      </c>
      <c r="Q44" s="203" t="s">
        <v>2065</v>
      </c>
      <c r="R44" s="203" t="s">
        <v>2066</v>
      </c>
      <c r="S44" s="203" t="s">
        <v>2067</v>
      </c>
      <c r="T44" s="203" t="s">
        <v>2068</v>
      </c>
      <c r="U44" s="203" t="s">
        <v>1774</v>
      </c>
      <c r="V44" s="203" t="s">
        <v>2070</v>
      </c>
      <c r="W44" s="203" t="s">
        <v>2071</v>
      </c>
      <c r="X44" s="203" t="s">
        <v>2072</v>
      </c>
      <c r="Y44" s="203" t="s">
        <v>2073</v>
      </c>
      <c r="Z44" s="203" t="s">
        <v>2074</v>
      </c>
      <c r="AA44" s="203" t="s">
        <v>2075</v>
      </c>
      <c r="AB44" s="203" t="s">
        <v>2076</v>
      </c>
      <c r="AC44" s="203" t="s">
        <v>2077</v>
      </c>
      <c r="AD44" s="203" t="s">
        <v>2078</v>
      </c>
      <c r="AE44" s="203" t="s">
        <v>2079</v>
      </c>
    </row>
    <row r="45">
      <c r="A45" s="203" t="str">
        <f t="array" ref="A45:J45">TRANSPOSE(INDIRECT(SWITCH(Venues!B45,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45" s="203" t="s">
        <v>1954</v>
      </c>
      <c r="C45" s="203" t="s">
        <v>1956</v>
      </c>
      <c r="D45" s="203" t="s">
        <v>1957</v>
      </c>
      <c r="E45" s="203" t="s">
        <v>1959</v>
      </c>
      <c r="F45" s="203" t="s">
        <v>1961</v>
      </c>
      <c r="G45" s="203" t="s">
        <v>1962</v>
      </c>
      <c r="H45" s="203" t="s">
        <v>1964</v>
      </c>
      <c r="I45" s="203" t="s">
        <v>1296</v>
      </c>
      <c r="J45" s="203" t="s">
        <v>1966</v>
      </c>
    </row>
    <row r="46">
      <c r="A46" s="203" t="str">
        <f t="array" ref="A46:T46">TRANSPOSE(INDIRECT(SWITCH(Venues!B46,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46" s="203" t="s">
        <v>2198</v>
      </c>
      <c r="C46" s="203" t="s">
        <v>2199</v>
      </c>
      <c r="D46" s="203" t="s">
        <v>2171</v>
      </c>
      <c r="E46" s="203" t="s">
        <v>2200</v>
      </c>
      <c r="F46" s="203" t="s">
        <v>1878</v>
      </c>
      <c r="G46" s="203" t="s">
        <v>2174</v>
      </c>
      <c r="H46" s="203" t="s">
        <v>2175</v>
      </c>
      <c r="I46" s="203" t="s">
        <v>1889</v>
      </c>
      <c r="J46" s="203" t="s">
        <v>2201</v>
      </c>
      <c r="K46" s="203" t="s">
        <v>2202</v>
      </c>
      <c r="L46" s="203" t="s">
        <v>1884</v>
      </c>
      <c r="M46" s="203" t="s">
        <v>2203</v>
      </c>
      <c r="N46" s="203" t="s">
        <v>2204</v>
      </c>
      <c r="O46" s="203" t="s">
        <v>2205</v>
      </c>
      <c r="P46" s="203" t="s">
        <v>2206</v>
      </c>
      <c r="Q46" s="203" t="s">
        <v>2207</v>
      </c>
      <c r="R46" s="203" t="s">
        <v>2208</v>
      </c>
      <c r="S46" s="203" t="s">
        <v>1729</v>
      </c>
      <c r="T46" s="203" t="s">
        <v>1730</v>
      </c>
    </row>
    <row r="47">
      <c r="A47" s="203" t="str">
        <f t="array" ref="A47:AF47">TRANSPOSE(INDIRECT(SWITCH(Venues!B47,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47" s="203" t="s">
        <v>2080</v>
      </c>
      <c r="C47" s="203" t="s">
        <v>2081</v>
      </c>
      <c r="D47" s="203" t="s">
        <v>2082</v>
      </c>
      <c r="E47" s="203" t="s">
        <v>2083</v>
      </c>
      <c r="F47" s="203" t="s">
        <v>2084</v>
      </c>
      <c r="G47" s="203" t="s">
        <v>2086</v>
      </c>
      <c r="H47" s="203" t="s">
        <v>2087</v>
      </c>
      <c r="I47" s="203" t="s">
        <v>2088</v>
      </c>
      <c r="J47" s="203" t="s">
        <v>2089</v>
      </c>
      <c r="K47" s="203" t="s">
        <v>1893</v>
      </c>
      <c r="L47" s="203" t="s">
        <v>2090</v>
      </c>
      <c r="M47" s="203" t="s">
        <v>2091</v>
      </c>
      <c r="N47" s="203" t="s">
        <v>2092</v>
      </c>
      <c r="O47" s="203" t="s">
        <v>2093</v>
      </c>
      <c r="P47" s="203" t="s">
        <v>2094</v>
      </c>
      <c r="Q47" s="203" t="s">
        <v>2095</v>
      </c>
      <c r="R47" s="203" t="s">
        <v>2096</v>
      </c>
      <c r="S47" s="203" t="s">
        <v>2097</v>
      </c>
      <c r="T47" s="203" t="s">
        <v>2098</v>
      </c>
      <c r="U47" s="203" t="s">
        <v>1543</v>
      </c>
      <c r="V47" s="203" t="s">
        <v>1880</v>
      </c>
      <c r="W47" s="203" t="s">
        <v>1160</v>
      </c>
      <c r="X47" s="203" t="s">
        <v>2102</v>
      </c>
      <c r="Y47" s="203" t="s">
        <v>2104</v>
      </c>
      <c r="Z47" s="203" t="s">
        <v>2105</v>
      </c>
      <c r="AA47" s="203" t="s">
        <v>2106</v>
      </c>
      <c r="AB47" s="203" t="s">
        <v>2108</v>
      </c>
      <c r="AC47" s="203" t="s">
        <v>2110</v>
      </c>
      <c r="AD47" s="203" t="s">
        <v>2111</v>
      </c>
      <c r="AE47" s="203" t="s">
        <v>2112</v>
      </c>
      <c r="AF47" s="203" t="s">
        <v>2113</v>
      </c>
    </row>
    <row r="48">
      <c r="A48" s="203" t="str">
        <f t="array" ref="A48:X48">TRANSPOSE(INDIRECT(SWITCH(Venues!B48,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48" s="203" t="s">
        <v>2337</v>
      </c>
      <c r="C48" s="203" t="s">
        <v>2338</v>
      </c>
      <c r="D48" s="203" t="s">
        <v>2340</v>
      </c>
      <c r="E48" s="203" t="s">
        <v>2341</v>
      </c>
      <c r="F48" s="203" t="s">
        <v>2342</v>
      </c>
      <c r="G48" s="203" t="s">
        <v>2343</v>
      </c>
      <c r="H48" s="203" t="s">
        <v>2345</v>
      </c>
      <c r="I48" s="203" t="s">
        <v>2347</v>
      </c>
      <c r="J48" s="203" t="s">
        <v>2348</v>
      </c>
      <c r="K48" s="203" t="s">
        <v>2349</v>
      </c>
      <c r="L48" s="203" t="s">
        <v>2350</v>
      </c>
      <c r="M48" s="203" t="s">
        <v>2352</v>
      </c>
      <c r="N48" s="203" t="s">
        <v>2353</v>
      </c>
      <c r="O48" s="203" t="s">
        <v>2355</v>
      </c>
      <c r="P48" s="203" t="s">
        <v>1674</v>
      </c>
      <c r="Q48" s="203" t="s">
        <v>2357</v>
      </c>
      <c r="R48" s="203" t="s">
        <v>2358</v>
      </c>
      <c r="S48" s="203" t="s">
        <v>2359</v>
      </c>
      <c r="T48" s="203" t="s">
        <v>2361</v>
      </c>
      <c r="U48" s="203" t="s">
        <v>2363</v>
      </c>
      <c r="V48" s="203" t="s">
        <v>1729</v>
      </c>
      <c r="W48" s="203" t="s">
        <v>1730</v>
      </c>
      <c r="X48" s="203" t="s">
        <v>2365</v>
      </c>
    </row>
    <row r="49">
      <c r="A49" s="203" t="str">
        <f t="array" ref="A49:AT49">TRANSPOSE(INDIRECT(SWITCH(Venues!B49,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49" s="203" t="s">
        <v>2117</v>
      </c>
      <c r="C49" s="203" t="s">
        <v>2118</v>
      </c>
      <c r="D49" s="203" t="s">
        <v>2119</v>
      </c>
      <c r="E49" s="203" t="s">
        <v>2120</v>
      </c>
      <c r="F49" s="203" t="s">
        <v>2121</v>
      </c>
      <c r="G49" s="203" t="s">
        <v>2123</v>
      </c>
      <c r="H49" s="203" t="s">
        <v>2124</v>
      </c>
      <c r="I49" s="203" t="s">
        <v>2125</v>
      </c>
      <c r="J49" s="203" t="s">
        <v>2127</v>
      </c>
      <c r="K49" s="203" t="s">
        <v>2128</v>
      </c>
      <c r="L49" s="203" t="s">
        <v>2129</v>
      </c>
      <c r="M49" s="203" t="s">
        <v>2130</v>
      </c>
      <c r="N49" s="203" t="s">
        <v>2131</v>
      </c>
      <c r="O49" s="203" t="s">
        <v>2132</v>
      </c>
      <c r="P49" s="203" t="s">
        <v>2133</v>
      </c>
      <c r="Q49" s="203" t="s">
        <v>2134</v>
      </c>
      <c r="R49" s="203" t="s">
        <v>1782</v>
      </c>
      <c r="S49" s="203" t="s">
        <v>2135</v>
      </c>
      <c r="T49" s="203" t="s">
        <v>2136</v>
      </c>
      <c r="U49" s="203" t="s">
        <v>2137</v>
      </c>
      <c r="V49" s="203" t="s">
        <v>2138</v>
      </c>
      <c r="W49" s="203" t="s">
        <v>2139</v>
      </c>
      <c r="X49" s="203" t="s">
        <v>2140</v>
      </c>
      <c r="Y49" s="203" t="s">
        <v>2142</v>
      </c>
      <c r="Z49" s="203" t="s">
        <v>2143</v>
      </c>
      <c r="AA49" s="203" t="s">
        <v>2144</v>
      </c>
      <c r="AB49" s="203" t="s">
        <v>2145</v>
      </c>
      <c r="AC49" s="203" t="s">
        <v>2146</v>
      </c>
      <c r="AD49" s="203" t="s">
        <v>2148</v>
      </c>
      <c r="AE49" s="203" t="s">
        <v>2150</v>
      </c>
      <c r="AF49" s="203" t="s">
        <v>2151</v>
      </c>
      <c r="AG49" s="203" t="s">
        <v>2152</v>
      </c>
      <c r="AH49" s="203" t="s">
        <v>2154</v>
      </c>
      <c r="AI49" s="203" t="s">
        <v>2156</v>
      </c>
      <c r="AJ49" s="203" t="s">
        <v>2157</v>
      </c>
      <c r="AK49" s="203" t="s">
        <v>2158</v>
      </c>
      <c r="AL49" s="203" t="s">
        <v>2159</v>
      </c>
      <c r="AM49" s="203" t="s">
        <v>2160</v>
      </c>
      <c r="AN49" s="203" t="s">
        <v>2161</v>
      </c>
      <c r="AO49" s="203" t="s">
        <v>2162</v>
      </c>
      <c r="AP49" s="203" t="s">
        <v>2163</v>
      </c>
      <c r="AQ49" s="203" t="s">
        <v>2164</v>
      </c>
      <c r="AR49" s="203" t="s">
        <v>2165</v>
      </c>
      <c r="AS49" s="203" t="s">
        <v>2166</v>
      </c>
      <c r="AT49" s="203" t="s">
        <v>2167</v>
      </c>
    </row>
    <row r="50">
      <c r="A50" s="203" t="str">
        <f t="array" ref="A50:AF50">TRANSPOSE(INDIRECT(SWITCH(Venues!B50,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50" s="203" t="s">
        <v>1760</v>
      </c>
      <c r="C50" s="203" t="s">
        <v>1761</v>
      </c>
      <c r="D50" s="203" t="s">
        <v>1762</v>
      </c>
      <c r="E50" s="203" t="s">
        <v>1763</v>
      </c>
      <c r="F50" s="203" t="s">
        <v>1764</v>
      </c>
      <c r="G50" s="203" t="s">
        <v>1765</v>
      </c>
      <c r="H50" s="203" t="s">
        <v>1766</v>
      </c>
      <c r="I50" s="203" t="s">
        <v>1767</v>
      </c>
      <c r="J50" s="203" t="s">
        <v>1768</v>
      </c>
      <c r="K50" s="203" t="s">
        <v>1769</v>
      </c>
      <c r="L50" s="203" t="s">
        <v>1770</v>
      </c>
      <c r="M50" s="203" t="s">
        <v>1771</v>
      </c>
      <c r="N50" s="203" t="s">
        <v>1772</v>
      </c>
      <c r="O50" s="203" t="s">
        <v>1773</v>
      </c>
      <c r="P50" s="203" t="s">
        <v>1774</v>
      </c>
      <c r="Q50" s="203" t="s">
        <v>1775</v>
      </c>
      <c r="R50" s="203" t="s">
        <v>876</v>
      </c>
      <c r="S50" s="203" t="s">
        <v>1776</v>
      </c>
      <c r="T50" s="203" t="s">
        <v>1777</v>
      </c>
      <c r="U50" s="203" t="s">
        <v>1778</v>
      </c>
      <c r="V50" s="203" t="s">
        <v>1779</v>
      </c>
      <c r="W50" s="203" t="s">
        <v>1780</v>
      </c>
      <c r="X50" s="203" t="s">
        <v>1781</v>
      </c>
      <c r="Y50" s="203" t="s">
        <v>1782</v>
      </c>
      <c r="Z50" s="203" t="s">
        <v>1783</v>
      </c>
      <c r="AA50" s="203" t="s">
        <v>1784</v>
      </c>
      <c r="AB50" s="203" t="s">
        <v>1785</v>
      </c>
      <c r="AC50" s="203" t="s">
        <v>1786</v>
      </c>
      <c r="AD50" s="203" t="s">
        <v>1788</v>
      </c>
      <c r="AE50" s="203" t="s">
        <v>1789</v>
      </c>
      <c r="AF50" s="203" t="s">
        <v>1790</v>
      </c>
    </row>
    <row r="51">
      <c r="A51" s="203" t="str">
        <f t="array" ref="A51:AF51">TRANSPOSE(INDIRECT(SWITCH(Venues!B51,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51" s="203" t="s">
        <v>1760</v>
      </c>
      <c r="C51" s="203" t="s">
        <v>1761</v>
      </c>
      <c r="D51" s="203" t="s">
        <v>1762</v>
      </c>
      <c r="E51" s="203" t="s">
        <v>1763</v>
      </c>
      <c r="F51" s="203" t="s">
        <v>1764</v>
      </c>
      <c r="G51" s="203" t="s">
        <v>1765</v>
      </c>
      <c r="H51" s="203" t="s">
        <v>1766</v>
      </c>
      <c r="I51" s="203" t="s">
        <v>1767</v>
      </c>
      <c r="J51" s="203" t="s">
        <v>1768</v>
      </c>
      <c r="K51" s="203" t="s">
        <v>1769</v>
      </c>
      <c r="L51" s="203" t="s">
        <v>1770</v>
      </c>
      <c r="M51" s="203" t="s">
        <v>1771</v>
      </c>
      <c r="N51" s="203" t="s">
        <v>1772</v>
      </c>
      <c r="O51" s="203" t="s">
        <v>1773</v>
      </c>
      <c r="P51" s="203" t="s">
        <v>1774</v>
      </c>
      <c r="Q51" s="203" t="s">
        <v>1775</v>
      </c>
      <c r="R51" s="203" t="s">
        <v>876</v>
      </c>
      <c r="S51" s="203" t="s">
        <v>1776</v>
      </c>
      <c r="T51" s="203" t="s">
        <v>1777</v>
      </c>
      <c r="U51" s="203" t="s">
        <v>1778</v>
      </c>
      <c r="V51" s="203" t="s">
        <v>1779</v>
      </c>
      <c r="W51" s="203" t="s">
        <v>1780</v>
      </c>
      <c r="X51" s="203" t="s">
        <v>1781</v>
      </c>
      <c r="Y51" s="203" t="s">
        <v>1782</v>
      </c>
      <c r="Z51" s="203" t="s">
        <v>1783</v>
      </c>
      <c r="AA51" s="203" t="s">
        <v>1784</v>
      </c>
      <c r="AB51" s="203" t="s">
        <v>1785</v>
      </c>
      <c r="AC51" s="203" t="s">
        <v>1786</v>
      </c>
      <c r="AD51" s="203" t="s">
        <v>1788</v>
      </c>
      <c r="AE51" s="203" t="s">
        <v>1789</v>
      </c>
      <c r="AF51" s="203" t="s">
        <v>1790</v>
      </c>
    </row>
    <row r="52">
      <c r="A52" s="203" t="str">
        <f t="array" ref="A52:AE52">TRANSPOSE(INDIRECT(SWITCH(Venues!B52,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52" s="203" t="s">
        <v>2048</v>
      </c>
      <c r="C52" s="203" t="s">
        <v>2050</v>
      </c>
      <c r="D52" s="203" t="s">
        <v>1732</v>
      </c>
      <c r="E52" s="203" t="s">
        <v>2051</v>
      </c>
      <c r="F52" s="203" t="s">
        <v>2053</v>
      </c>
      <c r="G52" s="203" t="s">
        <v>2054</v>
      </c>
      <c r="H52" s="203" t="s">
        <v>2055</v>
      </c>
      <c r="I52" s="203" t="s">
        <v>2056</v>
      </c>
      <c r="J52" s="203" t="s">
        <v>2057</v>
      </c>
      <c r="K52" s="203" t="s">
        <v>2058</v>
      </c>
      <c r="L52" s="203" t="s">
        <v>2059</v>
      </c>
      <c r="M52" s="203" t="s">
        <v>2060</v>
      </c>
      <c r="N52" s="203" t="s">
        <v>2061</v>
      </c>
      <c r="O52" s="203" t="s">
        <v>2062</v>
      </c>
      <c r="P52" s="203" t="s">
        <v>2063</v>
      </c>
      <c r="Q52" s="203" t="s">
        <v>2065</v>
      </c>
      <c r="R52" s="203" t="s">
        <v>2066</v>
      </c>
      <c r="S52" s="203" t="s">
        <v>2067</v>
      </c>
      <c r="T52" s="203" t="s">
        <v>2068</v>
      </c>
      <c r="U52" s="203" t="s">
        <v>1774</v>
      </c>
      <c r="V52" s="203" t="s">
        <v>2070</v>
      </c>
      <c r="W52" s="203" t="s">
        <v>2071</v>
      </c>
      <c r="X52" s="203" t="s">
        <v>2072</v>
      </c>
      <c r="Y52" s="203" t="s">
        <v>2073</v>
      </c>
      <c r="Z52" s="203" t="s">
        <v>2074</v>
      </c>
      <c r="AA52" s="203" t="s">
        <v>2075</v>
      </c>
      <c r="AB52" s="203" t="s">
        <v>2076</v>
      </c>
      <c r="AC52" s="203" t="s">
        <v>2077</v>
      </c>
      <c r="AD52" s="203" t="s">
        <v>2078</v>
      </c>
      <c r="AE52" s="203" t="s">
        <v>2079</v>
      </c>
    </row>
    <row r="53">
      <c r="A53" s="203" t="str">
        <f t="array" ref="A53:J53">TRANSPOSE(INDIRECT(SWITCH(Venues!B53,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53" s="203" t="s">
        <v>1954</v>
      </c>
      <c r="C53" s="203" t="s">
        <v>1956</v>
      </c>
      <c r="D53" s="203" t="s">
        <v>1957</v>
      </c>
      <c r="E53" s="203" t="s">
        <v>1959</v>
      </c>
      <c r="F53" s="203" t="s">
        <v>1961</v>
      </c>
      <c r="G53" s="203" t="s">
        <v>1962</v>
      </c>
      <c r="H53" s="203" t="s">
        <v>1964</v>
      </c>
      <c r="I53" s="203" t="s">
        <v>1296</v>
      </c>
      <c r="J53" s="203" t="s">
        <v>1966</v>
      </c>
    </row>
    <row r="54">
      <c r="A54" s="203" t="str">
        <f t="array" ref="A54:AT54">TRANSPOSE(INDIRECT(SWITCH(Venues!B54,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54" s="203" t="s">
        <v>2117</v>
      </c>
      <c r="C54" s="203" t="s">
        <v>2118</v>
      </c>
      <c r="D54" s="203" t="s">
        <v>2119</v>
      </c>
      <c r="E54" s="203" t="s">
        <v>2120</v>
      </c>
      <c r="F54" s="203" t="s">
        <v>2121</v>
      </c>
      <c r="G54" s="203" t="s">
        <v>2123</v>
      </c>
      <c r="H54" s="203" t="s">
        <v>2124</v>
      </c>
      <c r="I54" s="203" t="s">
        <v>2125</v>
      </c>
      <c r="J54" s="203" t="s">
        <v>2127</v>
      </c>
      <c r="K54" s="203" t="s">
        <v>2128</v>
      </c>
      <c r="L54" s="203" t="s">
        <v>2129</v>
      </c>
      <c r="M54" s="203" t="s">
        <v>2130</v>
      </c>
      <c r="N54" s="203" t="s">
        <v>2131</v>
      </c>
      <c r="O54" s="203" t="s">
        <v>2132</v>
      </c>
      <c r="P54" s="203" t="s">
        <v>2133</v>
      </c>
      <c r="Q54" s="203" t="s">
        <v>2134</v>
      </c>
      <c r="R54" s="203" t="s">
        <v>1782</v>
      </c>
      <c r="S54" s="203" t="s">
        <v>2135</v>
      </c>
      <c r="T54" s="203" t="s">
        <v>2136</v>
      </c>
      <c r="U54" s="203" t="s">
        <v>2137</v>
      </c>
      <c r="V54" s="203" t="s">
        <v>2138</v>
      </c>
      <c r="W54" s="203" t="s">
        <v>2139</v>
      </c>
      <c r="X54" s="203" t="s">
        <v>2140</v>
      </c>
      <c r="Y54" s="203" t="s">
        <v>2142</v>
      </c>
      <c r="Z54" s="203" t="s">
        <v>2143</v>
      </c>
      <c r="AA54" s="203" t="s">
        <v>2144</v>
      </c>
      <c r="AB54" s="203" t="s">
        <v>2145</v>
      </c>
      <c r="AC54" s="203" t="s">
        <v>2146</v>
      </c>
      <c r="AD54" s="203" t="s">
        <v>2148</v>
      </c>
      <c r="AE54" s="203" t="s">
        <v>2150</v>
      </c>
      <c r="AF54" s="203" t="s">
        <v>2151</v>
      </c>
      <c r="AG54" s="203" t="s">
        <v>2152</v>
      </c>
      <c r="AH54" s="203" t="s">
        <v>2154</v>
      </c>
      <c r="AI54" s="203" t="s">
        <v>2156</v>
      </c>
      <c r="AJ54" s="203" t="s">
        <v>2157</v>
      </c>
      <c r="AK54" s="203" t="s">
        <v>2158</v>
      </c>
      <c r="AL54" s="203" t="s">
        <v>2159</v>
      </c>
      <c r="AM54" s="203" t="s">
        <v>2160</v>
      </c>
      <c r="AN54" s="203" t="s">
        <v>2161</v>
      </c>
      <c r="AO54" s="203" t="s">
        <v>2162</v>
      </c>
      <c r="AP54" s="203" t="s">
        <v>2163</v>
      </c>
      <c r="AQ54" s="203" t="s">
        <v>2164</v>
      </c>
      <c r="AR54" s="203" t="s">
        <v>2165</v>
      </c>
      <c r="AS54" s="203" t="s">
        <v>2166</v>
      </c>
      <c r="AT54" s="203" t="s">
        <v>2167</v>
      </c>
    </row>
    <row r="55">
      <c r="A55" s="203" t="str">
        <f t="array" ref="A55:X55">TRANSPOSE(INDIRECT(SWITCH(Venues!B55,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55" s="203" t="s">
        <v>2337</v>
      </c>
      <c r="C55" s="203" t="s">
        <v>2338</v>
      </c>
      <c r="D55" s="203" t="s">
        <v>2340</v>
      </c>
      <c r="E55" s="203" t="s">
        <v>2341</v>
      </c>
      <c r="F55" s="203" t="s">
        <v>2342</v>
      </c>
      <c r="G55" s="203" t="s">
        <v>2343</v>
      </c>
      <c r="H55" s="203" t="s">
        <v>2345</v>
      </c>
      <c r="I55" s="203" t="s">
        <v>2347</v>
      </c>
      <c r="J55" s="203" t="s">
        <v>2348</v>
      </c>
      <c r="K55" s="203" t="s">
        <v>2349</v>
      </c>
      <c r="L55" s="203" t="s">
        <v>2350</v>
      </c>
      <c r="M55" s="203" t="s">
        <v>2352</v>
      </c>
      <c r="N55" s="203" t="s">
        <v>2353</v>
      </c>
      <c r="O55" s="203" t="s">
        <v>2355</v>
      </c>
      <c r="P55" s="203" t="s">
        <v>1674</v>
      </c>
      <c r="Q55" s="203" t="s">
        <v>2357</v>
      </c>
      <c r="R55" s="203" t="s">
        <v>2358</v>
      </c>
      <c r="S55" s="203" t="s">
        <v>2359</v>
      </c>
      <c r="T55" s="203" t="s">
        <v>2361</v>
      </c>
      <c r="U55" s="203" t="s">
        <v>2363</v>
      </c>
      <c r="V55" s="203" t="s">
        <v>1729</v>
      </c>
      <c r="W55" s="203" t="s">
        <v>1730</v>
      </c>
      <c r="X55" s="203" t="s">
        <v>2365</v>
      </c>
    </row>
    <row r="56">
      <c r="A56" s="203" t="str">
        <f t="array" ref="A56:AF56">TRANSPOSE(INDIRECT(SWITCH(Venues!B56,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56" s="203" t="s">
        <v>2080</v>
      </c>
      <c r="C56" s="203" t="s">
        <v>2081</v>
      </c>
      <c r="D56" s="203" t="s">
        <v>2082</v>
      </c>
      <c r="E56" s="203" t="s">
        <v>2083</v>
      </c>
      <c r="F56" s="203" t="s">
        <v>2084</v>
      </c>
      <c r="G56" s="203" t="s">
        <v>2086</v>
      </c>
      <c r="H56" s="203" t="s">
        <v>2087</v>
      </c>
      <c r="I56" s="203" t="s">
        <v>2088</v>
      </c>
      <c r="J56" s="203" t="s">
        <v>2089</v>
      </c>
      <c r="K56" s="203" t="s">
        <v>1893</v>
      </c>
      <c r="L56" s="203" t="s">
        <v>2090</v>
      </c>
      <c r="M56" s="203" t="s">
        <v>2091</v>
      </c>
      <c r="N56" s="203" t="s">
        <v>2092</v>
      </c>
      <c r="O56" s="203" t="s">
        <v>2093</v>
      </c>
      <c r="P56" s="203" t="s">
        <v>2094</v>
      </c>
      <c r="Q56" s="203" t="s">
        <v>2095</v>
      </c>
      <c r="R56" s="203" t="s">
        <v>2096</v>
      </c>
      <c r="S56" s="203" t="s">
        <v>2097</v>
      </c>
      <c r="T56" s="203" t="s">
        <v>2098</v>
      </c>
      <c r="U56" s="203" t="s">
        <v>1543</v>
      </c>
      <c r="V56" s="203" t="s">
        <v>1880</v>
      </c>
      <c r="W56" s="203" t="s">
        <v>1160</v>
      </c>
      <c r="X56" s="203" t="s">
        <v>2102</v>
      </c>
      <c r="Y56" s="203" t="s">
        <v>2104</v>
      </c>
      <c r="Z56" s="203" t="s">
        <v>2105</v>
      </c>
      <c r="AA56" s="203" t="s">
        <v>2106</v>
      </c>
      <c r="AB56" s="203" t="s">
        <v>2108</v>
      </c>
      <c r="AC56" s="203" t="s">
        <v>2110</v>
      </c>
      <c r="AD56" s="203" t="s">
        <v>2111</v>
      </c>
      <c r="AE56" s="203" t="s">
        <v>2112</v>
      </c>
      <c r="AF56" s="203" t="s">
        <v>2113</v>
      </c>
    </row>
    <row r="57">
      <c r="A57" s="203" t="str">
        <f t="array" ref="A57:AF57">TRANSPOSE(INDIRECT(SWITCH(Venues!B57,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57" s="203" t="s">
        <v>2080</v>
      </c>
      <c r="C57" s="203" t="s">
        <v>2081</v>
      </c>
      <c r="D57" s="203" t="s">
        <v>2082</v>
      </c>
      <c r="E57" s="203" t="s">
        <v>2083</v>
      </c>
      <c r="F57" s="203" t="s">
        <v>2084</v>
      </c>
      <c r="G57" s="203" t="s">
        <v>2086</v>
      </c>
      <c r="H57" s="203" t="s">
        <v>2087</v>
      </c>
      <c r="I57" s="203" t="s">
        <v>2088</v>
      </c>
      <c r="J57" s="203" t="s">
        <v>2089</v>
      </c>
      <c r="K57" s="203" t="s">
        <v>1893</v>
      </c>
      <c r="L57" s="203" t="s">
        <v>2090</v>
      </c>
      <c r="M57" s="203" t="s">
        <v>2091</v>
      </c>
      <c r="N57" s="203" t="s">
        <v>2092</v>
      </c>
      <c r="O57" s="203" t="s">
        <v>2093</v>
      </c>
      <c r="P57" s="203" t="s">
        <v>2094</v>
      </c>
      <c r="Q57" s="203" t="s">
        <v>2095</v>
      </c>
      <c r="R57" s="203" t="s">
        <v>2096</v>
      </c>
      <c r="S57" s="203" t="s">
        <v>2097</v>
      </c>
      <c r="T57" s="203" t="s">
        <v>2098</v>
      </c>
      <c r="U57" s="203" t="s">
        <v>1543</v>
      </c>
      <c r="V57" s="203" t="s">
        <v>1880</v>
      </c>
      <c r="W57" s="203" t="s">
        <v>1160</v>
      </c>
      <c r="X57" s="203" t="s">
        <v>2102</v>
      </c>
      <c r="Y57" s="203" t="s">
        <v>2104</v>
      </c>
      <c r="Z57" s="203" t="s">
        <v>2105</v>
      </c>
      <c r="AA57" s="203" t="s">
        <v>2106</v>
      </c>
      <c r="AB57" s="203" t="s">
        <v>2108</v>
      </c>
      <c r="AC57" s="203" t="s">
        <v>2110</v>
      </c>
      <c r="AD57" s="203" t="s">
        <v>2111</v>
      </c>
      <c r="AE57" s="203" t="s">
        <v>2112</v>
      </c>
      <c r="AF57" s="203" t="s">
        <v>2113</v>
      </c>
    </row>
    <row r="58">
      <c r="A58" s="203" t="str">
        <f t="array" ref="A58:O58">TRANSPOSE(INDIRECT(SWITCH(Venues!B58,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Rides &amp; attractions</v>
      </c>
      <c r="B58" s="203" t="s">
        <v>2028</v>
      </c>
      <c r="C58" s="203" t="s">
        <v>2029</v>
      </c>
      <c r="D58" s="203" t="s">
        <v>2030</v>
      </c>
      <c r="E58" s="203" t="s">
        <v>2031</v>
      </c>
      <c r="F58" s="203" t="s">
        <v>2032</v>
      </c>
      <c r="G58" s="203" t="s">
        <v>2033</v>
      </c>
      <c r="H58" s="203" t="s">
        <v>2034</v>
      </c>
      <c r="I58" s="203" t="s">
        <v>2035</v>
      </c>
      <c r="J58" s="203" t="s">
        <v>2036</v>
      </c>
      <c r="K58" s="203" t="s">
        <v>2037</v>
      </c>
      <c r="L58" s="203" t="s">
        <v>2038</v>
      </c>
      <c r="M58" s="203" t="s">
        <v>2039</v>
      </c>
      <c r="N58" s="203" t="s">
        <v>2040</v>
      </c>
      <c r="O58" s="203" t="s">
        <v>2041</v>
      </c>
    </row>
    <row r="59">
      <c r="A59" s="203" t="str">
        <f t="array" ref="A59:AT59">TRANSPOSE(INDIRECT(SWITCH(Venues!B59,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59" s="203" t="s">
        <v>2117</v>
      </c>
      <c r="C59" s="203" t="s">
        <v>2118</v>
      </c>
      <c r="D59" s="203" t="s">
        <v>2119</v>
      </c>
      <c r="E59" s="203" t="s">
        <v>2120</v>
      </c>
      <c r="F59" s="203" t="s">
        <v>2121</v>
      </c>
      <c r="G59" s="203" t="s">
        <v>2123</v>
      </c>
      <c r="H59" s="203" t="s">
        <v>2124</v>
      </c>
      <c r="I59" s="203" t="s">
        <v>2125</v>
      </c>
      <c r="J59" s="203" t="s">
        <v>2127</v>
      </c>
      <c r="K59" s="203" t="s">
        <v>2128</v>
      </c>
      <c r="L59" s="203" t="s">
        <v>2129</v>
      </c>
      <c r="M59" s="203" t="s">
        <v>2130</v>
      </c>
      <c r="N59" s="203" t="s">
        <v>2131</v>
      </c>
      <c r="O59" s="203" t="s">
        <v>2132</v>
      </c>
      <c r="P59" s="203" t="s">
        <v>2133</v>
      </c>
      <c r="Q59" s="203" t="s">
        <v>2134</v>
      </c>
      <c r="R59" s="203" t="s">
        <v>1782</v>
      </c>
      <c r="S59" s="203" t="s">
        <v>2135</v>
      </c>
      <c r="T59" s="203" t="s">
        <v>2136</v>
      </c>
      <c r="U59" s="203" t="s">
        <v>2137</v>
      </c>
      <c r="V59" s="203" t="s">
        <v>2138</v>
      </c>
      <c r="W59" s="203" t="s">
        <v>2139</v>
      </c>
      <c r="X59" s="203" t="s">
        <v>2140</v>
      </c>
      <c r="Y59" s="203" t="s">
        <v>2142</v>
      </c>
      <c r="Z59" s="203" t="s">
        <v>2143</v>
      </c>
      <c r="AA59" s="203" t="s">
        <v>2144</v>
      </c>
      <c r="AB59" s="203" t="s">
        <v>2145</v>
      </c>
      <c r="AC59" s="203" t="s">
        <v>2146</v>
      </c>
      <c r="AD59" s="203" t="s">
        <v>2148</v>
      </c>
      <c r="AE59" s="203" t="s">
        <v>2150</v>
      </c>
      <c r="AF59" s="203" t="s">
        <v>2151</v>
      </c>
      <c r="AG59" s="203" t="s">
        <v>2152</v>
      </c>
      <c r="AH59" s="203" t="s">
        <v>2154</v>
      </c>
      <c r="AI59" s="203" t="s">
        <v>2156</v>
      </c>
      <c r="AJ59" s="203" t="s">
        <v>2157</v>
      </c>
      <c r="AK59" s="203" t="s">
        <v>2158</v>
      </c>
      <c r="AL59" s="203" t="s">
        <v>2159</v>
      </c>
      <c r="AM59" s="203" t="s">
        <v>2160</v>
      </c>
      <c r="AN59" s="203" t="s">
        <v>2161</v>
      </c>
      <c r="AO59" s="203" t="s">
        <v>2162</v>
      </c>
      <c r="AP59" s="203" t="s">
        <v>2163</v>
      </c>
      <c r="AQ59" s="203" t="s">
        <v>2164</v>
      </c>
      <c r="AR59" s="203" t="s">
        <v>2165</v>
      </c>
      <c r="AS59" s="203" t="s">
        <v>2166</v>
      </c>
      <c r="AT59" s="203" t="s">
        <v>2167</v>
      </c>
    </row>
    <row r="60">
      <c r="A60" s="203" t="str">
        <f t="array" ref="A60:X60">TRANSPOSE(INDIRECT(SWITCH(Venues!B60,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60" s="203" t="s">
        <v>2337</v>
      </c>
      <c r="C60" s="203" t="s">
        <v>2338</v>
      </c>
      <c r="D60" s="203" t="s">
        <v>2340</v>
      </c>
      <c r="E60" s="203" t="s">
        <v>2341</v>
      </c>
      <c r="F60" s="203" t="s">
        <v>2342</v>
      </c>
      <c r="G60" s="203" t="s">
        <v>2343</v>
      </c>
      <c r="H60" s="203" t="s">
        <v>2345</v>
      </c>
      <c r="I60" s="203" t="s">
        <v>2347</v>
      </c>
      <c r="J60" s="203" t="s">
        <v>2348</v>
      </c>
      <c r="K60" s="203" t="s">
        <v>2349</v>
      </c>
      <c r="L60" s="203" t="s">
        <v>2350</v>
      </c>
      <c r="M60" s="203" t="s">
        <v>2352</v>
      </c>
      <c r="N60" s="203" t="s">
        <v>2353</v>
      </c>
      <c r="O60" s="203" t="s">
        <v>2355</v>
      </c>
      <c r="P60" s="203" t="s">
        <v>1674</v>
      </c>
      <c r="Q60" s="203" t="s">
        <v>2357</v>
      </c>
      <c r="R60" s="203" t="s">
        <v>2358</v>
      </c>
      <c r="S60" s="203" t="s">
        <v>2359</v>
      </c>
      <c r="T60" s="203" t="s">
        <v>2361</v>
      </c>
      <c r="U60" s="203" t="s">
        <v>2363</v>
      </c>
      <c r="V60" s="203" t="s">
        <v>1729</v>
      </c>
      <c r="W60" s="203" t="s">
        <v>1730</v>
      </c>
      <c r="X60" s="203" t="s">
        <v>2365</v>
      </c>
    </row>
    <row r="61">
      <c r="A61" s="203" t="str">
        <f t="array" ref="A61:I61">TRANSPOSE(INDIRECT(SWITCH(Venues!B61,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Children’s menu</v>
      </c>
      <c r="B61" s="203" t="s">
        <v>2001</v>
      </c>
      <c r="C61" s="203" t="s">
        <v>2002</v>
      </c>
      <c r="D61" s="203" t="s">
        <v>2003</v>
      </c>
      <c r="E61" s="203" t="s">
        <v>2004</v>
      </c>
      <c r="F61" s="203" t="s">
        <v>2005</v>
      </c>
      <c r="G61" s="203" t="s">
        <v>2006</v>
      </c>
      <c r="H61" s="203" t="s">
        <v>2007</v>
      </c>
      <c r="I61" s="203" t="s">
        <v>2009</v>
      </c>
    </row>
    <row r="62">
      <c r="A62" s="203" t="str">
        <f t="array" ref="A62:V62">TRANSPOSE(INDIRECT(SWITCH(Venues!B62,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62" s="203" t="s">
        <v>2169</v>
      </c>
      <c r="C62" s="203" t="s">
        <v>2170</v>
      </c>
      <c r="D62" s="203" t="s">
        <v>2171</v>
      </c>
      <c r="E62" s="203" t="s">
        <v>2172</v>
      </c>
      <c r="F62" s="203" t="s">
        <v>2173</v>
      </c>
      <c r="G62" s="203" t="s">
        <v>2174</v>
      </c>
      <c r="H62" s="203" t="s">
        <v>2175</v>
      </c>
      <c r="I62" s="203" t="s">
        <v>2176</v>
      </c>
      <c r="J62" s="203" t="s">
        <v>2177</v>
      </c>
      <c r="K62" s="203" t="s">
        <v>2178</v>
      </c>
      <c r="L62" s="203" t="s">
        <v>2179</v>
      </c>
      <c r="M62" s="203" t="s">
        <v>2180</v>
      </c>
      <c r="N62" s="203" t="s">
        <v>2181</v>
      </c>
      <c r="O62" s="203" t="s">
        <v>1729</v>
      </c>
      <c r="P62" s="203" t="s">
        <v>1730</v>
      </c>
      <c r="Q62" s="203" t="s">
        <v>2182</v>
      </c>
      <c r="R62" s="203" t="s">
        <v>2183</v>
      </c>
      <c r="S62" s="203" t="s">
        <v>2184</v>
      </c>
      <c r="T62" s="203" t="s">
        <v>2185</v>
      </c>
      <c r="U62" s="203" t="s">
        <v>2186</v>
      </c>
      <c r="V62" s="203" t="s">
        <v>2187</v>
      </c>
    </row>
    <row r="63">
      <c r="A63" s="203" t="str">
        <f t="array" ref="A63:J63">TRANSPOSE(INDIRECT(SWITCH(Venues!B63,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63" s="203" t="s">
        <v>1954</v>
      </c>
      <c r="C63" s="203" t="s">
        <v>1956</v>
      </c>
      <c r="D63" s="203" t="s">
        <v>1957</v>
      </c>
      <c r="E63" s="203" t="s">
        <v>1959</v>
      </c>
      <c r="F63" s="203" t="s">
        <v>1961</v>
      </c>
      <c r="G63" s="203" t="s">
        <v>1962</v>
      </c>
      <c r="H63" s="203" t="s">
        <v>1964</v>
      </c>
      <c r="I63" s="203" t="s">
        <v>1296</v>
      </c>
      <c r="J63" s="203" t="s">
        <v>1966</v>
      </c>
    </row>
    <row r="64">
      <c r="A64" s="203" t="str">
        <f t="array" ref="A64:AT64">TRANSPOSE(INDIRECT(SWITCH(Venues!B64,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64" s="203" t="s">
        <v>2117</v>
      </c>
      <c r="C64" s="203" t="s">
        <v>2118</v>
      </c>
      <c r="D64" s="203" t="s">
        <v>2119</v>
      </c>
      <c r="E64" s="203" t="s">
        <v>2120</v>
      </c>
      <c r="F64" s="203" t="s">
        <v>2121</v>
      </c>
      <c r="G64" s="203" t="s">
        <v>2123</v>
      </c>
      <c r="H64" s="203" t="s">
        <v>2124</v>
      </c>
      <c r="I64" s="203" t="s">
        <v>2125</v>
      </c>
      <c r="J64" s="203" t="s">
        <v>2127</v>
      </c>
      <c r="K64" s="203" t="s">
        <v>2128</v>
      </c>
      <c r="L64" s="203" t="s">
        <v>2129</v>
      </c>
      <c r="M64" s="203" t="s">
        <v>2130</v>
      </c>
      <c r="N64" s="203" t="s">
        <v>2131</v>
      </c>
      <c r="O64" s="203" t="s">
        <v>2132</v>
      </c>
      <c r="P64" s="203" t="s">
        <v>2133</v>
      </c>
      <c r="Q64" s="203" t="s">
        <v>2134</v>
      </c>
      <c r="R64" s="203" t="s">
        <v>1782</v>
      </c>
      <c r="S64" s="203" t="s">
        <v>2135</v>
      </c>
      <c r="T64" s="203" t="s">
        <v>2136</v>
      </c>
      <c r="U64" s="203" t="s">
        <v>2137</v>
      </c>
      <c r="V64" s="203" t="s">
        <v>2138</v>
      </c>
      <c r="W64" s="203" t="s">
        <v>2139</v>
      </c>
      <c r="X64" s="203" t="s">
        <v>2140</v>
      </c>
      <c r="Y64" s="203" t="s">
        <v>2142</v>
      </c>
      <c r="Z64" s="203" t="s">
        <v>2143</v>
      </c>
      <c r="AA64" s="203" t="s">
        <v>2144</v>
      </c>
      <c r="AB64" s="203" t="s">
        <v>2145</v>
      </c>
      <c r="AC64" s="203" t="s">
        <v>2146</v>
      </c>
      <c r="AD64" s="203" t="s">
        <v>2148</v>
      </c>
      <c r="AE64" s="203" t="s">
        <v>2150</v>
      </c>
      <c r="AF64" s="203" t="s">
        <v>2151</v>
      </c>
      <c r="AG64" s="203" t="s">
        <v>2152</v>
      </c>
      <c r="AH64" s="203" t="s">
        <v>2154</v>
      </c>
      <c r="AI64" s="203" t="s">
        <v>2156</v>
      </c>
      <c r="AJ64" s="203" t="s">
        <v>2157</v>
      </c>
      <c r="AK64" s="203" t="s">
        <v>2158</v>
      </c>
      <c r="AL64" s="203" t="s">
        <v>2159</v>
      </c>
      <c r="AM64" s="203" t="s">
        <v>2160</v>
      </c>
      <c r="AN64" s="203" t="s">
        <v>2161</v>
      </c>
      <c r="AO64" s="203" t="s">
        <v>2162</v>
      </c>
      <c r="AP64" s="203" t="s">
        <v>2163</v>
      </c>
      <c r="AQ64" s="203" t="s">
        <v>2164</v>
      </c>
      <c r="AR64" s="203" t="s">
        <v>2165</v>
      </c>
      <c r="AS64" s="203" t="s">
        <v>2166</v>
      </c>
      <c r="AT64" s="203" t="s">
        <v>2167</v>
      </c>
    </row>
    <row r="65">
      <c r="A65" s="203" t="str">
        <f t="array" ref="A65:I65">TRANSPOSE(INDIRECT(SWITCH(Venues!B65,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Children’s menu</v>
      </c>
      <c r="B65" s="203" t="s">
        <v>2001</v>
      </c>
      <c r="C65" s="203" t="s">
        <v>2002</v>
      </c>
      <c r="D65" s="203" t="s">
        <v>2003</v>
      </c>
      <c r="E65" s="203" t="s">
        <v>2004</v>
      </c>
      <c r="F65" s="203" t="s">
        <v>2005</v>
      </c>
      <c r="G65" s="203" t="s">
        <v>2006</v>
      </c>
      <c r="H65" s="203" t="s">
        <v>2007</v>
      </c>
      <c r="I65" s="203" t="s">
        <v>2009</v>
      </c>
    </row>
    <row r="66">
      <c r="A66" s="203" t="str">
        <f t="array" ref="A66:I66">TRANSPOSE(INDIRECT(SWITCH(Venues!B66,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Children’s menu</v>
      </c>
      <c r="B66" s="203" t="s">
        <v>2001</v>
      </c>
      <c r="C66" s="203" t="s">
        <v>2002</v>
      </c>
      <c r="D66" s="203" t="s">
        <v>2003</v>
      </c>
      <c r="E66" s="203" t="s">
        <v>2004</v>
      </c>
      <c r="F66" s="203" t="s">
        <v>2005</v>
      </c>
      <c r="G66" s="203" t="s">
        <v>2006</v>
      </c>
      <c r="H66" s="203" t="s">
        <v>2007</v>
      </c>
      <c r="I66" s="203" t="s">
        <v>2009</v>
      </c>
    </row>
    <row r="67">
      <c r="A67" s="203" t="str">
        <f t="array" ref="A67:J67">TRANSPOSE(INDIRECT(SWITCH(Venues!B67,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67" s="203" t="s">
        <v>1954</v>
      </c>
      <c r="C67" s="203" t="s">
        <v>1956</v>
      </c>
      <c r="D67" s="203" t="s">
        <v>1957</v>
      </c>
      <c r="E67" s="203" t="s">
        <v>1959</v>
      </c>
      <c r="F67" s="203" t="s">
        <v>1961</v>
      </c>
      <c r="G67" s="203" t="s">
        <v>1962</v>
      </c>
      <c r="H67" s="203" t="s">
        <v>1964</v>
      </c>
      <c r="I67" s="203" t="s">
        <v>1296</v>
      </c>
      <c r="J67" s="203" t="s">
        <v>1966</v>
      </c>
    </row>
    <row r="68">
      <c r="A68" s="203" t="str">
        <f t="array" ref="A68:V68">TRANSPOSE(INDIRECT(SWITCH(Venues!B68,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Messy, hands-on crafts</v>
      </c>
      <c r="B68" s="203" t="s">
        <v>2410</v>
      </c>
      <c r="C68" s="203" t="s">
        <v>2411</v>
      </c>
      <c r="D68" s="203" t="s">
        <v>2412</v>
      </c>
      <c r="E68" s="203" t="s">
        <v>2413</v>
      </c>
      <c r="F68" s="203" t="s">
        <v>2414</v>
      </c>
      <c r="G68" s="203" t="s">
        <v>2415</v>
      </c>
      <c r="H68" s="203" t="s">
        <v>2416</v>
      </c>
      <c r="I68" s="203" t="s">
        <v>2418</v>
      </c>
      <c r="J68" s="203" t="s">
        <v>2419</v>
      </c>
      <c r="K68" s="203" t="s">
        <v>2420</v>
      </c>
      <c r="L68" s="203" t="s">
        <v>2422</v>
      </c>
      <c r="M68" s="203" t="s">
        <v>2423</v>
      </c>
      <c r="N68" s="203" t="s">
        <v>2424</v>
      </c>
      <c r="O68" s="203" t="s">
        <v>2425</v>
      </c>
      <c r="P68" s="203" t="s">
        <v>2427</v>
      </c>
      <c r="Q68" s="203" t="s">
        <v>2428</v>
      </c>
      <c r="R68" s="203" t="s">
        <v>2430</v>
      </c>
      <c r="S68" s="203" t="s">
        <v>2432</v>
      </c>
      <c r="T68" s="203" t="s">
        <v>2433</v>
      </c>
      <c r="U68" s="203" t="s">
        <v>2434</v>
      </c>
      <c r="V68" s="203" t="s">
        <v>2435</v>
      </c>
    </row>
    <row r="69">
      <c r="A69" s="203" t="str">
        <f t="array" ref="A69:J69">TRANSPOSE(INDIRECT(SWITCH(Venues!B69,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69" s="203" t="s">
        <v>1954</v>
      </c>
      <c r="C69" s="203" t="s">
        <v>1956</v>
      </c>
      <c r="D69" s="203" t="s">
        <v>1957</v>
      </c>
      <c r="E69" s="203" t="s">
        <v>1959</v>
      </c>
      <c r="F69" s="203" t="s">
        <v>1961</v>
      </c>
      <c r="G69" s="203" t="s">
        <v>1962</v>
      </c>
      <c r="H69" s="203" t="s">
        <v>1964</v>
      </c>
      <c r="I69" s="203" t="s">
        <v>1296</v>
      </c>
      <c r="J69" s="203" t="s">
        <v>1966</v>
      </c>
    </row>
    <row r="70">
      <c r="A70" s="203" t="str">
        <f t="array" ref="A70:AE70">TRANSPOSE(INDIRECT(SWITCH(Venues!B70,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70" s="203" t="s">
        <v>2048</v>
      </c>
      <c r="C70" s="203" t="s">
        <v>2050</v>
      </c>
      <c r="D70" s="203" t="s">
        <v>1732</v>
      </c>
      <c r="E70" s="203" t="s">
        <v>2051</v>
      </c>
      <c r="F70" s="203" t="s">
        <v>2053</v>
      </c>
      <c r="G70" s="203" t="s">
        <v>2054</v>
      </c>
      <c r="H70" s="203" t="s">
        <v>2055</v>
      </c>
      <c r="I70" s="203" t="s">
        <v>2056</v>
      </c>
      <c r="J70" s="203" t="s">
        <v>2057</v>
      </c>
      <c r="K70" s="203" t="s">
        <v>2058</v>
      </c>
      <c r="L70" s="203" t="s">
        <v>2059</v>
      </c>
      <c r="M70" s="203" t="s">
        <v>2060</v>
      </c>
      <c r="N70" s="203" t="s">
        <v>2061</v>
      </c>
      <c r="O70" s="203" t="s">
        <v>2062</v>
      </c>
      <c r="P70" s="203" t="s">
        <v>2063</v>
      </c>
      <c r="Q70" s="203" t="s">
        <v>2065</v>
      </c>
      <c r="R70" s="203" t="s">
        <v>2066</v>
      </c>
      <c r="S70" s="203" t="s">
        <v>2067</v>
      </c>
      <c r="T70" s="203" t="s">
        <v>2068</v>
      </c>
      <c r="U70" s="203" t="s">
        <v>1774</v>
      </c>
      <c r="V70" s="203" t="s">
        <v>2070</v>
      </c>
      <c r="W70" s="203" t="s">
        <v>2071</v>
      </c>
      <c r="X70" s="203" t="s">
        <v>2072</v>
      </c>
      <c r="Y70" s="203" t="s">
        <v>2073</v>
      </c>
      <c r="Z70" s="203" t="s">
        <v>2074</v>
      </c>
      <c r="AA70" s="203" t="s">
        <v>2075</v>
      </c>
      <c r="AB70" s="203" t="s">
        <v>2076</v>
      </c>
      <c r="AC70" s="203" t="s">
        <v>2077</v>
      </c>
      <c r="AD70" s="203" t="s">
        <v>2078</v>
      </c>
      <c r="AE70" s="203" t="s">
        <v>2079</v>
      </c>
    </row>
    <row r="71">
      <c r="A71" s="203" t="str">
        <f t="array" ref="A71:F71">TRANSPOSE(INDIRECT(SWITCH(Venues!B71,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Science and engineering themes</v>
      </c>
      <c r="B71" s="203" t="s">
        <v>2792</v>
      </c>
      <c r="C71" s="203" t="s">
        <v>2793</v>
      </c>
      <c r="D71" s="203" t="s">
        <v>2794</v>
      </c>
      <c r="E71" s="203" t="s">
        <v>2795</v>
      </c>
      <c r="F71" s="203" t="s">
        <v>2796</v>
      </c>
    </row>
    <row r="72">
      <c r="A72" s="203" t="str">
        <f t="array" ref="A72:K72">TRANSPOSE(INDIRECT(SWITCH(Venues!B72,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72" s="203" t="s">
        <v>2123</v>
      </c>
      <c r="C72" s="203" t="s">
        <v>2134</v>
      </c>
      <c r="D72" s="203" t="s">
        <v>2803</v>
      </c>
      <c r="E72" s="203" t="s">
        <v>2804</v>
      </c>
      <c r="F72" s="203" t="s">
        <v>1921</v>
      </c>
      <c r="G72" s="203" t="s">
        <v>2805</v>
      </c>
      <c r="H72" s="203" t="s">
        <v>2806</v>
      </c>
      <c r="I72" s="203" t="s">
        <v>2808</v>
      </c>
      <c r="J72" s="203" t="s">
        <v>2809</v>
      </c>
      <c r="K72" s="203" t="s">
        <v>2810</v>
      </c>
    </row>
    <row r="73">
      <c r="A73" s="203" t="str">
        <f t="array" ref="A73:O73">TRANSPOSE(INDIRECT(SWITCH(Venues!B73,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Themed environments</v>
      </c>
      <c r="B73" s="203" t="s">
        <v>1980</v>
      </c>
      <c r="C73" s="203" t="s">
        <v>1981</v>
      </c>
      <c r="D73" s="203" t="s">
        <v>1982</v>
      </c>
      <c r="E73" s="203" t="s">
        <v>1983</v>
      </c>
      <c r="F73" s="203" t="s">
        <v>1984</v>
      </c>
      <c r="G73" s="203" t="s">
        <v>1985</v>
      </c>
      <c r="H73" s="203" t="s">
        <v>1986</v>
      </c>
      <c r="I73" s="203" t="s">
        <v>1987</v>
      </c>
      <c r="J73" s="203" t="s">
        <v>1988</v>
      </c>
      <c r="K73" s="203" t="s">
        <v>1989</v>
      </c>
      <c r="L73" s="203" t="s">
        <v>1990</v>
      </c>
      <c r="M73" s="203" t="s">
        <v>1991</v>
      </c>
      <c r="N73" s="203" t="s">
        <v>1992</v>
      </c>
      <c r="O73" s="203" t="s">
        <v>1993</v>
      </c>
    </row>
    <row r="74">
      <c r="A74" s="203" t="str">
        <f t="array" ref="A74:K74">TRANSPOSE(INDIRECT(SWITCH(Venues!B74,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74" s="203" t="s">
        <v>2123</v>
      </c>
      <c r="C74" s="203" t="s">
        <v>2134</v>
      </c>
      <c r="D74" s="203" t="s">
        <v>2803</v>
      </c>
      <c r="E74" s="203" t="s">
        <v>2804</v>
      </c>
      <c r="F74" s="203" t="s">
        <v>1921</v>
      </c>
      <c r="G74" s="203" t="s">
        <v>2805</v>
      </c>
      <c r="H74" s="203" t="s">
        <v>2806</v>
      </c>
      <c r="I74" s="203" t="s">
        <v>2808</v>
      </c>
      <c r="J74" s="203" t="s">
        <v>2809</v>
      </c>
      <c r="K74" s="203" t="s">
        <v>2810</v>
      </c>
    </row>
    <row r="75">
      <c r="A75" s="203" t="str">
        <f t="array" ref="A75:AE75">TRANSPOSE(INDIRECT(SWITCH(Venues!B75,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75" s="203" t="s">
        <v>2048</v>
      </c>
      <c r="C75" s="203" t="s">
        <v>2050</v>
      </c>
      <c r="D75" s="203" t="s">
        <v>1732</v>
      </c>
      <c r="E75" s="203" t="s">
        <v>2051</v>
      </c>
      <c r="F75" s="203" t="s">
        <v>2053</v>
      </c>
      <c r="G75" s="203" t="s">
        <v>2054</v>
      </c>
      <c r="H75" s="203" t="s">
        <v>2055</v>
      </c>
      <c r="I75" s="203" t="s">
        <v>2056</v>
      </c>
      <c r="J75" s="203" t="s">
        <v>2057</v>
      </c>
      <c r="K75" s="203" t="s">
        <v>2058</v>
      </c>
      <c r="L75" s="203" t="s">
        <v>2059</v>
      </c>
      <c r="M75" s="203" t="s">
        <v>2060</v>
      </c>
      <c r="N75" s="203" t="s">
        <v>2061</v>
      </c>
      <c r="O75" s="203" t="s">
        <v>2062</v>
      </c>
      <c r="P75" s="203" t="s">
        <v>2063</v>
      </c>
      <c r="Q75" s="203" t="s">
        <v>2065</v>
      </c>
      <c r="R75" s="203" t="s">
        <v>2066</v>
      </c>
      <c r="S75" s="203" t="s">
        <v>2067</v>
      </c>
      <c r="T75" s="203" t="s">
        <v>2068</v>
      </c>
      <c r="U75" s="203" t="s">
        <v>1774</v>
      </c>
      <c r="V75" s="203" t="s">
        <v>2070</v>
      </c>
      <c r="W75" s="203" t="s">
        <v>2071</v>
      </c>
      <c r="X75" s="203" t="s">
        <v>2072</v>
      </c>
      <c r="Y75" s="203" t="s">
        <v>2073</v>
      </c>
      <c r="Z75" s="203" t="s">
        <v>2074</v>
      </c>
      <c r="AA75" s="203" t="s">
        <v>2075</v>
      </c>
      <c r="AB75" s="203" t="s">
        <v>2076</v>
      </c>
      <c r="AC75" s="203" t="s">
        <v>2077</v>
      </c>
      <c r="AD75" s="203" t="s">
        <v>2078</v>
      </c>
      <c r="AE75" s="203" t="s">
        <v>2079</v>
      </c>
    </row>
    <row r="76">
      <c r="A76" s="203" t="str">
        <f t="array" ref="A76:AF76">TRANSPOSE(INDIRECT(SWITCH(Venues!B76,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76" s="203" t="s">
        <v>1760</v>
      </c>
      <c r="C76" s="203" t="s">
        <v>1761</v>
      </c>
      <c r="D76" s="203" t="s">
        <v>1762</v>
      </c>
      <c r="E76" s="203" t="s">
        <v>1763</v>
      </c>
      <c r="F76" s="203" t="s">
        <v>1764</v>
      </c>
      <c r="G76" s="203" t="s">
        <v>1765</v>
      </c>
      <c r="H76" s="203" t="s">
        <v>1766</v>
      </c>
      <c r="I76" s="203" t="s">
        <v>1767</v>
      </c>
      <c r="J76" s="203" t="s">
        <v>1768</v>
      </c>
      <c r="K76" s="203" t="s">
        <v>1769</v>
      </c>
      <c r="L76" s="203" t="s">
        <v>1770</v>
      </c>
      <c r="M76" s="203" t="s">
        <v>1771</v>
      </c>
      <c r="N76" s="203" t="s">
        <v>1772</v>
      </c>
      <c r="O76" s="203" t="s">
        <v>1773</v>
      </c>
      <c r="P76" s="203" t="s">
        <v>1774</v>
      </c>
      <c r="Q76" s="203" t="s">
        <v>1775</v>
      </c>
      <c r="R76" s="203" t="s">
        <v>876</v>
      </c>
      <c r="S76" s="203" t="s">
        <v>1776</v>
      </c>
      <c r="T76" s="203" t="s">
        <v>1777</v>
      </c>
      <c r="U76" s="203" t="s">
        <v>1778</v>
      </c>
      <c r="V76" s="203" t="s">
        <v>1779</v>
      </c>
      <c r="W76" s="203" t="s">
        <v>1780</v>
      </c>
      <c r="X76" s="203" t="s">
        <v>1781</v>
      </c>
      <c r="Y76" s="203" t="s">
        <v>1782</v>
      </c>
      <c r="Z76" s="203" t="s">
        <v>1783</v>
      </c>
      <c r="AA76" s="203" t="s">
        <v>1784</v>
      </c>
      <c r="AB76" s="203" t="s">
        <v>1785</v>
      </c>
      <c r="AC76" s="203" t="s">
        <v>1786</v>
      </c>
      <c r="AD76" s="203" t="s">
        <v>1788</v>
      </c>
      <c r="AE76" s="203" t="s">
        <v>1789</v>
      </c>
      <c r="AF76" s="203" t="s">
        <v>1790</v>
      </c>
    </row>
    <row r="77">
      <c r="A77" s="203" t="str">
        <f t="array" ref="A77:V77">TRANSPOSE(INDIRECT(SWITCH(Venues!B77,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77" s="203" t="s">
        <v>2169</v>
      </c>
      <c r="C77" s="203" t="s">
        <v>2170</v>
      </c>
      <c r="D77" s="203" t="s">
        <v>2171</v>
      </c>
      <c r="E77" s="203" t="s">
        <v>2172</v>
      </c>
      <c r="F77" s="203" t="s">
        <v>2173</v>
      </c>
      <c r="G77" s="203" t="s">
        <v>2174</v>
      </c>
      <c r="H77" s="203" t="s">
        <v>2175</v>
      </c>
      <c r="I77" s="203" t="s">
        <v>2176</v>
      </c>
      <c r="J77" s="203" t="s">
        <v>2177</v>
      </c>
      <c r="K77" s="203" t="s">
        <v>2178</v>
      </c>
      <c r="L77" s="203" t="s">
        <v>2179</v>
      </c>
      <c r="M77" s="203" t="s">
        <v>2180</v>
      </c>
      <c r="N77" s="203" t="s">
        <v>2181</v>
      </c>
      <c r="O77" s="203" t="s">
        <v>1729</v>
      </c>
      <c r="P77" s="203" t="s">
        <v>1730</v>
      </c>
      <c r="Q77" s="203" t="s">
        <v>2182</v>
      </c>
      <c r="R77" s="203" t="s">
        <v>2183</v>
      </c>
      <c r="S77" s="203" t="s">
        <v>2184</v>
      </c>
      <c r="T77" s="203" t="s">
        <v>2185</v>
      </c>
      <c r="U77" s="203" t="s">
        <v>2186</v>
      </c>
      <c r="V77" s="203" t="s">
        <v>2187</v>
      </c>
    </row>
    <row r="78">
      <c r="A78" s="203" t="str">
        <f t="array" ref="A78:V78">TRANSPOSE(INDIRECT(SWITCH(Venues!B78,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78" s="203" t="s">
        <v>2169</v>
      </c>
      <c r="C78" s="203" t="s">
        <v>2170</v>
      </c>
      <c r="D78" s="203" t="s">
        <v>2171</v>
      </c>
      <c r="E78" s="203" t="s">
        <v>2172</v>
      </c>
      <c r="F78" s="203" t="s">
        <v>2173</v>
      </c>
      <c r="G78" s="203" t="s">
        <v>2174</v>
      </c>
      <c r="H78" s="203" t="s">
        <v>2175</v>
      </c>
      <c r="I78" s="203" t="s">
        <v>2176</v>
      </c>
      <c r="J78" s="203" t="s">
        <v>2177</v>
      </c>
      <c r="K78" s="203" t="s">
        <v>2178</v>
      </c>
      <c r="L78" s="203" t="s">
        <v>2179</v>
      </c>
      <c r="M78" s="203" t="s">
        <v>2180</v>
      </c>
      <c r="N78" s="203" t="s">
        <v>2181</v>
      </c>
      <c r="O78" s="203" t="s">
        <v>1729</v>
      </c>
      <c r="P78" s="203" t="s">
        <v>1730</v>
      </c>
      <c r="Q78" s="203" t="s">
        <v>2182</v>
      </c>
      <c r="R78" s="203" t="s">
        <v>2183</v>
      </c>
      <c r="S78" s="203" t="s">
        <v>2184</v>
      </c>
      <c r="T78" s="203" t="s">
        <v>2185</v>
      </c>
      <c r="U78" s="203" t="s">
        <v>2186</v>
      </c>
      <c r="V78" s="203" t="s">
        <v>2187</v>
      </c>
    </row>
    <row r="79">
      <c r="A79" s="203" t="str">
        <f t="array" ref="A79:AT79">TRANSPOSE(INDIRECT(SWITCH(Venues!B79,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79" s="203" t="s">
        <v>2117</v>
      </c>
      <c r="C79" s="203" t="s">
        <v>2118</v>
      </c>
      <c r="D79" s="203" t="s">
        <v>2119</v>
      </c>
      <c r="E79" s="203" t="s">
        <v>2120</v>
      </c>
      <c r="F79" s="203" t="s">
        <v>2121</v>
      </c>
      <c r="G79" s="203" t="s">
        <v>2123</v>
      </c>
      <c r="H79" s="203" t="s">
        <v>2124</v>
      </c>
      <c r="I79" s="203" t="s">
        <v>2125</v>
      </c>
      <c r="J79" s="203" t="s">
        <v>2127</v>
      </c>
      <c r="K79" s="203" t="s">
        <v>2128</v>
      </c>
      <c r="L79" s="203" t="s">
        <v>2129</v>
      </c>
      <c r="M79" s="203" t="s">
        <v>2130</v>
      </c>
      <c r="N79" s="203" t="s">
        <v>2131</v>
      </c>
      <c r="O79" s="203" t="s">
        <v>2132</v>
      </c>
      <c r="P79" s="203" t="s">
        <v>2133</v>
      </c>
      <c r="Q79" s="203" t="s">
        <v>2134</v>
      </c>
      <c r="R79" s="203" t="s">
        <v>1782</v>
      </c>
      <c r="S79" s="203" t="s">
        <v>2135</v>
      </c>
      <c r="T79" s="203" t="s">
        <v>2136</v>
      </c>
      <c r="U79" s="203" t="s">
        <v>2137</v>
      </c>
      <c r="V79" s="203" t="s">
        <v>2138</v>
      </c>
      <c r="W79" s="203" t="s">
        <v>2139</v>
      </c>
      <c r="X79" s="203" t="s">
        <v>2140</v>
      </c>
      <c r="Y79" s="203" t="s">
        <v>2142</v>
      </c>
      <c r="Z79" s="203" t="s">
        <v>2143</v>
      </c>
      <c r="AA79" s="203" t="s">
        <v>2144</v>
      </c>
      <c r="AB79" s="203" t="s">
        <v>2145</v>
      </c>
      <c r="AC79" s="203" t="s">
        <v>2146</v>
      </c>
      <c r="AD79" s="203" t="s">
        <v>2148</v>
      </c>
      <c r="AE79" s="203" t="s">
        <v>2150</v>
      </c>
      <c r="AF79" s="203" t="s">
        <v>2151</v>
      </c>
      <c r="AG79" s="203" t="s">
        <v>2152</v>
      </c>
      <c r="AH79" s="203" t="s">
        <v>2154</v>
      </c>
      <c r="AI79" s="203" t="s">
        <v>2156</v>
      </c>
      <c r="AJ79" s="203" t="s">
        <v>2157</v>
      </c>
      <c r="AK79" s="203" t="s">
        <v>2158</v>
      </c>
      <c r="AL79" s="203" t="s">
        <v>2159</v>
      </c>
      <c r="AM79" s="203" t="s">
        <v>2160</v>
      </c>
      <c r="AN79" s="203" t="s">
        <v>2161</v>
      </c>
      <c r="AO79" s="203" t="s">
        <v>2162</v>
      </c>
      <c r="AP79" s="203" t="s">
        <v>2163</v>
      </c>
      <c r="AQ79" s="203" t="s">
        <v>2164</v>
      </c>
      <c r="AR79" s="203" t="s">
        <v>2165</v>
      </c>
      <c r="AS79" s="203" t="s">
        <v>2166</v>
      </c>
      <c r="AT79" s="203" t="s">
        <v>2167</v>
      </c>
    </row>
    <row r="80">
      <c r="A80" s="203" t="str">
        <f t="array" ref="A80:AT80">TRANSPOSE(INDIRECT(SWITCH(Venues!B80,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80" s="203" t="s">
        <v>2117</v>
      </c>
      <c r="C80" s="203" t="s">
        <v>2118</v>
      </c>
      <c r="D80" s="203" t="s">
        <v>2119</v>
      </c>
      <c r="E80" s="203" t="s">
        <v>2120</v>
      </c>
      <c r="F80" s="203" t="s">
        <v>2121</v>
      </c>
      <c r="G80" s="203" t="s">
        <v>2123</v>
      </c>
      <c r="H80" s="203" t="s">
        <v>2124</v>
      </c>
      <c r="I80" s="203" t="s">
        <v>2125</v>
      </c>
      <c r="J80" s="203" t="s">
        <v>2127</v>
      </c>
      <c r="K80" s="203" t="s">
        <v>2128</v>
      </c>
      <c r="L80" s="203" t="s">
        <v>2129</v>
      </c>
      <c r="M80" s="203" t="s">
        <v>2130</v>
      </c>
      <c r="N80" s="203" t="s">
        <v>2131</v>
      </c>
      <c r="O80" s="203" t="s">
        <v>2132</v>
      </c>
      <c r="P80" s="203" t="s">
        <v>2133</v>
      </c>
      <c r="Q80" s="203" t="s">
        <v>2134</v>
      </c>
      <c r="R80" s="203" t="s">
        <v>1782</v>
      </c>
      <c r="S80" s="203" t="s">
        <v>2135</v>
      </c>
      <c r="T80" s="203" t="s">
        <v>2136</v>
      </c>
      <c r="U80" s="203" t="s">
        <v>2137</v>
      </c>
      <c r="V80" s="203" t="s">
        <v>2138</v>
      </c>
      <c r="W80" s="203" t="s">
        <v>2139</v>
      </c>
      <c r="X80" s="203" t="s">
        <v>2140</v>
      </c>
      <c r="Y80" s="203" t="s">
        <v>2142</v>
      </c>
      <c r="Z80" s="203" t="s">
        <v>2143</v>
      </c>
      <c r="AA80" s="203" t="s">
        <v>2144</v>
      </c>
      <c r="AB80" s="203" t="s">
        <v>2145</v>
      </c>
      <c r="AC80" s="203" t="s">
        <v>2146</v>
      </c>
      <c r="AD80" s="203" t="s">
        <v>2148</v>
      </c>
      <c r="AE80" s="203" t="s">
        <v>2150</v>
      </c>
      <c r="AF80" s="203" t="s">
        <v>2151</v>
      </c>
      <c r="AG80" s="203" t="s">
        <v>2152</v>
      </c>
      <c r="AH80" s="203" t="s">
        <v>2154</v>
      </c>
      <c r="AI80" s="203" t="s">
        <v>2156</v>
      </c>
      <c r="AJ80" s="203" t="s">
        <v>2157</v>
      </c>
      <c r="AK80" s="203" t="s">
        <v>2158</v>
      </c>
      <c r="AL80" s="203" t="s">
        <v>2159</v>
      </c>
      <c r="AM80" s="203" t="s">
        <v>2160</v>
      </c>
      <c r="AN80" s="203" t="s">
        <v>2161</v>
      </c>
      <c r="AO80" s="203" t="s">
        <v>2162</v>
      </c>
      <c r="AP80" s="203" t="s">
        <v>2163</v>
      </c>
      <c r="AQ80" s="203" t="s">
        <v>2164</v>
      </c>
      <c r="AR80" s="203" t="s">
        <v>2165</v>
      </c>
      <c r="AS80" s="203" t="s">
        <v>2166</v>
      </c>
      <c r="AT80" s="203" t="s">
        <v>2167</v>
      </c>
    </row>
    <row r="81">
      <c r="A81" s="203" t="str">
        <f t="array" ref="A81:AT81">TRANSPOSE(INDIRECT(SWITCH(Venues!B81,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81" s="203" t="s">
        <v>2117</v>
      </c>
      <c r="C81" s="203" t="s">
        <v>2118</v>
      </c>
      <c r="D81" s="203" t="s">
        <v>2119</v>
      </c>
      <c r="E81" s="203" t="s">
        <v>2120</v>
      </c>
      <c r="F81" s="203" t="s">
        <v>2121</v>
      </c>
      <c r="G81" s="203" t="s">
        <v>2123</v>
      </c>
      <c r="H81" s="203" t="s">
        <v>2124</v>
      </c>
      <c r="I81" s="203" t="s">
        <v>2125</v>
      </c>
      <c r="J81" s="203" t="s">
        <v>2127</v>
      </c>
      <c r="K81" s="203" t="s">
        <v>2128</v>
      </c>
      <c r="L81" s="203" t="s">
        <v>2129</v>
      </c>
      <c r="M81" s="203" t="s">
        <v>2130</v>
      </c>
      <c r="N81" s="203" t="s">
        <v>2131</v>
      </c>
      <c r="O81" s="203" t="s">
        <v>2132</v>
      </c>
      <c r="P81" s="203" t="s">
        <v>2133</v>
      </c>
      <c r="Q81" s="203" t="s">
        <v>2134</v>
      </c>
      <c r="R81" s="203" t="s">
        <v>1782</v>
      </c>
      <c r="S81" s="203" t="s">
        <v>2135</v>
      </c>
      <c r="T81" s="203" t="s">
        <v>2136</v>
      </c>
      <c r="U81" s="203" t="s">
        <v>2137</v>
      </c>
      <c r="V81" s="203" t="s">
        <v>2138</v>
      </c>
      <c r="W81" s="203" t="s">
        <v>2139</v>
      </c>
      <c r="X81" s="203" t="s">
        <v>2140</v>
      </c>
      <c r="Y81" s="203" t="s">
        <v>2142</v>
      </c>
      <c r="Z81" s="203" t="s">
        <v>2143</v>
      </c>
      <c r="AA81" s="203" t="s">
        <v>2144</v>
      </c>
      <c r="AB81" s="203" t="s">
        <v>2145</v>
      </c>
      <c r="AC81" s="203" t="s">
        <v>2146</v>
      </c>
      <c r="AD81" s="203" t="s">
        <v>2148</v>
      </c>
      <c r="AE81" s="203" t="s">
        <v>2150</v>
      </c>
      <c r="AF81" s="203" t="s">
        <v>2151</v>
      </c>
      <c r="AG81" s="203" t="s">
        <v>2152</v>
      </c>
      <c r="AH81" s="203" t="s">
        <v>2154</v>
      </c>
      <c r="AI81" s="203" t="s">
        <v>2156</v>
      </c>
      <c r="AJ81" s="203" t="s">
        <v>2157</v>
      </c>
      <c r="AK81" s="203" t="s">
        <v>2158</v>
      </c>
      <c r="AL81" s="203" t="s">
        <v>2159</v>
      </c>
      <c r="AM81" s="203" t="s">
        <v>2160</v>
      </c>
      <c r="AN81" s="203" t="s">
        <v>2161</v>
      </c>
      <c r="AO81" s="203" t="s">
        <v>2162</v>
      </c>
      <c r="AP81" s="203" t="s">
        <v>2163</v>
      </c>
      <c r="AQ81" s="203" t="s">
        <v>2164</v>
      </c>
      <c r="AR81" s="203" t="s">
        <v>2165</v>
      </c>
      <c r="AS81" s="203" t="s">
        <v>2166</v>
      </c>
      <c r="AT81" s="203" t="s">
        <v>2167</v>
      </c>
    </row>
    <row r="82">
      <c r="A82" s="203" t="str">
        <f t="array" ref="A82:AT82">TRANSPOSE(INDIRECT(SWITCH(Venues!B82,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82" s="203" t="s">
        <v>2117</v>
      </c>
      <c r="C82" s="203" t="s">
        <v>2118</v>
      </c>
      <c r="D82" s="203" t="s">
        <v>2119</v>
      </c>
      <c r="E82" s="203" t="s">
        <v>2120</v>
      </c>
      <c r="F82" s="203" t="s">
        <v>2121</v>
      </c>
      <c r="G82" s="203" t="s">
        <v>2123</v>
      </c>
      <c r="H82" s="203" t="s">
        <v>2124</v>
      </c>
      <c r="I82" s="203" t="s">
        <v>2125</v>
      </c>
      <c r="J82" s="203" t="s">
        <v>2127</v>
      </c>
      <c r="K82" s="203" t="s">
        <v>2128</v>
      </c>
      <c r="L82" s="203" t="s">
        <v>2129</v>
      </c>
      <c r="M82" s="203" t="s">
        <v>2130</v>
      </c>
      <c r="N82" s="203" t="s">
        <v>2131</v>
      </c>
      <c r="O82" s="203" t="s">
        <v>2132</v>
      </c>
      <c r="P82" s="203" t="s">
        <v>2133</v>
      </c>
      <c r="Q82" s="203" t="s">
        <v>2134</v>
      </c>
      <c r="R82" s="203" t="s">
        <v>1782</v>
      </c>
      <c r="S82" s="203" t="s">
        <v>2135</v>
      </c>
      <c r="T82" s="203" t="s">
        <v>2136</v>
      </c>
      <c r="U82" s="203" t="s">
        <v>2137</v>
      </c>
      <c r="V82" s="203" t="s">
        <v>2138</v>
      </c>
      <c r="W82" s="203" t="s">
        <v>2139</v>
      </c>
      <c r="X82" s="203" t="s">
        <v>2140</v>
      </c>
      <c r="Y82" s="203" t="s">
        <v>2142</v>
      </c>
      <c r="Z82" s="203" t="s">
        <v>2143</v>
      </c>
      <c r="AA82" s="203" t="s">
        <v>2144</v>
      </c>
      <c r="AB82" s="203" t="s">
        <v>2145</v>
      </c>
      <c r="AC82" s="203" t="s">
        <v>2146</v>
      </c>
      <c r="AD82" s="203" t="s">
        <v>2148</v>
      </c>
      <c r="AE82" s="203" t="s">
        <v>2150</v>
      </c>
      <c r="AF82" s="203" t="s">
        <v>2151</v>
      </c>
      <c r="AG82" s="203" t="s">
        <v>2152</v>
      </c>
      <c r="AH82" s="203" t="s">
        <v>2154</v>
      </c>
      <c r="AI82" s="203" t="s">
        <v>2156</v>
      </c>
      <c r="AJ82" s="203" t="s">
        <v>2157</v>
      </c>
      <c r="AK82" s="203" t="s">
        <v>2158</v>
      </c>
      <c r="AL82" s="203" t="s">
        <v>2159</v>
      </c>
      <c r="AM82" s="203" t="s">
        <v>2160</v>
      </c>
      <c r="AN82" s="203" t="s">
        <v>2161</v>
      </c>
      <c r="AO82" s="203" t="s">
        <v>2162</v>
      </c>
      <c r="AP82" s="203" t="s">
        <v>2163</v>
      </c>
      <c r="AQ82" s="203" t="s">
        <v>2164</v>
      </c>
      <c r="AR82" s="203" t="s">
        <v>2165</v>
      </c>
      <c r="AS82" s="203" t="s">
        <v>2166</v>
      </c>
      <c r="AT82" s="203" t="s">
        <v>2167</v>
      </c>
    </row>
    <row r="83">
      <c r="A83" s="203" t="str">
        <f t="array" ref="A83:J83">TRANSPOSE(INDIRECT(SWITCH(Venues!B83,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83" s="203" t="s">
        <v>1954</v>
      </c>
      <c r="C83" s="203" t="s">
        <v>1956</v>
      </c>
      <c r="D83" s="203" t="s">
        <v>1957</v>
      </c>
      <c r="E83" s="203" t="s">
        <v>1959</v>
      </c>
      <c r="F83" s="203" t="s">
        <v>1961</v>
      </c>
      <c r="G83" s="203" t="s">
        <v>1962</v>
      </c>
      <c r="H83" s="203" t="s">
        <v>1964</v>
      </c>
      <c r="I83" s="203" t="s">
        <v>1296</v>
      </c>
      <c r="J83" s="203" t="s">
        <v>1966</v>
      </c>
    </row>
    <row r="84">
      <c r="A84" s="203" t="str">
        <f t="array" ref="A84:V84">TRANSPOSE(INDIRECT(SWITCH(Venues!B84,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84" s="203" t="s">
        <v>2169</v>
      </c>
      <c r="C84" s="203" t="s">
        <v>2170</v>
      </c>
      <c r="D84" s="203" t="s">
        <v>2171</v>
      </c>
      <c r="E84" s="203" t="s">
        <v>2172</v>
      </c>
      <c r="F84" s="203" t="s">
        <v>2173</v>
      </c>
      <c r="G84" s="203" t="s">
        <v>2174</v>
      </c>
      <c r="H84" s="203" t="s">
        <v>2175</v>
      </c>
      <c r="I84" s="203" t="s">
        <v>2176</v>
      </c>
      <c r="J84" s="203" t="s">
        <v>2177</v>
      </c>
      <c r="K84" s="203" t="s">
        <v>2178</v>
      </c>
      <c r="L84" s="203" t="s">
        <v>2179</v>
      </c>
      <c r="M84" s="203" t="s">
        <v>2180</v>
      </c>
      <c r="N84" s="203" t="s">
        <v>2181</v>
      </c>
      <c r="O84" s="203" t="s">
        <v>1729</v>
      </c>
      <c r="P84" s="203" t="s">
        <v>1730</v>
      </c>
      <c r="Q84" s="203" t="s">
        <v>2182</v>
      </c>
      <c r="R84" s="203" t="s">
        <v>2183</v>
      </c>
      <c r="S84" s="203" t="s">
        <v>2184</v>
      </c>
      <c r="T84" s="203" t="s">
        <v>2185</v>
      </c>
      <c r="U84" s="203" t="s">
        <v>2186</v>
      </c>
      <c r="V84" s="203" t="s">
        <v>2187</v>
      </c>
    </row>
    <row r="85">
      <c r="A85" s="203" t="str">
        <f t="array" ref="A85:AE85">TRANSPOSE(INDIRECT(SWITCH(Venues!B85,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85" s="203" t="s">
        <v>2048</v>
      </c>
      <c r="C85" s="203" t="s">
        <v>2050</v>
      </c>
      <c r="D85" s="203" t="s">
        <v>1732</v>
      </c>
      <c r="E85" s="203" t="s">
        <v>2051</v>
      </c>
      <c r="F85" s="203" t="s">
        <v>2053</v>
      </c>
      <c r="G85" s="203" t="s">
        <v>2054</v>
      </c>
      <c r="H85" s="203" t="s">
        <v>2055</v>
      </c>
      <c r="I85" s="203" t="s">
        <v>2056</v>
      </c>
      <c r="J85" s="203" t="s">
        <v>2057</v>
      </c>
      <c r="K85" s="203" t="s">
        <v>2058</v>
      </c>
      <c r="L85" s="203" t="s">
        <v>2059</v>
      </c>
      <c r="M85" s="203" t="s">
        <v>2060</v>
      </c>
      <c r="N85" s="203" t="s">
        <v>2061</v>
      </c>
      <c r="O85" s="203" t="s">
        <v>2062</v>
      </c>
      <c r="P85" s="203" t="s">
        <v>2063</v>
      </c>
      <c r="Q85" s="203" t="s">
        <v>2065</v>
      </c>
      <c r="R85" s="203" t="s">
        <v>2066</v>
      </c>
      <c r="S85" s="203" t="s">
        <v>2067</v>
      </c>
      <c r="T85" s="203" t="s">
        <v>2068</v>
      </c>
      <c r="U85" s="203" t="s">
        <v>1774</v>
      </c>
      <c r="V85" s="203" t="s">
        <v>2070</v>
      </c>
      <c r="W85" s="203" t="s">
        <v>2071</v>
      </c>
      <c r="X85" s="203" t="s">
        <v>2072</v>
      </c>
      <c r="Y85" s="203" t="s">
        <v>2073</v>
      </c>
      <c r="Z85" s="203" t="s">
        <v>2074</v>
      </c>
      <c r="AA85" s="203" t="s">
        <v>2075</v>
      </c>
      <c r="AB85" s="203" t="s">
        <v>2076</v>
      </c>
      <c r="AC85" s="203" t="s">
        <v>2077</v>
      </c>
      <c r="AD85" s="203" t="s">
        <v>2078</v>
      </c>
      <c r="AE85" s="203" t="s">
        <v>2079</v>
      </c>
    </row>
    <row r="86">
      <c r="A86" s="203" t="str">
        <f t="array" ref="A86:AE86">TRANSPOSE(INDIRECT(SWITCH(Venues!B86,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86" s="203" t="s">
        <v>2048</v>
      </c>
      <c r="C86" s="203" t="s">
        <v>2050</v>
      </c>
      <c r="D86" s="203" t="s">
        <v>1732</v>
      </c>
      <c r="E86" s="203" t="s">
        <v>2051</v>
      </c>
      <c r="F86" s="203" t="s">
        <v>2053</v>
      </c>
      <c r="G86" s="203" t="s">
        <v>2054</v>
      </c>
      <c r="H86" s="203" t="s">
        <v>2055</v>
      </c>
      <c r="I86" s="203" t="s">
        <v>2056</v>
      </c>
      <c r="J86" s="203" t="s">
        <v>2057</v>
      </c>
      <c r="K86" s="203" t="s">
        <v>2058</v>
      </c>
      <c r="L86" s="203" t="s">
        <v>2059</v>
      </c>
      <c r="M86" s="203" t="s">
        <v>2060</v>
      </c>
      <c r="N86" s="203" t="s">
        <v>2061</v>
      </c>
      <c r="O86" s="203" t="s">
        <v>2062</v>
      </c>
      <c r="P86" s="203" t="s">
        <v>2063</v>
      </c>
      <c r="Q86" s="203" t="s">
        <v>2065</v>
      </c>
      <c r="R86" s="203" t="s">
        <v>2066</v>
      </c>
      <c r="S86" s="203" t="s">
        <v>2067</v>
      </c>
      <c r="T86" s="203" t="s">
        <v>2068</v>
      </c>
      <c r="U86" s="203" t="s">
        <v>1774</v>
      </c>
      <c r="V86" s="203" t="s">
        <v>2070</v>
      </c>
      <c r="W86" s="203" t="s">
        <v>2071</v>
      </c>
      <c r="X86" s="203" t="s">
        <v>2072</v>
      </c>
      <c r="Y86" s="203" t="s">
        <v>2073</v>
      </c>
      <c r="Z86" s="203" t="s">
        <v>2074</v>
      </c>
      <c r="AA86" s="203" t="s">
        <v>2075</v>
      </c>
      <c r="AB86" s="203" t="s">
        <v>2076</v>
      </c>
      <c r="AC86" s="203" t="s">
        <v>2077</v>
      </c>
      <c r="AD86" s="203" t="s">
        <v>2078</v>
      </c>
      <c r="AE86" s="203" t="s">
        <v>2079</v>
      </c>
    </row>
    <row r="87">
      <c r="A87" s="203" t="str">
        <f t="array" ref="A87:V87">TRANSPOSE(INDIRECT(SWITCH(Venues!B87,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Messy, hands-on crafts</v>
      </c>
      <c r="B87" s="203" t="s">
        <v>2410</v>
      </c>
      <c r="C87" s="203" t="s">
        <v>2411</v>
      </c>
      <c r="D87" s="203" t="s">
        <v>2412</v>
      </c>
      <c r="E87" s="203" t="s">
        <v>2413</v>
      </c>
      <c r="F87" s="203" t="s">
        <v>2414</v>
      </c>
      <c r="G87" s="203" t="s">
        <v>2415</v>
      </c>
      <c r="H87" s="203" t="s">
        <v>2416</v>
      </c>
      <c r="I87" s="203" t="s">
        <v>2418</v>
      </c>
      <c r="J87" s="203" t="s">
        <v>2419</v>
      </c>
      <c r="K87" s="203" t="s">
        <v>2420</v>
      </c>
      <c r="L87" s="203" t="s">
        <v>2422</v>
      </c>
      <c r="M87" s="203" t="s">
        <v>2423</v>
      </c>
      <c r="N87" s="203" t="s">
        <v>2424</v>
      </c>
      <c r="O87" s="203" t="s">
        <v>2425</v>
      </c>
      <c r="P87" s="203" t="s">
        <v>2427</v>
      </c>
      <c r="Q87" s="203" t="s">
        <v>2428</v>
      </c>
      <c r="R87" s="203" t="s">
        <v>2430</v>
      </c>
      <c r="S87" s="203" t="s">
        <v>2432</v>
      </c>
      <c r="T87" s="203" t="s">
        <v>2433</v>
      </c>
      <c r="U87" s="203" t="s">
        <v>2434</v>
      </c>
      <c r="V87" s="203" t="s">
        <v>2435</v>
      </c>
    </row>
    <row r="88">
      <c r="A88" s="203" t="str">
        <f t="array" ref="A88:T88">TRANSPOSE(INDIRECT(SWITCH(Venues!B88,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88" s="203" t="s">
        <v>2198</v>
      </c>
      <c r="C88" s="203" t="s">
        <v>2199</v>
      </c>
      <c r="D88" s="203" t="s">
        <v>2171</v>
      </c>
      <c r="E88" s="203" t="s">
        <v>2200</v>
      </c>
      <c r="F88" s="203" t="s">
        <v>1878</v>
      </c>
      <c r="G88" s="203" t="s">
        <v>2174</v>
      </c>
      <c r="H88" s="203" t="s">
        <v>2175</v>
      </c>
      <c r="I88" s="203" t="s">
        <v>1889</v>
      </c>
      <c r="J88" s="203" t="s">
        <v>2201</v>
      </c>
      <c r="K88" s="203" t="s">
        <v>2202</v>
      </c>
      <c r="L88" s="203" t="s">
        <v>1884</v>
      </c>
      <c r="M88" s="203" t="s">
        <v>2203</v>
      </c>
      <c r="N88" s="203" t="s">
        <v>2204</v>
      </c>
      <c r="O88" s="203" t="s">
        <v>2205</v>
      </c>
      <c r="P88" s="203" t="s">
        <v>2206</v>
      </c>
      <c r="Q88" s="203" t="s">
        <v>2207</v>
      </c>
      <c r="R88" s="203" t="s">
        <v>2208</v>
      </c>
      <c r="S88" s="203" t="s">
        <v>1729</v>
      </c>
      <c r="T88" s="203" t="s">
        <v>1730</v>
      </c>
    </row>
    <row r="89">
      <c r="A89" s="203" t="str">
        <f t="array" ref="A89:AE89">TRANSPOSE(INDIRECT(SWITCH(Venues!B89,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89" s="203" t="s">
        <v>2048</v>
      </c>
      <c r="C89" s="203" t="s">
        <v>2050</v>
      </c>
      <c r="D89" s="203" t="s">
        <v>1732</v>
      </c>
      <c r="E89" s="203" t="s">
        <v>2051</v>
      </c>
      <c r="F89" s="203" t="s">
        <v>2053</v>
      </c>
      <c r="G89" s="203" t="s">
        <v>2054</v>
      </c>
      <c r="H89" s="203" t="s">
        <v>2055</v>
      </c>
      <c r="I89" s="203" t="s">
        <v>2056</v>
      </c>
      <c r="J89" s="203" t="s">
        <v>2057</v>
      </c>
      <c r="K89" s="203" t="s">
        <v>2058</v>
      </c>
      <c r="L89" s="203" t="s">
        <v>2059</v>
      </c>
      <c r="M89" s="203" t="s">
        <v>2060</v>
      </c>
      <c r="N89" s="203" t="s">
        <v>2061</v>
      </c>
      <c r="O89" s="203" t="s">
        <v>2062</v>
      </c>
      <c r="P89" s="203" t="s">
        <v>2063</v>
      </c>
      <c r="Q89" s="203" t="s">
        <v>2065</v>
      </c>
      <c r="R89" s="203" t="s">
        <v>2066</v>
      </c>
      <c r="S89" s="203" t="s">
        <v>2067</v>
      </c>
      <c r="T89" s="203" t="s">
        <v>2068</v>
      </c>
      <c r="U89" s="203" t="s">
        <v>1774</v>
      </c>
      <c r="V89" s="203" t="s">
        <v>2070</v>
      </c>
      <c r="W89" s="203" t="s">
        <v>2071</v>
      </c>
      <c r="X89" s="203" t="s">
        <v>2072</v>
      </c>
      <c r="Y89" s="203" t="s">
        <v>2073</v>
      </c>
      <c r="Z89" s="203" t="s">
        <v>2074</v>
      </c>
      <c r="AA89" s="203" t="s">
        <v>2075</v>
      </c>
      <c r="AB89" s="203" t="s">
        <v>2076</v>
      </c>
      <c r="AC89" s="203" t="s">
        <v>2077</v>
      </c>
      <c r="AD89" s="203" t="s">
        <v>2078</v>
      </c>
      <c r="AE89" s="203" t="s">
        <v>2079</v>
      </c>
    </row>
    <row r="90">
      <c r="A90" s="203" t="str">
        <f t="array" ref="A90:AF90">TRANSPOSE(INDIRECT(SWITCH(Venues!B90,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90" s="203" t="s">
        <v>1760</v>
      </c>
      <c r="C90" s="203" t="s">
        <v>1761</v>
      </c>
      <c r="D90" s="203" t="s">
        <v>1762</v>
      </c>
      <c r="E90" s="203" t="s">
        <v>1763</v>
      </c>
      <c r="F90" s="203" t="s">
        <v>1764</v>
      </c>
      <c r="G90" s="203" t="s">
        <v>1765</v>
      </c>
      <c r="H90" s="203" t="s">
        <v>1766</v>
      </c>
      <c r="I90" s="203" t="s">
        <v>1767</v>
      </c>
      <c r="J90" s="203" t="s">
        <v>1768</v>
      </c>
      <c r="K90" s="203" t="s">
        <v>1769</v>
      </c>
      <c r="L90" s="203" t="s">
        <v>1770</v>
      </c>
      <c r="M90" s="203" t="s">
        <v>1771</v>
      </c>
      <c r="N90" s="203" t="s">
        <v>1772</v>
      </c>
      <c r="O90" s="203" t="s">
        <v>1773</v>
      </c>
      <c r="P90" s="203" t="s">
        <v>1774</v>
      </c>
      <c r="Q90" s="203" t="s">
        <v>1775</v>
      </c>
      <c r="R90" s="203" t="s">
        <v>876</v>
      </c>
      <c r="S90" s="203" t="s">
        <v>1776</v>
      </c>
      <c r="T90" s="203" t="s">
        <v>1777</v>
      </c>
      <c r="U90" s="203" t="s">
        <v>1778</v>
      </c>
      <c r="V90" s="203" t="s">
        <v>1779</v>
      </c>
      <c r="W90" s="203" t="s">
        <v>1780</v>
      </c>
      <c r="X90" s="203" t="s">
        <v>1781</v>
      </c>
      <c r="Y90" s="203" t="s">
        <v>1782</v>
      </c>
      <c r="Z90" s="203" t="s">
        <v>1783</v>
      </c>
      <c r="AA90" s="203" t="s">
        <v>1784</v>
      </c>
      <c r="AB90" s="203" t="s">
        <v>1785</v>
      </c>
      <c r="AC90" s="203" t="s">
        <v>1786</v>
      </c>
      <c r="AD90" s="203" t="s">
        <v>1788</v>
      </c>
      <c r="AE90" s="203" t="s">
        <v>1789</v>
      </c>
      <c r="AF90" s="203" t="s">
        <v>1790</v>
      </c>
    </row>
    <row r="91">
      <c r="A91" s="203" t="str">
        <f t="array" ref="A91:AT91">TRANSPOSE(INDIRECT(SWITCH(Venues!B91,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91" s="203" t="s">
        <v>2117</v>
      </c>
      <c r="C91" s="203" t="s">
        <v>2118</v>
      </c>
      <c r="D91" s="203" t="s">
        <v>2119</v>
      </c>
      <c r="E91" s="203" t="s">
        <v>2120</v>
      </c>
      <c r="F91" s="203" t="s">
        <v>2121</v>
      </c>
      <c r="G91" s="203" t="s">
        <v>2123</v>
      </c>
      <c r="H91" s="203" t="s">
        <v>2124</v>
      </c>
      <c r="I91" s="203" t="s">
        <v>2125</v>
      </c>
      <c r="J91" s="203" t="s">
        <v>2127</v>
      </c>
      <c r="K91" s="203" t="s">
        <v>2128</v>
      </c>
      <c r="L91" s="203" t="s">
        <v>2129</v>
      </c>
      <c r="M91" s="203" t="s">
        <v>2130</v>
      </c>
      <c r="N91" s="203" t="s">
        <v>2131</v>
      </c>
      <c r="O91" s="203" t="s">
        <v>2132</v>
      </c>
      <c r="P91" s="203" t="s">
        <v>2133</v>
      </c>
      <c r="Q91" s="203" t="s">
        <v>2134</v>
      </c>
      <c r="R91" s="203" t="s">
        <v>1782</v>
      </c>
      <c r="S91" s="203" t="s">
        <v>2135</v>
      </c>
      <c r="T91" s="203" t="s">
        <v>2136</v>
      </c>
      <c r="U91" s="203" t="s">
        <v>2137</v>
      </c>
      <c r="V91" s="203" t="s">
        <v>2138</v>
      </c>
      <c r="W91" s="203" t="s">
        <v>2139</v>
      </c>
      <c r="X91" s="203" t="s">
        <v>2140</v>
      </c>
      <c r="Y91" s="203" t="s">
        <v>2142</v>
      </c>
      <c r="Z91" s="203" t="s">
        <v>2143</v>
      </c>
      <c r="AA91" s="203" t="s">
        <v>2144</v>
      </c>
      <c r="AB91" s="203" t="s">
        <v>2145</v>
      </c>
      <c r="AC91" s="203" t="s">
        <v>2146</v>
      </c>
      <c r="AD91" s="203" t="s">
        <v>2148</v>
      </c>
      <c r="AE91" s="203" t="s">
        <v>2150</v>
      </c>
      <c r="AF91" s="203" t="s">
        <v>2151</v>
      </c>
      <c r="AG91" s="203" t="s">
        <v>2152</v>
      </c>
      <c r="AH91" s="203" t="s">
        <v>2154</v>
      </c>
      <c r="AI91" s="203" t="s">
        <v>2156</v>
      </c>
      <c r="AJ91" s="203" t="s">
        <v>2157</v>
      </c>
      <c r="AK91" s="203" t="s">
        <v>2158</v>
      </c>
      <c r="AL91" s="203" t="s">
        <v>2159</v>
      </c>
      <c r="AM91" s="203" t="s">
        <v>2160</v>
      </c>
      <c r="AN91" s="203" t="s">
        <v>2161</v>
      </c>
      <c r="AO91" s="203" t="s">
        <v>2162</v>
      </c>
      <c r="AP91" s="203" t="s">
        <v>2163</v>
      </c>
      <c r="AQ91" s="203" t="s">
        <v>2164</v>
      </c>
      <c r="AR91" s="203" t="s">
        <v>2165</v>
      </c>
      <c r="AS91" s="203" t="s">
        <v>2166</v>
      </c>
      <c r="AT91" s="203" t="s">
        <v>2167</v>
      </c>
    </row>
    <row r="92">
      <c r="A92" s="203" t="str">
        <f t="array" ref="A92:AT92">TRANSPOSE(INDIRECT(SWITCH(Venues!B92,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92" s="203" t="s">
        <v>2117</v>
      </c>
      <c r="C92" s="203" t="s">
        <v>2118</v>
      </c>
      <c r="D92" s="203" t="s">
        <v>2119</v>
      </c>
      <c r="E92" s="203" t="s">
        <v>2120</v>
      </c>
      <c r="F92" s="203" t="s">
        <v>2121</v>
      </c>
      <c r="G92" s="203" t="s">
        <v>2123</v>
      </c>
      <c r="H92" s="203" t="s">
        <v>2124</v>
      </c>
      <c r="I92" s="203" t="s">
        <v>2125</v>
      </c>
      <c r="J92" s="203" t="s">
        <v>2127</v>
      </c>
      <c r="K92" s="203" t="s">
        <v>2128</v>
      </c>
      <c r="L92" s="203" t="s">
        <v>2129</v>
      </c>
      <c r="M92" s="203" t="s">
        <v>2130</v>
      </c>
      <c r="N92" s="203" t="s">
        <v>2131</v>
      </c>
      <c r="O92" s="203" t="s">
        <v>2132</v>
      </c>
      <c r="P92" s="203" t="s">
        <v>2133</v>
      </c>
      <c r="Q92" s="203" t="s">
        <v>2134</v>
      </c>
      <c r="R92" s="203" t="s">
        <v>1782</v>
      </c>
      <c r="S92" s="203" t="s">
        <v>2135</v>
      </c>
      <c r="T92" s="203" t="s">
        <v>2136</v>
      </c>
      <c r="U92" s="203" t="s">
        <v>2137</v>
      </c>
      <c r="V92" s="203" t="s">
        <v>2138</v>
      </c>
      <c r="W92" s="203" t="s">
        <v>2139</v>
      </c>
      <c r="X92" s="203" t="s">
        <v>2140</v>
      </c>
      <c r="Y92" s="203" t="s">
        <v>2142</v>
      </c>
      <c r="Z92" s="203" t="s">
        <v>2143</v>
      </c>
      <c r="AA92" s="203" t="s">
        <v>2144</v>
      </c>
      <c r="AB92" s="203" t="s">
        <v>2145</v>
      </c>
      <c r="AC92" s="203" t="s">
        <v>2146</v>
      </c>
      <c r="AD92" s="203" t="s">
        <v>2148</v>
      </c>
      <c r="AE92" s="203" t="s">
        <v>2150</v>
      </c>
      <c r="AF92" s="203" t="s">
        <v>2151</v>
      </c>
      <c r="AG92" s="203" t="s">
        <v>2152</v>
      </c>
      <c r="AH92" s="203" t="s">
        <v>2154</v>
      </c>
      <c r="AI92" s="203" t="s">
        <v>2156</v>
      </c>
      <c r="AJ92" s="203" t="s">
        <v>2157</v>
      </c>
      <c r="AK92" s="203" t="s">
        <v>2158</v>
      </c>
      <c r="AL92" s="203" t="s">
        <v>2159</v>
      </c>
      <c r="AM92" s="203" t="s">
        <v>2160</v>
      </c>
      <c r="AN92" s="203" t="s">
        <v>2161</v>
      </c>
      <c r="AO92" s="203" t="s">
        <v>2162</v>
      </c>
      <c r="AP92" s="203" t="s">
        <v>2163</v>
      </c>
      <c r="AQ92" s="203" t="s">
        <v>2164</v>
      </c>
      <c r="AR92" s="203" t="s">
        <v>2165</v>
      </c>
      <c r="AS92" s="203" t="s">
        <v>2166</v>
      </c>
      <c r="AT92" s="203" t="s">
        <v>2167</v>
      </c>
    </row>
    <row r="93">
      <c r="A93" s="203" t="str">
        <f t="array" ref="A93:AT93">TRANSPOSE(INDIRECT(SWITCH(Venues!B93,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93" s="203" t="s">
        <v>2117</v>
      </c>
      <c r="C93" s="203" t="s">
        <v>2118</v>
      </c>
      <c r="D93" s="203" t="s">
        <v>2119</v>
      </c>
      <c r="E93" s="203" t="s">
        <v>2120</v>
      </c>
      <c r="F93" s="203" t="s">
        <v>2121</v>
      </c>
      <c r="G93" s="203" t="s">
        <v>2123</v>
      </c>
      <c r="H93" s="203" t="s">
        <v>2124</v>
      </c>
      <c r="I93" s="203" t="s">
        <v>2125</v>
      </c>
      <c r="J93" s="203" t="s">
        <v>2127</v>
      </c>
      <c r="K93" s="203" t="s">
        <v>2128</v>
      </c>
      <c r="L93" s="203" t="s">
        <v>2129</v>
      </c>
      <c r="M93" s="203" t="s">
        <v>2130</v>
      </c>
      <c r="N93" s="203" t="s">
        <v>2131</v>
      </c>
      <c r="O93" s="203" t="s">
        <v>2132</v>
      </c>
      <c r="P93" s="203" t="s">
        <v>2133</v>
      </c>
      <c r="Q93" s="203" t="s">
        <v>2134</v>
      </c>
      <c r="R93" s="203" t="s">
        <v>1782</v>
      </c>
      <c r="S93" s="203" t="s">
        <v>2135</v>
      </c>
      <c r="T93" s="203" t="s">
        <v>2136</v>
      </c>
      <c r="U93" s="203" t="s">
        <v>2137</v>
      </c>
      <c r="V93" s="203" t="s">
        <v>2138</v>
      </c>
      <c r="W93" s="203" t="s">
        <v>2139</v>
      </c>
      <c r="X93" s="203" t="s">
        <v>2140</v>
      </c>
      <c r="Y93" s="203" t="s">
        <v>2142</v>
      </c>
      <c r="Z93" s="203" t="s">
        <v>2143</v>
      </c>
      <c r="AA93" s="203" t="s">
        <v>2144</v>
      </c>
      <c r="AB93" s="203" t="s">
        <v>2145</v>
      </c>
      <c r="AC93" s="203" t="s">
        <v>2146</v>
      </c>
      <c r="AD93" s="203" t="s">
        <v>2148</v>
      </c>
      <c r="AE93" s="203" t="s">
        <v>2150</v>
      </c>
      <c r="AF93" s="203" t="s">
        <v>2151</v>
      </c>
      <c r="AG93" s="203" t="s">
        <v>2152</v>
      </c>
      <c r="AH93" s="203" t="s">
        <v>2154</v>
      </c>
      <c r="AI93" s="203" t="s">
        <v>2156</v>
      </c>
      <c r="AJ93" s="203" t="s">
        <v>2157</v>
      </c>
      <c r="AK93" s="203" t="s">
        <v>2158</v>
      </c>
      <c r="AL93" s="203" t="s">
        <v>2159</v>
      </c>
      <c r="AM93" s="203" t="s">
        <v>2160</v>
      </c>
      <c r="AN93" s="203" t="s">
        <v>2161</v>
      </c>
      <c r="AO93" s="203" t="s">
        <v>2162</v>
      </c>
      <c r="AP93" s="203" t="s">
        <v>2163</v>
      </c>
      <c r="AQ93" s="203" t="s">
        <v>2164</v>
      </c>
      <c r="AR93" s="203" t="s">
        <v>2165</v>
      </c>
      <c r="AS93" s="203" t="s">
        <v>2166</v>
      </c>
      <c r="AT93" s="203" t="s">
        <v>2167</v>
      </c>
    </row>
    <row r="94">
      <c r="A94" s="203" t="str">
        <f t="array" ref="A94:T94">TRANSPOSE(INDIRECT(SWITCH(Venues!B94,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94" s="203" t="s">
        <v>2198</v>
      </c>
      <c r="C94" s="203" t="s">
        <v>2199</v>
      </c>
      <c r="D94" s="203" t="s">
        <v>2171</v>
      </c>
      <c r="E94" s="203" t="s">
        <v>2200</v>
      </c>
      <c r="F94" s="203" t="s">
        <v>1878</v>
      </c>
      <c r="G94" s="203" t="s">
        <v>2174</v>
      </c>
      <c r="H94" s="203" t="s">
        <v>2175</v>
      </c>
      <c r="I94" s="203" t="s">
        <v>1889</v>
      </c>
      <c r="J94" s="203" t="s">
        <v>2201</v>
      </c>
      <c r="K94" s="203" t="s">
        <v>2202</v>
      </c>
      <c r="L94" s="203" t="s">
        <v>1884</v>
      </c>
      <c r="M94" s="203" t="s">
        <v>2203</v>
      </c>
      <c r="N94" s="203" t="s">
        <v>2204</v>
      </c>
      <c r="O94" s="203" t="s">
        <v>2205</v>
      </c>
      <c r="P94" s="203" t="s">
        <v>2206</v>
      </c>
      <c r="Q94" s="203" t="s">
        <v>2207</v>
      </c>
      <c r="R94" s="203" t="s">
        <v>2208</v>
      </c>
      <c r="S94" s="203" t="s">
        <v>1729</v>
      </c>
      <c r="T94" s="203" t="s">
        <v>1730</v>
      </c>
    </row>
    <row r="95">
      <c r="A95" s="203" t="str">
        <f t="array" ref="A95:F95">TRANSPOSE(INDIRECT(SWITCH(Venues!B95,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Science and engineering themes</v>
      </c>
      <c r="B95" s="203" t="s">
        <v>2792</v>
      </c>
      <c r="C95" s="203" t="s">
        <v>2793</v>
      </c>
      <c r="D95" s="203" t="s">
        <v>2794</v>
      </c>
      <c r="E95" s="203" t="s">
        <v>2795</v>
      </c>
      <c r="F95" s="203" t="s">
        <v>2796</v>
      </c>
    </row>
    <row r="96">
      <c r="A96" s="203" t="str">
        <f t="array" ref="A96:K96">TRANSPOSE(INDIRECT(SWITCH(Venues!B96,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Cinema</v>
      </c>
      <c r="B96" s="203" t="s">
        <v>2692</v>
      </c>
      <c r="C96" s="203" t="s">
        <v>2694</v>
      </c>
      <c r="D96" s="203" t="s">
        <v>2695</v>
      </c>
      <c r="E96" s="203" t="s">
        <v>2696</v>
      </c>
      <c r="F96" s="203" t="s">
        <v>2698</v>
      </c>
      <c r="G96" s="203" t="s">
        <v>2699</v>
      </c>
      <c r="H96" s="203" t="s">
        <v>2700</v>
      </c>
      <c r="I96" s="203" t="s">
        <v>2702</v>
      </c>
      <c r="J96" s="203" t="s">
        <v>2703</v>
      </c>
      <c r="K96" s="203" t="s">
        <v>2655</v>
      </c>
    </row>
    <row r="97">
      <c r="A97" s="203" t="str">
        <f t="array" ref="A97:K97">TRANSPOSE(INDIRECT(SWITCH(Venues!B97,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97" s="203" t="s">
        <v>2123</v>
      </c>
      <c r="C97" s="203" t="s">
        <v>2134</v>
      </c>
      <c r="D97" s="203" t="s">
        <v>2803</v>
      </c>
      <c r="E97" s="203" t="s">
        <v>2804</v>
      </c>
      <c r="F97" s="203" t="s">
        <v>1921</v>
      </c>
      <c r="G97" s="203" t="s">
        <v>2805</v>
      </c>
      <c r="H97" s="203" t="s">
        <v>2806</v>
      </c>
      <c r="I97" s="203" t="s">
        <v>2808</v>
      </c>
      <c r="J97" s="203" t="s">
        <v>2809</v>
      </c>
      <c r="K97" s="203" t="s">
        <v>2810</v>
      </c>
    </row>
    <row r="98">
      <c r="A98" s="203" t="str">
        <f t="array" ref="A98:U98">TRANSPOSE(INDIRECT(SWITCH(Venues!B98,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Historic buildings</v>
      </c>
      <c r="B98" s="203" t="s">
        <v>2388</v>
      </c>
      <c r="C98" s="203" t="s">
        <v>2389</v>
      </c>
      <c r="D98" s="203" t="s">
        <v>2390</v>
      </c>
      <c r="E98" s="203" t="s">
        <v>2391</v>
      </c>
      <c r="F98" s="203" t="s">
        <v>2392</v>
      </c>
      <c r="G98" s="203" t="s">
        <v>2393</v>
      </c>
      <c r="H98" s="203" t="s">
        <v>2394</v>
      </c>
      <c r="I98" s="203" t="s">
        <v>2395</v>
      </c>
      <c r="J98" s="203" t="s">
        <v>2396</v>
      </c>
      <c r="K98" s="203" t="s">
        <v>2397</v>
      </c>
      <c r="L98" s="203" t="s">
        <v>2398</v>
      </c>
      <c r="M98" s="203" t="s">
        <v>2399</v>
      </c>
      <c r="N98" s="203" t="s">
        <v>2400</v>
      </c>
      <c r="O98" s="203" t="s">
        <v>2402</v>
      </c>
      <c r="P98" s="203" t="s">
        <v>2034</v>
      </c>
      <c r="Q98" s="203" t="s">
        <v>2404</v>
      </c>
      <c r="R98" s="203" t="s">
        <v>2405</v>
      </c>
      <c r="S98" s="203" t="s">
        <v>2406</v>
      </c>
      <c r="T98" s="203" t="s">
        <v>2408</v>
      </c>
      <c r="U98" s="203" t="s">
        <v>2409</v>
      </c>
    </row>
    <row r="99">
      <c r="A99" s="203" t="str">
        <f t="array" ref="A99:AT99">TRANSPOSE(INDIRECT(SWITCH(Venues!B99,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99" s="203" t="s">
        <v>2117</v>
      </c>
      <c r="C99" s="203" t="s">
        <v>2118</v>
      </c>
      <c r="D99" s="203" t="s">
        <v>2119</v>
      </c>
      <c r="E99" s="203" t="s">
        <v>2120</v>
      </c>
      <c r="F99" s="203" t="s">
        <v>2121</v>
      </c>
      <c r="G99" s="203" t="s">
        <v>2123</v>
      </c>
      <c r="H99" s="203" t="s">
        <v>2124</v>
      </c>
      <c r="I99" s="203" t="s">
        <v>2125</v>
      </c>
      <c r="J99" s="203" t="s">
        <v>2127</v>
      </c>
      <c r="K99" s="203" t="s">
        <v>2128</v>
      </c>
      <c r="L99" s="203" t="s">
        <v>2129</v>
      </c>
      <c r="M99" s="203" t="s">
        <v>2130</v>
      </c>
      <c r="N99" s="203" t="s">
        <v>2131</v>
      </c>
      <c r="O99" s="203" t="s">
        <v>2132</v>
      </c>
      <c r="P99" s="203" t="s">
        <v>2133</v>
      </c>
      <c r="Q99" s="203" t="s">
        <v>2134</v>
      </c>
      <c r="R99" s="203" t="s">
        <v>1782</v>
      </c>
      <c r="S99" s="203" t="s">
        <v>2135</v>
      </c>
      <c r="T99" s="203" t="s">
        <v>2136</v>
      </c>
      <c r="U99" s="203" t="s">
        <v>2137</v>
      </c>
      <c r="V99" s="203" t="s">
        <v>2138</v>
      </c>
      <c r="W99" s="203" t="s">
        <v>2139</v>
      </c>
      <c r="X99" s="203" t="s">
        <v>2140</v>
      </c>
      <c r="Y99" s="203" t="s">
        <v>2142</v>
      </c>
      <c r="Z99" s="203" t="s">
        <v>2143</v>
      </c>
      <c r="AA99" s="203" t="s">
        <v>2144</v>
      </c>
      <c r="AB99" s="203" t="s">
        <v>2145</v>
      </c>
      <c r="AC99" s="203" t="s">
        <v>2146</v>
      </c>
      <c r="AD99" s="203" t="s">
        <v>2148</v>
      </c>
      <c r="AE99" s="203" t="s">
        <v>2150</v>
      </c>
      <c r="AF99" s="203" t="s">
        <v>2151</v>
      </c>
      <c r="AG99" s="203" t="s">
        <v>2152</v>
      </c>
      <c r="AH99" s="203" t="s">
        <v>2154</v>
      </c>
      <c r="AI99" s="203" t="s">
        <v>2156</v>
      </c>
      <c r="AJ99" s="203" t="s">
        <v>2157</v>
      </c>
      <c r="AK99" s="203" t="s">
        <v>2158</v>
      </c>
      <c r="AL99" s="203" t="s">
        <v>2159</v>
      </c>
      <c r="AM99" s="203" t="s">
        <v>2160</v>
      </c>
      <c r="AN99" s="203" t="s">
        <v>2161</v>
      </c>
      <c r="AO99" s="203" t="s">
        <v>2162</v>
      </c>
      <c r="AP99" s="203" t="s">
        <v>2163</v>
      </c>
      <c r="AQ99" s="203" t="s">
        <v>2164</v>
      </c>
      <c r="AR99" s="203" t="s">
        <v>2165</v>
      </c>
      <c r="AS99" s="203" t="s">
        <v>2166</v>
      </c>
      <c r="AT99" s="203" t="s">
        <v>2167</v>
      </c>
    </row>
    <row r="100">
      <c r="A100" s="203" t="str">
        <f t="array" ref="A100:AE100">TRANSPOSE(INDIRECT(SWITCH(Venues!B100,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00" s="203" t="s">
        <v>2048</v>
      </c>
      <c r="C100" s="203" t="s">
        <v>2050</v>
      </c>
      <c r="D100" s="203" t="s">
        <v>1732</v>
      </c>
      <c r="E100" s="203" t="s">
        <v>2051</v>
      </c>
      <c r="F100" s="203" t="s">
        <v>2053</v>
      </c>
      <c r="G100" s="203" t="s">
        <v>2054</v>
      </c>
      <c r="H100" s="203" t="s">
        <v>2055</v>
      </c>
      <c r="I100" s="203" t="s">
        <v>2056</v>
      </c>
      <c r="J100" s="203" t="s">
        <v>2057</v>
      </c>
      <c r="K100" s="203" t="s">
        <v>2058</v>
      </c>
      <c r="L100" s="203" t="s">
        <v>2059</v>
      </c>
      <c r="M100" s="203" t="s">
        <v>2060</v>
      </c>
      <c r="N100" s="203" t="s">
        <v>2061</v>
      </c>
      <c r="O100" s="203" t="s">
        <v>2062</v>
      </c>
      <c r="P100" s="203" t="s">
        <v>2063</v>
      </c>
      <c r="Q100" s="203" t="s">
        <v>2065</v>
      </c>
      <c r="R100" s="203" t="s">
        <v>2066</v>
      </c>
      <c r="S100" s="203" t="s">
        <v>2067</v>
      </c>
      <c r="T100" s="203" t="s">
        <v>2068</v>
      </c>
      <c r="U100" s="203" t="s">
        <v>1774</v>
      </c>
      <c r="V100" s="203" t="s">
        <v>2070</v>
      </c>
      <c r="W100" s="203" t="s">
        <v>2071</v>
      </c>
      <c r="X100" s="203" t="s">
        <v>2072</v>
      </c>
      <c r="Y100" s="203" t="s">
        <v>2073</v>
      </c>
      <c r="Z100" s="203" t="s">
        <v>2074</v>
      </c>
      <c r="AA100" s="203" t="s">
        <v>2075</v>
      </c>
      <c r="AB100" s="203" t="s">
        <v>2076</v>
      </c>
      <c r="AC100" s="203" t="s">
        <v>2077</v>
      </c>
      <c r="AD100" s="203" t="s">
        <v>2078</v>
      </c>
      <c r="AE100" s="203" t="s">
        <v>2079</v>
      </c>
    </row>
    <row r="101">
      <c r="A101" s="203" t="str">
        <f t="array" ref="A101:I101">TRANSPOSE(INDIRECT(SWITCH(Venues!B101,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Children’s menu</v>
      </c>
      <c r="B101" s="203" t="s">
        <v>2001</v>
      </c>
      <c r="C101" s="203" t="s">
        <v>2002</v>
      </c>
      <c r="D101" s="203" t="s">
        <v>2003</v>
      </c>
      <c r="E101" s="203" t="s">
        <v>2004</v>
      </c>
      <c r="F101" s="203" t="s">
        <v>2005</v>
      </c>
      <c r="G101" s="203" t="s">
        <v>2006</v>
      </c>
      <c r="H101" s="203" t="s">
        <v>2007</v>
      </c>
      <c r="I101" s="203" t="s">
        <v>2009</v>
      </c>
    </row>
    <row r="102">
      <c r="A102" s="203" t="str">
        <f t="array" ref="A102:U102">TRANSPOSE(INDIRECT(SWITCH(Venues!B102,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Historic buildings</v>
      </c>
      <c r="B102" s="203" t="s">
        <v>2388</v>
      </c>
      <c r="C102" s="203" t="s">
        <v>2389</v>
      </c>
      <c r="D102" s="203" t="s">
        <v>2390</v>
      </c>
      <c r="E102" s="203" t="s">
        <v>2391</v>
      </c>
      <c r="F102" s="203" t="s">
        <v>2392</v>
      </c>
      <c r="G102" s="203" t="s">
        <v>2393</v>
      </c>
      <c r="H102" s="203" t="s">
        <v>2394</v>
      </c>
      <c r="I102" s="203" t="s">
        <v>2395</v>
      </c>
      <c r="J102" s="203" t="s">
        <v>2396</v>
      </c>
      <c r="K102" s="203" t="s">
        <v>2397</v>
      </c>
      <c r="L102" s="203" t="s">
        <v>2398</v>
      </c>
      <c r="M102" s="203" t="s">
        <v>2399</v>
      </c>
      <c r="N102" s="203" t="s">
        <v>2400</v>
      </c>
      <c r="O102" s="203" t="s">
        <v>2402</v>
      </c>
      <c r="P102" s="203" t="s">
        <v>2034</v>
      </c>
      <c r="Q102" s="203" t="s">
        <v>2404</v>
      </c>
      <c r="R102" s="203" t="s">
        <v>2405</v>
      </c>
      <c r="S102" s="203" t="s">
        <v>2406</v>
      </c>
      <c r="T102" s="203" t="s">
        <v>2408</v>
      </c>
      <c r="U102" s="203" t="s">
        <v>2409</v>
      </c>
    </row>
    <row r="103">
      <c r="A103" s="203" t="str">
        <f t="array" ref="A103:J103">TRANSPOSE(INDIRECT(SWITCH(Venues!B103,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103" s="203" t="s">
        <v>1954</v>
      </c>
      <c r="C103" s="203" t="s">
        <v>1956</v>
      </c>
      <c r="D103" s="203" t="s">
        <v>1957</v>
      </c>
      <c r="E103" s="203" t="s">
        <v>1959</v>
      </c>
      <c r="F103" s="203" t="s">
        <v>1961</v>
      </c>
      <c r="G103" s="203" t="s">
        <v>1962</v>
      </c>
      <c r="H103" s="203" t="s">
        <v>1964</v>
      </c>
      <c r="I103" s="203" t="s">
        <v>1296</v>
      </c>
      <c r="J103" s="203" t="s">
        <v>1966</v>
      </c>
    </row>
    <row r="104">
      <c r="A104" s="203" t="str">
        <f t="array" ref="A104">TRANSPOSE(INDIRECT(SWITCH(Venues!B104,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Quiet space</v>
      </c>
      <c r="B104" s="203"/>
      <c r="C104" s="203"/>
      <c r="D104" s="203"/>
      <c r="E104" s="203"/>
      <c r="F104" s="203"/>
      <c r="G104" s="203"/>
      <c r="H104" s="203"/>
      <c r="I104" s="203"/>
      <c r="J104" s="203"/>
    </row>
    <row r="105">
      <c r="A105" s="203" t="str">
        <f t="array" ref="A105:X105">TRANSPOSE(INDIRECT(SWITCH(Venues!B105,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105" s="203" t="s">
        <v>2337</v>
      </c>
      <c r="C105" s="203" t="s">
        <v>2338</v>
      </c>
      <c r="D105" s="203" t="s">
        <v>2340</v>
      </c>
      <c r="E105" s="203" t="s">
        <v>2341</v>
      </c>
      <c r="F105" s="203" t="s">
        <v>2342</v>
      </c>
      <c r="G105" s="203" t="s">
        <v>2343</v>
      </c>
      <c r="H105" s="203" t="s">
        <v>2345</v>
      </c>
      <c r="I105" s="203" t="s">
        <v>2347</v>
      </c>
      <c r="J105" s="203" t="s">
        <v>2348</v>
      </c>
      <c r="K105" s="203" t="s">
        <v>2349</v>
      </c>
      <c r="L105" s="203" t="s">
        <v>2350</v>
      </c>
      <c r="M105" s="203" t="s">
        <v>2352</v>
      </c>
      <c r="N105" s="203" t="s">
        <v>2353</v>
      </c>
      <c r="O105" s="203" t="s">
        <v>2355</v>
      </c>
      <c r="P105" s="203" t="s">
        <v>1674</v>
      </c>
      <c r="Q105" s="203" t="s">
        <v>2357</v>
      </c>
      <c r="R105" s="203" t="s">
        <v>2358</v>
      </c>
      <c r="S105" s="203" t="s">
        <v>2359</v>
      </c>
      <c r="T105" s="203" t="s">
        <v>2361</v>
      </c>
      <c r="U105" s="203" t="s">
        <v>2363</v>
      </c>
      <c r="V105" s="203" t="s">
        <v>1729</v>
      </c>
      <c r="W105" s="203" t="s">
        <v>1730</v>
      </c>
      <c r="X105" s="203" t="s">
        <v>2365</v>
      </c>
    </row>
    <row r="106">
      <c r="A106" s="203" t="str">
        <f t="array" ref="A106:AF106">TRANSPOSE(INDIRECT(SWITCH(Venues!B106,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106" s="203" t="s">
        <v>2080</v>
      </c>
      <c r="C106" s="203" t="s">
        <v>2081</v>
      </c>
      <c r="D106" s="203" t="s">
        <v>2082</v>
      </c>
      <c r="E106" s="203" t="s">
        <v>2083</v>
      </c>
      <c r="F106" s="203" t="s">
        <v>2084</v>
      </c>
      <c r="G106" s="203" t="s">
        <v>2086</v>
      </c>
      <c r="H106" s="203" t="s">
        <v>2087</v>
      </c>
      <c r="I106" s="203" t="s">
        <v>2088</v>
      </c>
      <c r="J106" s="203" t="s">
        <v>2089</v>
      </c>
      <c r="K106" s="203" t="s">
        <v>1893</v>
      </c>
      <c r="L106" s="203" t="s">
        <v>2090</v>
      </c>
      <c r="M106" s="203" t="s">
        <v>2091</v>
      </c>
      <c r="N106" s="203" t="s">
        <v>2092</v>
      </c>
      <c r="O106" s="203" t="s">
        <v>2093</v>
      </c>
      <c r="P106" s="203" t="s">
        <v>2094</v>
      </c>
      <c r="Q106" s="203" t="s">
        <v>2095</v>
      </c>
      <c r="R106" s="203" t="s">
        <v>2096</v>
      </c>
      <c r="S106" s="203" t="s">
        <v>2097</v>
      </c>
      <c r="T106" s="203" t="s">
        <v>2098</v>
      </c>
      <c r="U106" s="203" t="s">
        <v>1543</v>
      </c>
      <c r="V106" s="203" t="s">
        <v>1880</v>
      </c>
      <c r="W106" s="203" t="s">
        <v>1160</v>
      </c>
      <c r="X106" s="203" t="s">
        <v>2102</v>
      </c>
      <c r="Y106" s="203" t="s">
        <v>2104</v>
      </c>
      <c r="Z106" s="203" t="s">
        <v>2105</v>
      </c>
      <c r="AA106" s="203" t="s">
        <v>2106</v>
      </c>
      <c r="AB106" s="203" t="s">
        <v>2108</v>
      </c>
      <c r="AC106" s="203" t="s">
        <v>2110</v>
      </c>
      <c r="AD106" s="203" t="s">
        <v>2111</v>
      </c>
      <c r="AE106" s="203" t="s">
        <v>2112</v>
      </c>
      <c r="AF106" s="203" t="s">
        <v>2113</v>
      </c>
    </row>
    <row r="107">
      <c r="A107" s="203" t="str">
        <f t="array" ref="A107:X107">TRANSPOSE(INDIRECT(SWITCH(Venues!B107,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107" s="203" t="s">
        <v>2337</v>
      </c>
      <c r="C107" s="203" t="s">
        <v>2338</v>
      </c>
      <c r="D107" s="203" t="s">
        <v>2340</v>
      </c>
      <c r="E107" s="203" t="s">
        <v>2341</v>
      </c>
      <c r="F107" s="203" t="s">
        <v>2342</v>
      </c>
      <c r="G107" s="203" t="s">
        <v>2343</v>
      </c>
      <c r="H107" s="203" t="s">
        <v>2345</v>
      </c>
      <c r="I107" s="203" t="s">
        <v>2347</v>
      </c>
      <c r="J107" s="203" t="s">
        <v>2348</v>
      </c>
      <c r="K107" s="203" t="s">
        <v>2349</v>
      </c>
      <c r="L107" s="203" t="s">
        <v>2350</v>
      </c>
      <c r="M107" s="203" t="s">
        <v>2352</v>
      </c>
      <c r="N107" s="203" t="s">
        <v>2353</v>
      </c>
      <c r="O107" s="203" t="s">
        <v>2355</v>
      </c>
      <c r="P107" s="203" t="s">
        <v>1674</v>
      </c>
      <c r="Q107" s="203" t="s">
        <v>2357</v>
      </c>
      <c r="R107" s="203" t="s">
        <v>2358</v>
      </c>
      <c r="S107" s="203" t="s">
        <v>2359</v>
      </c>
      <c r="T107" s="203" t="s">
        <v>2361</v>
      </c>
      <c r="U107" s="203" t="s">
        <v>2363</v>
      </c>
      <c r="V107" s="203" t="s">
        <v>1729</v>
      </c>
      <c r="W107" s="203" t="s">
        <v>1730</v>
      </c>
      <c r="X107" s="203" t="s">
        <v>2365</v>
      </c>
    </row>
    <row r="108">
      <c r="A108" s="203" t="str">
        <f t="array" ref="A108:AF108">TRANSPOSE(INDIRECT(SWITCH(Venues!B108,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108" s="203" t="s">
        <v>1760</v>
      </c>
      <c r="C108" s="203" t="s">
        <v>1761</v>
      </c>
      <c r="D108" s="203" t="s">
        <v>1762</v>
      </c>
      <c r="E108" s="203" t="s">
        <v>1763</v>
      </c>
      <c r="F108" s="203" t="s">
        <v>1764</v>
      </c>
      <c r="G108" s="203" t="s">
        <v>1765</v>
      </c>
      <c r="H108" s="203" t="s">
        <v>1766</v>
      </c>
      <c r="I108" s="203" t="s">
        <v>1767</v>
      </c>
      <c r="J108" s="203" t="s">
        <v>1768</v>
      </c>
      <c r="K108" s="203" t="s">
        <v>1769</v>
      </c>
      <c r="L108" s="203" t="s">
        <v>1770</v>
      </c>
      <c r="M108" s="203" t="s">
        <v>1771</v>
      </c>
      <c r="N108" s="203" t="s">
        <v>1772</v>
      </c>
      <c r="O108" s="203" t="s">
        <v>1773</v>
      </c>
      <c r="P108" s="203" t="s">
        <v>1774</v>
      </c>
      <c r="Q108" s="203" t="s">
        <v>1775</v>
      </c>
      <c r="R108" s="203" t="s">
        <v>876</v>
      </c>
      <c r="S108" s="203" t="s">
        <v>1776</v>
      </c>
      <c r="T108" s="203" t="s">
        <v>1777</v>
      </c>
      <c r="U108" s="203" t="s">
        <v>1778</v>
      </c>
      <c r="V108" s="203" t="s">
        <v>1779</v>
      </c>
      <c r="W108" s="203" t="s">
        <v>1780</v>
      </c>
      <c r="X108" s="203" t="s">
        <v>1781</v>
      </c>
      <c r="Y108" s="203" t="s">
        <v>1782</v>
      </c>
      <c r="Z108" s="203" t="s">
        <v>1783</v>
      </c>
      <c r="AA108" s="203" t="s">
        <v>1784</v>
      </c>
      <c r="AB108" s="203" t="s">
        <v>1785</v>
      </c>
      <c r="AC108" s="203" t="s">
        <v>1786</v>
      </c>
      <c r="AD108" s="203" t="s">
        <v>1788</v>
      </c>
      <c r="AE108" s="203" t="s">
        <v>1789</v>
      </c>
      <c r="AF108" s="203" t="s">
        <v>1790</v>
      </c>
    </row>
    <row r="109">
      <c r="A109" s="203" t="str">
        <f t="array" ref="A109:AT109">TRANSPOSE(INDIRECT(SWITCH(Venues!B109,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09" s="203" t="s">
        <v>2117</v>
      </c>
      <c r="C109" s="203" t="s">
        <v>2118</v>
      </c>
      <c r="D109" s="203" t="s">
        <v>2119</v>
      </c>
      <c r="E109" s="203" t="s">
        <v>2120</v>
      </c>
      <c r="F109" s="203" t="s">
        <v>2121</v>
      </c>
      <c r="G109" s="203" t="s">
        <v>2123</v>
      </c>
      <c r="H109" s="203" t="s">
        <v>2124</v>
      </c>
      <c r="I109" s="203" t="s">
        <v>2125</v>
      </c>
      <c r="J109" s="203" t="s">
        <v>2127</v>
      </c>
      <c r="K109" s="203" t="s">
        <v>2128</v>
      </c>
      <c r="L109" s="203" t="s">
        <v>2129</v>
      </c>
      <c r="M109" s="203" t="s">
        <v>2130</v>
      </c>
      <c r="N109" s="203" t="s">
        <v>2131</v>
      </c>
      <c r="O109" s="203" t="s">
        <v>2132</v>
      </c>
      <c r="P109" s="203" t="s">
        <v>2133</v>
      </c>
      <c r="Q109" s="203" t="s">
        <v>2134</v>
      </c>
      <c r="R109" s="203" t="s">
        <v>1782</v>
      </c>
      <c r="S109" s="203" t="s">
        <v>2135</v>
      </c>
      <c r="T109" s="203" t="s">
        <v>2136</v>
      </c>
      <c r="U109" s="203" t="s">
        <v>2137</v>
      </c>
      <c r="V109" s="203" t="s">
        <v>2138</v>
      </c>
      <c r="W109" s="203" t="s">
        <v>2139</v>
      </c>
      <c r="X109" s="203" t="s">
        <v>2140</v>
      </c>
      <c r="Y109" s="203" t="s">
        <v>2142</v>
      </c>
      <c r="Z109" s="203" t="s">
        <v>2143</v>
      </c>
      <c r="AA109" s="203" t="s">
        <v>2144</v>
      </c>
      <c r="AB109" s="203" t="s">
        <v>2145</v>
      </c>
      <c r="AC109" s="203" t="s">
        <v>2146</v>
      </c>
      <c r="AD109" s="203" t="s">
        <v>2148</v>
      </c>
      <c r="AE109" s="203" t="s">
        <v>2150</v>
      </c>
      <c r="AF109" s="203" t="s">
        <v>2151</v>
      </c>
      <c r="AG109" s="203" t="s">
        <v>2152</v>
      </c>
      <c r="AH109" s="203" t="s">
        <v>2154</v>
      </c>
      <c r="AI109" s="203" t="s">
        <v>2156</v>
      </c>
      <c r="AJ109" s="203" t="s">
        <v>2157</v>
      </c>
      <c r="AK109" s="203" t="s">
        <v>2158</v>
      </c>
      <c r="AL109" s="203" t="s">
        <v>2159</v>
      </c>
      <c r="AM109" s="203" t="s">
        <v>2160</v>
      </c>
      <c r="AN109" s="203" t="s">
        <v>2161</v>
      </c>
      <c r="AO109" s="203" t="s">
        <v>2162</v>
      </c>
      <c r="AP109" s="203" t="s">
        <v>2163</v>
      </c>
      <c r="AQ109" s="203" t="s">
        <v>2164</v>
      </c>
      <c r="AR109" s="203" t="s">
        <v>2165</v>
      </c>
      <c r="AS109" s="203" t="s">
        <v>2166</v>
      </c>
      <c r="AT109" s="203" t="s">
        <v>2167</v>
      </c>
    </row>
    <row r="110">
      <c r="A110" s="203" t="str">
        <f t="array" ref="A110:AT110">TRANSPOSE(INDIRECT(SWITCH(Venues!B110,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10" s="203" t="s">
        <v>2117</v>
      </c>
      <c r="C110" s="203" t="s">
        <v>2118</v>
      </c>
      <c r="D110" s="203" t="s">
        <v>2119</v>
      </c>
      <c r="E110" s="203" t="s">
        <v>2120</v>
      </c>
      <c r="F110" s="203" t="s">
        <v>2121</v>
      </c>
      <c r="G110" s="203" t="s">
        <v>2123</v>
      </c>
      <c r="H110" s="203" t="s">
        <v>2124</v>
      </c>
      <c r="I110" s="203" t="s">
        <v>2125</v>
      </c>
      <c r="J110" s="203" t="s">
        <v>2127</v>
      </c>
      <c r="K110" s="203" t="s">
        <v>2128</v>
      </c>
      <c r="L110" s="203" t="s">
        <v>2129</v>
      </c>
      <c r="M110" s="203" t="s">
        <v>2130</v>
      </c>
      <c r="N110" s="203" t="s">
        <v>2131</v>
      </c>
      <c r="O110" s="203" t="s">
        <v>2132</v>
      </c>
      <c r="P110" s="203" t="s">
        <v>2133</v>
      </c>
      <c r="Q110" s="203" t="s">
        <v>2134</v>
      </c>
      <c r="R110" s="203" t="s">
        <v>1782</v>
      </c>
      <c r="S110" s="203" t="s">
        <v>2135</v>
      </c>
      <c r="T110" s="203" t="s">
        <v>2136</v>
      </c>
      <c r="U110" s="203" t="s">
        <v>2137</v>
      </c>
      <c r="V110" s="203" t="s">
        <v>2138</v>
      </c>
      <c r="W110" s="203" t="s">
        <v>2139</v>
      </c>
      <c r="X110" s="203" t="s">
        <v>2140</v>
      </c>
      <c r="Y110" s="203" t="s">
        <v>2142</v>
      </c>
      <c r="Z110" s="203" t="s">
        <v>2143</v>
      </c>
      <c r="AA110" s="203" t="s">
        <v>2144</v>
      </c>
      <c r="AB110" s="203" t="s">
        <v>2145</v>
      </c>
      <c r="AC110" s="203" t="s">
        <v>2146</v>
      </c>
      <c r="AD110" s="203" t="s">
        <v>2148</v>
      </c>
      <c r="AE110" s="203" t="s">
        <v>2150</v>
      </c>
      <c r="AF110" s="203" t="s">
        <v>2151</v>
      </c>
      <c r="AG110" s="203" t="s">
        <v>2152</v>
      </c>
      <c r="AH110" s="203" t="s">
        <v>2154</v>
      </c>
      <c r="AI110" s="203" t="s">
        <v>2156</v>
      </c>
      <c r="AJ110" s="203" t="s">
        <v>2157</v>
      </c>
      <c r="AK110" s="203" t="s">
        <v>2158</v>
      </c>
      <c r="AL110" s="203" t="s">
        <v>2159</v>
      </c>
      <c r="AM110" s="203" t="s">
        <v>2160</v>
      </c>
      <c r="AN110" s="203" t="s">
        <v>2161</v>
      </c>
      <c r="AO110" s="203" t="s">
        <v>2162</v>
      </c>
      <c r="AP110" s="203" t="s">
        <v>2163</v>
      </c>
      <c r="AQ110" s="203" t="s">
        <v>2164</v>
      </c>
      <c r="AR110" s="203" t="s">
        <v>2165</v>
      </c>
      <c r="AS110" s="203" t="s">
        <v>2166</v>
      </c>
      <c r="AT110" s="203" t="s">
        <v>2167</v>
      </c>
    </row>
    <row r="111">
      <c r="A111" s="203" t="str">
        <f t="array" ref="A111:T111">TRANSPOSE(INDIRECT(SWITCH(Venues!B111,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111" s="203" t="s">
        <v>2198</v>
      </c>
      <c r="C111" s="203" t="s">
        <v>2199</v>
      </c>
      <c r="D111" s="203" t="s">
        <v>2171</v>
      </c>
      <c r="E111" s="203" t="s">
        <v>2200</v>
      </c>
      <c r="F111" s="203" t="s">
        <v>1878</v>
      </c>
      <c r="G111" s="203" t="s">
        <v>2174</v>
      </c>
      <c r="H111" s="203" t="s">
        <v>2175</v>
      </c>
      <c r="I111" s="203" t="s">
        <v>1889</v>
      </c>
      <c r="J111" s="203" t="s">
        <v>2201</v>
      </c>
      <c r="K111" s="203" t="s">
        <v>2202</v>
      </c>
      <c r="L111" s="203" t="s">
        <v>1884</v>
      </c>
      <c r="M111" s="203" t="s">
        <v>2203</v>
      </c>
      <c r="N111" s="203" t="s">
        <v>2204</v>
      </c>
      <c r="O111" s="203" t="s">
        <v>2205</v>
      </c>
      <c r="P111" s="203" t="s">
        <v>2206</v>
      </c>
      <c r="Q111" s="203" t="s">
        <v>2207</v>
      </c>
      <c r="R111" s="203" t="s">
        <v>2208</v>
      </c>
      <c r="S111" s="203" t="s">
        <v>1729</v>
      </c>
      <c r="T111" s="203" t="s">
        <v>1730</v>
      </c>
    </row>
    <row r="112">
      <c r="A112" s="203" t="str">
        <f t="array" ref="A112:X112">TRANSPOSE(INDIRECT(SWITCH(Venues!B112,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112" s="203" t="s">
        <v>2337</v>
      </c>
      <c r="C112" s="203" t="s">
        <v>2338</v>
      </c>
      <c r="D112" s="203" t="s">
        <v>2340</v>
      </c>
      <c r="E112" s="203" t="s">
        <v>2341</v>
      </c>
      <c r="F112" s="203" t="s">
        <v>2342</v>
      </c>
      <c r="G112" s="203" t="s">
        <v>2343</v>
      </c>
      <c r="H112" s="203" t="s">
        <v>2345</v>
      </c>
      <c r="I112" s="203" t="s">
        <v>2347</v>
      </c>
      <c r="J112" s="203" t="s">
        <v>2348</v>
      </c>
      <c r="K112" s="203" t="s">
        <v>2349</v>
      </c>
      <c r="L112" s="203" t="s">
        <v>2350</v>
      </c>
      <c r="M112" s="203" t="s">
        <v>2352</v>
      </c>
      <c r="N112" s="203" t="s">
        <v>2353</v>
      </c>
      <c r="O112" s="203" t="s">
        <v>2355</v>
      </c>
      <c r="P112" s="203" t="s">
        <v>1674</v>
      </c>
      <c r="Q112" s="203" t="s">
        <v>2357</v>
      </c>
      <c r="R112" s="203" t="s">
        <v>2358</v>
      </c>
      <c r="S112" s="203" t="s">
        <v>2359</v>
      </c>
      <c r="T112" s="203" t="s">
        <v>2361</v>
      </c>
      <c r="U112" s="203" t="s">
        <v>2363</v>
      </c>
      <c r="V112" s="203" t="s">
        <v>1729</v>
      </c>
      <c r="W112" s="203" t="s">
        <v>1730</v>
      </c>
      <c r="X112" s="203" t="s">
        <v>2365</v>
      </c>
    </row>
    <row r="113">
      <c r="A113" s="203" t="str">
        <f t="array" ref="A113:AE113">TRANSPOSE(INDIRECT(SWITCH(Venues!B113,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13" s="203" t="s">
        <v>2048</v>
      </c>
      <c r="C113" s="203" t="s">
        <v>2050</v>
      </c>
      <c r="D113" s="203" t="s">
        <v>1732</v>
      </c>
      <c r="E113" s="203" t="s">
        <v>2051</v>
      </c>
      <c r="F113" s="203" t="s">
        <v>2053</v>
      </c>
      <c r="G113" s="203" t="s">
        <v>2054</v>
      </c>
      <c r="H113" s="203" t="s">
        <v>2055</v>
      </c>
      <c r="I113" s="203" t="s">
        <v>2056</v>
      </c>
      <c r="J113" s="203" t="s">
        <v>2057</v>
      </c>
      <c r="K113" s="203" t="s">
        <v>2058</v>
      </c>
      <c r="L113" s="203" t="s">
        <v>2059</v>
      </c>
      <c r="M113" s="203" t="s">
        <v>2060</v>
      </c>
      <c r="N113" s="203" t="s">
        <v>2061</v>
      </c>
      <c r="O113" s="203" t="s">
        <v>2062</v>
      </c>
      <c r="P113" s="203" t="s">
        <v>2063</v>
      </c>
      <c r="Q113" s="203" t="s">
        <v>2065</v>
      </c>
      <c r="R113" s="203" t="s">
        <v>2066</v>
      </c>
      <c r="S113" s="203" t="s">
        <v>2067</v>
      </c>
      <c r="T113" s="203" t="s">
        <v>2068</v>
      </c>
      <c r="U113" s="203" t="s">
        <v>1774</v>
      </c>
      <c r="V113" s="203" t="s">
        <v>2070</v>
      </c>
      <c r="W113" s="203" t="s">
        <v>2071</v>
      </c>
      <c r="X113" s="203" t="s">
        <v>2072</v>
      </c>
      <c r="Y113" s="203" t="s">
        <v>2073</v>
      </c>
      <c r="Z113" s="203" t="s">
        <v>2074</v>
      </c>
      <c r="AA113" s="203" t="s">
        <v>2075</v>
      </c>
      <c r="AB113" s="203" t="s">
        <v>2076</v>
      </c>
      <c r="AC113" s="203" t="s">
        <v>2077</v>
      </c>
      <c r="AD113" s="203" t="s">
        <v>2078</v>
      </c>
      <c r="AE113" s="203" t="s">
        <v>2079</v>
      </c>
    </row>
    <row r="114">
      <c r="A114" s="203" t="str">
        <f t="array" ref="A114:AT114">TRANSPOSE(INDIRECT(SWITCH(Venues!B114,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14" s="203" t="s">
        <v>2117</v>
      </c>
      <c r="C114" s="203" t="s">
        <v>2118</v>
      </c>
      <c r="D114" s="203" t="s">
        <v>2119</v>
      </c>
      <c r="E114" s="203" t="s">
        <v>2120</v>
      </c>
      <c r="F114" s="203" t="s">
        <v>2121</v>
      </c>
      <c r="G114" s="203" t="s">
        <v>2123</v>
      </c>
      <c r="H114" s="203" t="s">
        <v>2124</v>
      </c>
      <c r="I114" s="203" t="s">
        <v>2125</v>
      </c>
      <c r="J114" s="203" t="s">
        <v>2127</v>
      </c>
      <c r="K114" s="203" t="s">
        <v>2128</v>
      </c>
      <c r="L114" s="203" t="s">
        <v>2129</v>
      </c>
      <c r="M114" s="203" t="s">
        <v>2130</v>
      </c>
      <c r="N114" s="203" t="s">
        <v>2131</v>
      </c>
      <c r="O114" s="203" t="s">
        <v>2132</v>
      </c>
      <c r="P114" s="203" t="s">
        <v>2133</v>
      </c>
      <c r="Q114" s="203" t="s">
        <v>2134</v>
      </c>
      <c r="R114" s="203" t="s">
        <v>1782</v>
      </c>
      <c r="S114" s="203" t="s">
        <v>2135</v>
      </c>
      <c r="T114" s="203" t="s">
        <v>2136</v>
      </c>
      <c r="U114" s="203" t="s">
        <v>2137</v>
      </c>
      <c r="V114" s="203" t="s">
        <v>2138</v>
      </c>
      <c r="W114" s="203" t="s">
        <v>2139</v>
      </c>
      <c r="X114" s="203" t="s">
        <v>2140</v>
      </c>
      <c r="Y114" s="203" t="s">
        <v>2142</v>
      </c>
      <c r="Z114" s="203" t="s">
        <v>2143</v>
      </c>
      <c r="AA114" s="203" t="s">
        <v>2144</v>
      </c>
      <c r="AB114" s="203" t="s">
        <v>2145</v>
      </c>
      <c r="AC114" s="203" t="s">
        <v>2146</v>
      </c>
      <c r="AD114" s="203" t="s">
        <v>2148</v>
      </c>
      <c r="AE114" s="203" t="s">
        <v>2150</v>
      </c>
      <c r="AF114" s="203" t="s">
        <v>2151</v>
      </c>
      <c r="AG114" s="203" t="s">
        <v>2152</v>
      </c>
      <c r="AH114" s="203" t="s">
        <v>2154</v>
      </c>
      <c r="AI114" s="203" t="s">
        <v>2156</v>
      </c>
      <c r="AJ114" s="203" t="s">
        <v>2157</v>
      </c>
      <c r="AK114" s="203" t="s">
        <v>2158</v>
      </c>
      <c r="AL114" s="203" t="s">
        <v>2159</v>
      </c>
      <c r="AM114" s="203" t="s">
        <v>2160</v>
      </c>
      <c r="AN114" s="203" t="s">
        <v>2161</v>
      </c>
      <c r="AO114" s="203" t="s">
        <v>2162</v>
      </c>
      <c r="AP114" s="203" t="s">
        <v>2163</v>
      </c>
      <c r="AQ114" s="203" t="s">
        <v>2164</v>
      </c>
      <c r="AR114" s="203" t="s">
        <v>2165</v>
      </c>
      <c r="AS114" s="203" t="s">
        <v>2166</v>
      </c>
      <c r="AT114" s="203" t="s">
        <v>2167</v>
      </c>
    </row>
    <row r="115">
      <c r="A115" s="203" t="str">
        <f t="array" ref="A115:F115">TRANSPOSE(INDIRECT(SWITCH(Venues!B115,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Science and engineering themes</v>
      </c>
      <c r="B115" s="203" t="s">
        <v>2792</v>
      </c>
      <c r="C115" s="203" t="s">
        <v>2793</v>
      </c>
      <c r="D115" s="203" t="s">
        <v>2794</v>
      </c>
      <c r="E115" s="203" t="s">
        <v>2795</v>
      </c>
      <c r="F115" s="203" t="s">
        <v>2796</v>
      </c>
    </row>
    <row r="116">
      <c r="A116" s="203" t="str">
        <f t="array" ref="A116:V116">TRANSPOSE(INDIRECT(SWITCH(Venues!B116,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116" s="203" t="s">
        <v>2169</v>
      </c>
      <c r="C116" s="203" t="s">
        <v>2170</v>
      </c>
      <c r="D116" s="203" t="s">
        <v>2171</v>
      </c>
      <c r="E116" s="203" t="s">
        <v>2172</v>
      </c>
      <c r="F116" s="203" t="s">
        <v>2173</v>
      </c>
      <c r="G116" s="203" t="s">
        <v>2174</v>
      </c>
      <c r="H116" s="203" t="s">
        <v>2175</v>
      </c>
      <c r="I116" s="203" t="s">
        <v>2176</v>
      </c>
      <c r="J116" s="203" t="s">
        <v>2177</v>
      </c>
      <c r="K116" s="203" t="s">
        <v>2178</v>
      </c>
      <c r="L116" s="203" t="s">
        <v>2179</v>
      </c>
      <c r="M116" s="203" t="s">
        <v>2180</v>
      </c>
      <c r="N116" s="203" t="s">
        <v>2181</v>
      </c>
      <c r="O116" s="203" t="s">
        <v>1729</v>
      </c>
      <c r="P116" s="203" t="s">
        <v>1730</v>
      </c>
      <c r="Q116" s="203" t="s">
        <v>2182</v>
      </c>
      <c r="R116" s="203" t="s">
        <v>2183</v>
      </c>
      <c r="S116" s="203" t="s">
        <v>2184</v>
      </c>
      <c r="T116" s="203" t="s">
        <v>2185</v>
      </c>
      <c r="U116" s="203" t="s">
        <v>2186</v>
      </c>
      <c r="V116" s="203" t="s">
        <v>2187</v>
      </c>
    </row>
    <row r="117">
      <c r="A117" s="203" t="str">
        <f t="array" ref="A117:J117">TRANSPOSE(INDIRECT(SWITCH(Venues!B117,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117" s="203" t="s">
        <v>1954</v>
      </c>
      <c r="C117" s="203" t="s">
        <v>1956</v>
      </c>
      <c r="D117" s="203" t="s">
        <v>1957</v>
      </c>
      <c r="E117" s="203" t="s">
        <v>1959</v>
      </c>
      <c r="F117" s="203" t="s">
        <v>1961</v>
      </c>
      <c r="G117" s="203" t="s">
        <v>1962</v>
      </c>
      <c r="H117" s="203" t="s">
        <v>1964</v>
      </c>
      <c r="I117" s="203" t="s">
        <v>1296</v>
      </c>
      <c r="J117" s="203" t="s">
        <v>1966</v>
      </c>
    </row>
    <row r="118">
      <c r="A118" s="203" t="str">
        <f t="array" ref="A118:AT118">TRANSPOSE(INDIRECT(SWITCH(Venues!B118,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18" s="203" t="s">
        <v>2117</v>
      </c>
      <c r="C118" s="203" t="s">
        <v>2118</v>
      </c>
      <c r="D118" s="203" t="s">
        <v>2119</v>
      </c>
      <c r="E118" s="203" t="s">
        <v>2120</v>
      </c>
      <c r="F118" s="203" t="s">
        <v>2121</v>
      </c>
      <c r="G118" s="203" t="s">
        <v>2123</v>
      </c>
      <c r="H118" s="203" t="s">
        <v>2124</v>
      </c>
      <c r="I118" s="203" t="s">
        <v>2125</v>
      </c>
      <c r="J118" s="203" t="s">
        <v>2127</v>
      </c>
      <c r="K118" s="203" t="s">
        <v>2128</v>
      </c>
      <c r="L118" s="203" t="s">
        <v>2129</v>
      </c>
      <c r="M118" s="203" t="s">
        <v>2130</v>
      </c>
      <c r="N118" s="203" t="s">
        <v>2131</v>
      </c>
      <c r="O118" s="203" t="s">
        <v>2132</v>
      </c>
      <c r="P118" s="203" t="s">
        <v>2133</v>
      </c>
      <c r="Q118" s="203" t="s">
        <v>2134</v>
      </c>
      <c r="R118" s="203" t="s">
        <v>1782</v>
      </c>
      <c r="S118" s="203" t="s">
        <v>2135</v>
      </c>
      <c r="T118" s="203" t="s">
        <v>2136</v>
      </c>
      <c r="U118" s="203" t="s">
        <v>2137</v>
      </c>
      <c r="V118" s="203" t="s">
        <v>2138</v>
      </c>
      <c r="W118" s="203" t="s">
        <v>2139</v>
      </c>
      <c r="X118" s="203" t="s">
        <v>2140</v>
      </c>
      <c r="Y118" s="203" t="s">
        <v>2142</v>
      </c>
      <c r="Z118" s="203" t="s">
        <v>2143</v>
      </c>
      <c r="AA118" s="203" t="s">
        <v>2144</v>
      </c>
      <c r="AB118" s="203" t="s">
        <v>2145</v>
      </c>
      <c r="AC118" s="203" t="s">
        <v>2146</v>
      </c>
      <c r="AD118" s="203" t="s">
        <v>2148</v>
      </c>
      <c r="AE118" s="203" t="s">
        <v>2150</v>
      </c>
      <c r="AF118" s="203" t="s">
        <v>2151</v>
      </c>
      <c r="AG118" s="203" t="s">
        <v>2152</v>
      </c>
      <c r="AH118" s="203" t="s">
        <v>2154</v>
      </c>
      <c r="AI118" s="203" t="s">
        <v>2156</v>
      </c>
      <c r="AJ118" s="203" t="s">
        <v>2157</v>
      </c>
      <c r="AK118" s="203" t="s">
        <v>2158</v>
      </c>
      <c r="AL118" s="203" t="s">
        <v>2159</v>
      </c>
      <c r="AM118" s="203" t="s">
        <v>2160</v>
      </c>
      <c r="AN118" s="203" t="s">
        <v>2161</v>
      </c>
      <c r="AO118" s="203" t="s">
        <v>2162</v>
      </c>
      <c r="AP118" s="203" t="s">
        <v>2163</v>
      </c>
      <c r="AQ118" s="203" t="s">
        <v>2164</v>
      </c>
      <c r="AR118" s="203" t="s">
        <v>2165</v>
      </c>
      <c r="AS118" s="203" t="s">
        <v>2166</v>
      </c>
      <c r="AT118" s="203" t="s">
        <v>2167</v>
      </c>
    </row>
    <row r="119">
      <c r="A119" s="203" t="str">
        <f t="array" ref="A119:AF119">TRANSPOSE(INDIRECT(SWITCH(Venues!B119,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119" s="203" t="s">
        <v>2080</v>
      </c>
      <c r="C119" s="203" t="s">
        <v>2081</v>
      </c>
      <c r="D119" s="203" t="s">
        <v>2082</v>
      </c>
      <c r="E119" s="203" t="s">
        <v>2083</v>
      </c>
      <c r="F119" s="203" t="s">
        <v>2084</v>
      </c>
      <c r="G119" s="203" t="s">
        <v>2086</v>
      </c>
      <c r="H119" s="203" t="s">
        <v>2087</v>
      </c>
      <c r="I119" s="203" t="s">
        <v>2088</v>
      </c>
      <c r="J119" s="203" t="s">
        <v>2089</v>
      </c>
      <c r="K119" s="203" t="s">
        <v>1893</v>
      </c>
      <c r="L119" s="203" t="s">
        <v>2090</v>
      </c>
      <c r="M119" s="203" t="s">
        <v>2091</v>
      </c>
      <c r="N119" s="203" t="s">
        <v>2092</v>
      </c>
      <c r="O119" s="203" t="s">
        <v>2093</v>
      </c>
      <c r="P119" s="203" t="s">
        <v>2094</v>
      </c>
      <c r="Q119" s="203" t="s">
        <v>2095</v>
      </c>
      <c r="R119" s="203" t="s">
        <v>2096</v>
      </c>
      <c r="S119" s="203" t="s">
        <v>2097</v>
      </c>
      <c r="T119" s="203" t="s">
        <v>2098</v>
      </c>
      <c r="U119" s="203" t="s">
        <v>1543</v>
      </c>
      <c r="V119" s="203" t="s">
        <v>1880</v>
      </c>
      <c r="W119" s="203" t="s">
        <v>1160</v>
      </c>
      <c r="X119" s="203" t="s">
        <v>2102</v>
      </c>
      <c r="Y119" s="203" t="s">
        <v>2104</v>
      </c>
      <c r="Z119" s="203" t="s">
        <v>2105</v>
      </c>
      <c r="AA119" s="203" t="s">
        <v>2106</v>
      </c>
      <c r="AB119" s="203" t="s">
        <v>2108</v>
      </c>
      <c r="AC119" s="203" t="s">
        <v>2110</v>
      </c>
      <c r="AD119" s="203" t="s">
        <v>2111</v>
      </c>
      <c r="AE119" s="203" t="s">
        <v>2112</v>
      </c>
      <c r="AF119" s="203" t="s">
        <v>2113</v>
      </c>
    </row>
    <row r="120">
      <c r="A120" s="203" t="str">
        <f t="array" ref="A120:AF120">TRANSPOSE(INDIRECT(SWITCH(Venues!B120,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120" s="203" t="s">
        <v>2080</v>
      </c>
      <c r="C120" s="203" t="s">
        <v>2081</v>
      </c>
      <c r="D120" s="203" t="s">
        <v>2082</v>
      </c>
      <c r="E120" s="203" t="s">
        <v>2083</v>
      </c>
      <c r="F120" s="203" t="s">
        <v>2084</v>
      </c>
      <c r="G120" s="203" t="s">
        <v>2086</v>
      </c>
      <c r="H120" s="203" t="s">
        <v>2087</v>
      </c>
      <c r="I120" s="203" t="s">
        <v>2088</v>
      </c>
      <c r="J120" s="203" t="s">
        <v>2089</v>
      </c>
      <c r="K120" s="203" t="s">
        <v>1893</v>
      </c>
      <c r="L120" s="203" t="s">
        <v>2090</v>
      </c>
      <c r="M120" s="203" t="s">
        <v>2091</v>
      </c>
      <c r="N120" s="203" t="s">
        <v>2092</v>
      </c>
      <c r="O120" s="203" t="s">
        <v>2093</v>
      </c>
      <c r="P120" s="203" t="s">
        <v>2094</v>
      </c>
      <c r="Q120" s="203" t="s">
        <v>2095</v>
      </c>
      <c r="R120" s="203" t="s">
        <v>2096</v>
      </c>
      <c r="S120" s="203" t="s">
        <v>2097</v>
      </c>
      <c r="T120" s="203" t="s">
        <v>2098</v>
      </c>
      <c r="U120" s="203" t="s">
        <v>1543</v>
      </c>
      <c r="V120" s="203" t="s">
        <v>1880</v>
      </c>
      <c r="W120" s="203" t="s">
        <v>1160</v>
      </c>
      <c r="X120" s="203" t="s">
        <v>2102</v>
      </c>
      <c r="Y120" s="203" t="s">
        <v>2104</v>
      </c>
      <c r="Z120" s="203" t="s">
        <v>2105</v>
      </c>
      <c r="AA120" s="203" t="s">
        <v>2106</v>
      </c>
      <c r="AB120" s="203" t="s">
        <v>2108</v>
      </c>
      <c r="AC120" s="203" t="s">
        <v>2110</v>
      </c>
      <c r="AD120" s="203" t="s">
        <v>2111</v>
      </c>
      <c r="AE120" s="203" t="s">
        <v>2112</v>
      </c>
      <c r="AF120" s="203" t="s">
        <v>2113</v>
      </c>
    </row>
    <row r="121">
      <c r="A121" s="203" t="str">
        <f t="array" ref="A121:S121">TRANSPOSE(INDIRECT(SWITCH(Venues!B121,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121" s="203" t="s">
        <v>1716</v>
      </c>
      <c r="C121" s="203" t="s">
        <v>1718</v>
      </c>
      <c r="D121" s="203" t="s">
        <v>1720</v>
      </c>
      <c r="E121" s="203" t="s">
        <v>1722</v>
      </c>
      <c r="F121" s="203" t="s">
        <v>1723</v>
      </c>
      <c r="G121" s="203" t="s">
        <v>1724</v>
      </c>
      <c r="H121" s="203" t="s">
        <v>1726</v>
      </c>
      <c r="I121" s="203" t="s">
        <v>1727</v>
      </c>
      <c r="J121" s="203" t="s">
        <v>1729</v>
      </c>
      <c r="K121" s="203" t="s">
        <v>1730</v>
      </c>
      <c r="L121" s="203" t="s">
        <v>1731</v>
      </c>
      <c r="M121" s="203" t="s">
        <v>1732</v>
      </c>
      <c r="N121" s="203" t="s">
        <v>1733</v>
      </c>
      <c r="O121" s="203" t="s">
        <v>1734</v>
      </c>
      <c r="P121" s="203" t="s">
        <v>1735</v>
      </c>
      <c r="Q121" s="203" t="s">
        <v>1736</v>
      </c>
      <c r="R121" s="203" t="s">
        <v>1738</v>
      </c>
      <c r="S121" s="203" t="s">
        <v>1739</v>
      </c>
    </row>
    <row r="122">
      <c r="A122" s="203" t="str">
        <f t="array" ref="A122:J122">TRANSPOSE(INDIRECT(SWITCH(Venues!B122,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122" s="203" t="s">
        <v>1954</v>
      </c>
      <c r="C122" s="203" t="s">
        <v>1956</v>
      </c>
      <c r="D122" s="203" t="s">
        <v>1957</v>
      </c>
      <c r="E122" s="203" t="s">
        <v>1959</v>
      </c>
      <c r="F122" s="203" t="s">
        <v>1961</v>
      </c>
      <c r="G122" s="203" t="s">
        <v>1962</v>
      </c>
      <c r="H122" s="203" t="s">
        <v>1964</v>
      </c>
      <c r="I122" s="203" t="s">
        <v>1296</v>
      </c>
      <c r="J122" s="203" t="s">
        <v>1966</v>
      </c>
    </row>
    <row r="123">
      <c r="A123" s="203" t="str">
        <f t="array" ref="A123:AE123">TRANSPOSE(INDIRECT(SWITCH(Venues!B123,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23" s="203" t="s">
        <v>2048</v>
      </c>
      <c r="C123" s="203" t="s">
        <v>2050</v>
      </c>
      <c r="D123" s="203" t="s">
        <v>1732</v>
      </c>
      <c r="E123" s="203" t="s">
        <v>2051</v>
      </c>
      <c r="F123" s="203" t="s">
        <v>2053</v>
      </c>
      <c r="G123" s="203" t="s">
        <v>2054</v>
      </c>
      <c r="H123" s="203" t="s">
        <v>2055</v>
      </c>
      <c r="I123" s="203" t="s">
        <v>2056</v>
      </c>
      <c r="J123" s="203" t="s">
        <v>2057</v>
      </c>
      <c r="K123" s="203" t="s">
        <v>2058</v>
      </c>
      <c r="L123" s="203" t="s">
        <v>2059</v>
      </c>
      <c r="M123" s="203" t="s">
        <v>2060</v>
      </c>
      <c r="N123" s="203" t="s">
        <v>2061</v>
      </c>
      <c r="O123" s="203" t="s">
        <v>2062</v>
      </c>
      <c r="P123" s="203" t="s">
        <v>2063</v>
      </c>
      <c r="Q123" s="203" t="s">
        <v>2065</v>
      </c>
      <c r="R123" s="203" t="s">
        <v>2066</v>
      </c>
      <c r="S123" s="203" t="s">
        <v>2067</v>
      </c>
      <c r="T123" s="203" t="s">
        <v>2068</v>
      </c>
      <c r="U123" s="203" t="s">
        <v>1774</v>
      </c>
      <c r="V123" s="203" t="s">
        <v>2070</v>
      </c>
      <c r="W123" s="203" t="s">
        <v>2071</v>
      </c>
      <c r="X123" s="203" t="s">
        <v>2072</v>
      </c>
      <c r="Y123" s="203" t="s">
        <v>2073</v>
      </c>
      <c r="Z123" s="203" t="s">
        <v>2074</v>
      </c>
      <c r="AA123" s="203" t="s">
        <v>2075</v>
      </c>
      <c r="AB123" s="203" t="s">
        <v>2076</v>
      </c>
      <c r="AC123" s="203" t="s">
        <v>2077</v>
      </c>
      <c r="AD123" s="203" t="s">
        <v>2078</v>
      </c>
      <c r="AE123" s="203" t="s">
        <v>2079</v>
      </c>
    </row>
    <row r="124">
      <c r="A124" s="203" t="str">
        <f t="array" ref="A124:AE124">TRANSPOSE(INDIRECT(SWITCH(Venues!B124,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24" s="203" t="s">
        <v>2048</v>
      </c>
      <c r="C124" s="203" t="s">
        <v>2050</v>
      </c>
      <c r="D124" s="203" t="s">
        <v>1732</v>
      </c>
      <c r="E124" s="203" t="s">
        <v>2051</v>
      </c>
      <c r="F124" s="203" t="s">
        <v>2053</v>
      </c>
      <c r="G124" s="203" t="s">
        <v>2054</v>
      </c>
      <c r="H124" s="203" t="s">
        <v>2055</v>
      </c>
      <c r="I124" s="203" t="s">
        <v>2056</v>
      </c>
      <c r="J124" s="203" t="s">
        <v>2057</v>
      </c>
      <c r="K124" s="203" t="s">
        <v>2058</v>
      </c>
      <c r="L124" s="203" t="s">
        <v>2059</v>
      </c>
      <c r="M124" s="203" t="s">
        <v>2060</v>
      </c>
      <c r="N124" s="203" t="s">
        <v>2061</v>
      </c>
      <c r="O124" s="203" t="s">
        <v>2062</v>
      </c>
      <c r="P124" s="203" t="s">
        <v>2063</v>
      </c>
      <c r="Q124" s="203" t="s">
        <v>2065</v>
      </c>
      <c r="R124" s="203" t="s">
        <v>2066</v>
      </c>
      <c r="S124" s="203" t="s">
        <v>2067</v>
      </c>
      <c r="T124" s="203" t="s">
        <v>2068</v>
      </c>
      <c r="U124" s="203" t="s">
        <v>1774</v>
      </c>
      <c r="V124" s="203" t="s">
        <v>2070</v>
      </c>
      <c r="W124" s="203" t="s">
        <v>2071</v>
      </c>
      <c r="X124" s="203" t="s">
        <v>2072</v>
      </c>
      <c r="Y124" s="203" t="s">
        <v>2073</v>
      </c>
      <c r="Z124" s="203" t="s">
        <v>2074</v>
      </c>
      <c r="AA124" s="203" t="s">
        <v>2075</v>
      </c>
      <c r="AB124" s="203" t="s">
        <v>2076</v>
      </c>
      <c r="AC124" s="203" t="s">
        <v>2077</v>
      </c>
      <c r="AD124" s="203" t="s">
        <v>2078</v>
      </c>
      <c r="AE124" s="203" t="s">
        <v>2079</v>
      </c>
    </row>
    <row r="125">
      <c r="A125" s="203" t="str">
        <f t="array" ref="A125">TRANSPOSE(INDIRECT(SWITCH(Venues!B125,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Quiet space</v>
      </c>
      <c r="B125" s="203"/>
      <c r="C125" s="203"/>
      <c r="D125" s="203"/>
      <c r="E125" s="203"/>
      <c r="F125" s="203"/>
      <c r="G125" s="203"/>
      <c r="H125" s="203"/>
      <c r="I125" s="203"/>
      <c r="J125" s="203"/>
    </row>
    <row r="126">
      <c r="A126" s="203" t="str">
        <f t="array" ref="A126:AE126">TRANSPOSE(INDIRECT(SWITCH(Venues!B126,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26" s="203" t="s">
        <v>2048</v>
      </c>
      <c r="C126" s="203" t="s">
        <v>2050</v>
      </c>
      <c r="D126" s="203" t="s">
        <v>1732</v>
      </c>
      <c r="E126" s="203" t="s">
        <v>2051</v>
      </c>
      <c r="F126" s="203" t="s">
        <v>2053</v>
      </c>
      <c r="G126" s="203" t="s">
        <v>2054</v>
      </c>
      <c r="H126" s="203" t="s">
        <v>2055</v>
      </c>
      <c r="I126" s="203" t="s">
        <v>2056</v>
      </c>
      <c r="J126" s="203" t="s">
        <v>2057</v>
      </c>
      <c r="K126" s="203" t="s">
        <v>2058</v>
      </c>
      <c r="L126" s="203" t="s">
        <v>2059</v>
      </c>
      <c r="M126" s="203" t="s">
        <v>2060</v>
      </c>
      <c r="N126" s="203" t="s">
        <v>2061</v>
      </c>
      <c r="O126" s="203" t="s">
        <v>2062</v>
      </c>
      <c r="P126" s="203" t="s">
        <v>2063</v>
      </c>
      <c r="Q126" s="203" t="s">
        <v>2065</v>
      </c>
      <c r="R126" s="203" t="s">
        <v>2066</v>
      </c>
      <c r="S126" s="203" t="s">
        <v>2067</v>
      </c>
      <c r="T126" s="203" t="s">
        <v>2068</v>
      </c>
      <c r="U126" s="203" t="s">
        <v>1774</v>
      </c>
      <c r="V126" s="203" t="s">
        <v>2070</v>
      </c>
      <c r="W126" s="203" t="s">
        <v>2071</v>
      </c>
      <c r="X126" s="203" t="s">
        <v>2072</v>
      </c>
      <c r="Y126" s="203" t="s">
        <v>2073</v>
      </c>
      <c r="Z126" s="203" t="s">
        <v>2074</v>
      </c>
      <c r="AA126" s="203" t="s">
        <v>2075</v>
      </c>
      <c r="AB126" s="203" t="s">
        <v>2076</v>
      </c>
      <c r="AC126" s="203" t="s">
        <v>2077</v>
      </c>
      <c r="AD126" s="203" t="s">
        <v>2078</v>
      </c>
      <c r="AE126" s="203" t="s">
        <v>2079</v>
      </c>
    </row>
    <row r="127">
      <c r="A127" s="203" t="str">
        <f t="array" ref="A127:AE127">TRANSPOSE(INDIRECT(SWITCH(Venues!B127,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27" s="203" t="s">
        <v>2048</v>
      </c>
      <c r="C127" s="203" t="s">
        <v>2050</v>
      </c>
      <c r="D127" s="203" t="s">
        <v>1732</v>
      </c>
      <c r="E127" s="203" t="s">
        <v>2051</v>
      </c>
      <c r="F127" s="203" t="s">
        <v>2053</v>
      </c>
      <c r="G127" s="203" t="s">
        <v>2054</v>
      </c>
      <c r="H127" s="203" t="s">
        <v>2055</v>
      </c>
      <c r="I127" s="203" t="s">
        <v>2056</v>
      </c>
      <c r="J127" s="203" t="s">
        <v>2057</v>
      </c>
      <c r="K127" s="203" t="s">
        <v>2058</v>
      </c>
      <c r="L127" s="203" t="s">
        <v>2059</v>
      </c>
      <c r="M127" s="203" t="s">
        <v>2060</v>
      </c>
      <c r="N127" s="203" t="s">
        <v>2061</v>
      </c>
      <c r="O127" s="203" t="s">
        <v>2062</v>
      </c>
      <c r="P127" s="203" t="s">
        <v>2063</v>
      </c>
      <c r="Q127" s="203" t="s">
        <v>2065</v>
      </c>
      <c r="R127" s="203" t="s">
        <v>2066</v>
      </c>
      <c r="S127" s="203" t="s">
        <v>2067</v>
      </c>
      <c r="T127" s="203" t="s">
        <v>2068</v>
      </c>
      <c r="U127" s="203" t="s">
        <v>1774</v>
      </c>
      <c r="V127" s="203" t="s">
        <v>2070</v>
      </c>
      <c r="W127" s="203" t="s">
        <v>2071</v>
      </c>
      <c r="X127" s="203" t="s">
        <v>2072</v>
      </c>
      <c r="Y127" s="203" t="s">
        <v>2073</v>
      </c>
      <c r="Z127" s="203" t="s">
        <v>2074</v>
      </c>
      <c r="AA127" s="203" t="s">
        <v>2075</v>
      </c>
      <c r="AB127" s="203" t="s">
        <v>2076</v>
      </c>
      <c r="AC127" s="203" t="s">
        <v>2077</v>
      </c>
      <c r="AD127" s="203" t="s">
        <v>2078</v>
      </c>
      <c r="AE127" s="203" t="s">
        <v>2079</v>
      </c>
    </row>
    <row r="128">
      <c r="A128" s="203" t="str">
        <f t="array" ref="A128:S128">TRANSPOSE(INDIRECT(SWITCH(Venues!B128,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128" s="203" t="s">
        <v>1716</v>
      </c>
      <c r="C128" s="203" t="s">
        <v>1718</v>
      </c>
      <c r="D128" s="203" t="s">
        <v>1720</v>
      </c>
      <c r="E128" s="203" t="s">
        <v>1722</v>
      </c>
      <c r="F128" s="203" t="s">
        <v>1723</v>
      </c>
      <c r="G128" s="203" t="s">
        <v>1724</v>
      </c>
      <c r="H128" s="203" t="s">
        <v>1726</v>
      </c>
      <c r="I128" s="203" t="s">
        <v>1727</v>
      </c>
      <c r="J128" s="203" t="s">
        <v>1729</v>
      </c>
      <c r="K128" s="203" t="s">
        <v>1730</v>
      </c>
      <c r="L128" s="203" t="s">
        <v>1731</v>
      </c>
      <c r="M128" s="203" t="s">
        <v>1732</v>
      </c>
      <c r="N128" s="203" t="s">
        <v>1733</v>
      </c>
      <c r="O128" s="203" t="s">
        <v>1734</v>
      </c>
      <c r="P128" s="203" t="s">
        <v>1735</v>
      </c>
      <c r="Q128" s="203" t="s">
        <v>1736</v>
      </c>
      <c r="R128" s="203" t="s">
        <v>1738</v>
      </c>
      <c r="S128" s="203" t="s">
        <v>1739</v>
      </c>
    </row>
    <row r="129">
      <c r="A129" s="203" t="str">
        <f t="array" ref="A129:T129">TRANSPOSE(INDIRECT(SWITCH(Venues!B129,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129" s="203" t="s">
        <v>2198</v>
      </c>
      <c r="C129" s="203" t="s">
        <v>2199</v>
      </c>
      <c r="D129" s="203" t="s">
        <v>2171</v>
      </c>
      <c r="E129" s="203" t="s">
        <v>2200</v>
      </c>
      <c r="F129" s="203" t="s">
        <v>1878</v>
      </c>
      <c r="G129" s="203" t="s">
        <v>2174</v>
      </c>
      <c r="H129" s="203" t="s">
        <v>2175</v>
      </c>
      <c r="I129" s="203" t="s">
        <v>1889</v>
      </c>
      <c r="J129" s="203" t="s">
        <v>2201</v>
      </c>
      <c r="K129" s="203" t="s">
        <v>2202</v>
      </c>
      <c r="L129" s="203" t="s">
        <v>1884</v>
      </c>
      <c r="M129" s="203" t="s">
        <v>2203</v>
      </c>
      <c r="N129" s="203" t="s">
        <v>2204</v>
      </c>
      <c r="O129" s="203" t="s">
        <v>2205</v>
      </c>
      <c r="P129" s="203" t="s">
        <v>2206</v>
      </c>
      <c r="Q129" s="203" t="s">
        <v>2207</v>
      </c>
      <c r="R129" s="203" t="s">
        <v>2208</v>
      </c>
      <c r="S129" s="203" t="s">
        <v>1729</v>
      </c>
      <c r="T129" s="203" t="s">
        <v>1730</v>
      </c>
    </row>
    <row r="130">
      <c r="A130" s="203" t="str">
        <f t="array" ref="A130:AE130">TRANSPOSE(INDIRECT(SWITCH(Venues!B130,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30" s="203" t="s">
        <v>2048</v>
      </c>
      <c r="C130" s="203" t="s">
        <v>2050</v>
      </c>
      <c r="D130" s="203" t="s">
        <v>1732</v>
      </c>
      <c r="E130" s="203" t="s">
        <v>2051</v>
      </c>
      <c r="F130" s="203" t="s">
        <v>2053</v>
      </c>
      <c r="G130" s="203" t="s">
        <v>2054</v>
      </c>
      <c r="H130" s="203" t="s">
        <v>2055</v>
      </c>
      <c r="I130" s="203" t="s">
        <v>2056</v>
      </c>
      <c r="J130" s="203" t="s">
        <v>2057</v>
      </c>
      <c r="K130" s="203" t="s">
        <v>2058</v>
      </c>
      <c r="L130" s="203" t="s">
        <v>2059</v>
      </c>
      <c r="M130" s="203" t="s">
        <v>2060</v>
      </c>
      <c r="N130" s="203" t="s">
        <v>2061</v>
      </c>
      <c r="O130" s="203" t="s">
        <v>2062</v>
      </c>
      <c r="P130" s="203" t="s">
        <v>2063</v>
      </c>
      <c r="Q130" s="203" t="s">
        <v>2065</v>
      </c>
      <c r="R130" s="203" t="s">
        <v>2066</v>
      </c>
      <c r="S130" s="203" t="s">
        <v>2067</v>
      </c>
      <c r="T130" s="203" t="s">
        <v>2068</v>
      </c>
      <c r="U130" s="203" t="s">
        <v>1774</v>
      </c>
      <c r="V130" s="203" t="s">
        <v>2070</v>
      </c>
      <c r="W130" s="203" t="s">
        <v>2071</v>
      </c>
      <c r="X130" s="203" t="s">
        <v>2072</v>
      </c>
      <c r="Y130" s="203" t="s">
        <v>2073</v>
      </c>
      <c r="Z130" s="203" t="s">
        <v>2074</v>
      </c>
      <c r="AA130" s="203" t="s">
        <v>2075</v>
      </c>
      <c r="AB130" s="203" t="s">
        <v>2076</v>
      </c>
      <c r="AC130" s="203" t="s">
        <v>2077</v>
      </c>
      <c r="AD130" s="203" t="s">
        <v>2078</v>
      </c>
      <c r="AE130" s="203" t="s">
        <v>2079</v>
      </c>
    </row>
    <row r="131">
      <c r="A131" s="203" t="str">
        <f t="array" ref="A131:K131">TRANSPOSE(INDIRECT(SWITCH(Venues!B131,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Cinema</v>
      </c>
      <c r="B131" s="203" t="s">
        <v>2692</v>
      </c>
      <c r="C131" s="203" t="s">
        <v>2694</v>
      </c>
      <c r="D131" s="203" t="s">
        <v>2695</v>
      </c>
      <c r="E131" s="203" t="s">
        <v>2696</v>
      </c>
      <c r="F131" s="203" t="s">
        <v>2698</v>
      </c>
      <c r="G131" s="203" t="s">
        <v>2699</v>
      </c>
      <c r="H131" s="203" t="s">
        <v>2700</v>
      </c>
      <c r="I131" s="203" t="s">
        <v>2702</v>
      </c>
      <c r="J131" s="203" t="s">
        <v>2703</v>
      </c>
      <c r="K131" s="203" t="s">
        <v>2655</v>
      </c>
    </row>
    <row r="132">
      <c r="A132" s="203" t="str">
        <f t="array" ref="A132:K132">TRANSPOSE(INDIRECT(SWITCH(Venues!B132,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Cinema</v>
      </c>
      <c r="B132" s="203" t="s">
        <v>2692</v>
      </c>
      <c r="C132" s="203" t="s">
        <v>2694</v>
      </c>
      <c r="D132" s="203" t="s">
        <v>2695</v>
      </c>
      <c r="E132" s="203" t="s">
        <v>2696</v>
      </c>
      <c r="F132" s="203" t="s">
        <v>2698</v>
      </c>
      <c r="G132" s="203" t="s">
        <v>2699</v>
      </c>
      <c r="H132" s="203" t="s">
        <v>2700</v>
      </c>
      <c r="I132" s="203" t="s">
        <v>2702</v>
      </c>
      <c r="J132" s="203" t="s">
        <v>2703</v>
      </c>
      <c r="K132" s="203" t="s">
        <v>2655</v>
      </c>
    </row>
    <row r="133">
      <c r="A133" s="203" t="str">
        <f t="array" ref="A133:K133">TRANSPOSE(INDIRECT(SWITCH(Venues!B133,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Cinema</v>
      </c>
      <c r="B133" s="203" t="s">
        <v>2692</v>
      </c>
      <c r="C133" s="203" t="s">
        <v>2694</v>
      </c>
      <c r="D133" s="203" t="s">
        <v>2695</v>
      </c>
      <c r="E133" s="203" t="s">
        <v>2696</v>
      </c>
      <c r="F133" s="203" t="s">
        <v>2698</v>
      </c>
      <c r="G133" s="203" t="s">
        <v>2699</v>
      </c>
      <c r="H133" s="203" t="s">
        <v>2700</v>
      </c>
      <c r="I133" s="203" t="s">
        <v>2702</v>
      </c>
      <c r="J133" s="203" t="s">
        <v>2703</v>
      </c>
      <c r="K133" s="203" t="s">
        <v>2655</v>
      </c>
    </row>
    <row r="134">
      <c r="A134" s="203" t="str">
        <f t="array" ref="A134:K134">TRANSPOSE(INDIRECT(SWITCH(Venues!B134,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134" s="203" t="s">
        <v>2123</v>
      </c>
      <c r="C134" s="203" t="s">
        <v>2134</v>
      </c>
      <c r="D134" s="203" t="s">
        <v>2803</v>
      </c>
      <c r="E134" s="203" t="s">
        <v>2804</v>
      </c>
      <c r="F134" s="203" t="s">
        <v>1921</v>
      </c>
      <c r="G134" s="203" t="s">
        <v>2805</v>
      </c>
      <c r="H134" s="203" t="s">
        <v>2806</v>
      </c>
      <c r="I134" s="203" t="s">
        <v>2808</v>
      </c>
      <c r="J134" s="203" t="s">
        <v>2809</v>
      </c>
      <c r="K134" s="203" t="s">
        <v>2810</v>
      </c>
    </row>
    <row r="135">
      <c r="A135" s="203" t="str">
        <f t="array" ref="A135:J135">TRANSPOSE(INDIRECT(SWITCH(Venues!B135,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135" s="203" t="s">
        <v>1954</v>
      </c>
      <c r="C135" s="203" t="s">
        <v>1956</v>
      </c>
      <c r="D135" s="203" t="s">
        <v>1957</v>
      </c>
      <c r="E135" s="203" t="s">
        <v>1959</v>
      </c>
      <c r="F135" s="203" t="s">
        <v>1961</v>
      </c>
      <c r="G135" s="203" t="s">
        <v>1962</v>
      </c>
      <c r="H135" s="203" t="s">
        <v>1964</v>
      </c>
      <c r="I135" s="203" t="s">
        <v>1296</v>
      </c>
      <c r="J135" s="203" t="s">
        <v>1966</v>
      </c>
    </row>
    <row r="136">
      <c r="A136" s="203" t="str">
        <f t="array" ref="A136:AT136">TRANSPOSE(INDIRECT(SWITCH(Venues!B136,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36" s="203" t="s">
        <v>2117</v>
      </c>
      <c r="C136" s="203" t="s">
        <v>2118</v>
      </c>
      <c r="D136" s="203" t="s">
        <v>2119</v>
      </c>
      <c r="E136" s="203" t="s">
        <v>2120</v>
      </c>
      <c r="F136" s="203" t="s">
        <v>2121</v>
      </c>
      <c r="G136" s="203" t="s">
        <v>2123</v>
      </c>
      <c r="H136" s="203" t="s">
        <v>2124</v>
      </c>
      <c r="I136" s="203" t="s">
        <v>2125</v>
      </c>
      <c r="J136" s="203" t="s">
        <v>2127</v>
      </c>
      <c r="K136" s="203" t="s">
        <v>2128</v>
      </c>
      <c r="L136" s="203" t="s">
        <v>2129</v>
      </c>
      <c r="M136" s="203" t="s">
        <v>2130</v>
      </c>
      <c r="N136" s="203" t="s">
        <v>2131</v>
      </c>
      <c r="O136" s="203" t="s">
        <v>2132</v>
      </c>
      <c r="P136" s="203" t="s">
        <v>2133</v>
      </c>
      <c r="Q136" s="203" t="s">
        <v>2134</v>
      </c>
      <c r="R136" s="203" t="s">
        <v>1782</v>
      </c>
      <c r="S136" s="203" t="s">
        <v>2135</v>
      </c>
      <c r="T136" s="203" t="s">
        <v>2136</v>
      </c>
      <c r="U136" s="203" t="s">
        <v>2137</v>
      </c>
      <c r="V136" s="203" t="s">
        <v>2138</v>
      </c>
      <c r="W136" s="203" t="s">
        <v>2139</v>
      </c>
      <c r="X136" s="203" t="s">
        <v>2140</v>
      </c>
      <c r="Y136" s="203" t="s">
        <v>2142</v>
      </c>
      <c r="Z136" s="203" t="s">
        <v>2143</v>
      </c>
      <c r="AA136" s="203" t="s">
        <v>2144</v>
      </c>
      <c r="AB136" s="203" t="s">
        <v>2145</v>
      </c>
      <c r="AC136" s="203" t="s">
        <v>2146</v>
      </c>
      <c r="AD136" s="203" t="s">
        <v>2148</v>
      </c>
      <c r="AE136" s="203" t="s">
        <v>2150</v>
      </c>
      <c r="AF136" s="203" t="s">
        <v>2151</v>
      </c>
      <c r="AG136" s="203" t="s">
        <v>2152</v>
      </c>
      <c r="AH136" s="203" t="s">
        <v>2154</v>
      </c>
      <c r="AI136" s="203" t="s">
        <v>2156</v>
      </c>
      <c r="AJ136" s="203" t="s">
        <v>2157</v>
      </c>
      <c r="AK136" s="203" t="s">
        <v>2158</v>
      </c>
      <c r="AL136" s="203" t="s">
        <v>2159</v>
      </c>
      <c r="AM136" s="203" t="s">
        <v>2160</v>
      </c>
      <c r="AN136" s="203" t="s">
        <v>2161</v>
      </c>
      <c r="AO136" s="203" t="s">
        <v>2162</v>
      </c>
      <c r="AP136" s="203" t="s">
        <v>2163</v>
      </c>
      <c r="AQ136" s="203" t="s">
        <v>2164</v>
      </c>
      <c r="AR136" s="203" t="s">
        <v>2165</v>
      </c>
      <c r="AS136" s="203" t="s">
        <v>2166</v>
      </c>
      <c r="AT136" s="203" t="s">
        <v>2167</v>
      </c>
    </row>
    <row r="137">
      <c r="A137" s="203" t="str">
        <f t="array" ref="A137:K137">TRANSPOSE(INDIRECT(SWITCH(Venues!B137,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Cinema</v>
      </c>
      <c r="B137" s="203" t="s">
        <v>2692</v>
      </c>
      <c r="C137" s="203" t="s">
        <v>2694</v>
      </c>
      <c r="D137" s="203" t="s">
        <v>2695</v>
      </c>
      <c r="E137" s="203" t="s">
        <v>2696</v>
      </c>
      <c r="F137" s="203" t="s">
        <v>2698</v>
      </c>
      <c r="G137" s="203" t="s">
        <v>2699</v>
      </c>
      <c r="H137" s="203" t="s">
        <v>2700</v>
      </c>
      <c r="I137" s="203" t="s">
        <v>2702</v>
      </c>
      <c r="J137" s="203" t="s">
        <v>2703</v>
      </c>
      <c r="K137" s="203" t="s">
        <v>2655</v>
      </c>
    </row>
    <row r="138">
      <c r="A138" s="203" t="str">
        <f t="array" ref="A138:T138">TRANSPOSE(INDIRECT(SWITCH(Venues!B138,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138" s="203" t="s">
        <v>2198</v>
      </c>
      <c r="C138" s="203" t="s">
        <v>2199</v>
      </c>
      <c r="D138" s="203" t="s">
        <v>2171</v>
      </c>
      <c r="E138" s="203" t="s">
        <v>2200</v>
      </c>
      <c r="F138" s="203" t="s">
        <v>1878</v>
      </c>
      <c r="G138" s="203" t="s">
        <v>2174</v>
      </c>
      <c r="H138" s="203" t="s">
        <v>2175</v>
      </c>
      <c r="I138" s="203" t="s">
        <v>1889</v>
      </c>
      <c r="J138" s="203" t="s">
        <v>2201</v>
      </c>
      <c r="K138" s="203" t="s">
        <v>2202</v>
      </c>
      <c r="L138" s="203" t="s">
        <v>1884</v>
      </c>
      <c r="M138" s="203" t="s">
        <v>2203</v>
      </c>
      <c r="N138" s="203" t="s">
        <v>2204</v>
      </c>
      <c r="O138" s="203" t="s">
        <v>2205</v>
      </c>
      <c r="P138" s="203" t="s">
        <v>2206</v>
      </c>
      <c r="Q138" s="203" t="s">
        <v>2207</v>
      </c>
      <c r="R138" s="203" t="s">
        <v>2208</v>
      </c>
      <c r="S138" s="203" t="s">
        <v>1729</v>
      </c>
      <c r="T138" s="203" t="s">
        <v>1730</v>
      </c>
    </row>
    <row r="139">
      <c r="A139" s="203" t="str">
        <f t="array" ref="A139:K139">TRANSPOSE(INDIRECT(SWITCH(Venues!B139,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Cinema</v>
      </c>
      <c r="B139" s="203" t="s">
        <v>2692</v>
      </c>
      <c r="C139" s="203" t="s">
        <v>2694</v>
      </c>
      <c r="D139" s="203" t="s">
        <v>2695</v>
      </c>
      <c r="E139" s="203" t="s">
        <v>2696</v>
      </c>
      <c r="F139" s="203" t="s">
        <v>2698</v>
      </c>
      <c r="G139" s="203" t="s">
        <v>2699</v>
      </c>
      <c r="H139" s="203" t="s">
        <v>2700</v>
      </c>
      <c r="I139" s="203" t="s">
        <v>2702</v>
      </c>
      <c r="J139" s="203" t="s">
        <v>2703</v>
      </c>
      <c r="K139" s="203" t="s">
        <v>2655</v>
      </c>
    </row>
    <row r="140">
      <c r="A140" s="203" t="str">
        <f t="array" ref="A140:J140">TRANSPOSE(INDIRECT(SWITCH(Venues!B140,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140" s="203" t="s">
        <v>1954</v>
      </c>
      <c r="C140" s="203" t="s">
        <v>1956</v>
      </c>
      <c r="D140" s="203" t="s">
        <v>1957</v>
      </c>
      <c r="E140" s="203" t="s">
        <v>1959</v>
      </c>
      <c r="F140" s="203" t="s">
        <v>1961</v>
      </c>
      <c r="G140" s="203" t="s">
        <v>1962</v>
      </c>
      <c r="H140" s="203" t="s">
        <v>1964</v>
      </c>
      <c r="I140" s="203" t="s">
        <v>1296</v>
      </c>
      <c r="J140" s="203" t="s">
        <v>1966</v>
      </c>
    </row>
    <row r="141">
      <c r="A141" s="203" t="str">
        <f t="array" ref="A141:AT141">TRANSPOSE(INDIRECT(SWITCH(Venues!B141,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41" s="203" t="s">
        <v>2117</v>
      </c>
      <c r="C141" s="203" t="s">
        <v>2118</v>
      </c>
      <c r="D141" s="203" t="s">
        <v>2119</v>
      </c>
      <c r="E141" s="203" t="s">
        <v>2120</v>
      </c>
      <c r="F141" s="203" t="s">
        <v>2121</v>
      </c>
      <c r="G141" s="203" t="s">
        <v>2123</v>
      </c>
      <c r="H141" s="203" t="s">
        <v>2124</v>
      </c>
      <c r="I141" s="203" t="s">
        <v>2125</v>
      </c>
      <c r="J141" s="203" t="s">
        <v>2127</v>
      </c>
      <c r="K141" s="203" t="s">
        <v>2128</v>
      </c>
      <c r="L141" s="203" t="s">
        <v>2129</v>
      </c>
      <c r="M141" s="203" t="s">
        <v>2130</v>
      </c>
      <c r="N141" s="203" t="s">
        <v>2131</v>
      </c>
      <c r="O141" s="203" t="s">
        <v>2132</v>
      </c>
      <c r="P141" s="203" t="s">
        <v>2133</v>
      </c>
      <c r="Q141" s="203" t="s">
        <v>2134</v>
      </c>
      <c r="R141" s="203" t="s">
        <v>1782</v>
      </c>
      <c r="S141" s="203" t="s">
        <v>2135</v>
      </c>
      <c r="T141" s="203" t="s">
        <v>2136</v>
      </c>
      <c r="U141" s="203" t="s">
        <v>2137</v>
      </c>
      <c r="V141" s="203" t="s">
        <v>2138</v>
      </c>
      <c r="W141" s="203" t="s">
        <v>2139</v>
      </c>
      <c r="X141" s="203" t="s">
        <v>2140</v>
      </c>
      <c r="Y141" s="203" t="s">
        <v>2142</v>
      </c>
      <c r="Z141" s="203" t="s">
        <v>2143</v>
      </c>
      <c r="AA141" s="203" t="s">
        <v>2144</v>
      </c>
      <c r="AB141" s="203" t="s">
        <v>2145</v>
      </c>
      <c r="AC141" s="203" t="s">
        <v>2146</v>
      </c>
      <c r="AD141" s="203" t="s">
        <v>2148</v>
      </c>
      <c r="AE141" s="203" t="s">
        <v>2150</v>
      </c>
      <c r="AF141" s="203" t="s">
        <v>2151</v>
      </c>
      <c r="AG141" s="203" t="s">
        <v>2152</v>
      </c>
      <c r="AH141" s="203" t="s">
        <v>2154</v>
      </c>
      <c r="AI141" s="203" t="s">
        <v>2156</v>
      </c>
      <c r="AJ141" s="203" t="s">
        <v>2157</v>
      </c>
      <c r="AK141" s="203" t="s">
        <v>2158</v>
      </c>
      <c r="AL141" s="203" t="s">
        <v>2159</v>
      </c>
      <c r="AM141" s="203" t="s">
        <v>2160</v>
      </c>
      <c r="AN141" s="203" t="s">
        <v>2161</v>
      </c>
      <c r="AO141" s="203" t="s">
        <v>2162</v>
      </c>
      <c r="AP141" s="203" t="s">
        <v>2163</v>
      </c>
      <c r="AQ141" s="203" t="s">
        <v>2164</v>
      </c>
      <c r="AR141" s="203" t="s">
        <v>2165</v>
      </c>
      <c r="AS141" s="203" t="s">
        <v>2166</v>
      </c>
      <c r="AT141" s="203" t="s">
        <v>2167</v>
      </c>
    </row>
    <row r="142">
      <c r="A142" s="203" t="str">
        <f t="array" ref="A142:AE142">TRANSPOSE(INDIRECT(SWITCH(Venues!B142,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42" s="203" t="s">
        <v>2048</v>
      </c>
      <c r="C142" s="203" t="s">
        <v>2050</v>
      </c>
      <c r="D142" s="203" t="s">
        <v>1732</v>
      </c>
      <c r="E142" s="203" t="s">
        <v>2051</v>
      </c>
      <c r="F142" s="203" t="s">
        <v>2053</v>
      </c>
      <c r="G142" s="203" t="s">
        <v>2054</v>
      </c>
      <c r="H142" s="203" t="s">
        <v>2055</v>
      </c>
      <c r="I142" s="203" t="s">
        <v>2056</v>
      </c>
      <c r="J142" s="203" t="s">
        <v>2057</v>
      </c>
      <c r="K142" s="203" t="s">
        <v>2058</v>
      </c>
      <c r="L142" s="203" t="s">
        <v>2059</v>
      </c>
      <c r="M142" s="203" t="s">
        <v>2060</v>
      </c>
      <c r="N142" s="203" t="s">
        <v>2061</v>
      </c>
      <c r="O142" s="203" t="s">
        <v>2062</v>
      </c>
      <c r="P142" s="203" t="s">
        <v>2063</v>
      </c>
      <c r="Q142" s="203" t="s">
        <v>2065</v>
      </c>
      <c r="R142" s="203" t="s">
        <v>2066</v>
      </c>
      <c r="S142" s="203" t="s">
        <v>2067</v>
      </c>
      <c r="T142" s="203" t="s">
        <v>2068</v>
      </c>
      <c r="U142" s="203" t="s">
        <v>1774</v>
      </c>
      <c r="V142" s="203" t="s">
        <v>2070</v>
      </c>
      <c r="W142" s="203" t="s">
        <v>2071</v>
      </c>
      <c r="X142" s="203" t="s">
        <v>2072</v>
      </c>
      <c r="Y142" s="203" t="s">
        <v>2073</v>
      </c>
      <c r="Z142" s="203" t="s">
        <v>2074</v>
      </c>
      <c r="AA142" s="203" t="s">
        <v>2075</v>
      </c>
      <c r="AB142" s="203" t="s">
        <v>2076</v>
      </c>
      <c r="AC142" s="203" t="s">
        <v>2077</v>
      </c>
      <c r="AD142" s="203" t="s">
        <v>2078</v>
      </c>
      <c r="AE142" s="203" t="s">
        <v>2079</v>
      </c>
    </row>
    <row r="143">
      <c r="A143" s="203" t="str">
        <f t="array" ref="A143:AT143">TRANSPOSE(INDIRECT(SWITCH(Venues!B143,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43" s="203" t="s">
        <v>2117</v>
      </c>
      <c r="C143" s="203" t="s">
        <v>2118</v>
      </c>
      <c r="D143" s="203" t="s">
        <v>2119</v>
      </c>
      <c r="E143" s="203" t="s">
        <v>2120</v>
      </c>
      <c r="F143" s="203" t="s">
        <v>2121</v>
      </c>
      <c r="G143" s="203" t="s">
        <v>2123</v>
      </c>
      <c r="H143" s="203" t="s">
        <v>2124</v>
      </c>
      <c r="I143" s="203" t="s">
        <v>2125</v>
      </c>
      <c r="J143" s="203" t="s">
        <v>2127</v>
      </c>
      <c r="K143" s="203" t="s">
        <v>2128</v>
      </c>
      <c r="L143" s="203" t="s">
        <v>2129</v>
      </c>
      <c r="M143" s="203" t="s">
        <v>2130</v>
      </c>
      <c r="N143" s="203" t="s">
        <v>2131</v>
      </c>
      <c r="O143" s="203" t="s">
        <v>2132</v>
      </c>
      <c r="P143" s="203" t="s">
        <v>2133</v>
      </c>
      <c r="Q143" s="203" t="s">
        <v>2134</v>
      </c>
      <c r="R143" s="203" t="s">
        <v>1782</v>
      </c>
      <c r="S143" s="203" t="s">
        <v>2135</v>
      </c>
      <c r="T143" s="203" t="s">
        <v>2136</v>
      </c>
      <c r="U143" s="203" t="s">
        <v>2137</v>
      </c>
      <c r="V143" s="203" t="s">
        <v>2138</v>
      </c>
      <c r="W143" s="203" t="s">
        <v>2139</v>
      </c>
      <c r="X143" s="203" t="s">
        <v>2140</v>
      </c>
      <c r="Y143" s="203" t="s">
        <v>2142</v>
      </c>
      <c r="Z143" s="203" t="s">
        <v>2143</v>
      </c>
      <c r="AA143" s="203" t="s">
        <v>2144</v>
      </c>
      <c r="AB143" s="203" t="s">
        <v>2145</v>
      </c>
      <c r="AC143" s="203" t="s">
        <v>2146</v>
      </c>
      <c r="AD143" s="203" t="s">
        <v>2148</v>
      </c>
      <c r="AE143" s="203" t="s">
        <v>2150</v>
      </c>
      <c r="AF143" s="203" t="s">
        <v>2151</v>
      </c>
      <c r="AG143" s="203" t="s">
        <v>2152</v>
      </c>
      <c r="AH143" s="203" t="s">
        <v>2154</v>
      </c>
      <c r="AI143" s="203" t="s">
        <v>2156</v>
      </c>
      <c r="AJ143" s="203" t="s">
        <v>2157</v>
      </c>
      <c r="AK143" s="203" t="s">
        <v>2158</v>
      </c>
      <c r="AL143" s="203" t="s">
        <v>2159</v>
      </c>
      <c r="AM143" s="203" t="s">
        <v>2160</v>
      </c>
      <c r="AN143" s="203" t="s">
        <v>2161</v>
      </c>
      <c r="AO143" s="203" t="s">
        <v>2162</v>
      </c>
      <c r="AP143" s="203" t="s">
        <v>2163</v>
      </c>
      <c r="AQ143" s="203" t="s">
        <v>2164</v>
      </c>
      <c r="AR143" s="203" t="s">
        <v>2165</v>
      </c>
      <c r="AS143" s="203" t="s">
        <v>2166</v>
      </c>
      <c r="AT143" s="203" t="s">
        <v>2167</v>
      </c>
    </row>
    <row r="144">
      <c r="A144" s="203" t="str">
        <f t="array" ref="A144:I144">TRANSPOSE(INDIRECT(SWITCH(Venues!B144,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Children’s menu</v>
      </c>
      <c r="B144" s="203" t="s">
        <v>2001</v>
      </c>
      <c r="C144" s="203" t="s">
        <v>2002</v>
      </c>
      <c r="D144" s="203" t="s">
        <v>2003</v>
      </c>
      <c r="E144" s="203" t="s">
        <v>2004</v>
      </c>
      <c r="F144" s="203" t="s">
        <v>2005</v>
      </c>
      <c r="G144" s="203" t="s">
        <v>2006</v>
      </c>
      <c r="H144" s="203" t="s">
        <v>2007</v>
      </c>
      <c r="I144" s="203" t="s">
        <v>2009</v>
      </c>
    </row>
    <row r="145">
      <c r="A145" s="203" t="str">
        <f t="array" ref="A145:U145">TRANSPOSE(INDIRECT(SWITCH(Venues!B145,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Historic buildings</v>
      </c>
      <c r="B145" s="203" t="s">
        <v>2388</v>
      </c>
      <c r="C145" s="203" t="s">
        <v>2389</v>
      </c>
      <c r="D145" s="203" t="s">
        <v>2390</v>
      </c>
      <c r="E145" s="203" t="s">
        <v>2391</v>
      </c>
      <c r="F145" s="203" t="s">
        <v>2392</v>
      </c>
      <c r="G145" s="203" t="s">
        <v>2393</v>
      </c>
      <c r="H145" s="203" t="s">
        <v>2394</v>
      </c>
      <c r="I145" s="203" t="s">
        <v>2395</v>
      </c>
      <c r="J145" s="203" t="s">
        <v>2396</v>
      </c>
      <c r="K145" s="203" t="s">
        <v>2397</v>
      </c>
      <c r="L145" s="203" t="s">
        <v>2398</v>
      </c>
      <c r="M145" s="203" t="s">
        <v>2399</v>
      </c>
      <c r="N145" s="203" t="s">
        <v>2400</v>
      </c>
      <c r="O145" s="203" t="s">
        <v>2402</v>
      </c>
      <c r="P145" s="203" t="s">
        <v>2034</v>
      </c>
      <c r="Q145" s="203" t="s">
        <v>2404</v>
      </c>
      <c r="R145" s="203" t="s">
        <v>2405</v>
      </c>
      <c r="S145" s="203" t="s">
        <v>2406</v>
      </c>
      <c r="T145" s="203" t="s">
        <v>2408</v>
      </c>
      <c r="U145" s="203" t="s">
        <v>2409</v>
      </c>
    </row>
    <row r="146">
      <c r="A146" s="203" t="str">
        <f t="array" ref="A146:AF146">TRANSPOSE(INDIRECT(SWITCH(Venues!B146,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146" s="203" t="s">
        <v>2080</v>
      </c>
      <c r="C146" s="203" t="s">
        <v>2081</v>
      </c>
      <c r="D146" s="203" t="s">
        <v>2082</v>
      </c>
      <c r="E146" s="203" t="s">
        <v>2083</v>
      </c>
      <c r="F146" s="203" t="s">
        <v>2084</v>
      </c>
      <c r="G146" s="203" t="s">
        <v>2086</v>
      </c>
      <c r="H146" s="203" t="s">
        <v>2087</v>
      </c>
      <c r="I146" s="203" t="s">
        <v>2088</v>
      </c>
      <c r="J146" s="203" t="s">
        <v>2089</v>
      </c>
      <c r="K146" s="203" t="s">
        <v>1893</v>
      </c>
      <c r="L146" s="203" t="s">
        <v>2090</v>
      </c>
      <c r="M146" s="203" t="s">
        <v>2091</v>
      </c>
      <c r="N146" s="203" t="s">
        <v>2092</v>
      </c>
      <c r="O146" s="203" t="s">
        <v>2093</v>
      </c>
      <c r="P146" s="203" t="s">
        <v>2094</v>
      </c>
      <c r="Q146" s="203" t="s">
        <v>2095</v>
      </c>
      <c r="R146" s="203" t="s">
        <v>2096</v>
      </c>
      <c r="S146" s="203" t="s">
        <v>2097</v>
      </c>
      <c r="T146" s="203" t="s">
        <v>2098</v>
      </c>
      <c r="U146" s="203" t="s">
        <v>1543</v>
      </c>
      <c r="V146" s="203" t="s">
        <v>1880</v>
      </c>
      <c r="W146" s="203" t="s">
        <v>1160</v>
      </c>
      <c r="X146" s="203" t="s">
        <v>2102</v>
      </c>
      <c r="Y146" s="203" t="s">
        <v>2104</v>
      </c>
      <c r="Z146" s="203" t="s">
        <v>2105</v>
      </c>
      <c r="AA146" s="203" t="s">
        <v>2106</v>
      </c>
      <c r="AB146" s="203" t="s">
        <v>2108</v>
      </c>
      <c r="AC146" s="203" t="s">
        <v>2110</v>
      </c>
      <c r="AD146" s="203" t="s">
        <v>2111</v>
      </c>
      <c r="AE146" s="203" t="s">
        <v>2112</v>
      </c>
      <c r="AF146" s="203" t="s">
        <v>2113</v>
      </c>
    </row>
    <row r="147">
      <c r="A147" s="203" t="str">
        <f t="array" ref="A147:AF147">TRANSPOSE(INDIRECT(SWITCH(Venues!B147,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147" s="203" t="s">
        <v>2080</v>
      </c>
      <c r="C147" s="203" t="s">
        <v>2081</v>
      </c>
      <c r="D147" s="203" t="s">
        <v>2082</v>
      </c>
      <c r="E147" s="203" t="s">
        <v>2083</v>
      </c>
      <c r="F147" s="203" t="s">
        <v>2084</v>
      </c>
      <c r="G147" s="203" t="s">
        <v>2086</v>
      </c>
      <c r="H147" s="203" t="s">
        <v>2087</v>
      </c>
      <c r="I147" s="203" t="s">
        <v>2088</v>
      </c>
      <c r="J147" s="203" t="s">
        <v>2089</v>
      </c>
      <c r="K147" s="203" t="s">
        <v>1893</v>
      </c>
      <c r="L147" s="203" t="s">
        <v>2090</v>
      </c>
      <c r="M147" s="203" t="s">
        <v>2091</v>
      </c>
      <c r="N147" s="203" t="s">
        <v>2092</v>
      </c>
      <c r="O147" s="203" t="s">
        <v>2093</v>
      </c>
      <c r="P147" s="203" t="s">
        <v>2094</v>
      </c>
      <c r="Q147" s="203" t="s">
        <v>2095</v>
      </c>
      <c r="R147" s="203" t="s">
        <v>2096</v>
      </c>
      <c r="S147" s="203" t="s">
        <v>2097</v>
      </c>
      <c r="T147" s="203" t="s">
        <v>2098</v>
      </c>
      <c r="U147" s="203" t="s">
        <v>1543</v>
      </c>
      <c r="V147" s="203" t="s">
        <v>1880</v>
      </c>
      <c r="W147" s="203" t="s">
        <v>1160</v>
      </c>
      <c r="X147" s="203" t="s">
        <v>2102</v>
      </c>
      <c r="Y147" s="203" t="s">
        <v>2104</v>
      </c>
      <c r="Z147" s="203" t="s">
        <v>2105</v>
      </c>
      <c r="AA147" s="203" t="s">
        <v>2106</v>
      </c>
      <c r="AB147" s="203" t="s">
        <v>2108</v>
      </c>
      <c r="AC147" s="203" t="s">
        <v>2110</v>
      </c>
      <c r="AD147" s="203" t="s">
        <v>2111</v>
      </c>
      <c r="AE147" s="203" t="s">
        <v>2112</v>
      </c>
      <c r="AF147" s="203" t="s">
        <v>2113</v>
      </c>
    </row>
    <row r="148">
      <c r="A148" s="203" t="str">
        <f t="array" ref="A148:AT148">TRANSPOSE(INDIRECT(SWITCH(Venues!B148,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48" s="203" t="s">
        <v>2117</v>
      </c>
      <c r="C148" s="203" t="s">
        <v>2118</v>
      </c>
      <c r="D148" s="203" t="s">
        <v>2119</v>
      </c>
      <c r="E148" s="203" t="s">
        <v>2120</v>
      </c>
      <c r="F148" s="203" t="s">
        <v>2121</v>
      </c>
      <c r="G148" s="203" t="s">
        <v>2123</v>
      </c>
      <c r="H148" s="203" t="s">
        <v>2124</v>
      </c>
      <c r="I148" s="203" t="s">
        <v>2125</v>
      </c>
      <c r="J148" s="203" t="s">
        <v>2127</v>
      </c>
      <c r="K148" s="203" t="s">
        <v>2128</v>
      </c>
      <c r="L148" s="203" t="s">
        <v>2129</v>
      </c>
      <c r="M148" s="203" t="s">
        <v>2130</v>
      </c>
      <c r="N148" s="203" t="s">
        <v>2131</v>
      </c>
      <c r="O148" s="203" t="s">
        <v>2132</v>
      </c>
      <c r="P148" s="203" t="s">
        <v>2133</v>
      </c>
      <c r="Q148" s="203" t="s">
        <v>2134</v>
      </c>
      <c r="R148" s="203" t="s">
        <v>1782</v>
      </c>
      <c r="S148" s="203" t="s">
        <v>2135</v>
      </c>
      <c r="T148" s="203" t="s">
        <v>2136</v>
      </c>
      <c r="U148" s="203" t="s">
        <v>2137</v>
      </c>
      <c r="V148" s="203" t="s">
        <v>2138</v>
      </c>
      <c r="W148" s="203" t="s">
        <v>2139</v>
      </c>
      <c r="X148" s="203" t="s">
        <v>2140</v>
      </c>
      <c r="Y148" s="203" t="s">
        <v>2142</v>
      </c>
      <c r="Z148" s="203" t="s">
        <v>2143</v>
      </c>
      <c r="AA148" s="203" t="s">
        <v>2144</v>
      </c>
      <c r="AB148" s="203" t="s">
        <v>2145</v>
      </c>
      <c r="AC148" s="203" t="s">
        <v>2146</v>
      </c>
      <c r="AD148" s="203" t="s">
        <v>2148</v>
      </c>
      <c r="AE148" s="203" t="s">
        <v>2150</v>
      </c>
      <c r="AF148" s="203" t="s">
        <v>2151</v>
      </c>
      <c r="AG148" s="203" t="s">
        <v>2152</v>
      </c>
      <c r="AH148" s="203" t="s">
        <v>2154</v>
      </c>
      <c r="AI148" s="203" t="s">
        <v>2156</v>
      </c>
      <c r="AJ148" s="203" t="s">
        <v>2157</v>
      </c>
      <c r="AK148" s="203" t="s">
        <v>2158</v>
      </c>
      <c r="AL148" s="203" t="s">
        <v>2159</v>
      </c>
      <c r="AM148" s="203" t="s">
        <v>2160</v>
      </c>
      <c r="AN148" s="203" t="s">
        <v>2161</v>
      </c>
      <c r="AO148" s="203" t="s">
        <v>2162</v>
      </c>
      <c r="AP148" s="203" t="s">
        <v>2163</v>
      </c>
      <c r="AQ148" s="203" t="s">
        <v>2164</v>
      </c>
      <c r="AR148" s="203" t="s">
        <v>2165</v>
      </c>
      <c r="AS148" s="203" t="s">
        <v>2166</v>
      </c>
      <c r="AT148" s="203" t="s">
        <v>2167</v>
      </c>
    </row>
    <row r="149">
      <c r="A149" s="203" t="str">
        <f t="array" ref="A149:AT149">TRANSPOSE(INDIRECT(SWITCH(Venues!B149,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49" s="203" t="s">
        <v>2117</v>
      </c>
      <c r="C149" s="203" t="s">
        <v>2118</v>
      </c>
      <c r="D149" s="203" t="s">
        <v>2119</v>
      </c>
      <c r="E149" s="203" t="s">
        <v>2120</v>
      </c>
      <c r="F149" s="203" t="s">
        <v>2121</v>
      </c>
      <c r="G149" s="203" t="s">
        <v>2123</v>
      </c>
      <c r="H149" s="203" t="s">
        <v>2124</v>
      </c>
      <c r="I149" s="203" t="s">
        <v>2125</v>
      </c>
      <c r="J149" s="203" t="s">
        <v>2127</v>
      </c>
      <c r="K149" s="203" t="s">
        <v>2128</v>
      </c>
      <c r="L149" s="203" t="s">
        <v>2129</v>
      </c>
      <c r="M149" s="203" t="s">
        <v>2130</v>
      </c>
      <c r="N149" s="203" t="s">
        <v>2131</v>
      </c>
      <c r="O149" s="203" t="s">
        <v>2132</v>
      </c>
      <c r="P149" s="203" t="s">
        <v>2133</v>
      </c>
      <c r="Q149" s="203" t="s">
        <v>2134</v>
      </c>
      <c r="R149" s="203" t="s">
        <v>1782</v>
      </c>
      <c r="S149" s="203" t="s">
        <v>2135</v>
      </c>
      <c r="T149" s="203" t="s">
        <v>2136</v>
      </c>
      <c r="U149" s="203" t="s">
        <v>2137</v>
      </c>
      <c r="V149" s="203" t="s">
        <v>2138</v>
      </c>
      <c r="W149" s="203" t="s">
        <v>2139</v>
      </c>
      <c r="X149" s="203" t="s">
        <v>2140</v>
      </c>
      <c r="Y149" s="203" t="s">
        <v>2142</v>
      </c>
      <c r="Z149" s="203" t="s">
        <v>2143</v>
      </c>
      <c r="AA149" s="203" t="s">
        <v>2144</v>
      </c>
      <c r="AB149" s="203" t="s">
        <v>2145</v>
      </c>
      <c r="AC149" s="203" t="s">
        <v>2146</v>
      </c>
      <c r="AD149" s="203" t="s">
        <v>2148</v>
      </c>
      <c r="AE149" s="203" t="s">
        <v>2150</v>
      </c>
      <c r="AF149" s="203" t="s">
        <v>2151</v>
      </c>
      <c r="AG149" s="203" t="s">
        <v>2152</v>
      </c>
      <c r="AH149" s="203" t="s">
        <v>2154</v>
      </c>
      <c r="AI149" s="203" t="s">
        <v>2156</v>
      </c>
      <c r="AJ149" s="203" t="s">
        <v>2157</v>
      </c>
      <c r="AK149" s="203" t="s">
        <v>2158</v>
      </c>
      <c r="AL149" s="203" t="s">
        <v>2159</v>
      </c>
      <c r="AM149" s="203" t="s">
        <v>2160</v>
      </c>
      <c r="AN149" s="203" t="s">
        <v>2161</v>
      </c>
      <c r="AO149" s="203" t="s">
        <v>2162</v>
      </c>
      <c r="AP149" s="203" t="s">
        <v>2163</v>
      </c>
      <c r="AQ149" s="203" t="s">
        <v>2164</v>
      </c>
      <c r="AR149" s="203" t="s">
        <v>2165</v>
      </c>
      <c r="AS149" s="203" t="s">
        <v>2166</v>
      </c>
      <c r="AT149" s="203" t="s">
        <v>2167</v>
      </c>
    </row>
    <row r="150">
      <c r="A150" s="203" t="str">
        <f t="array" ref="A150:X150">TRANSPOSE(INDIRECT(SWITCH(Venues!B150,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150" s="203" t="s">
        <v>2337</v>
      </c>
      <c r="C150" s="203" t="s">
        <v>2338</v>
      </c>
      <c r="D150" s="203" t="s">
        <v>2340</v>
      </c>
      <c r="E150" s="203" t="s">
        <v>2341</v>
      </c>
      <c r="F150" s="203" t="s">
        <v>2342</v>
      </c>
      <c r="G150" s="203" t="s">
        <v>2343</v>
      </c>
      <c r="H150" s="203" t="s">
        <v>2345</v>
      </c>
      <c r="I150" s="203" t="s">
        <v>2347</v>
      </c>
      <c r="J150" s="203" t="s">
        <v>2348</v>
      </c>
      <c r="K150" s="203" t="s">
        <v>2349</v>
      </c>
      <c r="L150" s="203" t="s">
        <v>2350</v>
      </c>
      <c r="M150" s="203" t="s">
        <v>2352</v>
      </c>
      <c r="N150" s="203" t="s">
        <v>2353</v>
      </c>
      <c r="O150" s="203" t="s">
        <v>2355</v>
      </c>
      <c r="P150" s="203" t="s">
        <v>1674</v>
      </c>
      <c r="Q150" s="203" t="s">
        <v>2357</v>
      </c>
      <c r="R150" s="203" t="s">
        <v>2358</v>
      </c>
      <c r="S150" s="203" t="s">
        <v>2359</v>
      </c>
      <c r="T150" s="203" t="s">
        <v>2361</v>
      </c>
      <c r="U150" s="203" t="s">
        <v>2363</v>
      </c>
      <c r="V150" s="203" t="s">
        <v>1729</v>
      </c>
      <c r="W150" s="203" t="s">
        <v>1730</v>
      </c>
      <c r="X150" s="203" t="s">
        <v>2365</v>
      </c>
    </row>
    <row r="151">
      <c r="A151" s="203" t="str">
        <f t="array" ref="A151:AT151">TRANSPOSE(INDIRECT(SWITCH(Venues!B151,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51" s="203" t="s">
        <v>2117</v>
      </c>
      <c r="C151" s="203" t="s">
        <v>2118</v>
      </c>
      <c r="D151" s="203" t="s">
        <v>2119</v>
      </c>
      <c r="E151" s="203" t="s">
        <v>2120</v>
      </c>
      <c r="F151" s="203" t="s">
        <v>2121</v>
      </c>
      <c r="G151" s="203" t="s">
        <v>2123</v>
      </c>
      <c r="H151" s="203" t="s">
        <v>2124</v>
      </c>
      <c r="I151" s="203" t="s">
        <v>2125</v>
      </c>
      <c r="J151" s="203" t="s">
        <v>2127</v>
      </c>
      <c r="K151" s="203" t="s">
        <v>2128</v>
      </c>
      <c r="L151" s="203" t="s">
        <v>2129</v>
      </c>
      <c r="M151" s="203" t="s">
        <v>2130</v>
      </c>
      <c r="N151" s="203" t="s">
        <v>2131</v>
      </c>
      <c r="O151" s="203" t="s">
        <v>2132</v>
      </c>
      <c r="P151" s="203" t="s">
        <v>2133</v>
      </c>
      <c r="Q151" s="203" t="s">
        <v>2134</v>
      </c>
      <c r="R151" s="203" t="s">
        <v>1782</v>
      </c>
      <c r="S151" s="203" t="s">
        <v>2135</v>
      </c>
      <c r="T151" s="203" t="s">
        <v>2136</v>
      </c>
      <c r="U151" s="203" t="s">
        <v>2137</v>
      </c>
      <c r="V151" s="203" t="s">
        <v>2138</v>
      </c>
      <c r="W151" s="203" t="s">
        <v>2139</v>
      </c>
      <c r="X151" s="203" t="s">
        <v>2140</v>
      </c>
      <c r="Y151" s="203" t="s">
        <v>2142</v>
      </c>
      <c r="Z151" s="203" t="s">
        <v>2143</v>
      </c>
      <c r="AA151" s="203" t="s">
        <v>2144</v>
      </c>
      <c r="AB151" s="203" t="s">
        <v>2145</v>
      </c>
      <c r="AC151" s="203" t="s">
        <v>2146</v>
      </c>
      <c r="AD151" s="203" t="s">
        <v>2148</v>
      </c>
      <c r="AE151" s="203" t="s">
        <v>2150</v>
      </c>
      <c r="AF151" s="203" t="s">
        <v>2151</v>
      </c>
      <c r="AG151" s="203" t="s">
        <v>2152</v>
      </c>
      <c r="AH151" s="203" t="s">
        <v>2154</v>
      </c>
      <c r="AI151" s="203" t="s">
        <v>2156</v>
      </c>
      <c r="AJ151" s="203" t="s">
        <v>2157</v>
      </c>
      <c r="AK151" s="203" t="s">
        <v>2158</v>
      </c>
      <c r="AL151" s="203" t="s">
        <v>2159</v>
      </c>
      <c r="AM151" s="203" t="s">
        <v>2160</v>
      </c>
      <c r="AN151" s="203" t="s">
        <v>2161</v>
      </c>
      <c r="AO151" s="203" t="s">
        <v>2162</v>
      </c>
      <c r="AP151" s="203" t="s">
        <v>2163</v>
      </c>
      <c r="AQ151" s="203" t="s">
        <v>2164</v>
      </c>
      <c r="AR151" s="203" t="s">
        <v>2165</v>
      </c>
      <c r="AS151" s="203" t="s">
        <v>2166</v>
      </c>
      <c r="AT151" s="203" t="s">
        <v>2167</v>
      </c>
    </row>
    <row r="152">
      <c r="A152" s="203" t="str">
        <f t="array" ref="A152:AT152">TRANSPOSE(INDIRECT(SWITCH(Venues!B152,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Rope bridges</v>
      </c>
      <c r="B152" s="203" t="s">
        <v>2117</v>
      </c>
      <c r="C152" s="203" t="s">
        <v>2118</v>
      </c>
      <c r="D152" s="203" t="s">
        <v>2119</v>
      </c>
      <c r="E152" s="203" t="s">
        <v>2120</v>
      </c>
      <c r="F152" s="203" t="s">
        <v>2121</v>
      </c>
      <c r="G152" s="203" t="s">
        <v>2123</v>
      </c>
      <c r="H152" s="203" t="s">
        <v>2124</v>
      </c>
      <c r="I152" s="203" t="s">
        <v>2125</v>
      </c>
      <c r="J152" s="203" t="s">
        <v>2127</v>
      </c>
      <c r="K152" s="203" t="s">
        <v>2128</v>
      </c>
      <c r="L152" s="203" t="s">
        <v>2129</v>
      </c>
      <c r="M152" s="203" t="s">
        <v>2130</v>
      </c>
      <c r="N152" s="203" t="s">
        <v>2131</v>
      </c>
      <c r="O152" s="203" t="s">
        <v>2132</v>
      </c>
      <c r="P152" s="203" t="s">
        <v>2133</v>
      </c>
      <c r="Q152" s="203" t="s">
        <v>2134</v>
      </c>
      <c r="R152" s="203" t="s">
        <v>1782</v>
      </c>
      <c r="S152" s="203" t="s">
        <v>2135</v>
      </c>
      <c r="T152" s="203" t="s">
        <v>2136</v>
      </c>
      <c r="U152" s="203" t="s">
        <v>2137</v>
      </c>
      <c r="V152" s="203" t="s">
        <v>2138</v>
      </c>
      <c r="W152" s="203" t="s">
        <v>2139</v>
      </c>
      <c r="X152" s="203" t="s">
        <v>2140</v>
      </c>
      <c r="Y152" s="203" t="s">
        <v>2142</v>
      </c>
      <c r="Z152" s="203" t="s">
        <v>2143</v>
      </c>
      <c r="AA152" s="203" t="s">
        <v>2144</v>
      </c>
      <c r="AB152" s="203" t="s">
        <v>2145</v>
      </c>
      <c r="AC152" s="203" t="s">
        <v>2146</v>
      </c>
      <c r="AD152" s="203" t="s">
        <v>2148</v>
      </c>
      <c r="AE152" s="203" t="s">
        <v>2150</v>
      </c>
      <c r="AF152" s="203" t="s">
        <v>2151</v>
      </c>
      <c r="AG152" s="203" t="s">
        <v>2152</v>
      </c>
      <c r="AH152" s="203" t="s">
        <v>2154</v>
      </c>
      <c r="AI152" s="203" t="s">
        <v>2156</v>
      </c>
      <c r="AJ152" s="203" t="s">
        <v>2157</v>
      </c>
      <c r="AK152" s="203" t="s">
        <v>2158</v>
      </c>
      <c r="AL152" s="203" t="s">
        <v>2159</v>
      </c>
      <c r="AM152" s="203" t="s">
        <v>2160</v>
      </c>
      <c r="AN152" s="203" t="s">
        <v>2161</v>
      </c>
      <c r="AO152" s="203" t="s">
        <v>2162</v>
      </c>
      <c r="AP152" s="203" t="s">
        <v>2163</v>
      </c>
      <c r="AQ152" s="203" t="s">
        <v>2164</v>
      </c>
      <c r="AR152" s="203" t="s">
        <v>2165</v>
      </c>
      <c r="AS152" s="203" t="s">
        <v>2166</v>
      </c>
      <c r="AT152" s="203" t="s">
        <v>2167</v>
      </c>
    </row>
    <row r="153">
      <c r="A153" s="203" t="str">
        <f t="array" ref="A153:AE153">TRANSPOSE(INDIRECT(SWITCH(Venues!B153,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153" s="203" t="s">
        <v>2048</v>
      </c>
      <c r="C153" s="203" t="s">
        <v>2050</v>
      </c>
      <c r="D153" s="203" t="s">
        <v>1732</v>
      </c>
      <c r="E153" s="203" t="s">
        <v>2051</v>
      </c>
      <c r="F153" s="203" t="s">
        <v>2053</v>
      </c>
      <c r="G153" s="203" t="s">
        <v>2054</v>
      </c>
      <c r="H153" s="203" t="s">
        <v>2055</v>
      </c>
      <c r="I153" s="203" t="s">
        <v>2056</v>
      </c>
      <c r="J153" s="203" t="s">
        <v>2057</v>
      </c>
      <c r="K153" s="203" t="s">
        <v>2058</v>
      </c>
      <c r="L153" s="203" t="s">
        <v>2059</v>
      </c>
      <c r="M153" s="203" t="s">
        <v>2060</v>
      </c>
      <c r="N153" s="203" t="s">
        <v>2061</v>
      </c>
      <c r="O153" s="203" t="s">
        <v>2062</v>
      </c>
      <c r="P153" s="203" t="s">
        <v>2063</v>
      </c>
      <c r="Q153" s="203" t="s">
        <v>2065</v>
      </c>
      <c r="R153" s="203" t="s">
        <v>2066</v>
      </c>
      <c r="S153" s="203" t="s">
        <v>2067</v>
      </c>
      <c r="T153" s="203" t="s">
        <v>2068</v>
      </c>
      <c r="U153" s="203" t="s">
        <v>1774</v>
      </c>
      <c r="V153" s="203" t="s">
        <v>2070</v>
      </c>
      <c r="W153" s="203" t="s">
        <v>2071</v>
      </c>
      <c r="X153" s="203" t="s">
        <v>2072</v>
      </c>
      <c r="Y153" s="203" t="s">
        <v>2073</v>
      </c>
      <c r="Z153" s="203" t="s">
        <v>2074</v>
      </c>
      <c r="AA153" s="203" t="s">
        <v>2075</v>
      </c>
      <c r="AB153" s="203" t="s">
        <v>2076</v>
      </c>
      <c r="AC153" s="203" t="s">
        <v>2077</v>
      </c>
      <c r="AD153" s="203" t="s">
        <v>2078</v>
      </c>
      <c r="AE153" s="203" t="s">
        <v>2079</v>
      </c>
    </row>
    <row r="154">
      <c r="A154" s="203" t="str">
        <f t="array" ref="A154:O154">TRANSPOSE(INDIRECT(SWITCH(Venues!B154,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Rides &amp; attractions</v>
      </c>
      <c r="B154" s="203" t="s">
        <v>2028</v>
      </c>
      <c r="C154" s="203" t="s">
        <v>2029</v>
      </c>
      <c r="D154" s="203" t="s">
        <v>2030</v>
      </c>
      <c r="E154" s="203" t="s">
        <v>2031</v>
      </c>
      <c r="F154" s="203" t="s">
        <v>2032</v>
      </c>
      <c r="G154" s="203" t="s">
        <v>2033</v>
      </c>
      <c r="H154" s="203" t="s">
        <v>2034</v>
      </c>
      <c r="I154" s="203" t="s">
        <v>2035</v>
      </c>
      <c r="J154" s="203" t="s">
        <v>2036</v>
      </c>
      <c r="K154" s="203" t="s">
        <v>2037</v>
      </c>
      <c r="L154" s="203" t="s">
        <v>2038</v>
      </c>
      <c r="M154" s="203" t="s">
        <v>2039</v>
      </c>
      <c r="N154" s="203" t="s">
        <v>2040</v>
      </c>
      <c r="O154" s="203" t="s">
        <v>2041</v>
      </c>
    </row>
    <row r="155">
      <c r="A155" s="203" t="str">
        <f t="array" ref="A155">TRANSPOSE(INDIRECT(SWITCH(Venues!B155,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c r="AE155" s="203"/>
    </row>
    <row r="156">
      <c r="A156" s="203" t="str">
        <f t="array" ref="A156">TRANSPOSE(INDIRECT(SWITCH(Venues!B156,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6" s="203"/>
      <c r="C156" s="203"/>
      <c r="D156" s="203"/>
      <c r="E156" s="203"/>
      <c r="F156" s="203"/>
      <c r="G156" s="203"/>
      <c r="H156" s="203"/>
      <c r="I156" s="203"/>
      <c r="J156" s="203"/>
      <c r="K156" s="203"/>
      <c r="L156" s="203"/>
      <c r="M156" s="203"/>
      <c r="N156" s="203"/>
      <c r="O156" s="203"/>
    </row>
    <row r="157">
      <c r="A157" s="203" t="str">
        <f t="array" ref="A157">TRANSPOSE(INDIRECT(SWITCH(Venues!B157,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7" s="203"/>
      <c r="C157" s="203"/>
      <c r="D157" s="203"/>
      <c r="E157" s="203"/>
      <c r="F157" s="203"/>
      <c r="G157" s="203"/>
      <c r="H157" s="203"/>
      <c r="I157" s="203"/>
    </row>
    <row r="158">
      <c r="A158" s="203" t="str">
        <f t="array" ref="A158">TRANSPOSE(INDIRECT(SWITCH(Venues!B158,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59">
      <c r="A159" s="203" t="str">
        <f t="array" ref="A159">TRANSPOSE(INDIRECT(SWITCH(Venues!B159,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0">
      <c r="A160" s="203" t="str">
        <f t="array" ref="A160">TRANSPOSE(INDIRECT(SWITCH(Venues!B160,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1">
      <c r="A161" s="203" t="str">
        <f t="array" ref="A161">TRANSPOSE(INDIRECT(SWITCH(Venues!B161,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2">
      <c r="A162" s="203" t="str">
        <f t="array" ref="A162">TRANSPOSE(INDIRECT(SWITCH(Venues!B162,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3">
      <c r="A163" s="203" t="str">
        <f t="array" ref="A163">TRANSPOSE(INDIRECT(SWITCH(Venues!B163,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4">
      <c r="A164" s="203" t="str">
        <f t="array" ref="A164">TRANSPOSE(INDIRECT(SWITCH(Venues!B164,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5">
      <c r="A165" s="203" t="str">
        <f t="array" ref="A165">TRANSPOSE(INDIRECT(SWITCH(Venues!B165,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6">
      <c r="A166" s="203" t="str">
        <f t="array" ref="A166">TRANSPOSE(INDIRECT(SWITCH(Venues!B166,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7">
      <c r="A167" s="203" t="str">
        <f t="array" ref="A167">TRANSPOSE(INDIRECT(SWITCH(Venues!B167,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8">
      <c r="A168" s="203" t="str">
        <f t="array" ref="A168">TRANSPOSE(INDIRECT(SWITCH(Venues!B168,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9">
      <c r="A169" s="203" t="str">
        <f t="array" ref="A169">TRANSPOSE(INDIRECT(SWITCH(Venues!B169,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0">
      <c r="A170" s="203" t="str">
        <f t="array" ref="A170">TRANSPOSE(INDIRECT(SWITCH(Venues!B170,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1">
      <c r="A171" s="203" t="str">
        <f t="array" ref="A171">TRANSPOSE(INDIRECT(SWITCH(Venues!B171,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2">
      <c r="A172" s="203" t="str">
        <f t="array" ref="A172">TRANSPOSE(INDIRECT(SWITCH(Venues!B172,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3">
      <c r="A173" s="203" t="str">
        <f t="array" ref="A173">TRANSPOSE(INDIRECT(SWITCH(Venues!B173,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4">
      <c r="A174" s="203" t="str">
        <f t="array" ref="A174">TRANSPOSE(INDIRECT(SWITCH(Venues!B174,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5">
      <c r="A175" s="203" t="str">
        <f t="array" ref="A175">TRANSPOSE(INDIRECT(SWITCH(Venues!B175,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6">
      <c r="A176" s="203" t="str">
        <f t="array" ref="A176">TRANSPOSE(INDIRECT(SWITCH(Venues!B192,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03" t="str">
        <f t="array" ref="A5:X5">TRANSPOSE(INDIRECT(SWITCH(Events!B5,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5" s="203" t="s">
        <v>2337</v>
      </c>
      <c r="C5" s="203" t="s">
        <v>2338</v>
      </c>
      <c r="D5" s="203" t="s">
        <v>2340</v>
      </c>
      <c r="E5" s="203" t="s">
        <v>2341</v>
      </c>
      <c r="F5" s="203" t="s">
        <v>2342</v>
      </c>
      <c r="G5" s="203" t="s">
        <v>2343</v>
      </c>
      <c r="H5" s="203" t="s">
        <v>2345</v>
      </c>
      <c r="I5" s="203" t="s">
        <v>2347</v>
      </c>
      <c r="J5" s="203" t="s">
        <v>2348</v>
      </c>
      <c r="K5" s="203" t="s">
        <v>2349</v>
      </c>
      <c r="L5" s="203" t="s">
        <v>2350</v>
      </c>
      <c r="M5" s="203" t="s">
        <v>2352</v>
      </c>
      <c r="N5" s="203" t="s">
        <v>2353</v>
      </c>
      <c r="O5" s="203" t="s">
        <v>2355</v>
      </c>
      <c r="P5" s="203" t="s">
        <v>1674</v>
      </c>
      <c r="Q5" s="203" t="s">
        <v>2357</v>
      </c>
      <c r="R5" s="203" t="s">
        <v>2358</v>
      </c>
      <c r="S5" s="203" t="s">
        <v>2359</v>
      </c>
      <c r="T5" s="203" t="s">
        <v>2361</v>
      </c>
      <c r="U5" s="203" t="s">
        <v>2363</v>
      </c>
      <c r="V5" s="203" t="s">
        <v>1729</v>
      </c>
      <c r="W5" s="203" t="s">
        <v>1730</v>
      </c>
      <c r="X5" s="203" t="s">
        <v>2365</v>
      </c>
    </row>
    <row r="6">
      <c r="A6" s="203" t="str">
        <f t="array" ref="A6:S6">TRANSPOSE(INDIRECT(SWITCH(Events!B6,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6" s="203" t="s">
        <v>1716</v>
      </c>
      <c r="C6" s="203" t="s">
        <v>1718</v>
      </c>
      <c r="D6" s="203" t="s">
        <v>1720</v>
      </c>
      <c r="E6" s="203" t="s">
        <v>1722</v>
      </c>
      <c r="F6" s="203" t="s">
        <v>1723</v>
      </c>
      <c r="G6" s="203" t="s">
        <v>1724</v>
      </c>
      <c r="H6" s="203" t="s">
        <v>1726</v>
      </c>
      <c r="I6" s="203" t="s">
        <v>1727</v>
      </c>
      <c r="J6" s="203" t="s">
        <v>1729</v>
      </c>
      <c r="K6" s="203" t="s">
        <v>1730</v>
      </c>
      <c r="L6" s="203" t="s">
        <v>1731</v>
      </c>
      <c r="M6" s="203" t="s">
        <v>1732</v>
      </c>
      <c r="N6" s="203" t="s">
        <v>1733</v>
      </c>
      <c r="O6" s="203" t="s">
        <v>1734</v>
      </c>
      <c r="P6" s="203" t="s">
        <v>1735</v>
      </c>
      <c r="Q6" s="203" t="s">
        <v>1736</v>
      </c>
      <c r="R6" s="203" t="s">
        <v>1738</v>
      </c>
      <c r="S6" s="203" t="s">
        <v>1739</v>
      </c>
    </row>
    <row r="7">
      <c r="A7" s="203" t="str">
        <f t="array" ref="A7:V7">TRANSPOSE(INDIRECT(SWITCH(Events!B7,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Messy, hands-on crafts</v>
      </c>
      <c r="B7" s="203" t="s">
        <v>2410</v>
      </c>
      <c r="C7" s="203" t="s">
        <v>2411</v>
      </c>
      <c r="D7" s="203" t="s">
        <v>2412</v>
      </c>
      <c r="E7" s="203" t="s">
        <v>2413</v>
      </c>
      <c r="F7" s="203" t="s">
        <v>2414</v>
      </c>
      <c r="G7" s="203" t="s">
        <v>2415</v>
      </c>
      <c r="H7" s="203" t="s">
        <v>2416</v>
      </c>
      <c r="I7" s="203" t="s">
        <v>2418</v>
      </c>
      <c r="J7" s="203" t="s">
        <v>2419</v>
      </c>
      <c r="K7" s="203" t="s">
        <v>2420</v>
      </c>
      <c r="L7" s="203" t="s">
        <v>2422</v>
      </c>
      <c r="M7" s="203" t="s">
        <v>2423</v>
      </c>
      <c r="N7" s="203" t="s">
        <v>2424</v>
      </c>
      <c r="O7" s="203" t="s">
        <v>2425</v>
      </c>
      <c r="P7" s="203" t="s">
        <v>2427</v>
      </c>
      <c r="Q7" s="203" t="s">
        <v>2428</v>
      </c>
      <c r="R7" s="203" t="s">
        <v>2430</v>
      </c>
      <c r="S7" s="203" t="s">
        <v>2432</v>
      </c>
      <c r="T7" s="203" t="s">
        <v>2433</v>
      </c>
      <c r="U7" s="203" t="s">
        <v>2434</v>
      </c>
      <c r="V7" s="203" t="s">
        <v>2435</v>
      </c>
    </row>
    <row r="8">
      <c r="A8" s="203" t="str">
        <f t="array" ref="A8:S8">TRANSPOSE(INDIRECT(SWITCH(Events!B8,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8" s="203" t="s">
        <v>1716</v>
      </c>
      <c r="C8" s="203" t="s">
        <v>1718</v>
      </c>
      <c r="D8" s="203" t="s">
        <v>1720</v>
      </c>
      <c r="E8" s="203" t="s">
        <v>1722</v>
      </c>
      <c r="F8" s="203" t="s">
        <v>1723</v>
      </c>
      <c r="G8" s="203" t="s">
        <v>1724</v>
      </c>
      <c r="H8" s="203" t="s">
        <v>1726</v>
      </c>
      <c r="I8" s="203" t="s">
        <v>1727</v>
      </c>
      <c r="J8" s="203" t="s">
        <v>1729</v>
      </c>
      <c r="K8" s="203" t="s">
        <v>1730</v>
      </c>
      <c r="L8" s="203" t="s">
        <v>1731</v>
      </c>
      <c r="M8" s="203" t="s">
        <v>1732</v>
      </c>
      <c r="N8" s="203" t="s">
        <v>1733</v>
      </c>
      <c r="O8" s="203" t="s">
        <v>1734</v>
      </c>
      <c r="P8" s="203" t="s">
        <v>1735</v>
      </c>
      <c r="Q8" s="203" t="s">
        <v>1736</v>
      </c>
      <c r="R8" s="203" t="s">
        <v>1738</v>
      </c>
      <c r="S8" s="203" t="s">
        <v>1739</v>
      </c>
    </row>
    <row r="9">
      <c r="A9" s="203" t="str">
        <f t="array" ref="A9:J9">TRANSPOSE(INDIRECT(SWITCH(Events!B9,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9" s="203" t="s">
        <v>1954</v>
      </c>
      <c r="C9" s="203" t="s">
        <v>1956</v>
      </c>
      <c r="D9" s="203" t="s">
        <v>1957</v>
      </c>
      <c r="E9" s="203" t="s">
        <v>1959</v>
      </c>
      <c r="F9" s="203" t="s">
        <v>1961</v>
      </c>
      <c r="G9" s="203" t="s">
        <v>1962</v>
      </c>
      <c r="H9" s="203" t="s">
        <v>1964</v>
      </c>
      <c r="I9" s="203" t="s">
        <v>1296</v>
      </c>
      <c r="J9" s="203" t="s">
        <v>1966</v>
      </c>
    </row>
    <row r="10">
      <c r="A10" s="203" t="str">
        <f t="array" ref="A10">TRANSPOSE(INDIRECT(SWITCH(Events!B10,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1">
      <c r="A11" s="203" t="str">
        <f t="array" ref="A11">TRANSPOSE(INDIRECT(SWITCH(Events!B11,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2">
      <c r="A12" s="203" t="str">
        <f t="array" ref="A12">TRANSPOSE(INDIRECT(SWITCH(Events!B12,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3">
      <c r="A13" s="203" t="str">
        <f t="array" ref="A13">TRANSPOSE(INDIRECT(SWITCH(Events!B13,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4">
      <c r="A14" s="203" t="str">
        <f t="shared" ref="A14:A39"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5">
      <c r="A15" s="203" t="str">
        <f t="shared" si="1"/>
        <v>#REF!</v>
      </c>
    </row>
    <row r="16">
      <c r="A16" s="203" t="str">
        <f t="shared" si="1"/>
        <v>#REF!</v>
      </c>
    </row>
    <row r="17">
      <c r="A17" s="203" t="str">
        <f t="shared" si="1"/>
        <v>#REF!</v>
      </c>
    </row>
    <row r="18">
      <c r="A18" s="203" t="str">
        <f t="shared" si="1"/>
        <v>#REF!</v>
      </c>
    </row>
    <row r="19">
      <c r="A19" s="203" t="str">
        <f t="shared" si="1"/>
        <v>#REF!</v>
      </c>
    </row>
    <row r="20">
      <c r="A20" s="203" t="str">
        <f t="shared" si="1"/>
        <v>#REF!</v>
      </c>
    </row>
    <row r="21">
      <c r="A21" s="203" t="str">
        <f t="shared" si="1"/>
        <v>#REF!</v>
      </c>
    </row>
    <row r="22">
      <c r="A22" s="203" t="str">
        <f t="shared" si="1"/>
        <v>#REF!</v>
      </c>
    </row>
    <row r="23">
      <c r="A23" s="203" t="str">
        <f t="shared" si="1"/>
        <v>#REF!</v>
      </c>
    </row>
    <row r="24">
      <c r="A24" s="203" t="str">
        <f t="shared" si="1"/>
        <v>#REF!</v>
      </c>
    </row>
    <row r="25">
      <c r="A25" s="203" t="str">
        <f t="shared" si="1"/>
        <v>#REF!</v>
      </c>
    </row>
    <row r="26">
      <c r="A26" s="203" t="str">
        <f t="shared" si="1"/>
        <v>#REF!</v>
      </c>
    </row>
    <row r="27">
      <c r="A27" s="203" t="str">
        <f t="shared" si="1"/>
        <v>#REF!</v>
      </c>
    </row>
    <row r="28">
      <c r="A28" s="203" t="str">
        <f t="shared" si="1"/>
        <v>#REF!</v>
      </c>
    </row>
    <row r="29">
      <c r="A29" s="203" t="str">
        <f t="shared" si="1"/>
        <v>#REF!</v>
      </c>
    </row>
    <row r="30">
      <c r="A30" s="203" t="str">
        <f t="shared" si="1"/>
        <v>#REF!</v>
      </c>
    </row>
    <row r="31">
      <c r="A31" s="203" t="str">
        <f t="shared" si="1"/>
        <v>#REF!</v>
      </c>
    </row>
    <row r="32">
      <c r="A32" s="203" t="str">
        <f t="shared" si="1"/>
        <v>#REF!</v>
      </c>
    </row>
    <row r="33">
      <c r="A33" s="203" t="str">
        <f t="shared" si="1"/>
        <v>#REF!</v>
      </c>
    </row>
    <row r="34">
      <c r="A34" s="203" t="str">
        <f t="shared" si="1"/>
        <v>#REF!</v>
      </c>
    </row>
    <row r="35">
      <c r="A35" s="203" t="str">
        <f t="shared" si="1"/>
        <v>#REF!</v>
      </c>
    </row>
    <row r="36">
      <c r="A36" s="203" t="str">
        <f t="shared" si="1"/>
        <v>#REF!</v>
      </c>
    </row>
    <row r="37">
      <c r="A37" s="203" t="str">
        <f t="shared" si="1"/>
        <v>#REF!</v>
      </c>
    </row>
    <row r="38">
      <c r="A38" s="203" t="str">
        <f t="shared" si="1"/>
        <v>#REF!</v>
      </c>
    </row>
    <row r="39">
      <c r="A39" s="203" t="str">
        <f t="shared" si="1"/>
        <v>#REF!</v>
      </c>
    </row>
    <row r="40">
      <c r="A40" s="203" t="str">
        <f t="array" ref="A40">TRANSPOSE(INDIRECT(SWITCH(Events!B14,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1">
      <c r="A41" s="203" t="str">
        <f t="array" ref="A41">TRANSPOSE(INDIRECT(SWITCH(Events!B15,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2">
      <c r="A42" s="203" t="str">
        <f t="array" ref="A42">TRANSPOSE(INDIRECT(SWITCH(Events!B16,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3">
      <c r="A43" s="203" t="str">
        <f t="array" ref="A43">TRANSPOSE(INDIRECT(SWITCH(Events!B17,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4">
      <c r="A44" s="203" t="str">
        <f t="array" ref="A44">TRANSPOSE(INDIRECT(SWITCH(Events!B18,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5">
      <c r="A45" s="203" t="str">
        <f t="array" ref="A45">TRANSPOSE(INDIRECT(SWITCH(Events!B19,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6">
      <c r="A46" s="203" t="str">
        <f t="array" ref="A46">TRANSPOSE(INDIRECT(SWITCH(Events!B20,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7">
      <c r="A47" s="203" t="str">
        <f t="array" ref="A47">TRANSPOSE(INDIRECT(SWITCH(Events!B21,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8">
      <c r="A48" s="203" t="str">
        <f t="array" ref="A48">TRANSPOSE(INDIRECT(SWITCH(Events!B22,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9">
      <c r="A49" s="203" t="str">
        <f t="array" ref="A49">TRANSPOSE(INDIRECT(SWITCH(Events!B23,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0">
      <c r="A50" s="203" t="str">
        <f t="array" ref="A50">TRANSPOSE(INDIRECT(SWITCH(Events!B24,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1">
      <c r="A51" s="203" t="str">
        <f t="array" ref="A51">TRANSPOSE(INDIRECT(SWITCH(Events!B25,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2">
      <c r="A52" s="203" t="str">
        <f t="array" ref="A52">TRANSPOSE(INDIRECT(SWITCH(Events!B26,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3">
      <c r="A53" s="203" t="str">
        <f t="array" ref="A53">TRANSPOSE(INDIRECT(SWITCH(Events!B27,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4">
      <c r="A54" s="203" t="str">
        <f t="array" ref="A54">TRANSPOSE(INDIRECT(SWITCH(Events!B28,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5">
      <c r="A55" s="203" t="str">
        <f t="array" ref="A55">TRANSPOSE(INDIRECT(SWITCH(Events!B29,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6">
      <c r="A56" s="203" t="str">
        <f t="array" ref="A56">TRANSPOSE(INDIRECT(SWITCH(Events!B30,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7">
      <c r="A57" s="203" t="str">
        <f t="array" ref="A57">TRANSPOSE(INDIRECT(SWITCH(Events!B31,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8">
      <c r="A58" s="203" t="str">
        <f t="array" ref="A58">TRANSPOSE(INDIRECT(SWITCH(Events!B32,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9">
      <c r="A59" s="203" t="str">
        <f t="array" ref="A59">TRANSPOSE(INDIRECT(SWITCH(Events!B33,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0">
      <c r="A60" s="203" t="str">
        <f t="array" ref="A60">TRANSPOSE(INDIRECT(SWITCH(Events!B34,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1">
      <c r="A61" s="203" t="str">
        <f t="array" ref="A61">TRANSPOSE(INDIRECT(SWITCH(Events!B35,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2">
      <c r="A62" s="203" t="str">
        <f t="array" ref="A62">TRANSPOSE(INDIRECT(SWITCH(Events!B36,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3">
      <c r="A63" s="203" t="str">
        <f t="array" ref="A63">TRANSPOSE(INDIRECT(SWITCH(Events!B37,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4">
      <c r="A64" s="203" t="str">
        <f t="array" ref="A64">TRANSPOSE(INDIRECT(SWITCH(Events!B38,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5">
      <c r="A65" s="203" t="str">
        <f t="array" ref="A65">TRANSPOSE(INDIRECT(SWITCH(Events!B39,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6">
      <c r="A66" s="203" t="str">
        <f t="array" ref="A66">TRANSPOSE(INDIRECT(SWITCH(Events!B40,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7">
      <c r="A67" s="203" t="str">
        <f t="array" ref="A67">TRANSPOSE(INDIRECT(SWITCH(Events!B41,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8">
      <c r="A68" s="203" t="str">
        <f t="array" ref="A68">TRANSPOSE(INDIRECT(SWITCH(Events!B42,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9">
      <c r="A69" s="203" t="str">
        <f t="array" ref="A69">TRANSPOSE(INDIRECT(SWITCH(Events!B43,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0">
      <c r="A70" s="203" t="str">
        <f t="array" ref="A70">TRANSPOSE(INDIRECT(SWITCH(Events!B44,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1">
      <c r="A71" s="203" t="str">
        <f t="array" ref="A71">TRANSPOSE(INDIRECT(SWITCH(Events!B45,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2">
      <c r="A72" s="203" t="str">
        <f t="array" ref="A72">TRANSPOSE(INDIRECT(SWITCH(Events!B46,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3">
      <c r="A73" s="203" t="str">
        <f t="array" ref="A73">TRANSPOSE(INDIRECT(SWITCH(Events!B47,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4">
      <c r="A74" s="203" t="str">
        <f t="array" ref="A74">TRANSPOSE(INDIRECT(SWITCH(Events!B48,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5">
      <c r="A75" s="203" t="str">
        <f t="array" ref="A75">TRANSPOSE(INDIRECT(SWITCH(Events!B49,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6">
      <c r="A76" s="203" t="str">
        <f t="array" ref="A76">TRANSPOSE(INDIRECT(SWITCH(Events!B50,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7">
      <c r="A77" s="203" t="str">
        <f t="array" ref="A77">TRANSPOSE(INDIRECT(SWITCH(Events!B51,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8">
      <c r="A78" s="203" t="str">
        <f t="array" ref="A78">TRANSPOSE(INDIRECT(SWITCH(Events!B52,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9">
      <c r="A79" s="203" t="str">
        <f t="array" ref="A79">TRANSPOSE(INDIRECT(SWITCH(Events!B53,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0">
      <c r="A80" s="203" t="str">
        <f t="array" ref="A80">TRANSPOSE(INDIRECT(SWITCH(Events!B54,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1">
      <c r="A81" s="203" t="str">
        <f t="array" ref="A81">TRANSPOSE(INDIRECT(SWITCH(Events!B55,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2">
      <c r="A82" s="203" t="str">
        <f t="array" ref="A82">TRANSPOSE(INDIRECT(SWITCH(Events!B56,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3">
      <c r="A83" s="203" t="str">
        <f t="array" ref="A83">TRANSPOSE(INDIRECT(SWITCH(Events!B57,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4">
      <c r="A84" s="203" t="str">
        <f t="array" ref="A84">TRANSPOSE(INDIRECT(SWITCH(Events!B58,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5">
      <c r="A85" s="203" t="str">
        <f t="array" ref="A85">TRANSPOSE(INDIRECT(SWITCH(Events!B59,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6">
      <c r="A86" s="203" t="str">
        <f t="array" ref="A86">TRANSPOSE(INDIRECT(SWITCH(Events!B60,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7">
      <c r="A87" s="203" t="str">
        <f t="array" ref="A87">TRANSPOSE(INDIRECT(SWITCH(Events!B61,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8">
      <c r="A88" s="203" t="str">
        <f t="array" ref="A88">TRANSPOSE(INDIRECT(SWITCH(Events!B62,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9">
      <c r="A89" s="203" t="str">
        <f t="array" ref="A89">TRANSPOSE(INDIRECT(SWITCH(Events!B63,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90">
      <c r="A90" s="203" t="str">
        <f t="array" ref="A90">TRANSPOSE(INDIRECT(SWITCH(Events!B64,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1.38"/>
  </cols>
  <sheetData>
    <row r="1">
      <c r="A1" s="227"/>
      <c r="B1" s="227"/>
      <c r="C1" s="227"/>
      <c r="D1" s="227"/>
      <c r="E1" s="227"/>
      <c r="F1" s="227"/>
      <c r="G1" s="227"/>
      <c r="H1" s="227"/>
      <c r="I1" s="227"/>
    </row>
    <row r="2">
      <c r="A2" s="228" t="s">
        <v>2825</v>
      </c>
      <c r="B2" s="228" t="s">
        <v>2826</v>
      </c>
      <c r="C2" s="228" t="s">
        <v>2827</v>
      </c>
      <c r="D2" s="228" t="s">
        <v>2828</v>
      </c>
      <c r="E2" s="228" t="s">
        <v>2829</v>
      </c>
      <c r="F2" s="228" t="s">
        <v>2830</v>
      </c>
      <c r="G2" s="228" t="s">
        <v>2831</v>
      </c>
      <c r="H2" s="229" t="s">
        <v>2832</v>
      </c>
      <c r="I2" s="229" t="s">
        <v>2833</v>
      </c>
    </row>
    <row r="3">
      <c r="A3" s="230" t="s">
        <v>2834</v>
      </c>
    </row>
    <row r="4">
      <c r="A4" s="231" t="s">
        <v>151</v>
      </c>
      <c r="B4" s="231" t="s">
        <v>37</v>
      </c>
      <c r="C4" s="231" t="s">
        <v>348</v>
      </c>
      <c r="D4" s="231" t="s">
        <v>2836</v>
      </c>
      <c r="E4" s="231" t="s">
        <v>2837</v>
      </c>
      <c r="F4" s="231" t="s">
        <v>2838</v>
      </c>
      <c r="G4" s="227"/>
      <c r="H4" s="227"/>
      <c r="I4" s="227"/>
    </row>
    <row r="5">
      <c r="A5" s="231" t="s">
        <v>151</v>
      </c>
      <c r="B5" s="231" t="s">
        <v>37</v>
      </c>
      <c r="C5" s="231" t="s">
        <v>929</v>
      </c>
      <c r="D5" s="231" t="s">
        <v>2839</v>
      </c>
      <c r="E5" s="231" t="s">
        <v>2837</v>
      </c>
      <c r="F5" s="231" t="s">
        <v>2838</v>
      </c>
      <c r="G5" s="227"/>
      <c r="H5" s="227"/>
      <c r="I5" s="227"/>
    </row>
    <row r="6">
      <c r="A6" s="231" t="s">
        <v>151</v>
      </c>
      <c r="B6" s="231" t="s">
        <v>37</v>
      </c>
      <c r="C6" s="231" t="s">
        <v>591</v>
      </c>
      <c r="D6" s="231" t="s">
        <v>2841</v>
      </c>
      <c r="E6" s="231" t="s">
        <v>2837</v>
      </c>
      <c r="F6" s="231" t="s">
        <v>2838</v>
      </c>
      <c r="G6" s="227"/>
      <c r="H6" s="227"/>
      <c r="I6" s="227"/>
    </row>
    <row r="7">
      <c r="A7" s="231" t="s">
        <v>151</v>
      </c>
      <c r="B7" s="231" t="s">
        <v>37</v>
      </c>
      <c r="C7" s="231" t="s">
        <v>488</v>
      </c>
      <c r="D7" s="231" t="s">
        <v>2843</v>
      </c>
      <c r="E7" s="231" t="s">
        <v>2837</v>
      </c>
      <c r="F7" s="231" t="s">
        <v>2838</v>
      </c>
      <c r="G7" s="227"/>
      <c r="H7" s="227"/>
      <c r="I7" s="227"/>
    </row>
    <row r="8">
      <c r="A8" s="231" t="s">
        <v>151</v>
      </c>
      <c r="B8" s="231" t="s">
        <v>37</v>
      </c>
      <c r="C8" s="231" t="s">
        <v>2844</v>
      </c>
      <c r="D8" s="231" t="s">
        <v>2845</v>
      </c>
      <c r="E8" s="231" t="s">
        <v>387</v>
      </c>
      <c r="F8" s="231" t="s">
        <v>2846</v>
      </c>
      <c r="G8" s="231" t="s">
        <v>2847</v>
      </c>
      <c r="H8" s="227"/>
      <c r="I8" s="227"/>
    </row>
    <row r="9">
      <c r="A9" s="231" t="s">
        <v>151</v>
      </c>
      <c r="B9" s="231" t="s">
        <v>37</v>
      </c>
      <c r="C9" s="231" t="s">
        <v>2849</v>
      </c>
      <c r="D9" s="231" t="s">
        <v>2850</v>
      </c>
      <c r="E9" s="231" t="s">
        <v>387</v>
      </c>
      <c r="F9" s="231" t="s">
        <v>2846</v>
      </c>
      <c r="G9" s="231" t="s">
        <v>2847</v>
      </c>
      <c r="H9" s="227"/>
      <c r="I9" s="227"/>
    </row>
    <row r="10">
      <c r="A10" s="231" t="s">
        <v>151</v>
      </c>
      <c r="B10" s="231" t="s">
        <v>37</v>
      </c>
      <c r="C10" s="231" t="s">
        <v>2853</v>
      </c>
      <c r="D10" s="231" t="s">
        <v>2854</v>
      </c>
      <c r="E10" s="231" t="s">
        <v>387</v>
      </c>
      <c r="F10" s="231" t="s">
        <v>2846</v>
      </c>
      <c r="G10" s="231" t="s">
        <v>2847</v>
      </c>
      <c r="H10" s="227"/>
      <c r="I10" s="227"/>
    </row>
    <row r="11">
      <c r="A11" s="230" t="s">
        <v>2855</v>
      </c>
    </row>
    <row r="12">
      <c r="A12" s="231" t="s">
        <v>2856</v>
      </c>
      <c r="B12" s="227" t="s">
        <v>375</v>
      </c>
      <c r="C12" s="231" t="s">
        <v>458</v>
      </c>
      <c r="D12" s="231" t="s">
        <v>339</v>
      </c>
      <c r="E12" s="231" t="s">
        <v>2837</v>
      </c>
      <c r="F12" s="231" t="s">
        <v>2857</v>
      </c>
      <c r="G12" s="231" t="s">
        <v>2858</v>
      </c>
      <c r="H12" s="227"/>
      <c r="I12" s="227"/>
    </row>
    <row r="13" ht="24.75" customHeight="1">
      <c r="A13" s="231" t="s">
        <v>2856</v>
      </c>
      <c r="B13" s="227" t="s">
        <v>375</v>
      </c>
      <c r="C13" s="231" t="s">
        <v>456</v>
      </c>
      <c r="D13" s="231" t="s">
        <v>337</v>
      </c>
      <c r="E13" s="231" t="s">
        <v>2837</v>
      </c>
      <c r="F13" s="231" t="s">
        <v>2857</v>
      </c>
      <c r="G13" s="231" t="s">
        <v>2859</v>
      </c>
      <c r="H13" s="227"/>
      <c r="I13" s="227"/>
    </row>
    <row r="14" ht="24.75" customHeight="1">
      <c r="A14" s="231" t="s">
        <v>2856</v>
      </c>
      <c r="B14" s="227" t="s">
        <v>375</v>
      </c>
      <c r="C14" s="231" t="s">
        <v>2860</v>
      </c>
      <c r="D14" s="231" t="s">
        <v>1442</v>
      </c>
      <c r="E14" s="231" t="s">
        <v>2837</v>
      </c>
      <c r="F14" s="231" t="s">
        <v>2857</v>
      </c>
      <c r="G14" s="231" t="s">
        <v>2861</v>
      </c>
      <c r="H14" s="227"/>
      <c r="I14" s="227"/>
    </row>
    <row r="15" ht="24.75" customHeight="1">
      <c r="A15" s="231" t="s">
        <v>2856</v>
      </c>
      <c r="B15" s="231" t="s">
        <v>375</v>
      </c>
      <c r="C15" s="231" t="s">
        <v>459</v>
      </c>
      <c r="D15" s="231" t="s">
        <v>341</v>
      </c>
      <c r="E15" s="231" t="s">
        <v>2837</v>
      </c>
      <c r="F15" s="231" t="s">
        <v>2857</v>
      </c>
      <c r="G15" s="231" t="s">
        <v>2862</v>
      </c>
      <c r="H15" s="227"/>
      <c r="I15" s="227"/>
    </row>
    <row r="16" ht="24.75" customHeight="1">
      <c r="A16" s="231" t="s">
        <v>2856</v>
      </c>
      <c r="B16" s="231" t="s">
        <v>375</v>
      </c>
      <c r="C16" s="231" t="s">
        <v>2864</v>
      </c>
      <c r="D16" s="231" t="s">
        <v>371</v>
      </c>
      <c r="E16" s="231" t="s">
        <v>2837</v>
      </c>
      <c r="F16" s="231" t="s">
        <v>2857</v>
      </c>
      <c r="G16" s="231" t="s">
        <v>2865</v>
      </c>
      <c r="H16" s="227"/>
      <c r="I16" s="227"/>
    </row>
    <row r="17" ht="24.75" customHeight="1">
      <c r="A17" s="232" t="s">
        <v>2856</v>
      </c>
      <c r="B17" s="232" t="s">
        <v>375</v>
      </c>
      <c r="C17" s="232" t="s">
        <v>2866</v>
      </c>
      <c r="D17" s="233" t="s">
        <v>2867</v>
      </c>
      <c r="E17" s="232" t="s">
        <v>2837</v>
      </c>
      <c r="F17" s="232" t="s">
        <v>2857</v>
      </c>
      <c r="G17" s="232" t="s">
        <v>2868</v>
      </c>
      <c r="H17" s="234"/>
      <c r="I17" s="234"/>
    </row>
    <row r="18">
      <c r="A18" s="232" t="s">
        <v>2856</v>
      </c>
      <c r="B18" s="232" t="s">
        <v>375</v>
      </c>
      <c r="C18" s="232" t="s">
        <v>2869</v>
      </c>
      <c r="D18" s="232" t="s">
        <v>2870</v>
      </c>
      <c r="E18" s="232" t="s">
        <v>2837</v>
      </c>
      <c r="F18" s="232" t="s">
        <v>2857</v>
      </c>
      <c r="G18" s="232" t="s">
        <v>2871</v>
      </c>
      <c r="H18" s="234"/>
      <c r="I18" s="234"/>
    </row>
    <row r="19">
      <c r="A19" s="230" t="s">
        <v>2873</v>
      </c>
    </row>
    <row r="20" ht="22.5" customHeight="1">
      <c r="A20" s="231" t="s">
        <v>2874</v>
      </c>
      <c r="B20" s="231" t="s">
        <v>2875</v>
      </c>
      <c r="C20" s="231" t="s">
        <v>2877</v>
      </c>
      <c r="D20" s="231" t="s">
        <v>2878</v>
      </c>
      <c r="E20" s="231" t="s">
        <v>2879</v>
      </c>
      <c r="F20" s="231" t="s">
        <v>2857</v>
      </c>
      <c r="G20" s="231" t="s">
        <v>2881</v>
      </c>
      <c r="H20" s="227"/>
      <c r="I20" s="235" t="s">
        <v>2882</v>
      </c>
    </row>
    <row r="21" ht="22.5" customHeight="1">
      <c r="A21" s="231" t="s">
        <v>2874</v>
      </c>
      <c r="B21" s="231" t="s">
        <v>2875</v>
      </c>
      <c r="C21" s="231" t="s">
        <v>2883</v>
      </c>
      <c r="D21" s="231" t="s">
        <v>2884</v>
      </c>
      <c r="E21" s="231" t="s">
        <v>2879</v>
      </c>
      <c r="F21" s="231" t="s">
        <v>2857</v>
      </c>
      <c r="G21" s="231" t="s">
        <v>2885</v>
      </c>
      <c r="H21" s="227"/>
      <c r="I21" s="235" t="s">
        <v>2887</v>
      </c>
    </row>
    <row r="22" ht="22.5" customHeight="1">
      <c r="A22" s="231" t="s">
        <v>2874</v>
      </c>
      <c r="B22" s="231" t="s">
        <v>2875</v>
      </c>
      <c r="C22" s="231" t="s">
        <v>2889</v>
      </c>
      <c r="D22" s="231" t="s">
        <v>2891</v>
      </c>
      <c r="E22" s="231" t="s">
        <v>2879</v>
      </c>
      <c r="F22" s="231" t="s">
        <v>2857</v>
      </c>
      <c r="G22" s="231" t="s">
        <v>2893</v>
      </c>
      <c r="H22" s="227"/>
      <c r="I22" s="235" t="s">
        <v>2894</v>
      </c>
    </row>
    <row r="23" ht="22.5" customHeight="1">
      <c r="A23" s="231" t="s">
        <v>2874</v>
      </c>
      <c r="B23" s="231" t="s">
        <v>2875</v>
      </c>
      <c r="C23" s="231" t="s">
        <v>2895</v>
      </c>
      <c r="D23" s="231" t="s">
        <v>2896</v>
      </c>
      <c r="E23" s="231" t="s">
        <v>2879</v>
      </c>
      <c r="F23" s="231" t="s">
        <v>2857</v>
      </c>
      <c r="G23" s="231" t="s">
        <v>2897</v>
      </c>
      <c r="H23" s="227"/>
      <c r="I23" s="235" t="s">
        <v>2898</v>
      </c>
    </row>
    <row r="24" ht="22.5" customHeight="1">
      <c r="A24" s="231" t="s">
        <v>2874</v>
      </c>
      <c r="B24" s="231" t="s">
        <v>2875</v>
      </c>
      <c r="C24" s="231" t="s">
        <v>2899</v>
      </c>
      <c r="D24" s="231" t="s">
        <v>2900</v>
      </c>
      <c r="E24" s="231" t="s">
        <v>2879</v>
      </c>
      <c r="F24" s="231" t="s">
        <v>2857</v>
      </c>
      <c r="G24" s="231" t="s">
        <v>2901</v>
      </c>
      <c r="H24" s="227"/>
      <c r="I24" s="235" t="s">
        <v>2902</v>
      </c>
    </row>
    <row r="25" ht="22.5" customHeight="1">
      <c r="A25" s="231" t="s">
        <v>2874</v>
      </c>
      <c r="B25" s="231" t="s">
        <v>2875</v>
      </c>
      <c r="C25" s="231" t="s">
        <v>2903</v>
      </c>
      <c r="D25" s="231" t="s">
        <v>2904</v>
      </c>
      <c r="E25" s="231" t="s">
        <v>2879</v>
      </c>
      <c r="F25" s="231" t="s">
        <v>2857</v>
      </c>
      <c r="G25" s="231" t="s">
        <v>2905</v>
      </c>
      <c r="H25" s="227"/>
      <c r="I25" s="235" t="s">
        <v>2906</v>
      </c>
    </row>
    <row r="26" ht="22.5" customHeight="1">
      <c r="A26" s="231" t="s">
        <v>2874</v>
      </c>
      <c r="B26" s="231" t="s">
        <v>2875</v>
      </c>
      <c r="C26" s="231" t="s">
        <v>2907</v>
      </c>
      <c r="D26" s="231" t="s">
        <v>2908</v>
      </c>
      <c r="E26" s="231" t="s">
        <v>2879</v>
      </c>
      <c r="F26" s="231" t="s">
        <v>2857</v>
      </c>
      <c r="G26" s="231" t="s">
        <v>2909</v>
      </c>
      <c r="H26" s="227"/>
      <c r="I26" s="236" t="s">
        <v>2902</v>
      </c>
    </row>
    <row r="27">
      <c r="A27" s="227"/>
      <c r="B27" s="227"/>
      <c r="C27" s="227"/>
      <c r="D27" s="227"/>
      <c r="E27" s="227"/>
      <c r="F27" s="227"/>
      <c r="G27" s="227"/>
      <c r="H27" s="227"/>
      <c r="I27" s="237"/>
    </row>
    <row r="28">
      <c r="A28" s="230" t="s">
        <v>2910</v>
      </c>
    </row>
    <row r="29" ht="18.0" customHeight="1">
      <c r="A29" s="231" t="s">
        <v>2912</v>
      </c>
      <c r="B29" s="231" t="s">
        <v>2913</v>
      </c>
      <c r="C29" s="231" t="s">
        <v>2914</v>
      </c>
      <c r="D29" s="238" t="s">
        <v>344</v>
      </c>
      <c r="E29" s="231" t="s">
        <v>2915</v>
      </c>
      <c r="F29" s="231" t="s">
        <v>2857</v>
      </c>
      <c r="G29" s="231" t="s">
        <v>2916</v>
      </c>
      <c r="H29" s="227"/>
      <c r="I29" s="239" t="s">
        <v>2917</v>
      </c>
    </row>
    <row r="30" ht="18.0" customHeight="1">
      <c r="A30" s="231" t="s">
        <v>2912</v>
      </c>
      <c r="B30" s="231" t="s">
        <v>2913</v>
      </c>
      <c r="C30" s="231" t="s">
        <v>2918</v>
      </c>
      <c r="D30" s="238" t="s">
        <v>1062</v>
      </c>
      <c r="E30" s="231" t="s">
        <v>2919</v>
      </c>
      <c r="F30" s="231" t="s">
        <v>2857</v>
      </c>
      <c r="G30" s="231" t="s">
        <v>2920</v>
      </c>
      <c r="H30" s="227"/>
      <c r="I30" s="239" t="s">
        <v>2921</v>
      </c>
    </row>
    <row r="31" ht="18.0" customHeight="1">
      <c r="A31" s="231" t="s">
        <v>2912</v>
      </c>
      <c r="B31" s="231" t="s">
        <v>2913</v>
      </c>
      <c r="C31" s="231" t="s">
        <v>2923</v>
      </c>
      <c r="D31" s="231" t="s">
        <v>595</v>
      </c>
      <c r="E31" s="231" t="s">
        <v>2924</v>
      </c>
      <c r="F31" s="231" t="s">
        <v>2857</v>
      </c>
      <c r="G31" s="231" t="s">
        <v>2926</v>
      </c>
      <c r="H31" s="227"/>
      <c r="I31" s="239" t="s">
        <v>2927</v>
      </c>
    </row>
    <row r="32" ht="18.0" customHeight="1">
      <c r="A32" s="231" t="s">
        <v>2912</v>
      </c>
      <c r="B32" s="231" t="s">
        <v>2913</v>
      </c>
      <c r="C32" s="231" t="s">
        <v>2928</v>
      </c>
      <c r="D32" s="231" t="s">
        <v>772</v>
      </c>
      <c r="E32" s="231" t="s">
        <v>2919</v>
      </c>
      <c r="F32" s="231" t="s">
        <v>2857</v>
      </c>
      <c r="G32" s="231" t="s">
        <v>2929</v>
      </c>
      <c r="H32" s="227"/>
      <c r="I32" s="239" t="s">
        <v>2930</v>
      </c>
    </row>
    <row r="33" ht="18.0" customHeight="1">
      <c r="A33" s="231" t="s">
        <v>2912</v>
      </c>
      <c r="B33" s="231" t="s">
        <v>2913</v>
      </c>
      <c r="C33" s="231" t="s">
        <v>2932</v>
      </c>
      <c r="D33" s="238" t="s">
        <v>1018</v>
      </c>
      <c r="E33" s="231" t="s">
        <v>2919</v>
      </c>
      <c r="F33" s="231" t="s">
        <v>2857</v>
      </c>
      <c r="G33" s="231" t="s">
        <v>2933</v>
      </c>
      <c r="H33" s="227"/>
      <c r="I33" s="239" t="s">
        <v>2934</v>
      </c>
    </row>
    <row r="34" ht="18.0" customHeight="1">
      <c r="A34" s="231" t="s">
        <v>2912</v>
      </c>
      <c r="B34" s="231" t="s">
        <v>2913</v>
      </c>
      <c r="C34" s="231" t="s">
        <v>2935</v>
      </c>
      <c r="D34" s="238" t="s">
        <v>964</v>
      </c>
      <c r="E34" s="231" t="s">
        <v>2919</v>
      </c>
      <c r="F34" s="231" t="s">
        <v>2857</v>
      </c>
      <c r="G34" s="231" t="s">
        <v>2936</v>
      </c>
      <c r="H34" s="227"/>
      <c r="I34" s="239" t="s">
        <v>2937</v>
      </c>
    </row>
    <row r="35" ht="18.0" customHeight="1">
      <c r="A35" s="231" t="s">
        <v>2912</v>
      </c>
      <c r="B35" s="231" t="s">
        <v>2913</v>
      </c>
      <c r="C35" s="231" t="s">
        <v>2938</v>
      </c>
      <c r="D35" s="231" t="s">
        <v>816</v>
      </c>
      <c r="E35" s="231" t="s">
        <v>2919</v>
      </c>
      <c r="F35" s="231" t="s">
        <v>2857</v>
      </c>
      <c r="G35" s="231" t="s">
        <v>2940</v>
      </c>
      <c r="H35" s="227"/>
      <c r="I35" s="239" t="s">
        <v>2941</v>
      </c>
    </row>
    <row r="36" ht="18.0" customHeight="1">
      <c r="A36" s="231" t="s">
        <v>2912</v>
      </c>
      <c r="B36" s="231" t="s">
        <v>2913</v>
      </c>
      <c r="C36" s="231" t="s">
        <v>2942</v>
      </c>
      <c r="D36" s="238" t="s">
        <v>776</v>
      </c>
      <c r="E36" s="231" t="s">
        <v>2915</v>
      </c>
      <c r="F36" s="231" t="s">
        <v>2857</v>
      </c>
      <c r="G36" s="231" t="s">
        <v>2943</v>
      </c>
      <c r="H36" s="227"/>
      <c r="I36" s="239" t="s">
        <v>2944</v>
      </c>
    </row>
    <row r="37" ht="18.0" customHeight="1">
      <c r="A37" s="231" t="s">
        <v>2912</v>
      </c>
      <c r="B37" s="231" t="s">
        <v>2913</v>
      </c>
      <c r="C37" s="231" t="s">
        <v>2945</v>
      </c>
      <c r="D37" s="238" t="s">
        <v>899</v>
      </c>
      <c r="E37" s="231" t="s">
        <v>2919</v>
      </c>
      <c r="F37" s="231" t="s">
        <v>2857</v>
      </c>
      <c r="G37" s="231" t="s">
        <v>2946</v>
      </c>
      <c r="H37" s="227"/>
      <c r="I37" s="239" t="s">
        <v>2947</v>
      </c>
    </row>
    <row r="38" ht="18.0" customHeight="1">
      <c r="A38" s="231" t="s">
        <v>2912</v>
      </c>
      <c r="B38" s="231" t="s">
        <v>2913</v>
      </c>
      <c r="C38" s="231" t="s">
        <v>2948</v>
      </c>
      <c r="D38" s="238" t="s">
        <v>706</v>
      </c>
      <c r="E38" s="231" t="s">
        <v>2919</v>
      </c>
      <c r="F38" s="231" t="s">
        <v>2857</v>
      </c>
      <c r="G38" s="231" t="s">
        <v>2949</v>
      </c>
      <c r="H38" s="227"/>
      <c r="I38" s="239" t="s">
        <v>2950</v>
      </c>
    </row>
    <row r="39" ht="18.0" customHeight="1">
      <c r="A39" s="231" t="s">
        <v>2912</v>
      </c>
      <c r="B39" s="231" t="s">
        <v>2913</v>
      </c>
      <c r="C39" s="231" t="s">
        <v>2951</v>
      </c>
      <c r="D39" s="231" t="s">
        <v>536</v>
      </c>
      <c r="E39" s="231" t="s">
        <v>2919</v>
      </c>
      <c r="F39" s="231" t="s">
        <v>2857</v>
      </c>
      <c r="G39" s="231" t="s">
        <v>2952</v>
      </c>
      <c r="H39" s="227"/>
      <c r="I39" s="239" t="s">
        <v>2953</v>
      </c>
    </row>
    <row r="40" ht="18.0" customHeight="1">
      <c r="A40" s="231" t="s">
        <v>2912</v>
      </c>
      <c r="B40" s="231" t="s">
        <v>2913</v>
      </c>
      <c r="C40" s="231" t="s">
        <v>2954</v>
      </c>
      <c r="D40" s="231" t="s">
        <v>2753</v>
      </c>
      <c r="E40" s="231" t="s">
        <v>2919</v>
      </c>
      <c r="F40" s="231" t="s">
        <v>2857</v>
      </c>
      <c r="G40" s="231" t="s">
        <v>2955</v>
      </c>
      <c r="H40" s="227"/>
      <c r="I40" s="239" t="s">
        <v>2956</v>
      </c>
    </row>
    <row r="41" ht="18.0" customHeight="1">
      <c r="A41" s="231" t="s">
        <v>2912</v>
      </c>
      <c r="B41" s="231" t="s">
        <v>2913</v>
      </c>
      <c r="C41" s="231" t="s">
        <v>2957</v>
      </c>
      <c r="D41" s="231" t="s">
        <v>2958</v>
      </c>
      <c r="E41" s="231" t="s">
        <v>2919</v>
      </c>
      <c r="F41" s="231" t="s">
        <v>2857</v>
      </c>
      <c r="G41" s="231" t="s">
        <v>2959</v>
      </c>
      <c r="H41" s="227"/>
      <c r="I41" s="239" t="s">
        <v>2960</v>
      </c>
    </row>
    <row r="42" ht="18.0" customHeight="1">
      <c r="A42" s="231" t="s">
        <v>2912</v>
      </c>
      <c r="B42" s="231" t="s">
        <v>2913</v>
      </c>
      <c r="C42" s="231" t="s">
        <v>2961</v>
      </c>
      <c r="D42" s="238" t="s">
        <v>2326</v>
      </c>
      <c r="E42" s="231" t="s">
        <v>2919</v>
      </c>
      <c r="F42" s="231" t="s">
        <v>2857</v>
      </c>
      <c r="G42" s="231" t="s">
        <v>2962</v>
      </c>
      <c r="H42" s="227"/>
      <c r="I42" s="239" t="s">
        <v>2963</v>
      </c>
    </row>
    <row r="43" ht="18.0" customHeight="1">
      <c r="A43" s="231" t="s">
        <v>2912</v>
      </c>
      <c r="B43" s="231" t="s">
        <v>2913</v>
      </c>
      <c r="C43" s="231" t="s">
        <v>2964</v>
      </c>
      <c r="D43" s="238" t="s">
        <v>1438</v>
      </c>
      <c r="E43" s="231" t="s">
        <v>2919</v>
      </c>
      <c r="F43" s="231" t="s">
        <v>2857</v>
      </c>
      <c r="G43" s="231" t="s">
        <v>2965</v>
      </c>
      <c r="H43" s="227"/>
      <c r="I43" s="239" t="s">
        <v>2966</v>
      </c>
    </row>
    <row r="44" ht="18.0" customHeight="1">
      <c r="A44" s="231" t="s">
        <v>2912</v>
      </c>
      <c r="B44" s="231" t="s">
        <v>2913</v>
      </c>
      <c r="C44" s="231" t="s">
        <v>2967</v>
      </c>
      <c r="D44" s="231" t="s">
        <v>498</v>
      </c>
      <c r="E44" s="231" t="s">
        <v>2919</v>
      </c>
      <c r="F44" s="231" t="s">
        <v>2857</v>
      </c>
      <c r="G44" s="231" t="s">
        <v>2968</v>
      </c>
      <c r="H44" s="227"/>
      <c r="I44" s="239" t="s">
        <v>2969</v>
      </c>
    </row>
    <row r="45" ht="18.0" customHeight="1">
      <c r="A45" s="231" t="s">
        <v>2912</v>
      </c>
      <c r="B45" s="231" t="s">
        <v>2913</v>
      </c>
      <c r="C45" s="231" t="s">
        <v>2970</v>
      </c>
      <c r="D45" s="238" t="s">
        <v>2351</v>
      </c>
      <c r="E45" s="231" t="s">
        <v>2971</v>
      </c>
      <c r="F45" s="231" t="s">
        <v>2857</v>
      </c>
      <c r="G45" s="231" t="s">
        <v>2972</v>
      </c>
      <c r="H45" s="227"/>
      <c r="I45" s="239" t="s">
        <v>2973</v>
      </c>
    </row>
    <row r="46" ht="18.0" customHeight="1">
      <c r="A46" s="231" t="s">
        <v>2912</v>
      </c>
      <c r="B46" s="231" t="s">
        <v>2913</v>
      </c>
      <c r="C46" s="231" t="s">
        <v>2974</v>
      </c>
      <c r="D46" s="238" t="s">
        <v>2654</v>
      </c>
      <c r="E46" s="231" t="s">
        <v>2975</v>
      </c>
      <c r="F46" s="231" t="s">
        <v>2857</v>
      </c>
      <c r="G46" s="231" t="s">
        <v>2976</v>
      </c>
      <c r="H46" s="227"/>
      <c r="I46" s="239" t="s">
        <v>2977</v>
      </c>
    </row>
    <row r="47" ht="18.0" customHeight="1">
      <c r="A47" s="231" t="s">
        <v>2912</v>
      </c>
      <c r="B47" s="231" t="s">
        <v>2913</v>
      </c>
      <c r="C47" s="231" t="s">
        <v>2978</v>
      </c>
      <c r="D47" s="231" t="s">
        <v>2980</v>
      </c>
      <c r="E47" s="231" t="s">
        <v>2919</v>
      </c>
      <c r="F47" s="231" t="s">
        <v>2857</v>
      </c>
      <c r="G47" s="231" t="s">
        <v>2981</v>
      </c>
      <c r="H47" s="227"/>
      <c r="I47" s="239" t="s">
        <v>2982</v>
      </c>
    </row>
    <row r="48" ht="18.0" customHeight="1">
      <c r="A48" s="231" t="s">
        <v>2912</v>
      </c>
      <c r="B48" s="231" t="s">
        <v>2913</v>
      </c>
      <c r="C48" s="231" t="s">
        <v>2983</v>
      </c>
      <c r="D48" s="231" t="s">
        <v>707</v>
      </c>
      <c r="E48" s="231" t="s">
        <v>2971</v>
      </c>
      <c r="F48" s="231" t="s">
        <v>2857</v>
      </c>
      <c r="G48" s="231" t="s">
        <v>2984</v>
      </c>
      <c r="H48" s="227"/>
      <c r="I48" s="239" t="s">
        <v>2985</v>
      </c>
    </row>
    <row r="49" ht="18.0" customHeight="1">
      <c r="A49" s="231" t="s">
        <v>2912</v>
      </c>
      <c r="B49" s="231" t="s">
        <v>2913</v>
      </c>
      <c r="C49" s="231" t="s">
        <v>2987</v>
      </c>
      <c r="D49" s="238" t="s">
        <v>352</v>
      </c>
      <c r="E49" s="231" t="s">
        <v>348</v>
      </c>
      <c r="F49" s="231" t="s">
        <v>2857</v>
      </c>
      <c r="G49" s="231" t="s">
        <v>2988</v>
      </c>
      <c r="H49" s="227"/>
      <c r="I49" s="239" t="s">
        <v>2989</v>
      </c>
    </row>
    <row r="50" ht="18.0" customHeight="1">
      <c r="A50" s="231" t="s">
        <v>2912</v>
      </c>
      <c r="B50" s="231" t="s">
        <v>2913</v>
      </c>
      <c r="C50" s="231" t="s">
        <v>2990</v>
      </c>
      <c r="D50" s="238" t="s">
        <v>610</v>
      </c>
      <c r="E50" s="231" t="s">
        <v>348</v>
      </c>
      <c r="F50" s="231" t="s">
        <v>2857</v>
      </c>
      <c r="G50" s="231" t="s">
        <v>2991</v>
      </c>
      <c r="H50" s="227"/>
      <c r="I50" s="239" t="s">
        <v>2992</v>
      </c>
    </row>
    <row r="51" ht="18.0" customHeight="1">
      <c r="A51" s="238" t="s">
        <v>2912</v>
      </c>
      <c r="B51" s="238" t="s">
        <v>2913</v>
      </c>
      <c r="C51" s="238" t="s">
        <v>2994</v>
      </c>
      <c r="D51" s="238" t="s">
        <v>2995</v>
      </c>
      <c r="E51" s="238" t="s">
        <v>2919</v>
      </c>
      <c r="F51" s="227"/>
      <c r="G51" s="227"/>
      <c r="H51" s="227"/>
      <c r="I51" s="239" t="s">
        <v>2997</v>
      </c>
    </row>
    <row r="52">
      <c r="A52" s="227"/>
      <c r="B52" s="227"/>
      <c r="C52" s="227"/>
      <c r="D52" s="227"/>
      <c r="E52" s="227"/>
      <c r="F52" s="227"/>
      <c r="G52" s="227"/>
      <c r="H52" s="227"/>
      <c r="I52" s="227"/>
    </row>
    <row r="53">
      <c r="A53" s="230" t="s">
        <v>3000</v>
      </c>
    </row>
    <row r="54" ht="21.0" customHeight="1">
      <c r="A54" s="231" t="s">
        <v>3002</v>
      </c>
      <c r="B54" s="231" t="s">
        <v>2878</v>
      </c>
      <c r="C54" s="231" t="s">
        <v>2914</v>
      </c>
      <c r="D54" s="238" t="s">
        <v>344</v>
      </c>
      <c r="E54" s="227"/>
      <c r="F54" s="237"/>
      <c r="G54" s="237"/>
      <c r="H54" s="227"/>
      <c r="I54" s="227"/>
    </row>
    <row r="55" ht="21.0" customHeight="1">
      <c r="A55" s="227"/>
      <c r="C55" s="231" t="s">
        <v>2918</v>
      </c>
      <c r="D55" s="238" t="s">
        <v>1062</v>
      </c>
      <c r="E55" s="227"/>
      <c r="F55" s="227"/>
      <c r="G55" s="227"/>
      <c r="H55" s="227"/>
      <c r="I55" s="227"/>
    </row>
    <row r="56" ht="21.0" customHeight="1">
      <c r="A56" s="227"/>
      <c r="C56" s="231" t="s">
        <v>2923</v>
      </c>
      <c r="D56" s="231" t="s">
        <v>595</v>
      </c>
      <c r="E56" s="227"/>
      <c r="F56" s="227"/>
      <c r="G56" s="227"/>
      <c r="H56" s="227"/>
      <c r="I56" s="227"/>
    </row>
    <row r="57" ht="21.0" customHeight="1">
      <c r="A57" s="227"/>
      <c r="C57" s="231" t="s">
        <v>2928</v>
      </c>
      <c r="D57" s="231" t="s">
        <v>772</v>
      </c>
      <c r="E57" s="227"/>
      <c r="F57" s="227"/>
      <c r="G57" s="227"/>
      <c r="H57" s="227"/>
      <c r="I57" s="227"/>
    </row>
    <row r="58" ht="21.0" customHeight="1">
      <c r="A58" s="227"/>
      <c r="E58" s="227"/>
      <c r="F58" s="227"/>
      <c r="G58" s="227"/>
      <c r="H58" s="227"/>
      <c r="I58" s="227"/>
    </row>
    <row r="59" ht="21.0" customHeight="1">
      <c r="A59" s="227"/>
      <c r="C59" s="231" t="s">
        <v>2932</v>
      </c>
      <c r="D59" s="238" t="s">
        <v>3004</v>
      </c>
      <c r="E59" s="227"/>
      <c r="F59" s="227"/>
      <c r="G59" s="227"/>
      <c r="H59" s="227"/>
      <c r="I59" s="227"/>
    </row>
    <row r="60" ht="21.0" customHeight="1">
      <c r="A60" s="227"/>
      <c r="C60" s="231" t="s">
        <v>2945</v>
      </c>
      <c r="D60" s="238" t="s">
        <v>899</v>
      </c>
      <c r="E60" s="227"/>
      <c r="F60" s="227"/>
      <c r="G60" s="227"/>
      <c r="H60" s="227"/>
      <c r="I60" s="227"/>
    </row>
    <row r="61" ht="21.0" customHeight="1">
      <c r="A61" s="227"/>
      <c r="E61" s="227"/>
      <c r="F61" s="227"/>
      <c r="G61" s="227"/>
      <c r="H61" s="227"/>
      <c r="I61" s="227"/>
    </row>
    <row r="62" ht="21.0" customHeight="1">
      <c r="A62" s="227"/>
      <c r="E62" s="227"/>
      <c r="F62" s="227"/>
      <c r="G62" s="227"/>
      <c r="H62" s="227"/>
      <c r="I62" s="227"/>
    </row>
    <row r="63" ht="21.0" customHeight="1">
      <c r="A63" s="227"/>
      <c r="E63" s="227"/>
      <c r="F63" s="227"/>
      <c r="G63" s="227"/>
      <c r="H63" s="227"/>
      <c r="I63" s="227"/>
    </row>
    <row r="64">
      <c r="A64" s="227"/>
      <c r="C64" s="240" t="s">
        <v>2994</v>
      </c>
      <c r="D64" s="241" t="s">
        <v>2995</v>
      </c>
      <c r="E64" s="227"/>
      <c r="F64" s="227"/>
      <c r="G64" s="227"/>
      <c r="H64" s="227"/>
      <c r="I64" s="227"/>
    </row>
    <row r="65">
      <c r="A65" s="231" t="s">
        <v>3002</v>
      </c>
      <c r="B65" s="231" t="s">
        <v>2884</v>
      </c>
      <c r="C65" s="231" t="s">
        <v>3010</v>
      </c>
      <c r="D65" s="231" t="s">
        <v>964</v>
      </c>
      <c r="E65" s="227"/>
      <c r="F65" s="227"/>
      <c r="G65" s="227"/>
      <c r="H65" s="227"/>
      <c r="I65" s="227"/>
    </row>
    <row r="66">
      <c r="A66" s="227"/>
      <c r="C66" s="231" t="s">
        <v>2938</v>
      </c>
      <c r="D66" s="231" t="s">
        <v>816</v>
      </c>
      <c r="E66" s="227"/>
      <c r="F66" s="227"/>
      <c r="G66" s="227"/>
      <c r="H66" s="227"/>
      <c r="I66" s="227"/>
    </row>
    <row r="67">
      <c r="A67" s="227"/>
      <c r="E67" s="227"/>
      <c r="F67" s="227"/>
      <c r="G67" s="227"/>
      <c r="H67" s="227"/>
      <c r="I67" s="227"/>
    </row>
    <row r="68">
      <c r="A68" s="227"/>
      <c r="E68" s="227"/>
      <c r="F68" s="227"/>
      <c r="G68" s="227"/>
      <c r="H68" s="227"/>
      <c r="I68" s="227"/>
    </row>
    <row r="69">
      <c r="A69" s="227"/>
      <c r="E69" s="227"/>
      <c r="F69" s="227"/>
      <c r="G69" s="227"/>
      <c r="H69" s="227"/>
      <c r="I69" s="227"/>
    </row>
    <row r="70">
      <c r="A70" s="227"/>
      <c r="E70" s="227"/>
      <c r="F70" s="227"/>
      <c r="G70" s="227"/>
      <c r="H70" s="227"/>
      <c r="I70" s="227"/>
    </row>
    <row r="71">
      <c r="A71" s="227"/>
      <c r="C71" s="231" t="s">
        <v>2942</v>
      </c>
      <c r="D71" s="238" t="s">
        <v>776</v>
      </c>
      <c r="E71" s="227"/>
      <c r="F71" s="227"/>
      <c r="G71" s="227"/>
      <c r="H71" s="227"/>
      <c r="I71" s="227"/>
    </row>
    <row r="72">
      <c r="A72" s="227"/>
      <c r="E72" s="227"/>
      <c r="F72" s="227"/>
      <c r="G72" s="227"/>
      <c r="H72" s="227"/>
      <c r="I72" s="227"/>
    </row>
    <row r="73">
      <c r="A73" s="227"/>
      <c r="E73" s="227"/>
      <c r="F73" s="227"/>
      <c r="G73" s="227"/>
      <c r="H73" s="227"/>
      <c r="I73" s="227"/>
    </row>
    <row r="74">
      <c r="A74" s="227"/>
      <c r="C74" s="231" t="s">
        <v>2970</v>
      </c>
      <c r="D74" s="238" t="s">
        <v>2351</v>
      </c>
      <c r="E74" s="227"/>
      <c r="F74" s="227"/>
      <c r="G74" s="227"/>
      <c r="H74" s="227"/>
      <c r="I74" s="227"/>
    </row>
    <row r="75">
      <c r="A75" s="227"/>
      <c r="C75" s="231" t="s">
        <v>2945</v>
      </c>
      <c r="D75" s="231" t="s">
        <v>899</v>
      </c>
      <c r="E75" s="227"/>
      <c r="F75" s="227"/>
      <c r="G75" s="227"/>
      <c r="H75" s="227"/>
      <c r="I75" s="227"/>
    </row>
    <row r="76">
      <c r="A76" s="227"/>
      <c r="C76" s="240" t="s">
        <v>2994</v>
      </c>
      <c r="D76" s="241" t="s">
        <v>2995</v>
      </c>
      <c r="E76" s="227"/>
      <c r="F76" s="227"/>
      <c r="G76" s="227"/>
      <c r="H76" s="227"/>
      <c r="I76" s="227"/>
    </row>
    <row r="77">
      <c r="A77" s="227"/>
      <c r="C77" s="231" t="s">
        <v>2957</v>
      </c>
      <c r="D77" s="238" t="s">
        <v>2958</v>
      </c>
      <c r="E77" s="227"/>
      <c r="F77" s="227"/>
      <c r="G77" s="227"/>
      <c r="H77" s="227"/>
      <c r="I77" s="227"/>
    </row>
    <row r="78">
      <c r="A78" s="231" t="s">
        <v>3002</v>
      </c>
      <c r="B78" s="231" t="s">
        <v>3022</v>
      </c>
      <c r="C78" s="231" t="s">
        <v>2948</v>
      </c>
      <c r="D78" s="238" t="s">
        <v>706</v>
      </c>
      <c r="E78" s="227"/>
      <c r="F78" s="227"/>
      <c r="G78" s="227"/>
      <c r="H78" s="227"/>
      <c r="I78" s="227"/>
    </row>
    <row r="79">
      <c r="A79" s="227"/>
      <c r="E79" s="227"/>
      <c r="F79" s="227"/>
      <c r="G79" s="227"/>
      <c r="H79" s="227"/>
      <c r="I79" s="227"/>
    </row>
    <row r="80">
      <c r="A80" s="227"/>
      <c r="E80" s="227"/>
      <c r="F80" s="227"/>
      <c r="G80" s="227"/>
      <c r="H80" s="227"/>
      <c r="I80" s="227"/>
    </row>
    <row r="81">
      <c r="A81" s="227"/>
      <c r="C81" s="231" t="s">
        <v>2951</v>
      </c>
      <c r="D81" s="231" t="s">
        <v>536</v>
      </c>
      <c r="E81" s="227"/>
      <c r="F81" s="227"/>
      <c r="G81" s="227"/>
      <c r="H81" s="227"/>
      <c r="I81" s="227"/>
    </row>
    <row r="82">
      <c r="A82" s="227"/>
      <c r="C82" s="231" t="s">
        <v>2961</v>
      </c>
      <c r="D82" s="238" t="s">
        <v>2326</v>
      </c>
      <c r="E82" s="227"/>
      <c r="F82" s="227"/>
      <c r="G82" s="227"/>
      <c r="H82" s="227"/>
      <c r="I82" s="227"/>
    </row>
    <row r="83">
      <c r="A83" s="227"/>
      <c r="C83" s="231" t="s">
        <v>2974</v>
      </c>
      <c r="D83" s="231" t="s">
        <v>2654</v>
      </c>
      <c r="E83" s="227"/>
      <c r="F83" s="227"/>
      <c r="G83" s="227"/>
      <c r="H83" s="227"/>
      <c r="I83" s="227"/>
    </row>
    <row r="84">
      <c r="A84" s="227"/>
      <c r="C84" s="231" t="s">
        <v>2964</v>
      </c>
      <c r="D84" s="238" t="s">
        <v>1438</v>
      </c>
      <c r="E84" s="227"/>
      <c r="F84" s="227"/>
      <c r="G84" s="227"/>
      <c r="H84" s="227"/>
      <c r="I84" s="227"/>
    </row>
    <row r="85">
      <c r="A85" s="227"/>
      <c r="C85" s="240" t="s">
        <v>2994</v>
      </c>
      <c r="D85" s="241" t="s">
        <v>2995</v>
      </c>
      <c r="E85" s="227"/>
      <c r="F85" s="227"/>
      <c r="G85" s="227"/>
      <c r="H85" s="227"/>
      <c r="I85" s="227"/>
    </row>
    <row r="86">
      <c r="A86" s="231" t="s">
        <v>3002</v>
      </c>
      <c r="B86" s="231" t="s">
        <v>3023</v>
      </c>
      <c r="C86" s="231" t="s">
        <v>2957</v>
      </c>
      <c r="D86" s="231" t="s">
        <v>2958</v>
      </c>
      <c r="E86" s="227"/>
      <c r="F86" s="227"/>
      <c r="G86" s="227"/>
      <c r="H86" s="227"/>
      <c r="I86" s="227"/>
    </row>
    <row r="87">
      <c r="A87" s="227"/>
      <c r="C87" s="231" t="s">
        <v>2961</v>
      </c>
      <c r="D87" s="231" t="s">
        <v>2326</v>
      </c>
      <c r="E87" s="227"/>
      <c r="F87" s="227"/>
      <c r="G87" s="227"/>
      <c r="H87" s="227"/>
      <c r="I87" s="227"/>
    </row>
    <row r="88">
      <c r="A88" s="227"/>
      <c r="C88" s="231" t="s">
        <v>2964</v>
      </c>
      <c r="D88" s="231" t="s">
        <v>1438</v>
      </c>
      <c r="E88" s="227"/>
      <c r="F88" s="227"/>
      <c r="G88" s="227"/>
      <c r="H88" s="227"/>
      <c r="I88" s="227"/>
    </row>
    <row r="89">
      <c r="A89" s="227"/>
      <c r="C89" s="231" t="s">
        <v>2967</v>
      </c>
      <c r="D89" s="231" t="s">
        <v>498</v>
      </c>
      <c r="E89" s="227"/>
      <c r="F89" s="227"/>
      <c r="G89" s="227"/>
      <c r="H89" s="227"/>
      <c r="I89" s="227"/>
    </row>
    <row r="90">
      <c r="A90" s="227"/>
      <c r="E90" s="227"/>
      <c r="F90" s="227"/>
      <c r="G90" s="227"/>
      <c r="H90" s="227"/>
      <c r="I90" s="227"/>
    </row>
    <row r="91">
      <c r="A91" s="227"/>
      <c r="C91" s="231" t="s">
        <v>2978</v>
      </c>
      <c r="D91" s="238" t="s">
        <v>2980</v>
      </c>
      <c r="E91" s="227"/>
      <c r="F91" s="227"/>
      <c r="G91" s="227"/>
      <c r="H91" s="227"/>
      <c r="I91" s="227"/>
    </row>
    <row r="92">
      <c r="A92" s="227"/>
      <c r="E92" s="227"/>
      <c r="F92" s="227"/>
      <c r="G92" s="227"/>
      <c r="H92" s="227"/>
      <c r="I92" s="227"/>
    </row>
    <row r="93">
      <c r="A93" s="227"/>
      <c r="C93" s="240" t="s">
        <v>2994</v>
      </c>
      <c r="D93" s="240" t="s">
        <v>2995</v>
      </c>
      <c r="E93" s="227"/>
      <c r="F93" s="227"/>
      <c r="G93" s="227"/>
      <c r="H93" s="227"/>
      <c r="I93" s="227"/>
    </row>
    <row r="94">
      <c r="A94" s="227"/>
      <c r="B94" s="231" t="s">
        <v>3027</v>
      </c>
      <c r="C94" s="231" t="s">
        <v>2954</v>
      </c>
      <c r="D94" s="231" t="s">
        <v>2753</v>
      </c>
      <c r="E94" s="227"/>
      <c r="F94" s="227"/>
      <c r="G94" s="227"/>
      <c r="H94" s="227"/>
      <c r="I94" s="227"/>
    </row>
    <row r="95">
      <c r="A95" s="227"/>
      <c r="C95" s="231" t="s">
        <v>2987</v>
      </c>
      <c r="D95" s="238" t="s">
        <v>352</v>
      </c>
      <c r="E95" s="227"/>
      <c r="F95" s="227"/>
      <c r="G95" s="227"/>
      <c r="H95" s="227"/>
      <c r="I95" s="227"/>
    </row>
    <row r="96">
      <c r="A96" s="227"/>
      <c r="C96" s="231" t="s">
        <v>2994</v>
      </c>
      <c r="D96" s="231" t="s">
        <v>2995</v>
      </c>
      <c r="E96" s="227"/>
      <c r="F96" s="227"/>
      <c r="G96" s="227"/>
      <c r="H96" s="227"/>
      <c r="I96" s="227"/>
    </row>
    <row r="97">
      <c r="A97" s="227"/>
      <c r="B97" s="231" t="s">
        <v>2904</v>
      </c>
      <c r="C97" s="231" t="s">
        <v>2990</v>
      </c>
      <c r="D97" s="231" t="s">
        <v>610</v>
      </c>
      <c r="E97" s="227"/>
      <c r="F97" s="227"/>
      <c r="G97" s="227"/>
      <c r="H97" s="227"/>
      <c r="I97" s="227"/>
    </row>
    <row r="98">
      <c r="A98" s="227"/>
      <c r="C98" s="231" t="s">
        <v>2983</v>
      </c>
      <c r="D98" s="231" t="s">
        <v>707</v>
      </c>
      <c r="E98" s="227"/>
      <c r="F98" s="227"/>
      <c r="G98" s="227"/>
      <c r="H98" s="227"/>
      <c r="I98" s="227"/>
    </row>
    <row r="99">
      <c r="A99" s="227"/>
      <c r="C99" s="231" t="s">
        <v>2974</v>
      </c>
      <c r="D99" s="231" t="s">
        <v>2654</v>
      </c>
      <c r="E99" s="227"/>
      <c r="F99" s="227"/>
      <c r="G99" s="227"/>
      <c r="H99" s="227"/>
      <c r="I99" s="227"/>
    </row>
    <row r="100">
      <c r="A100" s="227"/>
      <c r="C100" s="231" t="s">
        <v>2987</v>
      </c>
      <c r="D100" s="231" t="s">
        <v>352</v>
      </c>
      <c r="E100" s="227"/>
      <c r="F100" s="227"/>
      <c r="G100" s="227"/>
      <c r="H100" s="227"/>
      <c r="I100" s="227"/>
    </row>
    <row r="101">
      <c r="A101" s="227"/>
      <c r="C101" s="231" t="s">
        <v>2994</v>
      </c>
      <c r="D101" s="231" t="s">
        <v>2995</v>
      </c>
      <c r="E101" s="227"/>
      <c r="F101" s="227"/>
      <c r="G101" s="227"/>
      <c r="H101" s="227"/>
      <c r="I101" s="227"/>
    </row>
    <row r="102">
      <c r="A102" s="227"/>
      <c r="B102" s="231" t="s">
        <v>2908</v>
      </c>
      <c r="C102" s="231" t="s">
        <v>3033</v>
      </c>
      <c r="D102" s="231" t="s">
        <v>707</v>
      </c>
      <c r="E102" s="227"/>
      <c r="F102" s="227"/>
      <c r="G102" s="227"/>
      <c r="H102" s="227"/>
      <c r="I102" s="227"/>
    </row>
    <row r="103">
      <c r="A103" s="227"/>
      <c r="C103" s="231" t="s">
        <v>2974</v>
      </c>
      <c r="D103" s="231" t="s">
        <v>2654</v>
      </c>
      <c r="E103" s="227"/>
      <c r="F103" s="227"/>
      <c r="G103" s="227"/>
      <c r="H103" s="227"/>
      <c r="I103" s="227"/>
    </row>
    <row r="104">
      <c r="A104" s="227"/>
      <c r="C104" s="231" t="s">
        <v>2994</v>
      </c>
      <c r="D104" s="231" t="s">
        <v>2995</v>
      </c>
      <c r="E104" s="227"/>
      <c r="F104" s="227"/>
      <c r="G104" s="227"/>
      <c r="H104" s="227"/>
      <c r="I104" s="227"/>
    </row>
    <row r="105">
      <c r="A105" s="230" t="s">
        <v>3034</v>
      </c>
    </row>
    <row r="106">
      <c r="A106" s="231" t="s">
        <v>3035</v>
      </c>
      <c r="B106" s="227"/>
      <c r="C106" s="227"/>
      <c r="D106" s="231" t="s">
        <v>3036</v>
      </c>
      <c r="E106" s="227"/>
      <c r="F106" s="227"/>
      <c r="G106" s="231" t="s">
        <v>3037</v>
      </c>
      <c r="H106" s="227"/>
      <c r="I106" s="227"/>
    </row>
    <row r="107">
      <c r="A107" s="231" t="s">
        <v>3035</v>
      </c>
      <c r="B107" s="227"/>
      <c r="C107" s="227"/>
      <c r="D107" s="231" t="s">
        <v>3038</v>
      </c>
      <c r="E107" s="227"/>
      <c r="F107" s="227"/>
      <c r="G107" s="231" t="s">
        <v>3039</v>
      </c>
      <c r="H107" s="227"/>
      <c r="I107" s="227"/>
    </row>
    <row r="108">
      <c r="A108" s="231" t="s">
        <v>3035</v>
      </c>
      <c r="B108" s="227"/>
      <c r="C108" s="227"/>
      <c r="D108" s="243" t="s">
        <v>3040</v>
      </c>
      <c r="E108" s="227"/>
      <c r="F108" s="227"/>
      <c r="G108" s="231" t="s">
        <v>3041</v>
      </c>
      <c r="H108" s="227"/>
      <c r="I108" s="227"/>
    </row>
    <row r="109">
      <c r="A109" s="231" t="s">
        <v>3035</v>
      </c>
      <c r="B109" s="227"/>
      <c r="C109" s="227"/>
      <c r="D109" s="238" t="s">
        <v>3042</v>
      </c>
      <c r="E109" s="227"/>
      <c r="F109" s="227"/>
      <c r="G109" s="227" t="s">
        <v>3043</v>
      </c>
      <c r="H109" s="227"/>
      <c r="I109" s="227"/>
    </row>
    <row r="110">
      <c r="A110" s="231" t="s">
        <v>3035</v>
      </c>
      <c r="B110" s="227"/>
      <c r="C110" s="227"/>
      <c r="D110" s="231" t="s">
        <v>1774</v>
      </c>
      <c r="E110" s="227"/>
      <c r="F110" s="227"/>
      <c r="G110" s="227" t="s">
        <v>3044</v>
      </c>
      <c r="H110" s="227"/>
      <c r="I110" s="227"/>
    </row>
    <row r="111">
      <c r="A111" s="227"/>
      <c r="B111" s="227"/>
      <c r="C111" s="227"/>
      <c r="D111" s="227"/>
      <c r="E111" s="227"/>
      <c r="F111" s="227"/>
      <c r="G111" s="227"/>
      <c r="H111" s="227"/>
      <c r="I111" s="227"/>
    </row>
    <row r="112">
      <c r="A112" s="230" t="s">
        <v>3046</v>
      </c>
    </row>
    <row r="113">
      <c r="A113" s="244" t="s">
        <v>3047</v>
      </c>
    </row>
    <row r="114">
      <c r="A114" s="244" t="s">
        <v>3048</v>
      </c>
      <c r="B114" s="227"/>
      <c r="C114" s="231" t="s">
        <v>595</v>
      </c>
      <c r="D114" s="231" t="s">
        <v>3049</v>
      </c>
      <c r="E114" s="237"/>
      <c r="F114" s="227"/>
      <c r="G114" s="227" t="s">
        <v>3050</v>
      </c>
      <c r="H114" s="227"/>
      <c r="I114" s="227"/>
    </row>
    <row r="115">
      <c r="C115" s="231" t="s">
        <v>772</v>
      </c>
      <c r="D115" s="231" t="s">
        <v>3052</v>
      </c>
      <c r="E115" s="227"/>
      <c r="F115" s="227"/>
      <c r="G115" s="227" t="s">
        <v>3053</v>
      </c>
      <c r="H115" s="227"/>
      <c r="I115" s="227"/>
    </row>
    <row r="116">
      <c r="D116" s="238" t="s">
        <v>2104</v>
      </c>
      <c r="E116" s="227"/>
      <c r="F116" s="227"/>
      <c r="G116" s="227" t="s">
        <v>3050</v>
      </c>
      <c r="H116" s="227"/>
      <c r="I116" s="227"/>
    </row>
    <row r="117">
      <c r="A117" s="227"/>
      <c r="C117" s="231" t="s">
        <v>899</v>
      </c>
      <c r="D117" s="231" t="s">
        <v>2096</v>
      </c>
      <c r="E117" s="227"/>
      <c r="F117" s="227"/>
      <c r="G117" s="227" t="s">
        <v>3050</v>
      </c>
      <c r="H117" s="227"/>
      <c r="I117" s="227"/>
    </row>
    <row r="118">
      <c r="A118" s="227"/>
      <c r="D118" s="238" t="s">
        <v>2094</v>
      </c>
      <c r="E118" s="237"/>
      <c r="F118" s="237"/>
      <c r="G118" s="227" t="s">
        <v>3050</v>
      </c>
      <c r="H118" s="227"/>
      <c r="I118" s="227"/>
    </row>
    <row r="119">
      <c r="A119" s="227"/>
      <c r="B119" s="227"/>
      <c r="D119" s="238" t="s">
        <v>2067</v>
      </c>
      <c r="E119" s="237"/>
      <c r="F119" s="237"/>
      <c r="G119" s="227" t="s">
        <v>3053</v>
      </c>
      <c r="H119" s="227"/>
      <c r="I119" s="227"/>
    </row>
    <row r="120">
      <c r="A120" s="227"/>
      <c r="B120" s="227"/>
      <c r="D120" s="243"/>
      <c r="E120" s="237"/>
      <c r="F120" s="237"/>
      <c r="G120" s="227"/>
      <c r="H120" s="227"/>
      <c r="I120" s="227"/>
    </row>
    <row r="121">
      <c r="A121" s="227"/>
      <c r="B121" s="227"/>
      <c r="C121" s="231" t="s">
        <v>816</v>
      </c>
      <c r="D121" s="231" t="s">
        <v>876</v>
      </c>
      <c r="E121" s="237"/>
      <c r="F121" s="237"/>
      <c r="G121" s="227" t="s">
        <v>3053</v>
      </c>
      <c r="H121" s="227"/>
      <c r="I121" s="227"/>
    </row>
    <row r="122">
      <c r="A122" s="227"/>
      <c r="B122" s="227"/>
      <c r="D122" s="227" t="s">
        <v>3059</v>
      </c>
      <c r="E122" s="237"/>
      <c r="F122" s="227"/>
      <c r="G122" s="231" t="s">
        <v>3053</v>
      </c>
      <c r="H122" s="227"/>
      <c r="I122" s="227"/>
    </row>
    <row r="123">
      <c r="A123" s="227"/>
      <c r="B123" s="227"/>
      <c r="D123" s="231" t="s">
        <v>3061</v>
      </c>
      <c r="E123" s="237"/>
      <c r="F123" s="227"/>
      <c r="G123" s="227" t="s">
        <v>3063</v>
      </c>
      <c r="H123" s="227"/>
      <c r="I123" s="227"/>
    </row>
    <row r="124">
      <c r="A124" s="227"/>
      <c r="B124" s="227"/>
      <c r="D124" s="238" t="s">
        <v>3065</v>
      </c>
      <c r="E124" s="237"/>
      <c r="F124" s="227"/>
      <c r="G124" s="227" t="s">
        <v>3067</v>
      </c>
      <c r="H124" s="227"/>
      <c r="I124" s="227"/>
    </row>
    <row r="125">
      <c r="A125" s="227"/>
      <c r="B125" s="227"/>
      <c r="D125" s="238" t="s">
        <v>1777</v>
      </c>
      <c r="E125" s="237"/>
      <c r="F125" s="227"/>
      <c r="G125" s="227" t="s">
        <v>3067</v>
      </c>
      <c r="H125" s="227"/>
      <c r="I125" s="227"/>
    </row>
    <row r="126">
      <c r="A126" s="227"/>
      <c r="B126" s="227"/>
      <c r="D126" s="231" t="s">
        <v>1786</v>
      </c>
      <c r="E126" s="237"/>
      <c r="F126" s="227"/>
      <c r="G126" s="227" t="s">
        <v>3053</v>
      </c>
      <c r="H126" s="227"/>
      <c r="I126" s="227"/>
    </row>
    <row r="127">
      <c r="A127" s="227"/>
      <c r="B127" s="227"/>
      <c r="D127" s="243" t="s">
        <v>1789</v>
      </c>
      <c r="E127" s="237"/>
      <c r="F127" s="227"/>
      <c r="G127" s="227" t="s">
        <v>3067</v>
      </c>
      <c r="H127" s="227"/>
      <c r="I127" s="227"/>
    </row>
    <row r="128">
      <c r="A128" s="227"/>
      <c r="B128" s="227"/>
      <c r="D128" s="231" t="s">
        <v>3068</v>
      </c>
      <c r="E128" s="237"/>
      <c r="F128" s="227"/>
      <c r="G128" s="227" t="s">
        <v>3053</v>
      </c>
      <c r="H128" s="227"/>
      <c r="I128" s="227"/>
    </row>
    <row r="129">
      <c r="A129" s="227"/>
      <c r="B129" s="227"/>
      <c r="D129" s="231" t="s">
        <v>3069</v>
      </c>
      <c r="E129" s="237"/>
      <c r="F129" s="227"/>
      <c r="G129" s="227" t="s">
        <v>3053</v>
      </c>
      <c r="H129" s="227"/>
      <c r="I129" s="227"/>
    </row>
    <row r="130">
      <c r="A130" s="227"/>
      <c r="B130" s="227"/>
      <c r="C130" s="231" t="s">
        <v>706</v>
      </c>
      <c r="D130" s="231" t="s">
        <v>2410</v>
      </c>
      <c r="E130" s="237"/>
      <c r="F130" s="237"/>
      <c r="G130" s="227" t="s">
        <v>3063</v>
      </c>
      <c r="H130" s="227"/>
      <c r="I130" s="227"/>
    </row>
    <row r="131">
      <c r="A131" s="227"/>
      <c r="B131" s="227"/>
      <c r="D131" s="238" t="s">
        <v>3070</v>
      </c>
      <c r="E131" s="237"/>
      <c r="F131" s="237"/>
      <c r="G131" s="227" t="s">
        <v>3050</v>
      </c>
      <c r="H131" s="227"/>
      <c r="I131" s="227"/>
    </row>
    <row r="132">
      <c r="A132" s="227"/>
      <c r="B132" s="227"/>
      <c r="D132" s="231" t="s">
        <v>3071</v>
      </c>
      <c r="E132" s="237"/>
      <c r="F132" s="237"/>
      <c r="G132" s="227" t="s">
        <v>3072</v>
      </c>
      <c r="H132" s="227"/>
      <c r="I132" s="227"/>
    </row>
    <row r="133">
      <c r="A133" s="243"/>
      <c r="B133" s="227"/>
      <c r="D133" s="238" t="s">
        <v>3073</v>
      </c>
      <c r="E133" s="245"/>
      <c r="F133" s="227"/>
      <c r="G133" s="227" t="s">
        <v>3063</v>
      </c>
      <c r="H133" s="227"/>
      <c r="I133" s="227"/>
    </row>
    <row r="134">
      <c r="A134" s="227"/>
      <c r="B134" s="227"/>
      <c r="C134" s="231" t="s">
        <v>536</v>
      </c>
      <c r="D134" s="231" t="s">
        <v>3073</v>
      </c>
      <c r="E134" s="237"/>
      <c r="F134" s="227"/>
      <c r="G134" s="227" t="s">
        <v>3063</v>
      </c>
      <c r="H134" s="227"/>
      <c r="I134" s="227"/>
    </row>
    <row r="135">
      <c r="A135" s="227"/>
      <c r="B135" s="227"/>
      <c r="C135" s="231" t="s">
        <v>2958</v>
      </c>
      <c r="D135" s="238" t="s">
        <v>3074</v>
      </c>
      <c r="E135" s="237"/>
      <c r="F135" s="237"/>
      <c r="G135" s="227" t="s">
        <v>3050</v>
      </c>
      <c r="H135" s="227"/>
      <c r="I135" s="227"/>
    </row>
    <row r="136">
      <c r="A136" s="227"/>
      <c r="B136" s="227"/>
      <c r="C136" s="231" t="s">
        <v>498</v>
      </c>
      <c r="D136" s="231" t="s">
        <v>3075</v>
      </c>
      <c r="E136" s="237"/>
      <c r="F136" s="237"/>
      <c r="G136" s="227" t="s">
        <v>3053</v>
      </c>
      <c r="H136" s="227"/>
      <c r="I136" s="227"/>
    </row>
    <row r="137">
      <c r="A137" s="227"/>
      <c r="B137" s="227"/>
      <c r="D137" s="231" t="s">
        <v>3076</v>
      </c>
      <c r="E137" s="237"/>
      <c r="F137" s="237"/>
      <c r="G137" s="227" t="s">
        <v>3050</v>
      </c>
      <c r="H137" s="227"/>
      <c r="I137" s="227"/>
    </row>
    <row r="138">
      <c r="A138" s="227"/>
      <c r="B138" s="227"/>
      <c r="C138" s="231" t="s">
        <v>2980</v>
      </c>
      <c r="D138" s="231" t="s">
        <v>3077</v>
      </c>
      <c r="E138" s="237"/>
      <c r="F138" s="237"/>
      <c r="G138" s="227" t="s">
        <v>3050</v>
      </c>
      <c r="H138" s="227"/>
      <c r="I138" s="227"/>
    </row>
    <row r="139">
      <c r="A139" s="227"/>
      <c r="B139" s="227"/>
      <c r="D139" s="238" t="s">
        <v>3079</v>
      </c>
      <c r="E139" s="237"/>
      <c r="F139" s="237"/>
      <c r="G139" s="227" t="s">
        <v>3050</v>
      </c>
      <c r="H139" s="227"/>
      <c r="I139" s="227"/>
    </row>
    <row r="140">
      <c r="A140" s="227"/>
      <c r="B140" s="227"/>
      <c r="C140" s="231" t="s">
        <v>2753</v>
      </c>
      <c r="D140" s="238" t="s">
        <v>3080</v>
      </c>
      <c r="E140" s="237"/>
      <c r="F140" s="237"/>
      <c r="G140" s="227" t="s">
        <v>3072</v>
      </c>
      <c r="H140" s="227"/>
      <c r="I140" s="227"/>
    </row>
    <row r="141">
      <c r="A141" s="227"/>
      <c r="B141" s="227"/>
      <c r="C141" s="231" t="s">
        <v>707</v>
      </c>
      <c r="D141" s="238" t="s">
        <v>3081</v>
      </c>
      <c r="E141" s="237"/>
      <c r="F141" s="237"/>
      <c r="G141" s="231" t="s">
        <v>3050</v>
      </c>
      <c r="H141" s="227"/>
      <c r="I141" s="227"/>
    </row>
    <row r="142">
      <c r="A142" s="227"/>
      <c r="B142" s="227"/>
      <c r="C142" s="231" t="s">
        <v>2654</v>
      </c>
      <c r="D142" s="231" t="s">
        <v>3087</v>
      </c>
      <c r="E142" s="237"/>
      <c r="F142" s="237"/>
      <c r="G142" s="231" t="s">
        <v>3050</v>
      </c>
      <c r="H142" s="227"/>
      <c r="I142" s="227"/>
    </row>
    <row r="143">
      <c r="A143" s="227"/>
      <c r="B143" s="227"/>
      <c r="C143" s="227"/>
      <c r="D143" s="227"/>
      <c r="E143" s="227"/>
      <c r="F143" s="227"/>
      <c r="G143" s="227"/>
      <c r="H143" s="227"/>
      <c r="I143" s="227"/>
    </row>
    <row r="144">
      <c r="A144" s="227"/>
      <c r="B144" s="227"/>
      <c r="C144" s="227"/>
      <c r="D144" s="227"/>
      <c r="E144" s="227"/>
      <c r="F144" s="227"/>
      <c r="G144" s="227"/>
      <c r="H144" s="227"/>
      <c r="I144" s="227"/>
    </row>
    <row r="145">
      <c r="A145" s="227"/>
      <c r="B145" s="227"/>
      <c r="C145" s="227"/>
      <c r="D145" s="227"/>
      <c r="E145" s="227"/>
      <c r="F145" s="227"/>
      <c r="G145" s="227"/>
      <c r="H145" s="227"/>
      <c r="I145" s="227"/>
    </row>
    <row r="146">
      <c r="A146" s="227"/>
      <c r="B146" s="227"/>
      <c r="C146" s="227"/>
      <c r="D146" s="243"/>
      <c r="E146" s="227"/>
      <c r="F146" s="227"/>
      <c r="G146" s="227"/>
      <c r="H146" s="227"/>
      <c r="I146" s="227"/>
    </row>
    <row r="147">
      <c r="A147" s="230" t="s">
        <v>3090</v>
      </c>
    </row>
    <row r="148">
      <c r="A148" s="231" t="s">
        <v>3092</v>
      </c>
      <c r="B148" s="231" t="s">
        <v>3093</v>
      </c>
      <c r="C148" s="231" t="s">
        <v>3094</v>
      </c>
      <c r="D148" s="231" t="s">
        <v>344</v>
      </c>
      <c r="E148" s="231" t="s">
        <v>929</v>
      </c>
      <c r="F148" s="231" t="s">
        <v>2857</v>
      </c>
      <c r="G148" s="227"/>
      <c r="H148" s="227"/>
      <c r="I148" s="227"/>
    </row>
    <row r="149">
      <c r="A149" s="231" t="s">
        <v>3092</v>
      </c>
      <c r="C149" s="231" t="s">
        <v>3094</v>
      </c>
      <c r="D149" s="231" t="s">
        <v>776</v>
      </c>
      <c r="E149" s="231" t="s">
        <v>929</v>
      </c>
      <c r="F149" s="231" t="s">
        <v>2857</v>
      </c>
      <c r="G149" s="227"/>
      <c r="H149" s="227"/>
      <c r="I149" s="227"/>
    </row>
    <row r="150">
      <c r="A150" s="238" t="s">
        <v>3092</v>
      </c>
      <c r="C150" s="238" t="s">
        <v>3094</v>
      </c>
      <c r="D150" s="238" t="s">
        <v>595</v>
      </c>
      <c r="E150" s="238" t="s">
        <v>929</v>
      </c>
      <c r="F150" s="231" t="s">
        <v>2857</v>
      </c>
      <c r="G150" s="227"/>
      <c r="H150" s="227"/>
      <c r="I150" s="227"/>
    </row>
    <row r="151">
      <c r="A151" s="227"/>
      <c r="B151" s="227"/>
      <c r="C151" s="227"/>
      <c r="D151" s="227"/>
      <c r="E151" s="227"/>
      <c r="F151" s="227"/>
      <c r="G151" s="227"/>
      <c r="H151" s="227"/>
      <c r="I151" s="227"/>
    </row>
    <row r="152">
      <c r="A152" s="231" t="s">
        <v>3092</v>
      </c>
      <c r="B152" s="231" t="s">
        <v>3095</v>
      </c>
      <c r="C152" s="231" t="s">
        <v>3096</v>
      </c>
      <c r="D152" s="238" t="s">
        <v>1062</v>
      </c>
      <c r="E152" s="231" t="s">
        <v>348</v>
      </c>
      <c r="F152" s="227"/>
      <c r="G152" s="227"/>
      <c r="H152" s="231" t="s">
        <v>3097</v>
      </c>
      <c r="I152" s="227"/>
    </row>
    <row r="153">
      <c r="A153" s="231" t="s">
        <v>3092</v>
      </c>
      <c r="C153" s="231" t="s">
        <v>3096</v>
      </c>
      <c r="D153" s="238" t="s">
        <v>595</v>
      </c>
      <c r="E153" s="231" t="s">
        <v>348</v>
      </c>
      <c r="F153" s="227"/>
      <c r="G153" s="227"/>
      <c r="H153" s="231" t="s">
        <v>595</v>
      </c>
      <c r="I153" s="227"/>
    </row>
    <row r="154">
      <c r="A154" s="231" t="s">
        <v>3092</v>
      </c>
      <c r="C154" s="231" t="s">
        <v>3096</v>
      </c>
      <c r="D154" s="231" t="s">
        <v>772</v>
      </c>
      <c r="E154" s="231" t="s">
        <v>348</v>
      </c>
      <c r="F154" s="227"/>
      <c r="G154" s="227"/>
      <c r="H154" s="231" t="s">
        <v>772</v>
      </c>
      <c r="I154" s="227"/>
    </row>
    <row r="155">
      <c r="A155" s="231" t="s">
        <v>3092</v>
      </c>
      <c r="C155" s="231" t="s">
        <v>3096</v>
      </c>
      <c r="D155" s="231" t="s">
        <v>1018</v>
      </c>
      <c r="E155" s="231" t="s">
        <v>348</v>
      </c>
      <c r="F155" s="227"/>
      <c r="G155" s="227"/>
      <c r="H155" s="231" t="s">
        <v>3099</v>
      </c>
      <c r="I155" s="227"/>
    </row>
    <row r="156">
      <c r="A156" s="231" t="s">
        <v>3092</v>
      </c>
      <c r="C156" s="231" t="s">
        <v>3096</v>
      </c>
      <c r="D156" s="231" t="s">
        <v>964</v>
      </c>
      <c r="E156" s="231" t="s">
        <v>348</v>
      </c>
      <c r="F156" s="227"/>
      <c r="G156" s="227"/>
      <c r="H156" s="231" t="s">
        <v>3102</v>
      </c>
      <c r="I156" s="227"/>
    </row>
    <row r="157">
      <c r="A157" s="231" t="s">
        <v>3092</v>
      </c>
      <c r="C157" s="231" t="s">
        <v>3096</v>
      </c>
      <c r="D157" s="238" t="s">
        <v>816</v>
      </c>
      <c r="E157" s="231" t="s">
        <v>348</v>
      </c>
      <c r="F157" s="227"/>
      <c r="G157" s="227"/>
      <c r="H157" s="231" t="s">
        <v>816</v>
      </c>
      <c r="I157" s="227"/>
    </row>
    <row r="158">
      <c r="A158" s="231" t="s">
        <v>3092</v>
      </c>
      <c r="C158" s="231" t="s">
        <v>3096</v>
      </c>
      <c r="D158" s="231" t="s">
        <v>776</v>
      </c>
      <c r="E158" s="231" t="s">
        <v>348</v>
      </c>
      <c r="F158" s="227"/>
      <c r="G158" s="227"/>
      <c r="H158" s="231" t="s">
        <v>3103</v>
      </c>
      <c r="I158" s="227"/>
    </row>
    <row r="159">
      <c r="A159" s="231" t="s">
        <v>3092</v>
      </c>
      <c r="C159" s="231" t="s">
        <v>3096</v>
      </c>
      <c r="D159" s="238" t="s">
        <v>899</v>
      </c>
      <c r="E159" s="231" t="s">
        <v>348</v>
      </c>
      <c r="F159" s="227"/>
      <c r="G159" s="227"/>
      <c r="H159" s="231" t="s">
        <v>3104</v>
      </c>
      <c r="I159" s="227"/>
    </row>
    <row r="160">
      <c r="A160" s="231" t="s">
        <v>3092</v>
      </c>
      <c r="C160" s="231" t="s">
        <v>3096</v>
      </c>
      <c r="D160" s="238" t="s">
        <v>706</v>
      </c>
      <c r="E160" s="231" t="s">
        <v>348</v>
      </c>
      <c r="F160" s="227"/>
      <c r="G160" s="227"/>
      <c r="H160" s="231" t="s">
        <v>3105</v>
      </c>
      <c r="I160" s="227"/>
    </row>
    <row r="161">
      <c r="A161" s="231" t="s">
        <v>3092</v>
      </c>
      <c r="C161" s="231" t="s">
        <v>3096</v>
      </c>
      <c r="D161" s="238" t="s">
        <v>536</v>
      </c>
      <c r="E161" s="231" t="s">
        <v>348</v>
      </c>
      <c r="F161" s="227"/>
      <c r="G161" s="227"/>
      <c r="H161" s="227" t="s">
        <v>3107</v>
      </c>
      <c r="I161" s="227"/>
    </row>
    <row r="162">
      <c r="A162" s="231" t="s">
        <v>3092</v>
      </c>
      <c r="C162" s="231" t="s">
        <v>3096</v>
      </c>
      <c r="D162" s="231" t="s">
        <v>2753</v>
      </c>
      <c r="E162" s="231" t="s">
        <v>348</v>
      </c>
      <c r="F162" s="227"/>
      <c r="G162" s="227"/>
      <c r="H162" s="231" t="s">
        <v>3110</v>
      </c>
      <c r="I162" s="227"/>
    </row>
    <row r="163">
      <c r="A163" s="231" t="s">
        <v>3092</v>
      </c>
      <c r="C163" s="231" t="s">
        <v>3096</v>
      </c>
      <c r="D163" s="231" t="s">
        <v>2958</v>
      </c>
      <c r="E163" s="231" t="s">
        <v>348</v>
      </c>
      <c r="F163" s="227"/>
      <c r="G163" s="227"/>
      <c r="H163" s="231" t="s">
        <v>2958</v>
      </c>
      <c r="I163" s="227"/>
    </row>
    <row r="164">
      <c r="A164" s="231" t="s">
        <v>3092</v>
      </c>
      <c r="C164" s="231" t="s">
        <v>3096</v>
      </c>
      <c r="D164" s="231" t="s">
        <v>2326</v>
      </c>
      <c r="E164" s="231" t="s">
        <v>348</v>
      </c>
      <c r="F164" s="227"/>
      <c r="G164" s="227"/>
      <c r="H164" s="231" t="s">
        <v>3112</v>
      </c>
      <c r="I164" s="227"/>
    </row>
    <row r="165">
      <c r="A165" s="231" t="s">
        <v>3092</v>
      </c>
      <c r="C165" s="231" t="s">
        <v>3096</v>
      </c>
      <c r="D165" s="238" t="s">
        <v>1438</v>
      </c>
      <c r="E165" s="231" t="s">
        <v>348</v>
      </c>
      <c r="F165" s="227"/>
      <c r="G165" s="227"/>
      <c r="H165" s="231" t="s">
        <v>3114</v>
      </c>
      <c r="I165" s="227"/>
    </row>
    <row r="166">
      <c r="A166" s="231" t="s">
        <v>3092</v>
      </c>
      <c r="C166" s="231" t="s">
        <v>3096</v>
      </c>
      <c r="D166" s="231" t="s">
        <v>498</v>
      </c>
      <c r="E166" s="231" t="s">
        <v>348</v>
      </c>
      <c r="F166" s="227"/>
      <c r="G166" s="227"/>
      <c r="H166" s="231" t="s">
        <v>498</v>
      </c>
      <c r="I166" s="227"/>
    </row>
    <row r="167">
      <c r="A167" s="231" t="s">
        <v>3092</v>
      </c>
      <c r="C167" s="231" t="s">
        <v>3096</v>
      </c>
      <c r="D167" s="238" t="s">
        <v>2351</v>
      </c>
      <c r="E167" s="231" t="s">
        <v>348</v>
      </c>
      <c r="F167" s="227"/>
      <c r="G167" s="227"/>
      <c r="H167" s="231" t="s">
        <v>3115</v>
      </c>
      <c r="I167" s="227"/>
    </row>
    <row r="168">
      <c r="A168" s="231" t="s">
        <v>3092</v>
      </c>
      <c r="C168" s="231" t="s">
        <v>3096</v>
      </c>
      <c r="D168" s="231" t="s">
        <v>2654</v>
      </c>
      <c r="E168" s="231" t="s">
        <v>348</v>
      </c>
      <c r="F168" s="227"/>
      <c r="G168" s="227"/>
      <c r="H168" s="231" t="s">
        <v>2654</v>
      </c>
      <c r="I168" s="227"/>
    </row>
    <row r="169">
      <c r="A169" s="231" t="s">
        <v>3092</v>
      </c>
      <c r="C169" s="231" t="s">
        <v>3096</v>
      </c>
      <c r="D169" s="238" t="s">
        <v>2980</v>
      </c>
      <c r="E169" s="231" t="s">
        <v>348</v>
      </c>
      <c r="F169" s="227"/>
      <c r="G169" s="227"/>
      <c r="H169" s="231" t="s">
        <v>3119</v>
      </c>
      <c r="I169" s="227"/>
    </row>
    <row r="170">
      <c r="A170" s="231" t="s">
        <v>3092</v>
      </c>
      <c r="C170" s="231" t="s">
        <v>3096</v>
      </c>
      <c r="D170" s="231" t="s">
        <v>707</v>
      </c>
      <c r="E170" s="231" t="s">
        <v>348</v>
      </c>
      <c r="F170" s="227"/>
      <c r="G170" s="227"/>
      <c r="H170" s="231" t="s">
        <v>3121</v>
      </c>
      <c r="I170" s="227"/>
    </row>
    <row r="171">
      <c r="A171" s="231" t="s">
        <v>3092</v>
      </c>
      <c r="C171" s="231" t="s">
        <v>3096</v>
      </c>
      <c r="D171" s="231" t="s">
        <v>352</v>
      </c>
      <c r="E171" s="231" t="s">
        <v>348</v>
      </c>
      <c r="F171" s="227"/>
      <c r="G171" s="227"/>
      <c r="H171" s="231" t="s">
        <v>3122</v>
      </c>
      <c r="I171" s="227"/>
    </row>
    <row r="172">
      <c r="A172" s="238" t="s">
        <v>3092</v>
      </c>
      <c r="C172" s="238" t="s">
        <v>3096</v>
      </c>
      <c r="D172" s="238" t="s">
        <v>610</v>
      </c>
      <c r="E172" s="238" t="s">
        <v>348</v>
      </c>
      <c r="F172" s="227"/>
      <c r="G172" s="227"/>
      <c r="H172" s="231" t="s">
        <v>3123</v>
      </c>
      <c r="I172" s="227"/>
    </row>
    <row r="173">
      <c r="A173" s="231" t="s">
        <v>3092</v>
      </c>
      <c r="B173" s="227"/>
      <c r="C173" s="231" t="s">
        <v>3096</v>
      </c>
      <c r="D173" s="231" t="s">
        <v>2995</v>
      </c>
      <c r="E173" s="231" t="s">
        <v>348</v>
      </c>
      <c r="F173" s="227"/>
      <c r="G173" s="227"/>
      <c r="H173" s="227"/>
      <c r="I173" s="227"/>
    </row>
    <row r="174">
      <c r="A174" s="227"/>
      <c r="B174" s="227"/>
      <c r="C174" s="227"/>
      <c r="D174" s="227"/>
      <c r="E174" s="227"/>
      <c r="F174" s="227"/>
      <c r="G174" s="227"/>
      <c r="H174" s="227"/>
      <c r="I174" s="227"/>
    </row>
    <row r="175">
      <c r="A175" s="231" t="s">
        <v>3092</v>
      </c>
      <c r="B175" s="238" t="s">
        <v>3124</v>
      </c>
      <c r="C175" s="231" t="s">
        <v>3125</v>
      </c>
      <c r="D175" s="231" t="s">
        <v>344</v>
      </c>
      <c r="E175" s="231" t="s">
        <v>591</v>
      </c>
      <c r="F175" s="227"/>
      <c r="G175" s="227"/>
      <c r="H175" s="227"/>
      <c r="I175" s="227"/>
    </row>
    <row r="176">
      <c r="A176" s="231" t="s">
        <v>3092</v>
      </c>
      <c r="C176" s="231" t="s">
        <v>3125</v>
      </c>
      <c r="D176" s="238" t="s">
        <v>595</v>
      </c>
      <c r="E176" s="231" t="s">
        <v>591</v>
      </c>
      <c r="F176" s="227"/>
      <c r="G176" s="227"/>
      <c r="H176" s="227"/>
      <c r="I176" s="227"/>
    </row>
    <row r="177">
      <c r="A177" s="231" t="s">
        <v>3092</v>
      </c>
      <c r="C177" s="231" t="s">
        <v>3125</v>
      </c>
      <c r="D177" s="231" t="s">
        <v>772</v>
      </c>
      <c r="E177" s="231" t="s">
        <v>591</v>
      </c>
      <c r="F177" s="227"/>
      <c r="G177" s="227"/>
      <c r="H177" s="227"/>
      <c r="I177" s="227"/>
    </row>
    <row r="178">
      <c r="A178" s="231" t="s">
        <v>3092</v>
      </c>
      <c r="C178" s="231" t="s">
        <v>3125</v>
      </c>
      <c r="D178" s="231" t="s">
        <v>816</v>
      </c>
      <c r="E178" s="231" t="s">
        <v>591</v>
      </c>
      <c r="F178" s="227"/>
      <c r="G178" s="227"/>
      <c r="H178" s="227"/>
      <c r="I178" s="227"/>
    </row>
    <row r="179">
      <c r="A179" s="231" t="s">
        <v>3092</v>
      </c>
      <c r="C179" s="231" t="s">
        <v>3125</v>
      </c>
      <c r="D179" s="231" t="s">
        <v>776</v>
      </c>
      <c r="E179" s="231" t="s">
        <v>591</v>
      </c>
      <c r="F179" s="227"/>
      <c r="G179" s="227"/>
      <c r="H179" s="227"/>
      <c r="I179" s="227"/>
    </row>
    <row r="180">
      <c r="A180" s="231" t="s">
        <v>3092</v>
      </c>
      <c r="C180" s="231" t="s">
        <v>3125</v>
      </c>
      <c r="D180" s="231" t="s">
        <v>899</v>
      </c>
      <c r="E180" s="231" t="s">
        <v>591</v>
      </c>
      <c r="F180" s="227"/>
      <c r="G180" s="227"/>
      <c r="H180" s="227"/>
      <c r="I180" s="227"/>
    </row>
    <row r="181">
      <c r="A181" s="231" t="s">
        <v>3092</v>
      </c>
      <c r="C181" s="231" t="s">
        <v>3125</v>
      </c>
      <c r="D181" s="231" t="s">
        <v>706</v>
      </c>
      <c r="E181" s="231" t="s">
        <v>591</v>
      </c>
      <c r="F181" s="227"/>
      <c r="G181" s="227"/>
      <c r="H181" s="227"/>
      <c r="I181" s="227"/>
    </row>
    <row r="182">
      <c r="A182" s="231" t="s">
        <v>3092</v>
      </c>
      <c r="C182" s="231" t="s">
        <v>3125</v>
      </c>
      <c r="D182" s="231" t="s">
        <v>536</v>
      </c>
      <c r="E182" s="231" t="s">
        <v>591</v>
      </c>
      <c r="F182" s="227"/>
      <c r="G182" s="227"/>
      <c r="H182" s="227"/>
      <c r="I182" s="227"/>
    </row>
    <row r="183">
      <c r="A183" s="231" t="s">
        <v>3092</v>
      </c>
      <c r="C183" s="231" t="s">
        <v>3125</v>
      </c>
      <c r="D183" s="231" t="s">
        <v>2753</v>
      </c>
      <c r="E183" s="231" t="s">
        <v>591</v>
      </c>
      <c r="F183" s="227"/>
      <c r="G183" s="227"/>
      <c r="H183" s="227"/>
      <c r="I183" s="227"/>
    </row>
    <row r="184">
      <c r="A184" s="231" t="s">
        <v>3092</v>
      </c>
      <c r="C184" s="231" t="s">
        <v>3125</v>
      </c>
      <c r="D184" s="231" t="s">
        <v>2958</v>
      </c>
      <c r="E184" s="231" t="s">
        <v>591</v>
      </c>
      <c r="F184" s="227"/>
      <c r="G184" s="227"/>
      <c r="H184" s="227"/>
      <c r="I184" s="227"/>
    </row>
    <row r="185">
      <c r="A185" s="231" t="s">
        <v>3092</v>
      </c>
      <c r="C185" s="231" t="s">
        <v>3125</v>
      </c>
      <c r="D185" s="231" t="s">
        <v>2654</v>
      </c>
      <c r="E185" s="231" t="s">
        <v>591</v>
      </c>
      <c r="F185" s="227"/>
      <c r="G185" s="227"/>
      <c r="H185" s="227"/>
      <c r="I185" s="227"/>
    </row>
    <row r="186">
      <c r="A186" s="231" t="s">
        <v>3092</v>
      </c>
      <c r="C186" s="231" t="s">
        <v>3125</v>
      </c>
      <c r="D186" s="231" t="s">
        <v>2326</v>
      </c>
      <c r="E186" s="231" t="s">
        <v>591</v>
      </c>
      <c r="F186" s="227"/>
      <c r="G186" s="227"/>
      <c r="H186" s="227"/>
      <c r="I186" s="227"/>
    </row>
    <row r="187">
      <c r="A187" s="231" t="s">
        <v>3092</v>
      </c>
      <c r="C187" s="231" t="s">
        <v>3125</v>
      </c>
      <c r="D187" s="231" t="s">
        <v>1438</v>
      </c>
      <c r="E187" s="231" t="s">
        <v>591</v>
      </c>
      <c r="F187" s="227"/>
      <c r="G187" s="227"/>
      <c r="H187" s="227"/>
      <c r="I187" s="227"/>
    </row>
    <row r="188">
      <c r="A188" s="231" t="s">
        <v>3092</v>
      </c>
      <c r="C188" s="231" t="s">
        <v>3125</v>
      </c>
      <c r="D188" s="231" t="s">
        <v>498</v>
      </c>
      <c r="E188" s="231" t="s">
        <v>591</v>
      </c>
      <c r="F188" s="227"/>
      <c r="G188" s="227"/>
      <c r="H188" s="227"/>
      <c r="I188" s="227"/>
    </row>
    <row r="189">
      <c r="A189" s="231" t="s">
        <v>3092</v>
      </c>
      <c r="C189" s="231" t="s">
        <v>3125</v>
      </c>
      <c r="D189" s="231" t="s">
        <v>2980</v>
      </c>
      <c r="E189" s="231" t="s">
        <v>591</v>
      </c>
      <c r="F189" s="227"/>
      <c r="G189" s="227"/>
      <c r="H189" s="227"/>
      <c r="I189" s="227"/>
    </row>
    <row r="190">
      <c r="A190" s="231" t="s">
        <v>3092</v>
      </c>
      <c r="B190" s="243"/>
      <c r="C190" s="231" t="s">
        <v>3125</v>
      </c>
      <c r="D190" s="231" t="s">
        <v>2995</v>
      </c>
      <c r="E190" s="231" t="s">
        <v>348</v>
      </c>
      <c r="F190" s="227"/>
      <c r="G190" s="227"/>
      <c r="H190" s="227"/>
      <c r="I190" s="227"/>
    </row>
    <row r="191">
      <c r="A191" s="227"/>
      <c r="B191" s="243"/>
      <c r="C191" s="227"/>
      <c r="D191" s="227"/>
      <c r="E191" s="227"/>
      <c r="F191" s="227"/>
      <c r="G191" s="227"/>
      <c r="H191" s="227"/>
      <c r="I191" s="227"/>
    </row>
    <row r="192">
      <c r="A192" s="231" t="s">
        <v>3092</v>
      </c>
      <c r="B192" s="238" t="s">
        <v>3134</v>
      </c>
      <c r="C192" s="231" t="s">
        <v>3135</v>
      </c>
      <c r="D192" s="231" t="s">
        <v>344</v>
      </c>
      <c r="E192" s="231" t="s">
        <v>488</v>
      </c>
      <c r="F192" s="227"/>
      <c r="G192" s="227"/>
      <c r="H192" s="227"/>
      <c r="I192" s="227"/>
    </row>
    <row r="193">
      <c r="A193" s="231" t="s">
        <v>3092</v>
      </c>
      <c r="C193" s="231" t="s">
        <v>3135</v>
      </c>
      <c r="D193" s="231" t="s">
        <v>1062</v>
      </c>
      <c r="E193" s="231" t="s">
        <v>488</v>
      </c>
      <c r="F193" s="227"/>
      <c r="G193" s="227"/>
      <c r="H193" s="227"/>
      <c r="I193" s="227"/>
    </row>
    <row r="194">
      <c r="A194" s="238" t="s">
        <v>3092</v>
      </c>
      <c r="C194" s="238" t="s">
        <v>3135</v>
      </c>
      <c r="D194" s="238" t="s">
        <v>595</v>
      </c>
      <c r="E194" s="238" t="s">
        <v>488</v>
      </c>
      <c r="F194" s="227"/>
      <c r="G194" s="227"/>
      <c r="H194" s="227"/>
      <c r="I194" s="227"/>
    </row>
    <row r="195">
      <c r="A195" s="231" t="s">
        <v>3092</v>
      </c>
      <c r="C195" s="231" t="s">
        <v>3135</v>
      </c>
      <c r="D195" s="231" t="s">
        <v>772</v>
      </c>
      <c r="E195" s="231" t="s">
        <v>488</v>
      </c>
      <c r="F195" s="227"/>
      <c r="G195" s="227"/>
      <c r="H195" s="227"/>
      <c r="I195" s="227"/>
    </row>
    <row r="196">
      <c r="A196" s="231" t="s">
        <v>3092</v>
      </c>
      <c r="C196" s="231" t="s">
        <v>3135</v>
      </c>
      <c r="D196" s="231" t="s">
        <v>1018</v>
      </c>
      <c r="E196" s="231" t="s">
        <v>488</v>
      </c>
      <c r="F196" s="227"/>
      <c r="G196" s="227"/>
      <c r="H196" s="227"/>
      <c r="I196" s="227"/>
    </row>
    <row r="197">
      <c r="A197" s="231" t="s">
        <v>3092</v>
      </c>
      <c r="C197" s="231" t="s">
        <v>3135</v>
      </c>
      <c r="D197" s="231" t="s">
        <v>964</v>
      </c>
      <c r="E197" s="231" t="s">
        <v>488</v>
      </c>
      <c r="F197" s="227"/>
      <c r="G197" s="227"/>
      <c r="H197" s="227"/>
      <c r="I197" s="227"/>
    </row>
    <row r="198">
      <c r="A198" s="231" t="s">
        <v>3092</v>
      </c>
      <c r="C198" s="231" t="s">
        <v>3135</v>
      </c>
      <c r="D198" s="231" t="s">
        <v>816</v>
      </c>
      <c r="E198" s="231" t="s">
        <v>488</v>
      </c>
      <c r="F198" s="227"/>
      <c r="G198" s="227"/>
      <c r="H198" s="227"/>
      <c r="I198" s="227"/>
    </row>
    <row r="199">
      <c r="A199" s="231" t="s">
        <v>3092</v>
      </c>
      <c r="C199" s="231" t="s">
        <v>3135</v>
      </c>
      <c r="D199" s="231" t="s">
        <v>776</v>
      </c>
      <c r="E199" s="231" t="s">
        <v>488</v>
      </c>
      <c r="F199" s="227"/>
      <c r="G199" s="227"/>
      <c r="H199" s="227"/>
      <c r="I199" s="227"/>
    </row>
    <row r="200">
      <c r="A200" s="231" t="s">
        <v>3092</v>
      </c>
      <c r="C200" s="231" t="s">
        <v>3135</v>
      </c>
      <c r="D200" s="231" t="s">
        <v>899</v>
      </c>
      <c r="E200" s="231" t="s">
        <v>488</v>
      </c>
      <c r="F200" s="227"/>
      <c r="G200" s="227"/>
      <c r="H200" s="227"/>
      <c r="I200" s="227"/>
    </row>
    <row r="201">
      <c r="A201" s="231" t="s">
        <v>3092</v>
      </c>
      <c r="C201" s="231" t="s">
        <v>3135</v>
      </c>
      <c r="D201" s="231" t="s">
        <v>706</v>
      </c>
      <c r="E201" s="231" t="s">
        <v>488</v>
      </c>
      <c r="F201" s="227"/>
      <c r="G201" s="227"/>
      <c r="H201" s="227"/>
      <c r="I201" s="227"/>
    </row>
    <row r="202">
      <c r="A202" s="231" t="s">
        <v>3092</v>
      </c>
      <c r="C202" s="231" t="s">
        <v>3135</v>
      </c>
      <c r="D202" s="231" t="s">
        <v>536</v>
      </c>
      <c r="E202" s="231" t="s">
        <v>488</v>
      </c>
      <c r="F202" s="227"/>
      <c r="G202" s="227"/>
      <c r="H202" s="227"/>
      <c r="I202" s="227"/>
    </row>
    <row r="203">
      <c r="A203" s="231" t="s">
        <v>3092</v>
      </c>
      <c r="C203" s="231" t="s">
        <v>3135</v>
      </c>
      <c r="D203" s="231" t="s">
        <v>2753</v>
      </c>
      <c r="E203" s="231" t="s">
        <v>488</v>
      </c>
      <c r="F203" s="227"/>
      <c r="G203" s="227"/>
      <c r="H203" s="227"/>
      <c r="I203" s="227"/>
    </row>
    <row r="204">
      <c r="A204" s="231" t="s">
        <v>3092</v>
      </c>
      <c r="C204" s="231" t="s">
        <v>3135</v>
      </c>
      <c r="D204" s="231" t="s">
        <v>2958</v>
      </c>
      <c r="E204" s="231" t="s">
        <v>488</v>
      </c>
      <c r="F204" s="227"/>
      <c r="G204" s="227"/>
      <c r="H204" s="227"/>
      <c r="I204" s="227"/>
    </row>
    <row r="205">
      <c r="A205" s="231" t="s">
        <v>3092</v>
      </c>
      <c r="C205" s="231" t="s">
        <v>3135</v>
      </c>
      <c r="D205" s="231" t="s">
        <v>2326</v>
      </c>
      <c r="E205" s="231" t="s">
        <v>488</v>
      </c>
      <c r="F205" s="227"/>
      <c r="G205" s="227"/>
      <c r="H205" s="227"/>
      <c r="I205" s="227"/>
    </row>
    <row r="206">
      <c r="A206" s="231" t="s">
        <v>3092</v>
      </c>
      <c r="C206" s="231" t="s">
        <v>3135</v>
      </c>
      <c r="D206" s="231" t="s">
        <v>2654</v>
      </c>
      <c r="E206" s="231" t="s">
        <v>488</v>
      </c>
      <c r="F206" s="227"/>
      <c r="G206" s="227"/>
      <c r="H206" s="227"/>
      <c r="I206" s="227"/>
    </row>
    <row r="207">
      <c r="A207" s="231" t="s">
        <v>3092</v>
      </c>
      <c r="C207" s="231" t="s">
        <v>3135</v>
      </c>
      <c r="D207" s="231" t="s">
        <v>1438</v>
      </c>
      <c r="E207" s="231" t="s">
        <v>488</v>
      </c>
      <c r="F207" s="227"/>
      <c r="G207" s="227"/>
      <c r="H207" s="227"/>
      <c r="I207" s="227"/>
    </row>
    <row r="208">
      <c r="A208" s="231" t="s">
        <v>3092</v>
      </c>
      <c r="C208" s="231" t="s">
        <v>3135</v>
      </c>
      <c r="D208" s="238" t="s">
        <v>498</v>
      </c>
      <c r="E208" s="231" t="s">
        <v>488</v>
      </c>
      <c r="F208" s="227"/>
      <c r="G208" s="227"/>
      <c r="H208" s="227"/>
      <c r="I208" s="227"/>
    </row>
    <row r="209">
      <c r="A209" s="231" t="s">
        <v>3092</v>
      </c>
      <c r="C209" s="231" t="s">
        <v>3135</v>
      </c>
      <c r="D209" s="238" t="s">
        <v>2351</v>
      </c>
      <c r="E209" s="231" t="s">
        <v>488</v>
      </c>
      <c r="F209" s="227"/>
      <c r="G209" s="227"/>
      <c r="H209" s="227"/>
      <c r="I209" s="227"/>
    </row>
    <row r="210">
      <c r="A210" s="231" t="s">
        <v>3092</v>
      </c>
      <c r="C210" s="231" t="s">
        <v>3135</v>
      </c>
      <c r="D210" s="238" t="s">
        <v>2980</v>
      </c>
      <c r="E210" s="231" t="s">
        <v>488</v>
      </c>
      <c r="F210" s="227"/>
      <c r="G210" s="227"/>
      <c r="H210" s="227"/>
      <c r="I210" s="227"/>
    </row>
    <row r="211">
      <c r="A211" s="231" t="s">
        <v>3092</v>
      </c>
      <c r="C211" s="231" t="s">
        <v>3135</v>
      </c>
      <c r="D211" s="231" t="s">
        <v>707</v>
      </c>
      <c r="E211" s="231" t="s">
        <v>488</v>
      </c>
      <c r="F211" s="227"/>
      <c r="G211" s="227"/>
      <c r="H211" s="227"/>
      <c r="I211" s="227"/>
    </row>
    <row r="212">
      <c r="A212" s="231" t="s">
        <v>3092</v>
      </c>
      <c r="B212" s="227"/>
      <c r="C212" s="238" t="s">
        <v>3135</v>
      </c>
      <c r="D212" s="238" t="s">
        <v>2995</v>
      </c>
      <c r="E212" s="231" t="s">
        <v>348</v>
      </c>
      <c r="F212" s="227"/>
      <c r="G212" s="227"/>
      <c r="H212" s="227"/>
      <c r="I212" s="227"/>
    </row>
    <row r="213">
      <c r="A213" s="230" t="s">
        <v>3151</v>
      </c>
    </row>
    <row r="214">
      <c r="A214" s="231" t="s">
        <v>3152</v>
      </c>
      <c r="B214" s="231" t="s">
        <v>344</v>
      </c>
      <c r="C214" s="238" t="s">
        <v>3154</v>
      </c>
      <c r="D214" s="238" t="s">
        <v>632</v>
      </c>
      <c r="E214" s="231" t="s">
        <v>929</v>
      </c>
      <c r="F214" s="231" t="s">
        <v>2857</v>
      </c>
      <c r="G214" s="231" t="s">
        <v>3156</v>
      </c>
      <c r="H214" s="227"/>
      <c r="I214" s="227"/>
    </row>
    <row r="215">
      <c r="A215" s="231" t="s">
        <v>3152</v>
      </c>
      <c r="C215" s="238" t="s">
        <v>3158</v>
      </c>
      <c r="D215" s="238" t="s">
        <v>556</v>
      </c>
      <c r="E215" s="231" t="s">
        <v>929</v>
      </c>
      <c r="F215" s="231" t="s">
        <v>2857</v>
      </c>
      <c r="G215" s="231" t="s">
        <v>3159</v>
      </c>
      <c r="H215" s="227"/>
      <c r="I215" s="227"/>
    </row>
    <row r="216">
      <c r="A216" s="231" t="s">
        <v>3152</v>
      </c>
      <c r="C216" s="238" t="s">
        <v>3160</v>
      </c>
      <c r="D216" s="238" t="s">
        <v>1159</v>
      </c>
      <c r="E216" s="231" t="s">
        <v>929</v>
      </c>
      <c r="F216" s="231" t="s">
        <v>2857</v>
      </c>
      <c r="G216" s="231" t="s">
        <v>3162</v>
      </c>
      <c r="H216" s="227"/>
      <c r="I216" s="227"/>
    </row>
    <row r="217">
      <c r="A217" s="231" t="s">
        <v>3152</v>
      </c>
      <c r="C217" s="231" t="s">
        <v>3163</v>
      </c>
      <c r="D217" s="231" t="s">
        <v>727</v>
      </c>
      <c r="E217" s="231" t="s">
        <v>929</v>
      </c>
      <c r="F217" s="231" t="s">
        <v>2857</v>
      </c>
      <c r="G217" s="231" t="s">
        <v>3164</v>
      </c>
      <c r="H217" s="227"/>
      <c r="I217" s="227"/>
    </row>
    <row r="218">
      <c r="A218" s="231" t="s">
        <v>3152</v>
      </c>
      <c r="C218" s="231" t="s">
        <v>3165</v>
      </c>
      <c r="D218" s="231" t="s">
        <v>1160</v>
      </c>
      <c r="E218" s="231" t="s">
        <v>3166</v>
      </c>
      <c r="F218" s="227"/>
      <c r="G218" s="227"/>
      <c r="H218" s="227"/>
      <c r="I218" s="227"/>
    </row>
    <row r="219">
      <c r="A219" s="231" t="s">
        <v>3152</v>
      </c>
      <c r="C219" s="231" t="s">
        <v>3167</v>
      </c>
      <c r="D219" s="231" t="s">
        <v>1161</v>
      </c>
      <c r="E219" s="231" t="s">
        <v>929</v>
      </c>
      <c r="F219" s="227"/>
      <c r="G219" s="227"/>
      <c r="H219" s="227"/>
      <c r="I219" s="227"/>
    </row>
    <row r="220">
      <c r="A220" s="231" t="s">
        <v>3152</v>
      </c>
      <c r="C220" s="231" t="s">
        <v>3168</v>
      </c>
      <c r="D220" s="231" t="s">
        <v>1162</v>
      </c>
      <c r="E220" s="231" t="s">
        <v>3166</v>
      </c>
      <c r="F220" s="227"/>
      <c r="G220" s="227"/>
      <c r="H220" s="227"/>
      <c r="I220" s="227"/>
    </row>
    <row r="221">
      <c r="A221" s="231" t="s">
        <v>3152</v>
      </c>
      <c r="C221" s="231" t="s">
        <v>3169</v>
      </c>
      <c r="D221" s="231" t="s">
        <v>1163</v>
      </c>
      <c r="E221" s="231" t="s">
        <v>929</v>
      </c>
      <c r="F221" s="227"/>
      <c r="G221" s="227"/>
      <c r="H221" s="227"/>
      <c r="I221" s="227"/>
    </row>
    <row r="222">
      <c r="A222" s="231" t="s">
        <v>3152</v>
      </c>
      <c r="C222" s="231" t="s">
        <v>3170</v>
      </c>
      <c r="D222" s="231" t="s">
        <v>1126</v>
      </c>
      <c r="E222" s="231" t="s">
        <v>929</v>
      </c>
      <c r="F222" s="231" t="s">
        <v>2857</v>
      </c>
      <c r="G222" s="231" t="s">
        <v>3171</v>
      </c>
      <c r="H222" s="227"/>
      <c r="I222" s="227"/>
    </row>
    <row r="223">
      <c r="A223" s="231" t="s">
        <v>3152</v>
      </c>
      <c r="C223" s="231" t="s">
        <v>3172</v>
      </c>
      <c r="D223" s="231" t="s">
        <v>363</v>
      </c>
      <c r="E223" s="231" t="s">
        <v>929</v>
      </c>
      <c r="F223" s="231" t="s">
        <v>2857</v>
      </c>
      <c r="G223" s="231" t="s">
        <v>3173</v>
      </c>
      <c r="H223" s="227"/>
      <c r="I223" s="227"/>
    </row>
    <row r="224">
      <c r="A224" s="231" t="s">
        <v>3152</v>
      </c>
      <c r="C224" s="231" t="s">
        <v>3174</v>
      </c>
      <c r="D224" s="231" t="s">
        <v>1165</v>
      </c>
      <c r="E224" s="231" t="s">
        <v>929</v>
      </c>
      <c r="F224" s="231" t="s">
        <v>2857</v>
      </c>
      <c r="G224" s="231" t="s">
        <v>3175</v>
      </c>
      <c r="H224" s="227"/>
      <c r="I224" s="227"/>
    </row>
    <row r="225">
      <c r="A225" s="231" t="s">
        <v>3152</v>
      </c>
      <c r="C225" s="231" t="s">
        <v>3176</v>
      </c>
      <c r="D225" s="231" t="s">
        <v>1166</v>
      </c>
      <c r="E225" s="231" t="s">
        <v>929</v>
      </c>
      <c r="F225" s="231" t="s">
        <v>2857</v>
      </c>
      <c r="G225" s="231" t="s">
        <v>3177</v>
      </c>
      <c r="H225" s="227"/>
      <c r="I225" s="227"/>
    </row>
    <row r="226">
      <c r="A226" s="231" t="s">
        <v>3152</v>
      </c>
      <c r="C226" s="231" t="s">
        <v>3179</v>
      </c>
      <c r="D226" s="231" t="s">
        <v>1084</v>
      </c>
      <c r="E226" s="231" t="s">
        <v>929</v>
      </c>
      <c r="F226" s="231" t="s">
        <v>2857</v>
      </c>
      <c r="G226" s="231" t="s">
        <v>3180</v>
      </c>
      <c r="H226" s="227"/>
      <c r="I226" s="227"/>
    </row>
    <row r="227">
      <c r="A227" s="227"/>
      <c r="B227" s="243"/>
      <c r="C227" s="227"/>
      <c r="D227" s="227"/>
      <c r="E227" s="227"/>
      <c r="F227" s="227"/>
      <c r="G227" s="227"/>
      <c r="H227" s="227"/>
      <c r="I227" s="227"/>
    </row>
    <row r="228">
      <c r="A228" s="231" t="s">
        <v>3181</v>
      </c>
      <c r="B228" s="238" t="s">
        <v>3182</v>
      </c>
      <c r="C228" s="231" t="s">
        <v>3183</v>
      </c>
      <c r="D228" s="231" t="s">
        <v>1682</v>
      </c>
      <c r="E228" s="231" t="s">
        <v>2837</v>
      </c>
      <c r="F228" s="231" t="s">
        <v>2857</v>
      </c>
      <c r="G228" s="231" t="s">
        <v>3184</v>
      </c>
      <c r="H228" s="227"/>
      <c r="I228" s="227"/>
    </row>
    <row r="229">
      <c r="A229" s="231" t="s">
        <v>3181</v>
      </c>
      <c r="C229" s="231" t="s">
        <v>3185</v>
      </c>
      <c r="D229" s="231" t="s">
        <v>1579</v>
      </c>
      <c r="E229" s="231" t="s">
        <v>2837</v>
      </c>
      <c r="F229" s="231" t="s">
        <v>2857</v>
      </c>
      <c r="G229" s="231" t="s">
        <v>3186</v>
      </c>
      <c r="H229" s="227"/>
      <c r="I229" s="227"/>
    </row>
    <row r="230">
      <c r="A230" s="231" t="s">
        <v>3181</v>
      </c>
      <c r="C230" s="231" t="s">
        <v>3187</v>
      </c>
      <c r="D230" s="231" t="s">
        <v>1580</v>
      </c>
      <c r="E230" s="231" t="s">
        <v>2837</v>
      </c>
      <c r="F230" s="231" t="s">
        <v>2857</v>
      </c>
      <c r="G230" s="231" t="s">
        <v>3189</v>
      </c>
      <c r="H230" s="227"/>
      <c r="I230" s="227"/>
    </row>
    <row r="231">
      <c r="A231" s="231" t="s">
        <v>3181</v>
      </c>
      <c r="C231" s="231" t="s">
        <v>3190</v>
      </c>
      <c r="D231" s="231" t="s">
        <v>1063</v>
      </c>
      <c r="E231" s="231" t="s">
        <v>2837</v>
      </c>
      <c r="F231" s="231" t="s">
        <v>2857</v>
      </c>
      <c r="G231" s="231" t="s">
        <v>3191</v>
      </c>
      <c r="H231" s="227"/>
      <c r="I231" s="227"/>
    </row>
    <row r="232">
      <c r="A232" s="231" t="s">
        <v>3181</v>
      </c>
      <c r="C232" s="231" t="s">
        <v>3192</v>
      </c>
      <c r="D232" s="231" t="s">
        <v>1581</v>
      </c>
      <c r="E232" s="231" t="s">
        <v>2837</v>
      </c>
      <c r="F232" s="231" t="s">
        <v>2857</v>
      </c>
      <c r="G232" s="231" t="s">
        <v>3193</v>
      </c>
      <c r="H232" s="227"/>
      <c r="I232" s="227"/>
    </row>
    <row r="233">
      <c r="A233" s="231" t="s">
        <v>3181</v>
      </c>
      <c r="C233" s="231" t="s">
        <v>3195</v>
      </c>
      <c r="D233" s="231" t="s">
        <v>1582</v>
      </c>
      <c r="E233" s="231" t="s">
        <v>2837</v>
      </c>
      <c r="F233" s="227"/>
      <c r="G233" s="227"/>
      <c r="H233" s="227"/>
      <c r="I233" s="227"/>
    </row>
    <row r="234">
      <c r="A234" s="231" t="s">
        <v>3181</v>
      </c>
      <c r="C234" s="231" t="s">
        <v>3168</v>
      </c>
      <c r="D234" s="231" t="s">
        <v>1162</v>
      </c>
      <c r="E234" s="231" t="s">
        <v>2837</v>
      </c>
      <c r="F234" s="231" t="s">
        <v>2857</v>
      </c>
      <c r="G234" s="231" t="s">
        <v>3198</v>
      </c>
      <c r="H234" s="227"/>
      <c r="I234" s="227"/>
    </row>
    <row r="235">
      <c r="A235" s="227"/>
      <c r="B235" s="227"/>
      <c r="C235" s="227"/>
      <c r="D235" s="227"/>
      <c r="E235" s="227"/>
      <c r="F235" s="227"/>
      <c r="G235" s="227"/>
      <c r="H235" s="227"/>
      <c r="I235" s="227"/>
    </row>
    <row r="236">
      <c r="A236" s="231" t="s">
        <v>3181</v>
      </c>
      <c r="B236" s="231" t="s">
        <v>595</v>
      </c>
      <c r="C236" s="231" t="s">
        <v>3199</v>
      </c>
      <c r="D236" s="231" t="s">
        <v>1318</v>
      </c>
      <c r="E236" s="231" t="s">
        <v>3201</v>
      </c>
      <c r="F236" s="231" t="s">
        <v>2857</v>
      </c>
      <c r="G236" s="231" t="s">
        <v>3202</v>
      </c>
      <c r="H236" s="227"/>
      <c r="I236" s="227"/>
    </row>
    <row r="237">
      <c r="A237" s="231" t="s">
        <v>3181</v>
      </c>
      <c r="C237" s="231" t="s">
        <v>3203</v>
      </c>
      <c r="D237" s="231" t="s">
        <v>650</v>
      </c>
      <c r="E237" s="231" t="s">
        <v>2837</v>
      </c>
      <c r="F237" s="231" t="s">
        <v>2857</v>
      </c>
      <c r="G237" s="231" t="s">
        <v>3205</v>
      </c>
      <c r="H237" s="227"/>
      <c r="I237" s="227"/>
    </row>
    <row r="238">
      <c r="A238" s="231" t="s">
        <v>3181</v>
      </c>
      <c r="C238" s="231" t="s">
        <v>3206</v>
      </c>
      <c r="D238" s="231" t="s">
        <v>1069</v>
      </c>
      <c r="E238" s="231" t="s">
        <v>2837</v>
      </c>
      <c r="F238" s="231" t="s">
        <v>2857</v>
      </c>
      <c r="G238" s="231" t="s">
        <v>3208</v>
      </c>
      <c r="H238" s="227"/>
      <c r="I238" s="227"/>
    </row>
    <row r="239">
      <c r="A239" s="231" t="s">
        <v>3181</v>
      </c>
      <c r="C239" s="231" t="s">
        <v>3209</v>
      </c>
      <c r="D239" s="231" t="s">
        <v>661</v>
      </c>
      <c r="E239" s="231" t="s">
        <v>2837</v>
      </c>
      <c r="F239" s="227"/>
      <c r="G239" s="227"/>
      <c r="H239" s="227"/>
      <c r="I239" s="227"/>
    </row>
    <row r="240">
      <c r="A240" s="231" t="s">
        <v>3181</v>
      </c>
      <c r="C240" s="231" t="s">
        <v>3210</v>
      </c>
      <c r="D240" s="231" t="s">
        <v>1072</v>
      </c>
      <c r="E240" s="231" t="s">
        <v>2837</v>
      </c>
      <c r="F240" s="231" t="s">
        <v>2857</v>
      </c>
      <c r="G240" s="231" t="s">
        <v>3211</v>
      </c>
      <c r="H240" s="227"/>
      <c r="I240" s="227"/>
    </row>
    <row r="241">
      <c r="A241" s="231" t="s">
        <v>3181</v>
      </c>
      <c r="C241" s="231" t="s">
        <v>3212</v>
      </c>
      <c r="D241" s="231" t="s">
        <v>1073</v>
      </c>
      <c r="E241" s="231" t="s">
        <v>2837</v>
      </c>
      <c r="F241" s="231" t="s">
        <v>2857</v>
      </c>
      <c r="G241" s="231" t="s">
        <v>3213</v>
      </c>
      <c r="H241" s="227"/>
      <c r="I241" s="227"/>
    </row>
    <row r="242">
      <c r="A242" s="231" t="s">
        <v>3181</v>
      </c>
      <c r="C242" s="231" t="s">
        <v>3214</v>
      </c>
      <c r="D242" s="231" t="s">
        <v>1074</v>
      </c>
      <c r="E242" s="231" t="s">
        <v>2837</v>
      </c>
      <c r="F242" s="231" t="s">
        <v>2857</v>
      </c>
      <c r="G242" s="231" t="s">
        <v>3215</v>
      </c>
      <c r="H242" s="227"/>
      <c r="I242" s="227"/>
    </row>
    <row r="243">
      <c r="A243" s="231" t="s">
        <v>3181</v>
      </c>
      <c r="C243" s="231" t="s">
        <v>3216</v>
      </c>
      <c r="D243" s="231" t="s">
        <v>1075</v>
      </c>
      <c r="E243" s="231" t="s">
        <v>929</v>
      </c>
      <c r="F243" s="231" t="s">
        <v>2857</v>
      </c>
      <c r="G243" s="231" t="s">
        <v>3217</v>
      </c>
      <c r="H243" s="227"/>
      <c r="I243" s="227"/>
    </row>
    <row r="244">
      <c r="A244" s="231" t="s">
        <v>3181</v>
      </c>
      <c r="C244" s="248" t="s">
        <v>3218</v>
      </c>
      <c r="D244" s="248" t="s">
        <v>1076</v>
      </c>
      <c r="E244" s="248" t="s">
        <v>2837</v>
      </c>
      <c r="F244" s="234"/>
      <c r="G244" s="234"/>
      <c r="H244" s="234"/>
      <c r="I244" s="234"/>
    </row>
    <row r="245">
      <c r="A245" s="231" t="s">
        <v>3181</v>
      </c>
      <c r="C245" s="248" t="s">
        <v>3219</v>
      </c>
      <c r="D245" s="248" t="s">
        <v>1077</v>
      </c>
      <c r="E245" s="248" t="s">
        <v>2837</v>
      </c>
      <c r="F245" s="234"/>
      <c r="G245" s="234"/>
      <c r="H245" s="234"/>
      <c r="I245" s="234"/>
    </row>
    <row r="246">
      <c r="A246" s="227"/>
      <c r="B246" s="227"/>
      <c r="C246" s="227"/>
      <c r="D246" s="227"/>
      <c r="E246" s="227"/>
      <c r="F246" s="227"/>
      <c r="G246" s="227"/>
      <c r="H246" s="227"/>
      <c r="I246" s="227"/>
    </row>
    <row r="247">
      <c r="A247" s="231" t="s">
        <v>3181</v>
      </c>
      <c r="B247" s="231" t="s">
        <v>772</v>
      </c>
      <c r="C247" s="231" t="s">
        <v>3220</v>
      </c>
      <c r="D247" s="231" t="s">
        <v>2315</v>
      </c>
      <c r="E247" s="231" t="s">
        <v>2837</v>
      </c>
      <c r="F247" s="231" t="s">
        <v>2857</v>
      </c>
      <c r="G247" s="231" t="s">
        <v>3221</v>
      </c>
      <c r="H247" s="227"/>
      <c r="I247" s="227"/>
    </row>
    <row r="248">
      <c r="A248" s="231" t="s">
        <v>3181</v>
      </c>
      <c r="C248" s="231" t="s">
        <v>3222</v>
      </c>
      <c r="D248" s="231" t="s">
        <v>782</v>
      </c>
      <c r="E248" s="231" t="s">
        <v>2837</v>
      </c>
      <c r="F248" s="231" t="s">
        <v>2857</v>
      </c>
      <c r="G248" s="227"/>
      <c r="H248" s="227"/>
      <c r="I248" s="227"/>
    </row>
    <row r="249">
      <c r="A249" s="249" t="s">
        <v>3181</v>
      </c>
      <c r="C249" s="249" t="s">
        <v>3224</v>
      </c>
      <c r="D249" s="231" t="s">
        <v>1507</v>
      </c>
      <c r="E249" s="249" t="s">
        <v>2837</v>
      </c>
      <c r="F249" s="249" t="s">
        <v>2857</v>
      </c>
      <c r="G249" s="249" t="s">
        <v>3225</v>
      </c>
      <c r="H249" s="227"/>
      <c r="I249" s="227"/>
    </row>
    <row r="250">
      <c r="A250" s="231" t="s">
        <v>3181</v>
      </c>
      <c r="C250" s="231" t="s">
        <v>3226</v>
      </c>
      <c r="D250" s="231" t="s">
        <v>1509</v>
      </c>
      <c r="E250" s="231" t="s">
        <v>2837</v>
      </c>
      <c r="F250" s="231" t="s">
        <v>2857</v>
      </c>
      <c r="G250" s="231" t="s">
        <v>3228</v>
      </c>
      <c r="H250" s="227"/>
      <c r="I250" s="227"/>
    </row>
    <row r="251">
      <c r="A251" s="231" t="s">
        <v>3181</v>
      </c>
      <c r="C251" s="231" t="s">
        <v>3231</v>
      </c>
      <c r="D251" s="231" t="s">
        <v>1510</v>
      </c>
      <c r="E251" s="231" t="s">
        <v>3232</v>
      </c>
      <c r="F251" s="231" t="s">
        <v>2857</v>
      </c>
      <c r="G251" s="231" t="s">
        <v>3233</v>
      </c>
      <c r="H251" s="227"/>
      <c r="I251" s="227"/>
    </row>
    <row r="252">
      <c r="A252" s="231" t="s">
        <v>3181</v>
      </c>
      <c r="C252" s="231" t="s">
        <v>3234</v>
      </c>
      <c r="D252" s="231" t="s">
        <v>1511</v>
      </c>
      <c r="E252" s="231" t="s">
        <v>2837</v>
      </c>
      <c r="F252" s="231" t="s">
        <v>2857</v>
      </c>
      <c r="G252" s="231" t="s">
        <v>3236</v>
      </c>
      <c r="H252" s="227"/>
      <c r="I252" s="227"/>
    </row>
    <row r="253">
      <c r="A253" s="231" t="s">
        <v>3181</v>
      </c>
      <c r="C253" s="231" t="s">
        <v>3238</v>
      </c>
      <c r="D253" s="231" t="s">
        <v>1513</v>
      </c>
      <c r="E253" s="231" t="s">
        <v>2837</v>
      </c>
      <c r="F253" s="231" t="s">
        <v>2857</v>
      </c>
      <c r="G253" s="231" t="s">
        <v>3239</v>
      </c>
      <c r="H253" s="227"/>
      <c r="I253" s="227"/>
    </row>
    <row r="254">
      <c r="A254" s="231" t="s">
        <v>3181</v>
      </c>
      <c r="C254" s="231" t="s">
        <v>3241</v>
      </c>
      <c r="D254" s="231" t="s">
        <v>1514</v>
      </c>
      <c r="E254" s="227"/>
      <c r="F254" s="227"/>
      <c r="G254" s="227"/>
      <c r="H254" s="227"/>
      <c r="I254" s="227"/>
    </row>
    <row r="255">
      <c r="A255" s="231" t="s">
        <v>3181</v>
      </c>
      <c r="C255" s="231" t="s">
        <v>3243</v>
      </c>
      <c r="D255" s="231" t="s">
        <v>1515</v>
      </c>
      <c r="E255" s="227"/>
      <c r="F255" s="227"/>
      <c r="G255" s="227"/>
      <c r="H255" s="227"/>
      <c r="I255" s="227"/>
    </row>
    <row r="256">
      <c r="A256" s="231" t="s">
        <v>3181</v>
      </c>
      <c r="C256" s="231" t="s">
        <v>3245</v>
      </c>
      <c r="D256" s="231" t="s">
        <v>1516</v>
      </c>
      <c r="E256" s="227"/>
      <c r="F256" s="227"/>
      <c r="G256" s="227"/>
      <c r="H256" s="227"/>
      <c r="I256" s="227"/>
    </row>
    <row r="257">
      <c r="A257" s="231" t="s">
        <v>3181</v>
      </c>
      <c r="C257" s="231" t="s">
        <v>3246</v>
      </c>
      <c r="D257" s="231" t="s">
        <v>1134</v>
      </c>
      <c r="E257" s="227"/>
      <c r="F257" s="227"/>
      <c r="G257" s="227"/>
      <c r="H257" s="227"/>
      <c r="I257" s="227"/>
    </row>
    <row r="258">
      <c r="A258" s="238" t="s">
        <v>3181</v>
      </c>
      <c r="C258" s="238" t="s">
        <v>3247</v>
      </c>
      <c r="D258" s="238" t="s">
        <v>1517</v>
      </c>
      <c r="E258" s="243"/>
      <c r="F258" s="227"/>
      <c r="G258" s="227"/>
      <c r="H258" s="227"/>
      <c r="I258" s="227"/>
    </row>
    <row r="259">
      <c r="A259" s="243"/>
      <c r="B259" s="243"/>
      <c r="C259" s="243"/>
      <c r="D259" s="243"/>
      <c r="E259" s="243"/>
      <c r="F259" s="227"/>
      <c r="G259" s="227"/>
      <c r="H259" s="227"/>
      <c r="I259" s="227"/>
    </row>
    <row r="260">
      <c r="A260" s="238" t="s">
        <v>3181</v>
      </c>
      <c r="B260" s="238" t="s">
        <v>1018</v>
      </c>
      <c r="C260" s="238" t="s">
        <v>3249</v>
      </c>
      <c r="D260" s="238" t="s">
        <v>3250</v>
      </c>
      <c r="E260" s="238" t="s">
        <v>348</v>
      </c>
      <c r="F260" s="231" t="s">
        <v>2857</v>
      </c>
      <c r="G260" s="231" t="s">
        <v>3251</v>
      </c>
      <c r="H260" s="227"/>
      <c r="I260" s="227"/>
    </row>
    <row r="261">
      <c r="A261" s="243"/>
      <c r="C261" s="238" t="s">
        <v>3252</v>
      </c>
      <c r="D261" s="238" t="s">
        <v>1568</v>
      </c>
      <c r="E261" s="238" t="s">
        <v>348</v>
      </c>
      <c r="F261" s="231" t="s">
        <v>2857</v>
      </c>
      <c r="G261" s="227"/>
      <c r="H261" s="227"/>
      <c r="I261" s="227"/>
    </row>
    <row r="262">
      <c r="A262" s="238" t="s">
        <v>3181</v>
      </c>
      <c r="C262" s="238" t="s">
        <v>3253</v>
      </c>
      <c r="D262" s="238" t="s">
        <v>1406</v>
      </c>
      <c r="E262" s="238" t="s">
        <v>348</v>
      </c>
      <c r="F262" s="231" t="s">
        <v>2857</v>
      </c>
      <c r="G262" s="231" t="s">
        <v>3255</v>
      </c>
      <c r="H262" s="227"/>
      <c r="I262" s="227"/>
    </row>
    <row r="263">
      <c r="A263" s="238" t="s">
        <v>3181</v>
      </c>
      <c r="C263" s="238" t="s">
        <v>3256</v>
      </c>
      <c r="D263" s="238" t="s">
        <v>1569</v>
      </c>
      <c r="E263" s="238" t="s">
        <v>348</v>
      </c>
      <c r="F263" s="231" t="s">
        <v>2857</v>
      </c>
      <c r="G263" s="231" t="s">
        <v>3257</v>
      </c>
      <c r="H263" s="227"/>
      <c r="I263" s="227"/>
    </row>
    <row r="264">
      <c r="A264" s="238" t="s">
        <v>3181</v>
      </c>
      <c r="C264" s="238" t="s">
        <v>3258</v>
      </c>
      <c r="D264" s="238" t="s">
        <v>1570</v>
      </c>
      <c r="E264" s="238" t="s">
        <v>348</v>
      </c>
      <c r="F264" s="231" t="s">
        <v>2857</v>
      </c>
      <c r="G264" s="231" t="s">
        <v>3259</v>
      </c>
      <c r="H264" s="227"/>
      <c r="I264" s="227"/>
    </row>
    <row r="265">
      <c r="A265" s="238" t="s">
        <v>3181</v>
      </c>
      <c r="C265" s="238" t="s">
        <v>3260</v>
      </c>
      <c r="D265" s="238" t="s">
        <v>1571</v>
      </c>
      <c r="E265" s="238" t="s">
        <v>348</v>
      </c>
      <c r="F265" s="231" t="s">
        <v>2857</v>
      </c>
      <c r="G265" s="231" t="s">
        <v>3261</v>
      </c>
      <c r="H265" s="227"/>
      <c r="I265" s="227"/>
    </row>
    <row r="266">
      <c r="A266" s="238" t="s">
        <v>3181</v>
      </c>
      <c r="C266" s="238" t="s">
        <v>3262</v>
      </c>
      <c r="D266" s="238" t="s">
        <v>1572</v>
      </c>
      <c r="E266" s="238" t="s">
        <v>348</v>
      </c>
      <c r="F266" s="231" t="s">
        <v>2857</v>
      </c>
      <c r="G266" s="231" t="s">
        <v>3264</v>
      </c>
      <c r="H266" s="227"/>
      <c r="I266" s="227"/>
    </row>
    <row r="267">
      <c r="A267" s="243"/>
      <c r="B267" s="243"/>
      <c r="C267" s="243"/>
      <c r="D267" s="243"/>
      <c r="E267" s="243"/>
      <c r="F267" s="227"/>
      <c r="G267" s="227"/>
      <c r="H267" s="227"/>
      <c r="I267" s="227"/>
    </row>
    <row r="268">
      <c r="A268" s="231" t="s">
        <v>3181</v>
      </c>
      <c r="B268" s="231" t="s">
        <v>964</v>
      </c>
      <c r="C268" s="231" t="s">
        <v>3266</v>
      </c>
      <c r="D268" s="231" t="s">
        <v>3268</v>
      </c>
      <c r="E268" s="231" t="s">
        <v>348</v>
      </c>
      <c r="F268" s="231" t="s">
        <v>2857</v>
      </c>
      <c r="G268" s="231" t="s">
        <v>3269</v>
      </c>
      <c r="H268" s="227"/>
      <c r="I268" s="227"/>
    </row>
    <row r="269" ht="17.25" customHeight="1">
      <c r="A269" s="231" t="s">
        <v>3181</v>
      </c>
      <c r="C269" s="231" t="s">
        <v>3271</v>
      </c>
      <c r="D269" s="231" t="s">
        <v>967</v>
      </c>
      <c r="E269" s="231" t="s">
        <v>348</v>
      </c>
      <c r="F269" s="231" t="s">
        <v>2857</v>
      </c>
      <c r="G269" s="231" t="s">
        <v>3273</v>
      </c>
      <c r="H269" s="227"/>
      <c r="I269" s="227"/>
    </row>
    <row r="270" ht="17.25" customHeight="1">
      <c r="A270" s="231" t="s">
        <v>3181</v>
      </c>
      <c r="C270" s="231" t="s">
        <v>3274</v>
      </c>
      <c r="D270" s="231" t="s">
        <v>1553</v>
      </c>
      <c r="E270" s="231" t="s">
        <v>348</v>
      </c>
      <c r="F270" s="231" t="s">
        <v>2857</v>
      </c>
      <c r="G270" s="231" t="s">
        <v>3275</v>
      </c>
      <c r="H270" s="227"/>
      <c r="I270" s="227"/>
    </row>
    <row r="271" ht="17.25" customHeight="1">
      <c r="A271" s="231" t="s">
        <v>3181</v>
      </c>
      <c r="C271" s="231" t="s">
        <v>3276</v>
      </c>
      <c r="D271" s="231" t="s">
        <v>1555</v>
      </c>
      <c r="E271" s="231" t="s">
        <v>348</v>
      </c>
      <c r="F271" s="231" t="s">
        <v>2857</v>
      </c>
      <c r="G271" s="231" t="s">
        <v>3277</v>
      </c>
      <c r="H271" s="227"/>
      <c r="I271" s="227"/>
    </row>
    <row r="272" ht="17.25" customHeight="1">
      <c r="A272" s="231" t="s">
        <v>3181</v>
      </c>
      <c r="C272" s="231" t="s">
        <v>3279</v>
      </c>
      <c r="D272" s="231" t="s">
        <v>1556</v>
      </c>
      <c r="E272" s="231" t="s">
        <v>348</v>
      </c>
      <c r="F272" s="231" t="s">
        <v>3281</v>
      </c>
      <c r="G272" s="231" t="s">
        <v>3282</v>
      </c>
      <c r="H272" s="227"/>
      <c r="I272" s="227"/>
    </row>
    <row r="273">
      <c r="A273" s="231" t="s">
        <v>3181</v>
      </c>
      <c r="C273" s="231" t="s">
        <v>3283</v>
      </c>
      <c r="D273" s="231" t="s">
        <v>1558</v>
      </c>
      <c r="E273" s="231" t="s">
        <v>348</v>
      </c>
      <c r="F273" s="231" t="s">
        <v>2857</v>
      </c>
      <c r="G273" s="231" t="s">
        <v>3284</v>
      </c>
      <c r="H273" s="227"/>
      <c r="I273" s="227"/>
    </row>
    <row r="274" ht="20.25" customHeight="1">
      <c r="A274" s="231" t="s">
        <v>3181</v>
      </c>
      <c r="C274" s="231" t="s">
        <v>3285</v>
      </c>
      <c r="D274" s="231" t="s">
        <v>1559</v>
      </c>
      <c r="E274" s="231" t="s">
        <v>348</v>
      </c>
      <c r="F274" s="231" t="s">
        <v>2857</v>
      </c>
      <c r="G274" s="231" t="s">
        <v>3286</v>
      </c>
      <c r="H274" s="227"/>
      <c r="I274" s="227"/>
    </row>
    <row r="275" ht="20.25" customHeight="1">
      <c r="A275" s="227"/>
      <c r="B275" s="243"/>
      <c r="C275" s="227"/>
      <c r="D275" s="227"/>
      <c r="E275" s="227"/>
      <c r="F275" s="227"/>
      <c r="G275" s="227"/>
      <c r="H275" s="227"/>
      <c r="I275" s="227"/>
    </row>
    <row r="276" ht="20.25" customHeight="1">
      <c r="A276" s="231" t="s">
        <v>3181</v>
      </c>
      <c r="B276" s="238" t="s">
        <v>816</v>
      </c>
      <c r="C276" s="231" t="s">
        <v>3287</v>
      </c>
      <c r="D276" s="231" t="s">
        <v>3288</v>
      </c>
      <c r="E276" s="231" t="s">
        <v>2975</v>
      </c>
      <c r="F276" s="231" t="s">
        <v>2857</v>
      </c>
      <c r="G276" s="227"/>
      <c r="H276" s="227"/>
      <c r="I276" s="227"/>
    </row>
    <row r="277" ht="20.25" customHeight="1">
      <c r="A277" s="231" t="s">
        <v>3181</v>
      </c>
      <c r="C277" s="231" t="s">
        <v>3289</v>
      </c>
      <c r="D277" s="231" t="s">
        <v>1192</v>
      </c>
      <c r="E277" s="231" t="s">
        <v>2975</v>
      </c>
      <c r="F277" s="227"/>
      <c r="G277" s="227"/>
      <c r="H277" s="227"/>
      <c r="I277" s="227"/>
    </row>
    <row r="278" ht="20.25" customHeight="1">
      <c r="A278" s="231" t="s">
        <v>3181</v>
      </c>
      <c r="C278" s="231" t="s">
        <v>3290</v>
      </c>
      <c r="D278" s="231" t="s">
        <v>817</v>
      </c>
      <c r="E278" s="231" t="s">
        <v>2975</v>
      </c>
      <c r="F278" s="231" t="s">
        <v>2857</v>
      </c>
      <c r="G278" s="227"/>
      <c r="H278" s="227"/>
      <c r="I278" s="227"/>
    </row>
    <row r="279" ht="20.25" customHeight="1">
      <c r="A279" s="231" t="s">
        <v>3181</v>
      </c>
      <c r="C279" s="231" t="s">
        <v>3291</v>
      </c>
      <c r="D279" s="231" t="s">
        <v>1193</v>
      </c>
      <c r="E279" s="231" t="s">
        <v>2975</v>
      </c>
      <c r="F279" s="231" t="s">
        <v>2857</v>
      </c>
      <c r="G279" s="227"/>
      <c r="H279" s="227"/>
      <c r="I279" s="227"/>
    </row>
    <row r="280">
      <c r="A280" s="231" t="s">
        <v>3181</v>
      </c>
      <c r="C280" s="231" t="s">
        <v>3292</v>
      </c>
      <c r="D280" s="231" t="s">
        <v>1194</v>
      </c>
      <c r="E280" s="231" t="s">
        <v>2975</v>
      </c>
      <c r="F280" s="231" t="s">
        <v>2857</v>
      </c>
      <c r="G280" s="227"/>
      <c r="H280" s="227"/>
      <c r="I280" s="227"/>
    </row>
    <row r="281" ht="18.0" customHeight="1">
      <c r="A281" s="231" t="s">
        <v>3181</v>
      </c>
      <c r="C281" s="231" t="s">
        <v>3293</v>
      </c>
      <c r="D281" s="231" t="s">
        <v>1195</v>
      </c>
      <c r="E281" s="231" t="s">
        <v>2975</v>
      </c>
      <c r="F281" s="231" t="s">
        <v>2857</v>
      </c>
      <c r="G281" s="227"/>
      <c r="H281" s="227"/>
      <c r="I281" s="227"/>
    </row>
    <row r="282" ht="18.0" customHeight="1">
      <c r="A282" s="231" t="s">
        <v>3181</v>
      </c>
      <c r="C282" s="231" t="s">
        <v>3294</v>
      </c>
      <c r="D282" s="231" t="s">
        <v>1196</v>
      </c>
      <c r="E282" s="231" t="s">
        <v>2975</v>
      </c>
      <c r="F282" s="231" t="s">
        <v>2857</v>
      </c>
      <c r="G282" s="227"/>
      <c r="H282" s="227"/>
      <c r="I282" s="227"/>
    </row>
    <row r="283" ht="18.0" customHeight="1">
      <c r="A283" s="231" t="s">
        <v>3181</v>
      </c>
      <c r="C283" s="231" t="s">
        <v>3295</v>
      </c>
      <c r="D283" s="231" t="s">
        <v>962</v>
      </c>
      <c r="E283" s="231" t="s">
        <v>2975</v>
      </c>
      <c r="F283" s="231" t="s">
        <v>2857</v>
      </c>
      <c r="G283" s="227"/>
      <c r="H283" s="227"/>
      <c r="I283" s="227"/>
    </row>
    <row r="284" ht="18.0" customHeight="1">
      <c r="A284" s="231" t="s">
        <v>3181</v>
      </c>
      <c r="C284" s="231" t="s">
        <v>3297</v>
      </c>
      <c r="D284" s="231" t="s">
        <v>1198</v>
      </c>
      <c r="E284" s="231" t="s">
        <v>2975</v>
      </c>
      <c r="F284" s="231" t="s">
        <v>2857</v>
      </c>
      <c r="G284" s="227"/>
      <c r="H284" s="227"/>
      <c r="I284" s="227"/>
    </row>
    <row r="285" ht="18.0" customHeight="1">
      <c r="A285" s="231" t="s">
        <v>3181</v>
      </c>
      <c r="C285" s="231" t="s">
        <v>3298</v>
      </c>
      <c r="D285" s="231" t="s">
        <v>1199</v>
      </c>
      <c r="E285" s="231" t="s">
        <v>2975</v>
      </c>
      <c r="F285" s="231" t="s">
        <v>2857</v>
      </c>
      <c r="G285" s="227"/>
      <c r="H285" s="227"/>
      <c r="I285" s="227"/>
    </row>
    <row r="286">
      <c r="A286" s="231" t="s">
        <v>3181</v>
      </c>
      <c r="C286" s="231" t="s">
        <v>3299</v>
      </c>
      <c r="D286" s="231" t="s">
        <v>1200</v>
      </c>
      <c r="E286" s="231" t="s">
        <v>2975</v>
      </c>
      <c r="F286" s="231" t="s">
        <v>2857</v>
      </c>
      <c r="G286" s="227"/>
      <c r="H286" s="227"/>
      <c r="I286" s="227"/>
    </row>
    <row r="287" ht="24.0" customHeight="1">
      <c r="A287" s="231" t="s">
        <v>3181</v>
      </c>
      <c r="C287" s="231" t="s">
        <v>3300</v>
      </c>
      <c r="D287" s="231" t="s">
        <v>1201</v>
      </c>
      <c r="E287" s="231" t="s">
        <v>2975</v>
      </c>
      <c r="F287" s="231" t="s">
        <v>2857</v>
      </c>
      <c r="G287" s="227"/>
      <c r="H287" s="227"/>
      <c r="I287" s="227"/>
    </row>
    <row r="288" ht="24.0" customHeight="1">
      <c r="A288" s="231" t="s">
        <v>3181</v>
      </c>
      <c r="C288" s="231" t="s">
        <v>3302</v>
      </c>
      <c r="D288" s="231" t="s">
        <v>1203</v>
      </c>
      <c r="E288" s="231" t="s">
        <v>2975</v>
      </c>
      <c r="F288" s="231" t="s">
        <v>2857</v>
      </c>
      <c r="G288" s="227"/>
      <c r="H288" s="227"/>
      <c r="I288" s="227"/>
    </row>
    <row r="289" ht="24.0" customHeight="1">
      <c r="A289" s="231" t="s">
        <v>3181</v>
      </c>
      <c r="C289" s="231" t="s">
        <v>3303</v>
      </c>
      <c r="D289" s="231" t="s">
        <v>1204</v>
      </c>
      <c r="E289" s="231" t="s">
        <v>2975</v>
      </c>
      <c r="F289" s="231" t="s">
        <v>2857</v>
      </c>
      <c r="G289" s="227"/>
      <c r="H289" s="227"/>
      <c r="I289" s="227"/>
    </row>
    <row r="290" ht="24.0" customHeight="1">
      <c r="A290" s="231" t="s">
        <v>3181</v>
      </c>
      <c r="C290" s="231" t="s">
        <v>3305</v>
      </c>
      <c r="D290" s="231" t="s">
        <v>1205</v>
      </c>
      <c r="E290" s="231" t="s">
        <v>2975</v>
      </c>
      <c r="F290" s="231" t="s">
        <v>2857</v>
      </c>
      <c r="G290" s="227"/>
      <c r="H290" s="227"/>
      <c r="I290" s="227"/>
    </row>
    <row r="291">
      <c r="A291" s="227"/>
      <c r="B291" s="227"/>
      <c r="C291" s="227"/>
      <c r="D291" s="227"/>
      <c r="E291" s="227"/>
      <c r="F291" s="227"/>
      <c r="G291" s="227"/>
      <c r="H291" s="227"/>
      <c r="I291" s="227"/>
    </row>
    <row r="292" ht="20.25" customHeight="1">
      <c r="A292" s="227"/>
      <c r="B292" s="227"/>
      <c r="C292" s="227"/>
      <c r="D292" s="227"/>
      <c r="E292" s="227"/>
      <c r="F292" s="227"/>
      <c r="G292" s="227"/>
      <c r="H292" s="227"/>
      <c r="I292" s="227"/>
    </row>
    <row r="293" ht="20.25" customHeight="1">
      <c r="A293" s="227" t="s">
        <v>3181</v>
      </c>
      <c r="B293" s="227" t="s">
        <v>2995</v>
      </c>
      <c r="C293" s="227" t="s">
        <v>3309</v>
      </c>
      <c r="D293" s="227" t="s">
        <v>3310</v>
      </c>
      <c r="E293" s="227" t="s">
        <v>2975</v>
      </c>
      <c r="F293" s="227"/>
      <c r="G293" s="227"/>
      <c r="H293" s="227"/>
      <c r="I293" s="227"/>
    </row>
    <row r="294" ht="20.25" customHeight="1">
      <c r="A294" s="227" t="s">
        <v>3181</v>
      </c>
      <c r="C294" s="227" t="s">
        <v>3314</v>
      </c>
      <c r="D294" s="227" t="s">
        <v>3315</v>
      </c>
      <c r="E294" s="227" t="s">
        <v>2975</v>
      </c>
      <c r="F294" s="227"/>
      <c r="G294" s="227"/>
      <c r="H294" s="227"/>
      <c r="I294" s="227"/>
    </row>
    <row r="295" ht="20.25" customHeight="1">
      <c r="A295" s="227" t="s">
        <v>3181</v>
      </c>
      <c r="C295" s="227" t="s">
        <v>3317</v>
      </c>
      <c r="D295" s="227" t="s">
        <v>3318</v>
      </c>
      <c r="E295" s="227" t="s">
        <v>2975</v>
      </c>
      <c r="F295" s="227"/>
      <c r="G295" s="227"/>
      <c r="H295" s="227"/>
      <c r="I295" s="227"/>
    </row>
    <row r="296">
      <c r="A296" s="227" t="s">
        <v>3181</v>
      </c>
      <c r="C296" s="227" t="s">
        <v>3319</v>
      </c>
      <c r="D296" s="227" t="s">
        <v>3320</v>
      </c>
      <c r="E296" s="227" t="s">
        <v>2975</v>
      </c>
      <c r="F296" s="227"/>
      <c r="G296" s="227"/>
      <c r="H296" s="227"/>
      <c r="I296" s="227"/>
    </row>
    <row r="297" ht="18.0" customHeight="1">
      <c r="A297" s="227" t="s">
        <v>3181</v>
      </c>
      <c r="C297" s="227" t="s">
        <v>3321</v>
      </c>
      <c r="D297" s="227" t="s">
        <v>3322</v>
      </c>
      <c r="E297" s="227" t="s">
        <v>2975</v>
      </c>
      <c r="F297" s="227"/>
      <c r="G297" s="227"/>
      <c r="H297" s="227"/>
      <c r="I297" s="227"/>
    </row>
    <row r="298" ht="18.0" customHeight="1">
      <c r="A298" s="227" t="s">
        <v>3181</v>
      </c>
      <c r="C298" s="227" t="s">
        <v>3323</v>
      </c>
      <c r="D298" s="227" t="s">
        <v>3324</v>
      </c>
      <c r="E298" s="227" t="s">
        <v>2975</v>
      </c>
      <c r="F298" s="227"/>
      <c r="G298" s="227"/>
      <c r="H298" s="227"/>
      <c r="I298" s="227"/>
    </row>
    <row r="299" ht="18.0" customHeight="1">
      <c r="A299" s="227" t="s">
        <v>3181</v>
      </c>
      <c r="C299" s="227" t="s">
        <v>3325</v>
      </c>
      <c r="D299" s="227" t="s">
        <v>3326</v>
      </c>
      <c r="E299" s="227" t="s">
        <v>2975</v>
      </c>
      <c r="F299" s="227"/>
      <c r="G299" s="227"/>
      <c r="H299" s="227"/>
      <c r="I299" s="227"/>
    </row>
    <row r="300" ht="18.0" customHeight="1">
      <c r="A300" s="227" t="s">
        <v>3181</v>
      </c>
      <c r="C300" s="227" t="s">
        <v>3327</v>
      </c>
      <c r="D300" s="227" t="s">
        <v>3328</v>
      </c>
      <c r="E300" s="227" t="s">
        <v>2975</v>
      </c>
      <c r="F300" s="227"/>
      <c r="G300" s="227"/>
      <c r="H300" s="227"/>
      <c r="I300" s="227"/>
    </row>
    <row r="301" ht="18.0" customHeight="1">
      <c r="A301" s="227" t="s">
        <v>3181</v>
      </c>
      <c r="C301" s="227" t="s">
        <v>3329</v>
      </c>
      <c r="D301" s="227" t="s">
        <v>3330</v>
      </c>
      <c r="E301" s="227" t="s">
        <v>2975</v>
      </c>
      <c r="F301" s="227"/>
      <c r="G301" s="227"/>
      <c r="H301" s="227"/>
      <c r="I301" s="227"/>
    </row>
    <row r="302" ht="18.0" customHeight="1">
      <c r="A302" s="227" t="s">
        <v>3181</v>
      </c>
      <c r="C302" s="227" t="s">
        <v>3331</v>
      </c>
      <c r="D302" s="227" t="s">
        <v>3332</v>
      </c>
      <c r="E302" s="227" t="s">
        <v>2975</v>
      </c>
      <c r="F302" s="227"/>
      <c r="G302" s="227"/>
      <c r="H302" s="227"/>
      <c r="I302" s="227"/>
    </row>
    <row r="303">
      <c r="A303" s="227"/>
      <c r="B303" s="227"/>
      <c r="C303" s="227"/>
      <c r="D303" s="227"/>
      <c r="E303" s="227"/>
      <c r="F303" s="227"/>
      <c r="G303" s="227"/>
      <c r="H303" s="227"/>
      <c r="I303" s="227"/>
    </row>
    <row r="304" ht="22.5" customHeight="1">
      <c r="A304" s="231" t="s">
        <v>3333</v>
      </c>
      <c r="B304" s="238" t="s">
        <v>776</v>
      </c>
      <c r="C304" s="231" t="s">
        <v>3334</v>
      </c>
      <c r="D304" s="231" t="s">
        <v>1024</v>
      </c>
      <c r="E304" s="231" t="s">
        <v>929</v>
      </c>
      <c r="F304" s="231" t="s">
        <v>2857</v>
      </c>
      <c r="G304" s="231" t="s">
        <v>3335</v>
      </c>
      <c r="H304" s="227"/>
      <c r="I304" s="227"/>
    </row>
    <row r="305" ht="22.5" customHeight="1">
      <c r="A305" s="231" t="s">
        <v>3333</v>
      </c>
      <c r="C305" s="231" t="s">
        <v>3337</v>
      </c>
      <c r="D305" s="231" t="s">
        <v>777</v>
      </c>
      <c r="E305" s="231" t="s">
        <v>929</v>
      </c>
      <c r="F305" s="231" t="s">
        <v>2857</v>
      </c>
      <c r="G305" s="231" t="s">
        <v>3338</v>
      </c>
      <c r="H305" s="227"/>
      <c r="I305" s="227"/>
    </row>
    <row r="306" ht="22.5" customHeight="1">
      <c r="A306" s="231" t="s">
        <v>3333</v>
      </c>
      <c r="C306" s="231" t="s">
        <v>3339</v>
      </c>
      <c r="D306" s="231" t="s">
        <v>1233</v>
      </c>
      <c r="E306" s="231" t="s">
        <v>3166</v>
      </c>
      <c r="F306" s="231" t="s">
        <v>2857</v>
      </c>
      <c r="G306" s="231" t="s">
        <v>3341</v>
      </c>
      <c r="H306" s="227"/>
      <c r="I306" s="227"/>
    </row>
    <row r="307" ht="22.5" customHeight="1">
      <c r="A307" s="231" t="s">
        <v>3333</v>
      </c>
      <c r="C307" s="231" t="s">
        <v>3344</v>
      </c>
      <c r="D307" s="231" t="s">
        <v>1234</v>
      </c>
      <c r="E307" s="231" t="s">
        <v>3166</v>
      </c>
      <c r="F307" s="231" t="s">
        <v>2857</v>
      </c>
      <c r="G307" s="231" t="s">
        <v>3345</v>
      </c>
      <c r="H307" s="227"/>
      <c r="I307" s="227"/>
    </row>
    <row r="308" ht="22.5" customHeight="1">
      <c r="A308" s="227"/>
      <c r="B308" s="243"/>
      <c r="C308" s="227"/>
      <c r="D308" s="227"/>
      <c r="E308" s="227"/>
      <c r="F308" s="227"/>
      <c r="G308" s="227"/>
      <c r="H308" s="227"/>
      <c r="I308" s="227"/>
    </row>
    <row r="309">
      <c r="A309" s="231" t="s">
        <v>3181</v>
      </c>
      <c r="B309" s="231" t="s">
        <v>899</v>
      </c>
      <c r="C309" s="231" t="s">
        <v>3346</v>
      </c>
      <c r="D309" s="231" t="s">
        <v>3348</v>
      </c>
      <c r="E309" s="231" t="s">
        <v>3350</v>
      </c>
      <c r="F309" s="231" t="s">
        <v>2857</v>
      </c>
      <c r="G309" s="231" t="s">
        <v>3351</v>
      </c>
      <c r="H309" s="227"/>
      <c r="I309" s="227"/>
    </row>
    <row r="310" ht="18.0" customHeight="1">
      <c r="A310" s="231" t="s">
        <v>3181</v>
      </c>
      <c r="C310" s="231" t="s">
        <v>3352</v>
      </c>
      <c r="D310" s="231" t="s">
        <v>1541</v>
      </c>
      <c r="E310" s="231" t="s">
        <v>3350</v>
      </c>
      <c r="F310" s="231" t="s">
        <v>2857</v>
      </c>
      <c r="G310" s="231" t="s">
        <v>3354</v>
      </c>
      <c r="H310" s="227"/>
      <c r="I310" s="227"/>
    </row>
    <row r="311" ht="18.0" customHeight="1">
      <c r="A311" s="231" t="s">
        <v>3181</v>
      </c>
      <c r="C311" s="227" t="s">
        <v>3355</v>
      </c>
      <c r="D311" s="231" t="s">
        <v>1543</v>
      </c>
      <c r="E311" s="227" t="s">
        <v>3350</v>
      </c>
      <c r="F311" s="227"/>
      <c r="G311" s="231" t="s">
        <v>3357</v>
      </c>
      <c r="H311" s="227"/>
      <c r="I311" s="227"/>
    </row>
    <row r="312" ht="18.0" customHeight="1">
      <c r="A312" s="231" t="s">
        <v>3181</v>
      </c>
      <c r="C312" s="231" t="s">
        <v>3358</v>
      </c>
      <c r="D312" s="231" t="s">
        <v>1544</v>
      </c>
      <c r="E312" s="231" t="s">
        <v>2836</v>
      </c>
      <c r="F312" s="231" t="s">
        <v>2857</v>
      </c>
      <c r="G312" s="231" t="s">
        <v>3359</v>
      </c>
      <c r="H312" s="227"/>
      <c r="I312" s="227"/>
    </row>
    <row r="313" ht="18.0" customHeight="1">
      <c r="A313" s="231" t="s">
        <v>3181</v>
      </c>
      <c r="C313" s="231" t="s">
        <v>3360</v>
      </c>
      <c r="D313" s="231" t="s">
        <v>1545</v>
      </c>
      <c r="E313" s="231" t="s">
        <v>3361</v>
      </c>
      <c r="F313" s="231" t="s">
        <v>2857</v>
      </c>
      <c r="G313" s="227"/>
      <c r="H313" s="227"/>
      <c r="I313" s="227"/>
    </row>
    <row r="314" ht="18.0" customHeight="1">
      <c r="A314" s="231" t="s">
        <v>3181</v>
      </c>
      <c r="C314" s="238" t="s">
        <v>3362</v>
      </c>
      <c r="D314" s="238" t="s">
        <v>1546</v>
      </c>
      <c r="E314" s="238" t="s">
        <v>3350</v>
      </c>
      <c r="F314" s="231" t="s">
        <v>2857</v>
      </c>
      <c r="G314" s="231" t="s">
        <v>3363</v>
      </c>
      <c r="H314" s="227"/>
      <c r="I314" s="227"/>
    </row>
    <row r="315" ht="18.0" customHeight="1">
      <c r="A315" s="231" t="s">
        <v>3181</v>
      </c>
      <c r="C315" s="233" t="s">
        <v>3364</v>
      </c>
      <c r="D315" s="233" t="s">
        <v>1174</v>
      </c>
      <c r="E315" s="232" t="s">
        <v>3365</v>
      </c>
      <c r="F315" s="234"/>
      <c r="G315" s="234"/>
      <c r="H315" s="234"/>
      <c r="I315" s="234"/>
    </row>
    <row r="316" ht="18.0" customHeight="1">
      <c r="A316" s="231" t="s">
        <v>3181</v>
      </c>
      <c r="C316" s="232" t="s">
        <v>3294</v>
      </c>
      <c r="D316" s="232" t="s">
        <v>1196</v>
      </c>
      <c r="E316" s="232" t="s">
        <v>3365</v>
      </c>
      <c r="F316" s="234"/>
      <c r="G316" s="234"/>
      <c r="H316" s="234"/>
      <c r="I316" s="234"/>
    </row>
    <row r="317" ht="18.0" customHeight="1">
      <c r="A317" s="231" t="s">
        <v>3181</v>
      </c>
      <c r="C317" s="233" t="s">
        <v>3366</v>
      </c>
      <c r="D317" s="233" t="s">
        <v>1547</v>
      </c>
      <c r="E317" s="233" t="s">
        <v>3365</v>
      </c>
      <c r="F317" s="234"/>
      <c r="G317" s="234"/>
      <c r="H317" s="234"/>
      <c r="I317" s="234"/>
    </row>
    <row r="318" ht="18.0" customHeight="1">
      <c r="A318" s="231" t="s">
        <v>3181</v>
      </c>
      <c r="C318" s="248" t="s">
        <v>3367</v>
      </c>
      <c r="D318" s="248" t="s">
        <v>1548</v>
      </c>
      <c r="E318" s="248" t="s">
        <v>3365</v>
      </c>
      <c r="F318" s="234"/>
      <c r="G318" s="234"/>
      <c r="H318" s="234"/>
      <c r="I318" s="234"/>
    </row>
    <row r="319">
      <c r="A319" s="227"/>
      <c r="B319" s="227"/>
      <c r="C319" s="227"/>
      <c r="D319" s="227"/>
      <c r="E319" s="227"/>
      <c r="F319" s="227"/>
      <c r="G319" s="227"/>
      <c r="H319" s="227"/>
      <c r="I319" s="227"/>
    </row>
    <row r="320" ht="19.5" customHeight="1">
      <c r="A320" s="231" t="s">
        <v>3181</v>
      </c>
      <c r="B320" s="238" t="s">
        <v>706</v>
      </c>
      <c r="C320" s="231" t="s">
        <v>3368</v>
      </c>
      <c r="D320" s="231" t="s">
        <v>708</v>
      </c>
      <c r="E320" s="231" t="s">
        <v>3369</v>
      </c>
      <c r="F320" s="231" t="s">
        <v>2857</v>
      </c>
      <c r="G320" s="231" t="s">
        <v>3370</v>
      </c>
      <c r="H320" s="227"/>
      <c r="I320" s="227"/>
    </row>
    <row r="321" ht="19.5" customHeight="1">
      <c r="A321" s="231" t="s">
        <v>3181</v>
      </c>
      <c r="C321" s="231" t="s">
        <v>3371</v>
      </c>
      <c r="D321" s="231" t="s">
        <v>1743</v>
      </c>
      <c r="E321" s="231" t="s">
        <v>3369</v>
      </c>
      <c r="F321" s="231" t="s">
        <v>2857</v>
      </c>
      <c r="G321" s="231" t="s">
        <v>3373</v>
      </c>
      <c r="H321" s="227"/>
      <c r="I321" s="227"/>
    </row>
    <row r="322" ht="19.5" customHeight="1">
      <c r="A322" s="231" t="s">
        <v>3181</v>
      </c>
      <c r="C322" s="231" t="s">
        <v>3374</v>
      </c>
      <c r="D322" s="231" t="s">
        <v>1744</v>
      </c>
      <c r="E322" s="231" t="s">
        <v>3369</v>
      </c>
      <c r="F322" s="231" t="s">
        <v>2857</v>
      </c>
      <c r="G322" s="231" t="s">
        <v>3375</v>
      </c>
      <c r="H322" s="227"/>
      <c r="I322" s="227"/>
    </row>
    <row r="323" ht="19.5" customHeight="1">
      <c r="A323" s="231" t="s">
        <v>3181</v>
      </c>
      <c r="C323" s="231" t="s">
        <v>3377</v>
      </c>
      <c r="D323" s="231" t="s">
        <v>1745</v>
      </c>
      <c r="E323" s="231" t="s">
        <v>3369</v>
      </c>
      <c r="F323" s="231" t="s">
        <v>2857</v>
      </c>
      <c r="G323" s="231" t="s">
        <v>3379</v>
      </c>
      <c r="H323" s="227"/>
      <c r="I323" s="227"/>
    </row>
    <row r="324" ht="19.5" customHeight="1">
      <c r="A324" s="231" t="s">
        <v>3181</v>
      </c>
      <c r="C324" s="231" t="s">
        <v>3380</v>
      </c>
      <c r="D324" s="231" t="s">
        <v>1746</v>
      </c>
      <c r="E324" s="231" t="s">
        <v>3369</v>
      </c>
      <c r="F324" s="231" t="s">
        <v>2857</v>
      </c>
      <c r="G324" s="231" t="s">
        <v>3381</v>
      </c>
      <c r="H324" s="227"/>
      <c r="I324" s="227"/>
    </row>
    <row r="325" ht="19.5" customHeight="1">
      <c r="A325" s="231" t="s">
        <v>3181</v>
      </c>
      <c r="C325" s="232" t="s">
        <v>3382</v>
      </c>
      <c r="D325" s="232" t="s">
        <v>1747</v>
      </c>
      <c r="E325" s="232" t="s">
        <v>3369</v>
      </c>
      <c r="F325" s="234"/>
      <c r="G325" s="234"/>
      <c r="H325" s="234"/>
      <c r="I325" s="234"/>
    </row>
    <row r="326" ht="19.5" customHeight="1">
      <c r="A326" s="227"/>
      <c r="B326" s="243"/>
      <c r="C326" s="227"/>
      <c r="D326" s="227"/>
      <c r="E326" s="227"/>
      <c r="F326" s="227"/>
      <c r="G326" s="227"/>
      <c r="H326" s="227"/>
      <c r="I326" s="227"/>
    </row>
    <row r="327" ht="19.5" customHeight="1">
      <c r="A327" s="231" t="s">
        <v>3181</v>
      </c>
      <c r="B327" s="238" t="s">
        <v>536</v>
      </c>
      <c r="C327" s="231" t="s">
        <v>3383</v>
      </c>
      <c r="D327" s="231" t="s">
        <v>3384</v>
      </c>
      <c r="E327" s="231" t="s">
        <v>3369</v>
      </c>
      <c r="F327" s="231" t="s">
        <v>2857</v>
      </c>
      <c r="G327" s="231" t="s">
        <v>3385</v>
      </c>
      <c r="H327" s="227"/>
      <c r="I327" s="227"/>
    </row>
    <row r="328">
      <c r="A328" s="231" t="s">
        <v>3181</v>
      </c>
      <c r="C328" s="231" t="s">
        <v>3386</v>
      </c>
      <c r="D328" s="231" t="s">
        <v>538</v>
      </c>
      <c r="E328" s="231" t="s">
        <v>3387</v>
      </c>
      <c r="F328" s="231" t="s">
        <v>2857</v>
      </c>
      <c r="G328" s="231" t="s">
        <v>3389</v>
      </c>
      <c r="H328" s="227"/>
      <c r="I328" s="227"/>
    </row>
    <row r="329" ht="19.5" customHeight="1">
      <c r="A329" s="231" t="s">
        <v>3181</v>
      </c>
      <c r="C329" s="231" t="s">
        <v>3391</v>
      </c>
      <c r="D329" s="231" t="s">
        <v>1449</v>
      </c>
      <c r="E329" s="231" t="s">
        <v>3393</v>
      </c>
      <c r="F329" s="231" t="s">
        <v>2857</v>
      </c>
      <c r="G329" s="231" t="s">
        <v>3394</v>
      </c>
      <c r="H329" s="227"/>
      <c r="I329" s="227"/>
    </row>
    <row r="330" ht="19.5" customHeight="1">
      <c r="A330" s="231" t="s">
        <v>3181</v>
      </c>
      <c r="C330" s="231" t="s">
        <v>3395</v>
      </c>
      <c r="D330" s="231" t="s">
        <v>1451</v>
      </c>
      <c r="E330" s="231" t="s">
        <v>3387</v>
      </c>
      <c r="F330" s="231" t="s">
        <v>2857</v>
      </c>
      <c r="G330" s="231" t="s">
        <v>3396</v>
      </c>
      <c r="H330" s="227"/>
      <c r="I330" s="227"/>
    </row>
    <row r="331" ht="19.5" customHeight="1">
      <c r="A331" s="227"/>
      <c r="B331" s="243"/>
      <c r="C331" s="227"/>
      <c r="D331" s="227"/>
      <c r="E331" s="227"/>
      <c r="F331" s="227"/>
      <c r="G331" s="227"/>
      <c r="H331" s="227"/>
      <c r="I331" s="227"/>
    </row>
    <row r="332" ht="19.5" customHeight="1">
      <c r="A332" s="231" t="s">
        <v>3181</v>
      </c>
      <c r="B332" s="238" t="s">
        <v>2753</v>
      </c>
      <c r="C332" s="231" t="s">
        <v>3398</v>
      </c>
      <c r="D332" s="231" t="s">
        <v>3399</v>
      </c>
      <c r="E332" s="231" t="s">
        <v>2836</v>
      </c>
      <c r="F332" s="231" t="s">
        <v>2857</v>
      </c>
      <c r="G332" s="231" t="s">
        <v>3400</v>
      </c>
      <c r="H332" s="227"/>
      <c r="I332" s="227"/>
    </row>
    <row r="333" ht="19.5" customHeight="1">
      <c r="A333" s="231" t="s">
        <v>3181</v>
      </c>
      <c r="C333" s="231" t="s">
        <v>3401</v>
      </c>
      <c r="D333" s="231" t="s">
        <v>2761</v>
      </c>
      <c r="E333" s="231" t="s">
        <v>2836</v>
      </c>
      <c r="F333" s="231" t="s">
        <v>2857</v>
      </c>
      <c r="G333" s="231" t="s">
        <v>3402</v>
      </c>
      <c r="H333" s="227"/>
      <c r="I333" s="227"/>
    </row>
    <row r="334" ht="19.5" customHeight="1">
      <c r="A334" s="231" t="s">
        <v>3181</v>
      </c>
      <c r="C334" s="231" t="s">
        <v>3403</v>
      </c>
      <c r="D334" s="231" t="s">
        <v>2762</v>
      </c>
      <c r="E334" s="231" t="s">
        <v>3387</v>
      </c>
      <c r="F334" s="231" t="s">
        <v>2857</v>
      </c>
      <c r="G334" s="231" t="s">
        <v>3404</v>
      </c>
      <c r="H334" s="227"/>
      <c r="I334" s="227"/>
    </row>
    <row r="335">
      <c r="A335" s="231" t="s">
        <v>3181</v>
      </c>
      <c r="C335" s="231" t="s">
        <v>3405</v>
      </c>
      <c r="D335" s="231" t="s">
        <v>2763</v>
      </c>
      <c r="E335" s="231" t="s">
        <v>3387</v>
      </c>
      <c r="F335" s="231" t="s">
        <v>2857</v>
      </c>
      <c r="G335" s="231" t="s">
        <v>3406</v>
      </c>
      <c r="H335" s="227"/>
      <c r="I335" s="227"/>
    </row>
    <row r="336">
      <c r="A336" s="231" t="s">
        <v>3181</v>
      </c>
      <c r="C336" s="232" t="s">
        <v>3407</v>
      </c>
      <c r="D336" s="232" t="s">
        <v>2754</v>
      </c>
      <c r="E336" s="232" t="s">
        <v>3387</v>
      </c>
      <c r="F336" s="234"/>
      <c r="G336" s="234"/>
      <c r="H336" s="234"/>
      <c r="I336" s="234"/>
    </row>
    <row r="337">
      <c r="A337" s="227"/>
      <c r="B337" s="227"/>
      <c r="C337" s="227"/>
      <c r="D337" s="227"/>
      <c r="E337" s="227"/>
      <c r="F337" s="227"/>
      <c r="G337" s="227"/>
      <c r="H337" s="227"/>
      <c r="I337" s="227"/>
    </row>
    <row r="338">
      <c r="A338" s="231" t="s">
        <v>3181</v>
      </c>
      <c r="B338" s="231" t="s">
        <v>2958</v>
      </c>
      <c r="C338" s="231" t="s">
        <v>3408</v>
      </c>
      <c r="D338" s="231" t="s">
        <v>3409</v>
      </c>
      <c r="E338" s="231" t="s">
        <v>2971</v>
      </c>
      <c r="F338" s="231" t="s">
        <v>2857</v>
      </c>
      <c r="G338" s="231" t="s">
        <v>3410</v>
      </c>
      <c r="H338" s="227"/>
      <c r="I338" s="227"/>
    </row>
    <row r="339">
      <c r="A339" s="231" t="s">
        <v>3181</v>
      </c>
      <c r="C339" s="231" t="s">
        <v>3411</v>
      </c>
      <c r="D339" s="231" t="s">
        <v>3413</v>
      </c>
      <c r="E339" s="231" t="s">
        <v>2971</v>
      </c>
      <c r="F339" s="231" t="s">
        <v>2857</v>
      </c>
      <c r="G339" s="227"/>
      <c r="H339" s="227"/>
      <c r="I339" s="227"/>
    </row>
    <row r="340">
      <c r="A340" s="231" t="s">
        <v>3181</v>
      </c>
      <c r="C340" s="238" t="s">
        <v>3415</v>
      </c>
      <c r="D340" s="238" t="s">
        <v>3416</v>
      </c>
      <c r="E340" s="231" t="s">
        <v>2971</v>
      </c>
      <c r="F340" s="238" t="s">
        <v>2857</v>
      </c>
      <c r="G340" s="231" t="s">
        <v>3418</v>
      </c>
      <c r="H340" s="227"/>
      <c r="I340" s="227"/>
    </row>
    <row r="341">
      <c r="A341" s="231" t="s">
        <v>3181</v>
      </c>
      <c r="C341" s="231" t="s">
        <v>3419</v>
      </c>
      <c r="D341" s="231" t="s">
        <v>3420</v>
      </c>
      <c r="E341" s="231" t="s">
        <v>2971</v>
      </c>
      <c r="F341" s="231" t="s">
        <v>2857</v>
      </c>
      <c r="G341" s="231" t="s">
        <v>3421</v>
      </c>
      <c r="H341" s="227"/>
      <c r="I341" s="227"/>
    </row>
    <row r="342">
      <c r="A342" s="231" t="s">
        <v>3181</v>
      </c>
      <c r="C342" s="231" t="s">
        <v>3422</v>
      </c>
      <c r="D342" s="231" t="s">
        <v>3423</v>
      </c>
      <c r="E342" s="231" t="s">
        <v>2971</v>
      </c>
      <c r="F342" s="231" t="s">
        <v>2857</v>
      </c>
      <c r="G342" s="231" t="s">
        <v>3424</v>
      </c>
      <c r="H342" s="227"/>
      <c r="I342" s="227"/>
    </row>
    <row r="343">
      <c r="A343" s="231" t="s">
        <v>3181</v>
      </c>
      <c r="C343" s="231" t="s">
        <v>3425</v>
      </c>
      <c r="D343" s="231" t="s">
        <v>3426</v>
      </c>
      <c r="E343" s="231" t="s">
        <v>2971</v>
      </c>
      <c r="F343" s="231" t="s">
        <v>2857</v>
      </c>
      <c r="G343" s="231" t="s">
        <v>3427</v>
      </c>
      <c r="H343" s="227"/>
      <c r="I343" s="227"/>
    </row>
    <row r="344">
      <c r="A344" s="227"/>
      <c r="B344" s="227"/>
      <c r="C344" s="227"/>
      <c r="D344" s="227"/>
      <c r="E344" s="227"/>
      <c r="F344" s="227"/>
      <c r="G344" s="227"/>
      <c r="H344" s="227"/>
      <c r="I344" s="227"/>
    </row>
    <row r="345">
      <c r="A345" s="231" t="s">
        <v>3181</v>
      </c>
      <c r="B345" s="231" t="s">
        <v>2326</v>
      </c>
      <c r="C345" s="231" t="s">
        <v>3429</v>
      </c>
      <c r="D345" s="231" t="s">
        <v>3430</v>
      </c>
      <c r="E345" s="231" t="s">
        <v>348</v>
      </c>
      <c r="F345" s="231" t="s">
        <v>2857</v>
      </c>
      <c r="G345" s="231" t="s">
        <v>3431</v>
      </c>
      <c r="H345" s="227"/>
      <c r="I345" s="227"/>
    </row>
    <row r="346">
      <c r="A346" s="231" t="s">
        <v>3181</v>
      </c>
      <c r="C346" s="231" t="s">
        <v>3432</v>
      </c>
      <c r="D346" s="231" t="s">
        <v>2525</v>
      </c>
      <c r="E346" s="231" t="s">
        <v>348</v>
      </c>
      <c r="F346" s="231" t="s">
        <v>2857</v>
      </c>
      <c r="G346" s="231" t="s">
        <v>3433</v>
      </c>
      <c r="H346" s="227"/>
      <c r="I346" s="227"/>
    </row>
    <row r="347">
      <c r="A347" s="231" t="s">
        <v>3181</v>
      </c>
      <c r="C347" s="231" t="s">
        <v>3434</v>
      </c>
      <c r="D347" s="231" t="s">
        <v>2327</v>
      </c>
      <c r="E347" s="231" t="s">
        <v>348</v>
      </c>
      <c r="F347" s="231" t="s">
        <v>2857</v>
      </c>
      <c r="G347" s="231" t="s">
        <v>3436</v>
      </c>
      <c r="H347" s="227"/>
      <c r="I347" s="227"/>
    </row>
    <row r="348" ht="21.0" customHeight="1">
      <c r="A348" s="231" t="s">
        <v>3181</v>
      </c>
      <c r="C348" s="231" t="s">
        <v>3437</v>
      </c>
      <c r="D348" s="231" t="s">
        <v>2527</v>
      </c>
      <c r="E348" s="231" t="s">
        <v>348</v>
      </c>
      <c r="F348" s="231" t="s">
        <v>2857</v>
      </c>
      <c r="G348" s="231" t="s">
        <v>3438</v>
      </c>
      <c r="H348" s="227"/>
      <c r="I348" s="227"/>
    </row>
    <row r="349" ht="21.0" customHeight="1">
      <c r="A349" s="231" t="s">
        <v>3181</v>
      </c>
      <c r="C349" s="231" t="s">
        <v>3439</v>
      </c>
      <c r="D349" s="231" t="s">
        <v>2528</v>
      </c>
      <c r="E349" s="231" t="s">
        <v>348</v>
      </c>
      <c r="F349" s="231" t="s">
        <v>2857</v>
      </c>
      <c r="G349" s="231" t="s">
        <v>3440</v>
      </c>
      <c r="H349" s="227"/>
      <c r="I349" s="227"/>
    </row>
    <row r="350" ht="21.0" customHeight="1">
      <c r="A350" s="227"/>
      <c r="B350" s="227"/>
      <c r="C350" s="227"/>
      <c r="D350" s="227"/>
      <c r="E350" s="227"/>
      <c r="F350" s="227"/>
      <c r="G350" s="227"/>
      <c r="H350" s="227"/>
      <c r="I350" s="227"/>
    </row>
    <row r="351" ht="21.0" customHeight="1">
      <c r="A351" s="231" t="s">
        <v>3181</v>
      </c>
      <c r="B351" s="231" t="s">
        <v>498</v>
      </c>
      <c r="C351" s="231" t="s">
        <v>3444</v>
      </c>
      <c r="D351" s="231" t="s">
        <v>2191</v>
      </c>
      <c r="E351" s="231" t="s">
        <v>2971</v>
      </c>
      <c r="F351" s="231" t="s">
        <v>2857</v>
      </c>
      <c r="G351" s="231" t="s">
        <v>3446</v>
      </c>
      <c r="H351" s="227"/>
      <c r="I351" s="227"/>
    </row>
    <row r="352" ht="21.0" customHeight="1">
      <c r="A352" s="231" t="s">
        <v>3181</v>
      </c>
      <c r="C352" s="231" t="s">
        <v>3447</v>
      </c>
      <c r="D352" s="231" t="s">
        <v>1671</v>
      </c>
      <c r="E352" s="231" t="s">
        <v>348</v>
      </c>
      <c r="F352" s="231" t="s">
        <v>2857</v>
      </c>
      <c r="G352" s="227"/>
      <c r="H352" s="227"/>
      <c r="I352" s="227"/>
    </row>
    <row r="353" ht="21.0" customHeight="1">
      <c r="A353" s="231" t="s">
        <v>3181</v>
      </c>
      <c r="C353" s="231" t="s">
        <v>3448</v>
      </c>
      <c r="D353" s="231" t="s">
        <v>1672</v>
      </c>
      <c r="E353" s="231" t="s">
        <v>348</v>
      </c>
      <c r="F353" s="231" t="s">
        <v>2857</v>
      </c>
      <c r="G353" s="231" t="s">
        <v>3449</v>
      </c>
      <c r="H353" s="227"/>
      <c r="I353" s="227"/>
    </row>
    <row r="354">
      <c r="A354" s="231" t="s">
        <v>3181</v>
      </c>
      <c r="C354" s="231" t="s">
        <v>3450</v>
      </c>
      <c r="D354" s="231" t="s">
        <v>1673</v>
      </c>
      <c r="E354" s="231" t="s">
        <v>2919</v>
      </c>
      <c r="F354" s="227"/>
      <c r="G354" s="227"/>
      <c r="H354" s="227"/>
      <c r="I354" s="227"/>
    </row>
    <row r="355">
      <c r="A355" s="231" t="s">
        <v>3181</v>
      </c>
      <c r="C355" s="231" t="s">
        <v>3451</v>
      </c>
      <c r="D355" s="231" t="s">
        <v>1674</v>
      </c>
      <c r="E355" s="231" t="s">
        <v>2919</v>
      </c>
      <c r="F355" s="227"/>
      <c r="G355" s="227"/>
      <c r="H355" s="227"/>
      <c r="I355" s="227"/>
    </row>
    <row r="356">
      <c r="A356" s="231" t="s">
        <v>3181</v>
      </c>
      <c r="C356" s="231" t="s">
        <v>3452</v>
      </c>
      <c r="D356" s="231" t="s">
        <v>506</v>
      </c>
      <c r="E356" s="231" t="s">
        <v>348</v>
      </c>
      <c r="F356" s="231" t="s">
        <v>2857</v>
      </c>
      <c r="G356" s="231" t="s">
        <v>3453</v>
      </c>
      <c r="H356" s="227"/>
      <c r="I356" s="227"/>
    </row>
    <row r="357">
      <c r="A357" s="231" t="s">
        <v>3181</v>
      </c>
      <c r="C357" s="231" t="s">
        <v>3454</v>
      </c>
      <c r="D357" s="231" t="s">
        <v>1677</v>
      </c>
      <c r="E357" s="231" t="s">
        <v>348</v>
      </c>
      <c r="F357" s="231" t="s">
        <v>2857</v>
      </c>
      <c r="G357" s="231" t="s">
        <v>3455</v>
      </c>
      <c r="H357" s="227"/>
      <c r="I357" s="227"/>
    </row>
    <row r="358">
      <c r="A358" s="231" t="s">
        <v>3181</v>
      </c>
      <c r="C358" s="231" t="s">
        <v>3456</v>
      </c>
      <c r="D358" s="231" t="s">
        <v>1678</v>
      </c>
      <c r="E358" s="231" t="s">
        <v>2971</v>
      </c>
      <c r="F358" s="227"/>
      <c r="G358" s="227"/>
      <c r="H358" s="227"/>
      <c r="I358" s="227"/>
    </row>
    <row r="359">
      <c r="A359" s="231" t="s">
        <v>3181</v>
      </c>
      <c r="C359" s="231" t="s">
        <v>3457</v>
      </c>
      <c r="D359" s="231" t="s">
        <v>1680</v>
      </c>
      <c r="E359" s="231" t="s">
        <v>3458</v>
      </c>
      <c r="F359" s="231" t="s">
        <v>2857</v>
      </c>
      <c r="G359" s="231" t="s">
        <v>3459</v>
      </c>
      <c r="H359" s="227"/>
      <c r="I359" s="227"/>
    </row>
    <row r="360">
      <c r="A360" s="227"/>
      <c r="B360" s="227"/>
      <c r="C360" s="227"/>
      <c r="D360" s="227"/>
      <c r="E360" s="227"/>
      <c r="F360" s="227"/>
      <c r="G360" s="227"/>
      <c r="H360" s="227"/>
      <c r="I360" s="227"/>
    </row>
    <row r="361">
      <c r="A361" s="231" t="s">
        <v>3181</v>
      </c>
      <c r="B361" s="231" t="s">
        <v>1438</v>
      </c>
      <c r="C361" s="231" t="s">
        <v>3460</v>
      </c>
      <c r="D361" s="231" t="s">
        <v>3461</v>
      </c>
      <c r="E361" s="231" t="s">
        <v>3462</v>
      </c>
      <c r="F361" s="231" t="s">
        <v>2857</v>
      </c>
      <c r="G361" s="231" t="s">
        <v>3463</v>
      </c>
      <c r="H361" s="227"/>
      <c r="I361" s="227"/>
    </row>
    <row r="362">
      <c r="A362" s="231" t="s">
        <v>3181</v>
      </c>
      <c r="C362" s="231" t="s">
        <v>3464</v>
      </c>
      <c r="D362" s="231" t="s">
        <v>1439</v>
      </c>
      <c r="E362" s="231" t="s">
        <v>348</v>
      </c>
      <c r="F362" s="231" t="s">
        <v>2857</v>
      </c>
      <c r="G362" s="231" t="s">
        <v>3465</v>
      </c>
      <c r="H362" s="227"/>
      <c r="I362" s="227"/>
    </row>
    <row r="363">
      <c r="A363" s="231" t="s">
        <v>3181</v>
      </c>
      <c r="C363" s="231" t="s">
        <v>3466</v>
      </c>
      <c r="D363" s="231" t="s">
        <v>1831</v>
      </c>
      <c r="E363" s="231" t="s">
        <v>348</v>
      </c>
      <c r="F363" s="231" t="s">
        <v>2857</v>
      </c>
      <c r="G363" s="231" t="s">
        <v>3467</v>
      </c>
      <c r="H363" s="227"/>
      <c r="I363" s="227"/>
    </row>
    <row r="364">
      <c r="A364" s="231" t="s">
        <v>3181</v>
      </c>
      <c r="C364" s="231" t="s">
        <v>3468</v>
      </c>
      <c r="D364" s="231" t="s">
        <v>1832</v>
      </c>
      <c r="E364" s="231" t="s">
        <v>348</v>
      </c>
      <c r="F364" s="231" t="s">
        <v>2857</v>
      </c>
      <c r="G364" s="227"/>
      <c r="H364" s="227"/>
      <c r="I364" s="227"/>
    </row>
    <row r="365" ht="19.5" customHeight="1">
      <c r="A365" s="231" t="s">
        <v>3181</v>
      </c>
      <c r="C365" s="231" t="s">
        <v>3470</v>
      </c>
      <c r="D365" s="231" t="s">
        <v>1833</v>
      </c>
      <c r="E365" s="231" t="s">
        <v>348</v>
      </c>
      <c r="F365" s="231" t="s">
        <v>2857</v>
      </c>
      <c r="G365" s="231" t="s">
        <v>3471</v>
      </c>
      <c r="H365" s="227"/>
      <c r="I365" s="227"/>
    </row>
    <row r="366" ht="19.5" customHeight="1">
      <c r="A366" s="231" t="s">
        <v>3181</v>
      </c>
      <c r="C366" s="231" t="s">
        <v>3472</v>
      </c>
      <c r="D366" s="231" t="s">
        <v>1834</v>
      </c>
      <c r="E366" s="231" t="s">
        <v>348</v>
      </c>
      <c r="F366" s="231" t="s">
        <v>2857</v>
      </c>
      <c r="G366" s="231" t="s">
        <v>3474</v>
      </c>
      <c r="H366" s="227"/>
      <c r="I366" s="227"/>
    </row>
    <row r="367">
      <c r="A367" s="231" t="s">
        <v>3181</v>
      </c>
      <c r="C367" s="231" t="s">
        <v>3475</v>
      </c>
      <c r="D367" s="231" t="s">
        <v>1835</v>
      </c>
      <c r="E367" s="231" t="s">
        <v>348</v>
      </c>
      <c r="F367" s="231" t="s">
        <v>2857</v>
      </c>
      <c r="G367" s="231" t="s">
        <v>3477</v>
      </c>
      <c r="H367" s="227"/>
      <c r="I367" s="227"/>
    </row>
    <row r="368">
      <c r="A368" s="231" t="s">
        <v>3181</v>
      </c>
      <c r="C368" s="231" t="s">
        <v>3478</v>
      </c>
      <c r="D368" s="231" t="s">
        <v>1837</v>
      </c>
      <c r="E368" s="231" t="s">
        <v>348</v>
      </c>
      <c r="F368" s="231" t="s">
        <v>2857</v>
      </c>
      <c r="G368" s="231" t="s">
        <v>3479</v>
      </c>
      <c r="H368" s="227"/>
      <c r="I368" s="227"/>
    </row>
    <row r="369">
      <c r="A369" s="227"/>
      <c r="B369" s="227"/>
      <c r="C369" s="227"/>
      <c r="D369" s="227"/>
      <c r="E369" s="227"/>
      <c r="F369" s="227"/>
      <c r="G369" s="227"/>
      <c r="H369" s="227"/>
      <c r="I369" s="227"/>
    </row>
    <row r="370">
      <c r="A370" s="231" t="s">
        <v>3181</v>
      </c>
      <c r="B370" s="231" t="s">
        <v>2351</v>
      </c>
      <c r="C370" s="231" t="s">
        <v>3481</v>
      </c>
      <c r="D370" s="231" t="s">
        <v>2436</v>
      </c>
      <c r="E370" s="231" t="s">
        <v>348</v>
      </c>
      <c r="F370" s="231" t="s">
        <v>2857</v>
      </c>
      <c r="G370" s="231" t="s">
        <v>3482</v>
      </c>
      <c r="H370" s="227"/>
      <c r="I370" s="227"/>
    </row>
    <row r="371">
      <c r="A371" s="231" t="s">
        <v>3181</v>
      </c>
      <c r="C371" s="231" t="s">
        <v>3483</v>
      </c>
      <c r="D371" s="231" t="s">
        <v>2529</v>
      </c>
      <c r="E371" s="231" t="s">
        <v>348</v>
      </c>
      <c r="F371" s="231" t="s">
        <v>2857</v>
      </c>
      <c r="G371" s="231" t="s">
        <v>3486</v>
      </c>
      <c r="H371" s="227"/>
      <c r="I371" s="227"/>
    </row>
    <row r="372">
      <c r="A372" s="231" t="s">
        <v>3181</v>
      </c>
      <c r="C372" s="231" t="s">
        <v>3487</v>
      </c>
      <c r="D372" s="231" t="s">
        <v>2530</v>
      </c>
      <c r="E372" s="231" t="s">
        <v>348</v>
      </c>
      <c r="F372" s="231" t="s">
        <v>2857</v>
      </c>
      <c r="G372" s="231" t="s">
        <v>3488</v>
      </c>
      <c r="H372" s="227"/>
      <c r="I372" s="227"/>
    </row>
    <row r="373">
      <c r="A373" s="231" t="s">
        <v>3181</v>
      </c>
      <c r="C373" s="231" t="s">
        <v>3490</v>
      </c>
      <c r="D373" s="231" t="s">
        <v>2531</v>
      </c>
      <c r="E373" s="231" t="s">
        <v>348</v>
      </c>
      <c r="F373" s="231" t="s">
        <v>2857</v>
      </c>
      <c r="G373" s="231" t="s">
        <v>3492</v>
      </c>
      <c r="H373" s="227"/>
      <c r="I373" s="227"/>
    </row>
    <row r="374">
      <c r="A374" s="231" t="s">
        <v>3181</v>
      </c>
      <c r="C374" s="231" t="s">
        <v>3493</v>
      </c>
      <c r="D374" s="231" t="s">
        <v>2354</v>
      </c>
      <c r="E374" s="231" t="s">
        <v>348</v>
      </c>
      <c r="F374" s="231" t="s">
        <v>2857</v>
      </c>
      <c r="G374" s="231" t="s">
        <v>3494</v>
      </c>
      <c r="H374" s="227"/>
      <c r="I374" s="227"/>
    </row>
    <row r="375">
      <c r="A375" s="231" t="s">
        <v>3181</v>
      </c>
      <c r="C375" s="231" t="s">
        <v>3495</v>
      </c>
      <c r="D375" s="231" t="s">
        <v>2532</v>
      </c>
      <c r="E375" s="231" t="s">
        <v>348</v>
      </c>
      <c r="F375" s="231" t="s">
        <v>2857</v>
      </c>
      <c r="G375" s="231" t="s">
        <v>3496</v>
      </c>
      <c r="H375" s="227"/>
      <c r="I375" s="227"/>
    </row>
    <row r="376">
      <c r="A376" s="227"/>
      <c r="B376" s="227"/>
      <c r="C376" s="227"/>
      <c r="D376" s="227"/>
      <c r="E376" s="227"/>
      <c r="F376" s="227"/>
      <c r="G376" s="227"/>
      <c r="H376" s="227"/>
      <c r="I376" s="227"/>
    </row>
    <row r="377">
      <c r="A377" s="231" t="s">
        <v>3181</v>
      </c>
      <c r="B377" s="231" t="s">
        <v>2654</v>
      </c>
      <c r="C377" s="231" t="s">
        <v>3497</v>
      </c>
      <c r="D377" s="231" t="s">
        <v>3498</v>
      </c>
      <c r="E377" s="231" t="s">
        <v>3499</v>
      </c>
      <c r="F377" s="231" t="s">
        <v>2857</v>
      </c>
      <c r="G377" s="227"/>
      <c r="H377" s="227"/>
      <c r="I377" s="227"/>
    </row>
    <row r="378">
      <c r="A378" s="231" t="s">
        <v>3181</v>
      </c>
      <c r="C378" s="231" t="s">
        <v>3500</v>
      </c>
      <c r="D378" s="231" t="s">
        <v>2692</v>
      </c>
      <c r="E378" s="231" t="s">
        <v>3499</v>
      </c>
      <c r="F378" s="231" t="s">
        <v>2857</v>
      </c>
      <c r="G378" s="227"/>
      <c r="H378" s="227"/>
      <c r="I378" s="227"/>
    </row>
    <row r="379">
      <c r="A379" s="231" t="s">
        <v>3181</v>
      </c>
      <c r="C379" s="231" t="s">
        <v>3501</v>
      </c>
      <c r="D379" s="231" t="s">
        <v>2694</v>
      </c>
      <c r="E379" s="231" t="s">
        <v>3499</v>
      </c>
      <c r="F379" s="231" t="s">
        <v>2857</v>
      </c>
      <c r="G379" s="227"/>
      <c r="H379" s="227"/>
      <c r="I379" s="227"/>
    </row>
    <row r="380">
      <c r="A380" s="231" t="s">
        <v>3181</v>
      </c>
      <c r="C380" s="231" t="s">
        <v>3502</v>
      </c>
      <c r="D380" s="231" t="s">
        <v>2695</v>
      </c>
      <c r="E380" s="231" t="s">
        <v>2919</v>
      </c>
      <c r="F380" s="231" t="s">
        <v>2857</v>
      </c>
      <c r="G380" s="227"/>
      <c r="H380" s="227"/>
      <c r="I380" s="227"/>
    </row>
    <row r="381">
      <c r="A381" s="231" t="s">
        <v>3181</v>
      </c>
      <c r="C381" s="231" t="s">
        <v>3503</v>
      </c>
      <c r="D381" s="231" t="s">
        <v>2696</v>
      </c>
      <c r="E381" s="231" t="s">
        <v>2975</v>
      </c>
      <c r="F381" s="231" t="s">
        <v>2857</v>
      </c>
      <c r="G381" s="227"/>
      <c r="H381" s="227"/>
      <c r="I381" s="227"/>
    </row>
    <row r="382">
      <c r="A382" s="231" t="s">
        <v>3181</v>
      </c>
      <c r="C382" s="227" t="s">
        <v>3504</v>
      </c>
      <c r="D382" s="231" t="s">
        <v>2698</v>
      </c>
      <c r="E382" s="231" t="s">
        <v>3499</v>
      </c>
      <c r="F382" s="231" t="s">
        <v>2857</v>
      </c>
      <c r="G382" s="227"/>
      <c r="H382" s="227"/>
      <c r="I382" s="227"/>
    </row>
    <row r="383">
      <c r="A383" s="231" t="s">
        <v>3181</v>
      </c>
      <c r="C383" s="231" t="s">
        <v>3505</v>
      </c>
      <c r="D383" s="231" t="s">
        <v>2699</v>
      </c>
      <c r="E383" s="231" t="s">
        <v>2919</v>
      </c>
      <c r="F383" s="231" t="s">
        <v>2857</v>
      </c>
      <c r="G383" s="227"/>
      <c r="H383" s="227"/>
      <c r="I383" s="227"/>
    </row>
    <row r="384">
      <c r="A384" s="231" t="s">
        <v>3181</v>
      </c>
      <c r="C384" s="231" t="s">
        <v>3506</v>
      </c>
      <c r="D384" s="231" t="s">
        <v>2700</v>
      </c>
      <c r="E384" s="231" t="s">
        <v>2919</v>
      </c>
      <c r="F384" s="231" t="s">
        <v>2857</v>
      </c>
      <c r="G384" s="227"/>
      <c r="H384" s="227"/>
      <c r="I384" s="227"/>
    </row>
    <row r="385">
      <c r="A385" s="231" t="s">
        <v>3181</v>
      </c>
      <c r="C385" s="231" t="s">
        <v>3508</v>
      </c>
      <c r="D385" s="231" t="s">
        <v>2702</v>
      </c>
      <c r="E385" s="231" t="s">
        <v>2919</v>
      </c>
      <c r="F385" s="231" t="s">
        <v>2857</v>
      </c>
      <c r="G385" s="227"/>
      <c r="H385" s="227"/>
      <c r="I385" s="227"/>
    </row>
    <row r="386">
      <c r="A386" s="231" t="s">
        <v>3181</v>
      </c>
      <c r="C386" s="231" t="s">
        <v>3509</v>
      </c>
      <c r="D386" s="231" t="s">
        <v>2703</v>
      </c>
      <c r="E386" s="231" t="s">
        <v>2919</v>
      </c>
      <c r="F386" s="231" t="s">
        <v>2857</v>
      </c>
      <c r="G386" s="227"/>
      <c r="H386" s="227"/>
      <c r="I386" s="227"/>
    </row>
    <row r="387">
      <c r="A387" s="231" t="s">
        <v>3181</v>
      </c>
      <c r="C387" s="231" t="s">
        <v>3510</v>
      </c>
      <c r="D387" s="231" t="s">
        <v>2655</v>
      </c>
      <c r="E387" s="231" t="s">
        <v>2919</v>
      </c>
      <c r="F387" s="231" t="s">
        <v>2857</v>
      </c>
      <c r="G387" s="227"/>
      <c r="H387" s="227"/>
      <c r="I387" s="227"/>
    </row>
    <row r="388">
      <c r="A388" s="227"/>
      <c r="B388" s="227"/>
      <c r="C388" s="227"/>
      <c r="D388" s="227"/>
      <c r="E388" s="227"/>
      <c r="F388" s="227"/>
      <c r="G388" s="227"/>
      <c r="H388" s="227"/>
      <c r="I388" s="227"/>
    </row>
    <row r="389">
      <c r="A389" s="231" t="s">
        <v>3181</v>
      </c>
      <c r="B389" s="231" t="s">
        <v>2980</v>
      </c>
      <c r="C389" s="231" t="s">
        <v>3511</v>
      </c>
      <c r="D389" s="231" t="s">
        <v>3512</v>
      </c>
      <c r="E389" s="231" t="s">
        <v>3462</v>
      </c>
      <c r="F389" s="231" t="s">
        <v>2857</v>
      </c>
      <c r="G389" s="231" t="s">
        <v>3513</v>
      </c>
      <c r="H389" s="227"/>
      <c r="I389" s="227"/>
    </row>
    <row r="390">
      <c r="A390" s="231" t="s">
        <v>3181</v>
      </c>
      <c r="C390" s="231" t="s">
        <v>3514</v>
      </c>
      <c r="D390" s="231" t="s">
        <v>3515</v>
      </c>
      <c r="E390" s="231" t="s">
        <v>3516</v>
      </c>
      <c r="F390" s="231" t="s">
        <v>2857</v>
      </c>
      <c r="G390" s="231" t="s">
        <v>3518</v>
      </c>
      <c r="H390" s="227"/>
      <c r="I390" s="227"/>
    </row>
    <row r="391">
      <c r="A391" s="231" t="s">
        <v>3181</v>
      </c>
      <c r="C391" s="231" t="s">
        <v>3519</v>
      </c>
      <c r="D391" s="231" t="s">
        <v>3520</v>
      </c>
      <c r="E391" s="231" t="s">
        <v>348</v>
      </c>
      <c r="F391" s="231" t="s">
        <v>2857</v>
      </c>
      <c r="G391" s="231" t="s">
        <v>3521</v>
      </c>
      <c r="H391" s="227"/>
      <c r="I391" s="227"/>
    </row>
    <row r="392">
      <c r="A392" s="231" t="s">
        <v>3181</v>
      </c>
      <c r="C392" s="231" t="s">
        <v>3522</v>
      </c>
      <c r="D392" s="231" t="s">
        <v>3523</v>
      </c>
      <c r="E392" s="231" t="s">
        <v>348</v>
      </c>
      <c r="F392" s="231" t="s">
        <v>2857</v>
      </c>
      <c r="G392" s="231" t="s">
        <v>3525</v>
      </c>
      <c r="H392" s="227"/>
      <c r="I392" s="227"/>
    </row>
    <row r="393">
      <c r="A393" s="231" t="s">
        <v>3181</v>
      </c>
      <c r="C393" s="231" t="s">
        <v>3528</v>
      </c>
      <c r="D393" s="231" t="s">
        <v>3529</v>
      </c>
      <c r="E393" s="231" t="s">
        <v>348</v>
      </c>
      <c r="F393" s="231" t="s">
        <v>2857</v>
      </c>
      <c r="G393" s="231" t="s">
        <v>3530</v>
      </c>
      <c r="H393" s="227"/>
      <c r="I393" s="227"/>
    </row>
    <row r="394">
      <c r="A394" s="231" t="s">
        <v>3181</v>
      </c>
      <c r="C394" s="231" t="s">
        <v>3531</v>
      </c>
      <c r="D394" s="231" t="s">
        <v>3532</v>
      </c>
      <c r="E394" s="231" t="s">
        <v>348</v>
      </c>
      <c r="F394" s="231" t="s">
        <v>2857</v>
      </c>
      <c r="G394" s="231" t="s">
        <v>3533</v>
      </c>
      <c r="H394" s="227"/>
      <c r="I394" s="227"/>
    </row>
    <row r="395">
      <c r="A395" s="227"/>
      <c r="B395" s="227"/>
      <c r="C395" s="227"/>
      <c r="D395" s="227"/>
      <c r="E395" s="227"/>
      <c r="F395" s="227"/>
      <c r="G395" s="227"/>
      <c r="H395" s="227"/>
      <c r="I395" s="227"/>
    </row>
    <row r="396">
      <c r="A396" s="231" t="s">
        <v>3181</v>
      </c>
      <c r="B396" s="231" t="s">
        <v>707</v>
      </c>
      <c r="C396" s="231" t="s">
        <v>3535</v>
      </c>
      <c r="D396" s="231" t="s">
        <v>3536</v>
      </c>
      <c r="E396" s="231" t="s">
        <v>348</v>
      </c>
      <c r="F396" s="231" t="s">
        <v>2857</v>
      </c>
      <c r="G396" s="231" t="s">
        <v>3537</v>
      </c>
      <c r="H396" s="227"/>
      <c r="I396" s="227"/>
    </row>
    <row r="397">
      <c r="A397" s="227"/>
      <c r="C397" s="231" t="s">
        <v>3539</v>
      </c>
      <c r="D397" s="231" t="s">
        <v>1497</v>
      </c>
      <c r="E397" s="231" t="s">
        <v>348</v>
      </c>
      <c r="F397" s="231" t="s">
        <v>2857</v>
      </c>
      <c r="G397" s="231" t="s">
        <v>3540</v>
      </c>
      <c r="H397" s="227"/>
      <c r="I397" s="227"/>
    </row>
    <row r="398">
      <c r="A398" s="231" t="s">
        <v>3181</v>
      </c>
      <c r="C398" s="231" t="s">
        <v>3541</v>
      </c>
      <c r="D398" s="231" t="s">
        <v>1499</v>
      </c>
      <c r="E398" s="231" t="s">
        <v>348</v>
      </c>
      <c r="F398" s="231" t="s">
        <v>2857</v>
      </c>
      <c r="G398" s="231" t="s">
        <v>3542</v>
      </c>
      <c r="H398" s="227"/>
      <c r="I398" s="227"/>
    </row>
    <row r="399">
      <c r="A399" s="231" t="s">
        <v>3181</v>
      </c>
      <c r="C399" s="231" t="s">
        <v>3543</v>
      </c>
      <c r="D399" s="231" t="s">
        <v>1357</v>
      </c>
      <c r="E399" s="231" t="s">
        <v>348</v>
      </c>
      <c r="F399" s="231" t="s">
        <v>2857</v>
      </c>
      <c r="G399" s="231" t="s">
        <v>3544</v>
      </c>
      <c r="H399" s="227"/>
      <c r="I399" s="227"/>
    </row>
    <row r="400">
      <c r="A400" s="231" t="s">
        <v>3181</v>
      </c>
      <c r="C400" s="231" t="s">
        <v>3545</v>
      </c>
      <c r="D400" s="231" t="s">
        <v>1500</v>
      </c>
      <c r="E400" s="231" t="s">
        <v>348</v>
      </c>
      <c r="F400" s="231" t="s">
        <v>2857</v>
      </c>
      <c r="G400" s="231" t="s">
        <v>3546</v>
      </c>
      <c r="H400" s="227"/>
      <c r="I400" s="227"/>
    </row>
    <row r="401">
      <c r="A401" s="231" t="s">
        <v>3181</v>
      </c>
      <c r="C401" s="231" t="s">
        <v>3547</v>
      </c>
      <c r="D401" s="231" t="s">
        <v>1502</v>
      </c>
      <c r="E401" s="231" t="s">
        <v>2971</v>
      </c>
      <c r="F401" s="231" t="s">
        <v>2857</v>
      </c>
      <c r="G401" s="231" t="s">
        <v>3548</v>
      </c>
      <c r="H401" s="227"/>
      <c r="I401" s="227"/>
    </row>
    <row r="402">
      <c r="A402" s="227"/>
      <c r="B402" s="227"/>
      <c r="C402" s="227"/>
      <c r="D402" s="227"/>
      <c r="E402" s="227"/>
      <c r="F402" s="227"/>
      <c r="G402" s="227"/>
      <c r="H402" s="227"/>
      <c r="I402" s="227"/>
    </row>
    <row r="403">
      <c r="A403" s="231" t="s">
        <v>3181</v>
      </c>
      <c r="B403" s="231" t="s">
        <v>352</v>
      </c>
      <c r="C403" s="231" t="s">
        <v>3549</v>
      </c>
      <c r="D403" s="231" t="s">
        <v>358</v>
      </c>
      <c r="E403" s="231" t="s">
        <v>348</v>
      </c>
      <c r="F403" s="231" t="s">
        <v>2857</v>
      </c>
      <c r="G403" s="231" t="s">
        <v>3550</v>
      </c>
      <c r="H403" s="227"/>
      <c r="I403" s="227"/>
    </row>
    <row r="404">
      <c r="A404" s="231" t="s">
        <v>3181</v>
      </c>
      <c r="C404" s="231" t="s">
        <v>3551</v>
      </c>
      <c r="D404" s="231" t="s">
        <v>1430</v>
      </c>
      <c r="E404" s="231" t="s">
        <v>348</v>
      </c>
      <c r="F404" s="231" t="s">
        <v>2857</v>
      </c>
      <c r="G404" s="231" t="s">
        <v>3552</v>
      </c>
      <c r="H404" s="227"/>
      <c r="I404" s="227"/>
    </row>
    <row r="405">
      <c r="A405" s="231" t="s">
        <v>3181</v>
      </c>
      <c r="C405" s="231" t="s">
        <v>3553</v>
      </c>
      <c r="D405" s="231" t="s">
        <v>1432</v>
      </c>
      <c r="E405" s="231" t="s">
        <v>348</v>
      </c>
      <c r="F405" s="231" t="s">
        <v>2857</v>
      </c>
      <c r="G405" s="231" t="s">
        <v>3554</v>
      </c>
      <c r="H405" s="227"/>
      <c r="I405" s="227"/>
    </row>
    <row r="406">
      <c r="A406" s="231" t="s">
        <v>3181</v>
      </c>
      <c r="C406" s="231" t="s">
        <v>3555</v>
      </c>
      <c r="D406" s="231" t="s">
        <v>1283</v>
      </c>
      <c r="E406" s="231" t="s">
        <v>348</v>
      </c>
      <c r="F406" s="231" t="s">
        <v>2857</v>
      </c>
      <c r="G406" s="231" t="s">
        <v>3556</v>
      </c>
      <c r="H406" s="227"/>
      <c r="I406" s="227"/>
    </row>
    <row r="407">
      <c r="A407" s="231" t="s">
        <v>3181</v>
      </c>
      <c r="C407" s="231" t="s">
        <v>3557</v>
      </c>
      <c r="D407" s="231" t="s">
        <v>1260</v>
      </c>
      <c r="E407" s="231" t="s">
        <v>348</v>
      </c>
      <c r="F407" s="231" t="s">
        <v>2857</v>
      </c>
      <c r="G407" s="231" t="s">
        <v>3558</v>
      </c>
      <c r="H407" s="227"/>
      <c r="I407" s="227"/>
    </row>
    <row r="408">
      <c r="A408" s="227"/>
      <c r="B408" s="227"/>
      <c r="C408" s="227"/>
      <c r="D408" s="227"/>
      <c r="E408" s="227"/>
      <c r="F408" s="227"/>
      <c r="G408" s="227"/>
      <c r="H408" s="227"/>
      <c r="I408" s="227"/>
    </row>
    <row r="409">
      <c r="A409" s="227" t="s">
        <v>3181</v>
      </c>
      <c r="B409" s="227" t="s">
        <v>610</v>
      </c>
      <c r="C409" s="227" t="s">
        <v>3560</v>
      </c>
      <c r="D409" s="227" t="s">
        <v>612</v>
      </c>
      <c r="E409" s="227" t="s">
        <v>348</v>
      </c>
      <c r="F409" s="231" t="s">
        <v>2857</v>
      </c>
      <c r="G409" s="227" t="s">
        <v>3561</v>
      </c>
      <c r="H409" s="227"/>
      <c r="I409" s="227"/>
    </row>
    <row r="410">
      <c r="A410" s="227" t="s">
        <v>3181</v>
      </c>
      <c r="C410" s="227" t="s">
        <v>3562</v>
      </c>
      <c r="D410" s="227" t="s">
        <v>1470</v>
      </c>
      <c r="E410" s="227" t="s">
        <v>348</v>
      </c>
      <c r="F410" s="231" t="s">
        <v>2857</v>
      </c>
      <c r="G410" s="227" t="s">
        <v>3563</v>
      </c>
      <c r="H410" s="227"/>
      <c r="I410" s="227"/>
    </row>
    <row r="411">
      <c r="A411" s="227" t="s">
        <v>3181</v>
      </c>
      <c r="C411" s="227" t="s">
        <v>3564</v>
      </c>
      <c r="D411" s="227" t="s">
        <v>1471</v>
      </c>
      <c r="E411" s="227" t="s">
        <v>348</v>
      </c>
      <c r="F411" s="231" t="s">
        <v>2857</v>
      </c>
      <c r="G411" s="227" t="s">
        <v>3565</v>
      </c>
      <c r="H411" s="227"/>
      <c r="I411" s="227"/>
    </row>
    <row r="412">
      <c r="A412" s="227" t="s">
        <v>3181</v>
      </c>
      <c r="C412" s="227" t="s">
        <v>3566</v>
      </c>
      <c r="D412" s="227" t="s">
        <v>1472</v>
      </c>
      <c r="E412" s="227" t="s">
        <v>348</v>
      </c>
      <c r="F412" s="231" t="s">
        <v>2857</v>
      </c>
      <c r="G412" s="227"/>
      <c r="H412" s="227"/>
      <c r="I412" s="227"/>
    </row>
    <row r="413">
      <c r="A413" s="227"/>
      <c r="B413" s="227"/>
      <c r="C413" s="227"/>
      <c r="D413" s="227"/>
      <c r="E413" s="227"/>
      <c r="F413" s="227"/>
      <c r="G413" s="227"/>
      <c r="H413" s="227"/>
      <c r="I413" s="227"/>
    </row>
    <row r="414">
      <c r="A414" s="230" t="s">
        <v>118</v>
      </c>
    </row>
    <row r="415">
      <c r="A415" s="231" t="s">
        <v>3568</v>
      </c>
      <c r="B415" s="231" t="s">
        <v>3569</v>
      </c>
      <c r="C415" s="231" t="s">
        <v>3570</v>
      </c>
      <c r="D415" s="231" t="s">
        <v>3571</v>
      </c>
      <c r="E415" s="231" t="s">
        <v>2837</v>
      </c>
      <c r="F415" s="231" t="s">
        <v>2838</v>
      </c>
      <c r="G415" s="251" t="s">
        <v>3572</v>
      </c>
      <c r="H415" s="227"/>
      <c r="I415" s="252" t="s">
        <v>3575</v>
      </c>
    </row>
    <row r="416">
      <c r="A416" s="231" t="s">
        <v>3568</v>
      </c>
      <c r="C416" s="231" t="s">
        <v>3576</v>
      </c>
      <c r="D416" s="231" t="s">
        <v>3577</v>
      </c>
      <c r="E416" s="231" t="s">
        <v>2837</v>
      </c>
      <c r="F416" s="231" t="s">
        <v>2838</v>
      </c>
      <c r="G416" s="251" t="s">
        <v>3578</v>
      </c>
      <c r="H416" s="227"/>
      <c r="I416" s="252" t="s">
        <v>3579</v>
      </c>
    </row>
    <row r="417">
      <c r="A417" s="231" t="s">
        <v>3568</v>
      </c>
      <c r="C417" s="231" t="s">
        <v>3580</v>
      </c>
      <c r="D417" s="231" t="s">
        <v>3581</v>
      </c>
      <c r="E417" s="231" t="s">
        <v>2837</v>
      </c>
      <c r="F417" s="231" t="s">
        <v>2838</v>
      </c>
      <c r="G417" s="237"/>
      <c r="H417" s="227"/>
      <c r="I417" s="252" t="s">
        <v>3582</v>
      </c>
    </row>
    <row r="418">
      <c r="A418" s="231" t="s">
        <v>3568</v>
      </c>
      <c r="C418" s="231" t="s">
        <v>3583</v>
      </c>
      <c r="D418" s="231" t="s">
        <v>3585</v>
      </c>
      <c r="E418" s="231" t="s">
        <v>2837</v>
      </c>
      <c r="F418" s="231" t="s">
        <v>2838</v>
      </c>
      <c r="G418" s="237"/>
      <c r="H418" s="227"/>
      <c r="I418" s="252" t="s">
        <v>3586</v>
      </c>
    </row>
    <row r="419">
      <c r="A419" s="231" t="s">
        <v>3568</v>
      </c>
      <c r="C419" s="231" t="s">
        <v>3587</v>
      </c>
      <c r="D419" s="231" t="s">
        <v>3589</v>
      </c>
      <c r="E419" s="231" t="s">
        <v>2837</v>
      </c>
      <c r="F419" s="231" t="s">
        <v>2838</v>
      </c>
      <c r="G419" s="237"/>
      <c r="H419" s="227"/>
      <c r="I419" s="252" t="s">
        <v>3590</v>
      </c>
    </row>
    <row r="420">
      <c r="A420" s="231" t="s">
        <v>3568</v>
      </c>
      <c r="C420" s="231" t="s">
        <v>3591</v>
      </c>
      <c r="D420" s="231" t="s">
        <v>3592</v>
      </c>
      <c r="E420" s="231" t="s">
        <v>2837</v>
      </c>
      <c r="F420" s="231" t="s">
        <v>2838</v>
      </c>
      <c r="G420" s="237"/>
      <c r="H420" s="227"/>
      <c r="I420" s="252" t="s">
        <v>3594</v>
      </c>
    </row>
    <row r="421">
      <c r="A421" s="231" t="s">
        <v>3568</v>
      </c>
      <c r="C421" s="231" t="s">
        <v>3595</v>
      </c>
      <c r="D421" s="231" t="s">
        <v>3596</v>
      </c>
      <c r="E421" s="231" t="s">
        <v>2837</v>
      </c>
      <c r="F421" s="231" t="s">
        <v>2838</v>
      </c>
      <c r="G421" s="237"/>
      <c r="H421" s="227"/>
      <c r="I421" s="227"/>
    </row>
    <row r="422">
      <c r="A422" s="231" t="s">
        <v>3568</v>
      </c>
      <c r="C422" s="238" t="s">
        <v>3597</v>
      </c>
      <c r="D422" s="238" t="s">
        <v>3598</v>
      </c>
      <c r="E422" s="231" t="s">
        <v>2837</v>
      </c>
      <c r="F422" s="231" t="s">
        <v>2838</v>
      </c>
      <c r="G422" s="237"/>
      <c r="H422" s="227"/>
      <c r="I422" s="227"/>
    </row>
    <row r="423">
      <c r="A423" s="231" t="s">
        <v>3568</v>
      </c>
      <c r="C423" s="231" t="s">
        <v>3599</v>
      </c>
      <c r="D423" s="231" t="s">
        <v>3600</v>
      </c>
      <c r="E423" s="231" t="s">
        <v>2837</v>
      </c>
      <c r="F423" s="231" t="s">
        <v>2838</v>
      </c>
      <c r="G423" s="231" t="s">
        <v>3601</v>
      </c>
      <c r="H423" s="227"/>
      <c r="I423" s="227"/>
    </row>
    <row r="424">
      <c r="A424" s="231" t="s">
        <v>3568</v>
      </c>
      <c r="C424" s="238" t="s">
        <v>3602</v>
      </c>
      <c r="D424" s="238" t="s">
        <v>3603</v>
      </c>
      <c r="E424" s="231" t="s">
        <v>2837</v>
      </c>
      <c r="F424" s="231" t="s">
        <v>2838</v>
      </c>
      <c r="G424" s="231" t="s">
        <v>3604</v>
      </c>
      <c r="H424" s="227"/>
      <c r="I424" s="227"/>
    </row>
    <row r="425">
      <c r="A425" s="227"/>
      <c r="B425" s="227"/>
      <c r="C425" s="243"/>
      <c r="D425" s="243"/>
      <c r="E425" s="227"/>
      <c r="F425" s="227"/>
      <c r="G425" s="227"/>
      <c r="H425" s="227"/>
      <c r="I425" s="227"/>
    </row>
    <row r="426">
      <c r="A426" s="230" t="s">
        <v>3605</v>
      </c>
    </row>
    <row r="427">
      <c r="A427" s="231" t="s">
        <v>3606</v>
      </c>
      <c r="B427" s="231" t="s">
        <v>3605</v>
      </c>
      <c r="C427" s="238" t="s">
        <v>3607</v>
      </c>
      <c r="D427" s="238" t="s">
        <v>649</v>
      </c>
      <c r="E427" s="231" t="s">
        <v>2837</v>
      </c>
      <c r="F427" s="231" t="s">
        <v>2838</v>
      </c>
      <c r="G427" s="227"/>
      <c r="H427" s="227"/>
      <c r="I427" s="227"/>
    </row>
    <row r="428">
      <c r="A428" s="231" t="s">
        <v>3606</v>
      </c>
      <c r="C428" s="238" t="s">
        <v>3608</v>
      </c>
      <c r="D428" s="238" t="s">
        <v>519</v>
      </c>
      <c r="E428" s="231" t="s">
        <v>2837</v>
      </c>
      <c r="F428" s="231" t="s">
        <v>2838</v>
      </c>
      <c r="G428" s="227"/>
      <c r="H428" s="227"/>
      <c r="I428" s="227"/>
    </row>
    <row r="429">
      <c r="A429" s="231" t="s">
        <v>3606</v>
      </c>
      <c r="C429" s="231" t="s">
        <v>3609</v>
      </c>
      <c r="D429" s="231" t="s">
        <v>496</v>
      </c>
      <c r="E429" s="231" t="s">
        <v>2837</v>
      </c>
      <c r="F429" s="231" t="s">
        <v>2838</v>
      </c>
      <c r="G429" s="227"/>
      <c r="H429" s="227"/>
      <c r="I429" s="227"/>
    </row>
    <row r="430">
      <c r="A430" s="227"/>
      <c r="B430" s="227"/>
      <c r="C430" s="227"/>
      <c r="D430" s="227"/>
      <c r="E430" s="227"/>
      <c r="F430" s="227"/>
      <c r="G430" s="227"/>
      <c r="H430" s="227"/>
      <c r="I430" s="227"/>
    </row>
    <row r="431">
      <c r="A431" s="230" t="s">
        <v>6</v>
      </c>
    </row>
    <row r="432">
      <c r="A432" s="231" t="s">
        <v>3611</v>
      </c>
      <c r="B432" s="231" t="s">
        <v>6</v>
      </c>
      <c r="C432" s="231" t="s">
        <v>3612</v>
      </c>
      <c r="D432" s="231" t="s">
        <v>3613</v>
      </c>
      <c r="E432" s="231" t="s">
        <v>2837</v>
      </c>
      <c r="F432" s="231" t="s">
        <v>2838</v>
      </c>
      <c r="G432" s="227"/>
      <c r="H432" s="227"/>
      <c r="I432" s="227"/>
    </row>
    <row r="433">
      <c r="A433" s="231" t="s">
        <v>3611</v>
      </c>
      <c r="C433" s="231" t="s">
        <v>3614</v>
      </c>
      <c r="D433" s="253">
        <v>1.0</v>
      </c>
      <c r="E433" s="231" t="s">
        <v>2837</v>
      </c>
      <c r="F433" s="231" t="s">
        <v>2838</v>
      </c>
      <c r="G433" s="227"/>
      <c r="H433" s="227"/>
      <c r="I433" s="227"/>
    </row>
    <row r="434">
      <c r="A434" s="231" t="s">
        <v>3611</v>
      </c>
      <c r="C434" s="231" t="s">
        <v>3616</v>
      </c>
      <c r="D434" s="253">
        <v>2.0</v>
      </c>
      <c r="E434" s="231" t="s">
        <v>2837</v>
      </c>
      <c r="F434" s="231" t="s">
        <v>2838</v>
      </c>
      <c r="G434" s="227"/>
      <c r="H434" s="227"/>
      <c r="I434" s="227"/>
    </row>
    <row r="435">
      <c r="A435" s="231" t="s">
        <v>3611</v>
      </c>
      <c r="C435" s="231" t="s">
        <v>3617</v>
      </c>
      <c r="D435" s="253">
        <v>3.0</v>
      </c>
      <c r="E435" s="231" t="s">
        <v>2837</v>
      </c>
      <c r="F435" s="231" t="s">
        <v>2838</v>
      </c>
      <c r="G435" s="227"/>
      <c r="H435" s="227"/>
      <c r="I435" s="227"/>
    </row>
    <row r="436">
      <c r="A436" s="231" t="s">
        <v>3611</v>
      </c>
      <c r="C436" s="231" t="s">
        <v>3620</v>
      </c>
      <c r="D436" s="253">
        <v>4.0</v>
      </c>
      <c r="E436" s="231" t="s">
        <v>2837</v>
      </c>
      <c r="F436" s="231" t="s">
        <v>2838</v>
      </c>
      <c r="G436" s="227"/>
      <c r="H436" s="227"/>
      <c r="I436" s="227"/>
    </row>
    <row r="437">
      <c r="A437" s="231" t="s">
        <v>3611</v>
      </c>
      <c r="C437" s="231" t="s">
        <v>3622</v>
      </c>
      <c r="D437" s="253">
        <v>5.0</v>
      </c>
      <c r="E437" s="231" t="s">
        <v>2837</v>
      </c>
      <c r="F437" s="231" t="s">
        <v>2838</v>
      </c>
      <c r="G437" s="227"/>
      <c r="H437" s="227"/>
      <c r="I437" s="227"/>
    </row>
    <row r="438">
      <c r="A438" s="231" t="s">
        <v>3611</v>
      </c>
      <c r="C438" s="231" t="s">
        <v>3623</v>
      </c>
      <c r="D438" s="253">
        <v>6.0</v>
      </c>
      <c r="E438" s="231" t="s">
        <v>2837</v>
      </c>
      <c r="F438" s="231" t="s">
        <v>2838</v>
      </c>
      <c r="G438" s="227"/>
      <c r="H438" s="227"/>
      <c r="I438" s="227"/>
    </row>
    <row r="439">
      <c r="A439" s="231" t="s">
        <v>3611</v>
      </c>
      <c r="C439" s="231" t="s">
        <v>3624</v>
      </c>
      <c r="D439" s="253">
        <v>7.0</v>
      </c>
      <c r="E439" s="231" t="s">
        <v>2837</v>
      </c>
      <c r="F439" s="231" t="s">
        <v>2838</v>
      </c>
      <c r="G439" s="227"/>
      <c r="H439" s="227"/>
      <c r="I439" s="227"/>
    </row>
    <row r="440">
      <c r="A440" s="231" t="s">
        <v>3611</v>
      </c>
      <c r="C440" s="238" t="s">
        <v>3626</v>
      </c>
      <c r="D440" s="254">
        <v>8.0</v>
      </c>
      <c r="E440" s="231" t="s">
        <v>2837</v>
      </c>
      <c r="F440" s="231" t="s">
        <v>2838</v>
      </c>
      <c r="G440" s="227"/>
      <c r="H440" s="227"/>
      <c r="I440" s="227"/>
    </row>
    <row r="441">
      <c r="A441" s="231" t="s">
        <v>3611</v>
      </c>
      <c r="C441" s="238" t="s">
        <v>3628</v>
      </c>
      <c r="D441" s="254">
        <v>9.0</v>
      </c>
      <c r="E441" s="231" t="s">
        <v>2837</v>
      </c>
      <c r="F441" s="231" t="s">
        <v>2838</v>
      </c>
      <c r="G441" s="227"/>
      <c r="H441" s="227"/>
      <c r="I441" s="227"/>
    </row>
    <row r="442">
      <c r="A442" s="231" t="s">
        <v>3611</v>
      </c>
      <c r="C442" s="231" t="s">
        <v>3629</v>
      </c>
      <c r="D442" s="253">
        <v>10.0</v>
      </c>
      <c r="E442" s="231" t="s">
        <v>2837</v>
      </c>
      <c r="F442" s="231" t="s">
        <v>2838</v>
      </c>
      <c r="G442" s="227"/>
      <c r="H442" s="227"/>
      <c r="I442" s="227"/>
    </row>
    <row r="443">
      <c r="A443" s="231" t="s">
        <v>3611</v>
      </c>
      <c r="C443" s="231" t="s">
        <v>3630</v>
      </c>
      <c r="D443" s="253">
        <v>11.0</v>
      </c>
      <c r="E443" s="231" t="s">
        <v>2837</v>
      </c>
      <c r="F443" s="231" t="s">
        <v>2838</v>
      </c>
      <c r="G443" s="227"/>
      <c r="H443" s="227"/>
      <c r="I443" s="227"/>
    </row>
    <row r="444">
      <c r="A444" s="231" t="s">
        <v>3611</v>
      </c>
      <c r="C444" s="231" t="s">
        <v>3631</v>
      </c>
      <c r="D444" s="253">
        <v>12.0</v>
      </c>
      <c r="E444" s="231" t="s">
        <v>2837</v>
      </c>
      <c r="F444" s="231" t="s">
        <v>2838</v>
      </c>
      <c r="G444" s="227"/>
      <c r="H444" s="227"/>
      <c r="I444" s="227"/>
    </row>
    <row r="445">
      <c r="A445" s="231" t="s">
        <v>3611</v>
      </c>
      <c r="C445" s="231" t="s">
        <v>3632</v>
      </c>
      <c r="D445" s="231" t="s">
        <v>3633</v>
      </c>
      <c r="E445" s="231" t="s">
        <v>2837</v>
      </c>
      <c r="F445" s="231" t="s">
        <v>2838</v>
      </c>
      <c r="G445" s="227"/>
      <c r="H445" s="227"/>
      <c r="I445" s="227"/>
    </row>
    <row r="446">
      <c r="A446" s="231" t="s">
        <v>3611</v>
      </c>
      <c r="C446" s="227" t="s">
        <v>3634</v>
      </c>
      <c r="D446" s="227" t="s">
        <v>583</v>
      </c>
      <c r="E446" s="231" t="s">
        <v>2837</v>
      </c>
      <c r="F446" s="231" t="s">
        <v>2838</v>
      </c>
      <c r="G446" s="227"/>
      <c r="H446" s="227"/>
      <c r="I446" s="227"/>
    </row>
    <row r="447">
      <c r="A447" s="227"/>
      <c r="B447" s="227"/>
      <c r="C447" s="227"/>
      <c r="D447" s="227"/>
      <c r="E447" s="227"/>
      <c r="F447" s="227"/>
      <c r="G447" s="227"/>
      <c r="H447" s="227"/>
      <c r="I447" s="227"/>
    </row>
    <row r="448">
      <c r="A448" s="230" t="s">
        <v>3635</v>
      </c>
    </row>
    <row r="449">
      <c r="A449" s="231" t="s">
        <v>3636</v>
      </c>
      <c r="B449" s="231" t="s">
        <v>3637</v>
      </c>
      <c r="C449" s="231" t="s">
        <v>3638</v>
      </c>
      <c r="D449" s="231" t="s">
        <v>1091</v>
      </c>
      <c r="E449" s="231" t="s">
        <v>2975</v>
      </c>
      <c r="F449" s="231" t="s">
        <v>2838</v>
      </c>
      <c r="G449" s="227"/>
      <c r="H449" s="227"/>
      <c r="I449" s="236" t="s">
        <v>3639</v>
      </c>
    </row>
    <row r="450">
      <c r="A450" s="231" t="s">
        <v>3636</v>
      </c>
      <c r="C450" s="231" t="s">
        <v>3640</v>
      </c>
      <c r="D450" s="231" t="s">
        <v>1321</v>
      </c>
      <c r="E450" s="231" t="s">
        <v>2975</v>
      </c>
      <c r="F450" s="231" t="s">
        <v>2838</v>
      </c>
      <c r="G450" s="227"/>
      <c r="H450" s="227"/>
    </row>
    <row r="451">
      <c r="A451" s="231" t="s">
        <v>3636</v>
      </c>
      <c r="C451" s="231" t="s">
        <v>3641</v>
      </c>
      <c r="D451" s="231" t="s">
        <v>507</v>
      </c>
      <c r="E451" s="231" t="s">
        <v>2975</v>
      </c>
      <c r="F451" s="231" t="s">
        <v>2838</v>
      </c>
      <c r="G451" s="227"/>
      <c r="H451" s="227"/>
    </row>
    <row r="452">
      <c r="A452" s="231" t="s">
        <v>3636</v>
      </c>
      <c r="C452" s="231" t="s">
        <v>3643</v>
      </c>
      <c r="D452" s="231" t="s">
        <v>1494</v>
      </c>
      <c r="E452" s="231" t="s">
        <v>2975</v>
      </c>
      <c r="F452" s="231" t="s">
        <v>2838</v>
      </c>
      <c r="G452" s="227"/>
      <c r="H452" s="227"/>
    </row>
    <row r="453">
      <c r="A453" s="231" t="s">
        <v>3636</v>
      </c>
      <c r="C453" s="231" t="s">
        <v>3645</v>
      </c>
      <c r="D453" s="231" t="s">
        <v>3646</v>
      </c>
      <c r="E453" s="231" t="s">
        <v>2975</v>
      </c>
      <c r="F453" s="231" t="s">
        <v>2838</v>
      </c>
      <c r="G453" s="227"/>
      <c r="H453" s="227"/>
    </row>
    <row r="454">
      <c r="A454" s="231" t="s">
        <v>3636</v>
      </c>
      <c r="C454" s="231" t="s">
        <v>3647</v>
      </c>
      <c r="D454" s="231" t="s">
        <v>3648</v>
      </c>
      <c r="E454" s="231" t="s">
        <v>2975</v>
      </c>
      <c r="F454" s="231" t="s">
        <v>2838</v>
      </c>
      <c r="G454" s="227"/>
      <c r="H454" s="227"/>
    </row>
    <row r="455">
      <c r="A455" s="227"/>
      <c r="B455" s="227"/>
      <c r="C455" s="227"/>
      <c r="D455" s="227"/>
      <c r="E455" s="227"/>
      <c r="F455" s="227"/>
      <c r="G455" s="227"/>
      <c r="H455" s="227"/>
    </row>
    <row r="456">
      <c r="A456" s="230" t="s">
        <v>5</v>
      </c>
    </row>
    <row r="457">
      <c r="A457" s="231" t="s">
        <v>3649</v>
      </c>
      <c r="B457" s="231" t="s">
        <v>105</v>
      </c>
      <c r="C457" s="231" t="s">
        <v>3650</v>
      </c>
      <c r="D457" s="231" t="s">
        <v>983</v>
      </c>
      <c r="E457" s="231" t="s">
        <v>2837</v>
      </c>
      <c r="F457" s="231" t="s">
        <v>2838</v>
      </c>
      <c r="G457" s="237"/>
      <c r="H457" s="227"/>
      <c r="I457" s="252" t="s">
        <v>3653</v>
      </c>
    </row>
    <row r="458">
      <c r="A458" s="231" t="s">
        <v>3649</v>
      </c>
      <c r="C458" s="238" t="s">
        <v>3654</v>
      </c>
      <c r="D458" s="238" t="s">
        <v>3655</v>
      </c>
      <c r="E458" s="231" t="s">
        <v>2837</v>
      </c>
      <c r="F458" s="231" t="s">
        <v>2838</v>
      </c>
      <c r="G458" s="237"/>
      <c r="H458" s="227"/>
      <c r="I458" s="252" t="s">
        <v>3656</v>
      </c>
    </row>
    <row r="459">
      <c r="A459" s="231" t="s">
        <v>3649</v>
      </c>
      <c r="C459" s="231" t="s">
        <v>3657</v>
      </c>
      <c r="D459" s="238" t="s">
        <v>3659</v>
      </c>
      <c r="E459" s="231" t="s">
        <v>2837</v>
      </c>
      <c r="F459" s="231" t="s">
        <v>2838</v>
      </c>
      <c r="G459" s="237"/>
      <c r="H459" s="227"/>
      <c r="I459" s="252" t="s">
        <v>3660</v>
      </c>
    </row>
    <row r="460">
      <c r="A460" s="231" t="s">
        <v>3649</v>
      </c>
      <c r="C460" s="231" t="s">
        <v>3662</v>
      </c>
      <c r="D460" s="231" t="s">
        <v>3663</v>
      </c>
      <c r="E460" s="231" t="s">
        <v>2837</v>
      </c>
      <c r="F460" s="231" t="s">
        <v>2838</v>
      </c>
      <c r="G460" s="237"/>
      <c r="H460" s="227"/>
      <c r="I460" s="252" t="s">
        <v>3664</v>
      </c>
    </row>
    <row r="461">
      <c r="A461" s="231" t="s">
        <v>3649</v>
      </c>
      <c r="C461" s="231" t="s">
        <v>3665</v>
      </c>
      <c r="D461" s="231" t="s">
        <v>3666</v>
      </c>
      <c r="E461" s="231" t="s">
        <v>2837</v>
      </c>
      <c r="F461" s="231" t="s">
        <v>2838</v>
      </c>
      <c r="G461" s="237"/>
      <c r="H461" s="227"/>
      <c r="I461" s="252" t="s">
        <v>3667</v>
      </c>
    </row>
    <row r="462">
      <c r="A462" s="231" t="s">
        <v>3649</v>
      </c>
      <c r="C462" s="231" t="s">
        <v>3668</v>
      </c>
      <c r="D462" s="231" t="s">
        <v>3126</v>
      </c>
      <c r="E462" s="231" t="s">
        <v>2837</v>
      </c>
      <c r="F462" s="231" t="s">
        <v>2838</v>
      </c>
      <c r="G462" s="237"/>
      <c r="H462" s="237"/>
      <c r="I462" s="252" t="s">
        <v>3669</v>
      </c>
    </row>
    <row r="463">
      <c r="A463" s="231" t="s">
        <v>3649</v>
      </c>
      <c r="C463" s="232" t="s">
        <v>3671</v>
      </c>
      <c r="D463" s="232" t="s">
        <v>2613</v>
      </c>
      <c r="E463" s="232" t="s">
        <v>2837</v>
      </c>
      <c r="F463" s="232" t="s">
        <v>2838</v>
      </c>
      <c r="G463" s="255"/>
      <c r="H463" s="234"/>
      <c r="I463" s="252" t="s">
        <v>3674</v>
      </c>
    </row>
    <row r="464">
      <c r="A464" s="231" t="s">
        <v>3649</v>
      </c>
      <c r="C464" s="231" t="s">
        <v>3676</v>
      </c>
      <c r="D464" s="231" t="s">
        <v>3677</v>
      </c>
      <c r="E464" s="231" t="s">
        <v>2837</v>
      </c>
      <c r="F464" s="231" t="s">
        <v>2838</v>
      </c>
      <c r="G464" s="237"/>
      <c r="H464" s="227"/>
      <c r="I464" s="256" t="s">
        <v>3678</v>
      </c>
    </row>
    <row r="465">
      <c r="A465" s="231" t="s">
        <v>3649</v>
      </c>
      <c r="C465" s="231" t="s">
        <v>3679</v>
      </c>
      <c r="D465" s="231" t="s">
        <v>3680</v>
      </c>
      <c r="E465" s="231" t="s">
        <v>2837</v>
      </c>
      <c r="F465" s="231" t="s">
        <v>2838</v>
      </c>
      <c r="G465" s="237"/>
      <c r="H465" s="227"/>
      <c r="I465" s="252" t="s">
        <v>3681</v>
      </c>
    </row>
    <row r="466">
      <c r="A466" s="231" t="s">
        <v>3649</v>
      </c>
      <c r="C466" s="231" t="s">
        <v>3682</v>
      </c>
      <c r="D466" s="231" t="s">
        <v>469</v>
      </c>
      <c r="E466" s="231" t="s">
        <v>2837</v>
      </c>
      <c r="F466" s="231" t="s">
        <v>2838</v>
      </c>
      <c r="G466" s="237"/>
      <c r="H466" s="227"/>
      <c r="I466" s="252" t="s">
        <v>3683</v>
      </c>
    </row>
    <row r="467">
      <c r="A467" s="231" t="s">
        <v>3649</v>
      </c>
      <c r="C467" s="231" t="s">
        <v>3684</v>
      </c>
      <c r="D467" s="231" t="s">
        <v>3685</v>
      </c>
      <c r="E467" s="231" t="s">
        <v>2837</v>
      </c>
      <c r="F467" s="231" t="s">
        <v>2838</v>
      </c>
      <c r="G467" s="237"/>
      <c r="H467" s="227"/>
      <c r="I467" s="252" t="s">
        <v>3686</v>
      </c>
    </row>
    <row r="468">
      <c r="A468" s="231" t="s">
        <v>3649</v>
      </c>
      <c r="C468" s="231" t="s">
        <v>3687</v>
      </c>
      <c r="D468" s="231" t="s">
        <v>3688</v>
      </c>
      <c r="E468" s="231" t="s">
        <v>2837</v>
      </c>
      <c r="F468" s="231" t="s">
        <v>2838</v>
      </c>
      <c r="G468" s="237"/>
      <c r="H468" s="227"/>
      <c r="I468" s="252" t="s">
        <v>3689</v>
      </c>
    </row>
    <row r="469">
      <c r="A469" s="231" t="s">
        <v>3649</v>
      </c>
      <c r="C469" s="231" t="s">
        <v>3690</v>
      </c>
      <c r="D469" s="231" t="s">
        <v>3691</v>
      </c>
      <c r="E469" s="231" t="s">
        <v>2837</v>
      </c>
      <c r="F469" s="231" t="s">
        <v>2838</v>
      </c>
      <c r="G469" s="237"/>
      <c r="H469" s="227"/>
      <c r="I469" s="256" t="s">
        <v>3692</v>
      </c>
    </row>
    <row r="470">
      <c r="A470" s="231" t="s">
        <v>3649</v>
      </c>
      <c r="C470" s="231" t="s">
        <v>3693</v>
      </c>
      <c r="D470" s="231" t="s">
        <v>3694</v>
      </c>
      <c r="E470" s="231" t="s">
        <v>2837</v>
      </c>
      <c r="F470" s="231" t="s">
        <v>2838</v>
      </c>
      <c r="G470" s="237"/>
      <c r="H470" s="227"/>
      <c r="I470" s="257" t="s">
        <v>3695</v>
      </c>
    </row>
    <row r="471">
      <c r="A471" s="231" t="s">
        <v>3649</v>
      </c>
      <c r="C471" s="231" t="s">
        <v>3696</v>
      </c>
      <c r="D471" s="231" t="s">
        <v>3697</v>
      </c>
      <c r="E471" s="231" t="s">
        <v>2837</v>
      </c>
      <c r="F471" s="231" t="s">
        <v>2838</v>
      </c>
      <c r="G471" s="237"/>
      <c r="H471" s="227"/>
      <c r="I471" s="256" t="s">
        <v>3698</v>
      </c>
    </row>
    <row r="472">
      <c r="A472" s="231" t="s">
        <v>3649</v>
      </c>
      <c r="C472" s="240" t="s">
        <v>3699</v>
      </c>
      <c r="D472" s="240" t="s">
        <v>3700</v>
      </c>
      <c r="E472" s="231" t="s">
        <v>2837</v>
      </c>
      <c r="F472" s="231" t="s">
        <v>2838</v>
      </c>
      <c r="G472" s="237"/>
      <c r="H472" s="227"/>
      <c r="I472" s="252" t="s">
        <v>3701</v>
      </c>
    </row>
    <row r="473">
      <c r="A473" s="231" t="s">
        <v>3649</v>
      </c>
      <c r="C473" s="240" t="s">
        <v>3702</v>
      </c>
      <c r="D473" s="240" t="s">
        <v>3703</v>
      </c>
      <c r="E473" s="231" t="s">
        <v>2837</v>
      </c>
      <c r="F473" s="231" t="s">
        <v>2838</v>
      </c>
      <c r="G473" s="237"/>
      <c r="H473" s="227"/>
      <c r="I473" s="252" t="s">
        <v>3704</v>
      </c>
    </row>
    <row r="474">
      <c r="A474" s="231" t="s">
        <v>3705</v>
      </c>
      <c r="B474" s="231" t="s">
        <v>107</v>
      </c>
      <c r="C474" s="231" t="s">
        <v>3706</v>
      </c>
      <c r="D474" s="231" t="s">
        <v>3708</v>
      </c>
      <c r="E474" s="231" t="s">
        <v>2837</v>
      </c>
      <c r="F474" s="231" t="s">
        <v>2838</v>
      </c>
      <c r="G474" s="237"/>
      <c r="H474" s="227"/>
      <c r="I474" s="252" t="s">
        <v>3709</v>
      </c>
    </row>
    <row r="475">
      <c r="A475" s="231" t="s">
        <v>3705</v>
      </c>
      <c r="C475" s="231" t="s">
        <v>3711</v>
      </c>
      <c r="D475" s="231" t="s">
        <v>3712</v>
      </c>
      <c r="E475" s="231" t="s">
        <v>2837</v>
      </c>
      <c r="F475" s="231" t="s">
        <v>2838</v>
      </c>
      <c r="G475" s="237"/>
      <c r="H475" s="227"/>
      <c r="I475" s="252" t="s">
        <v>3713</v>
      </c>
    </row>
    <row r="476">
      <c r="A476" s="231" t="s">
        <v>3705</v>
      </c>
      <c r="C476" s="231" t="s">
        <v>3715</v>
      </c>
      <c r="D476" s="231" t="s">
        <v>3716</v>
      </c>
      <c r="E476" s="231" t="s">
        <v>2837</v>
      </c>
      <c r="F476" s="231" t="s">
        <v>2838</v>
      </c>
      <c r="G476" s="237"/>
      <c r="H476" s="227"/>
      <c r="I476" s="252" t="s">
        <v>3717</v>
      </c>
    </row>
    <row r="477">
      <c r="A477" s="231" t="s">
        <v>3705</v>
      </c>
      <c r="C477" s="231" t="s">
        <v>3718</v>
      </c>
      <c r="D477" s="231" t="s">
        <v>3719</v>
      </c>
      <c r="E477" s="231" t="s">
        <v>2837</v>
      </c>
      <c r="F477" s="231" t="s">
        <v>2838</v>
      </c>
      <c r="G477" s="237"/>
      <c r="H477" s="227"/>
      <c r="I477" s="252" t="s">
        <v>3720</v>
      </c>
    </row>
    <row r="478">
      <c r="A478" s="231" t="s">
        <v>3705</v>
      </c>
      <c r="C478" s="231" t="s">
        <v>3721</v>
      </c>
      <c r="D478" s="231" t="s">
        <v>3722</v>
      </c>
      <c r="E478" s="231" t="s">
        <v>2837</v>
      </c>
      <c r="F478" s="231" t="s">
        <v>2838</v>
      </c>
      <c r="G478" s="237"/>
      <c r="H478" s="227"/>
      <c r="I478" s="252" t="s">
        <v>3723</v>
      </c>
    </row>
    <row r="479">
      <c r="A479" s="231" t="s">
        <v>3705</v>
      </c>
      <c r="C479" s="231" t="s">
        <v>3724</v>
      </c>
      <c r="D479" s="231" t="s">
        <v>483</v>
      </c>
      <c r="E479" s="231" t="s">
        <v>2837</v>
      </c>
      <c r="F479" s="231" t="s">
        <v>2838</v>
      </c>
      <c r="G479" s="237"/>
      <c r="H479" s="227"/>
      <c r="I479" s="252" t="s">
        <v>3725</v>
      </c>
    </row>
    <row r="480">
      <c r="A480" s="231" t="s">
        <v>3705</v>
      </c>
      <c r="C480" s="231" t="s">
        <v>3726</v>
      </c>
      <c r="D480" s="231" t="s">
        <v>1715</v>
      </c>
      <c r="E480" s="231" t="s">
        <v>2837</v>
      </c>
      <c r="F480" s="231" t="s">
        <v>2838</v>
      </c>
      <c r="G480" s="237"/>
      <c r="H480" s="227"/>
      <c r="I480" s="252" t="s">
        <v>3727</v>
      </c>
    </row>
    <row r="481">
      <c r="A481" s="231" t="s">
        <v>3705</v>
      </c>
      <c r="C481" s="231" t="s">
        <v>3728</v>
      </c>
      <c r="D481" s="231" t="s">
        <v>2455</v>
      </c>
      <c r="E481" s="231" t="s">
        <v>2837</v>
      </c>
      <c r="F481" s="231" t="s">
        <v>2838</v>
      </c>
      <c r="G481" s="237"/>
      <c r="H481" s="227"/>
      <c r="I481" s="252" t="s">
        <v>3729</v>
      </c>
    </row>
    <row r="482">
      <c r="A482" s="231" t="s">
        <v>3705</v>
      </c>
      <c r="C482" s="231" t="s">
        <v>3731</v>
      </c>
      <c r="D482" s="231" t="s">
        <v>3127</v>
      </c>
      <c r="E482" s="231" t="s">
        <v>2837</v>
      </c>
      <c r="F482" s="231" t="s">
        <v>2838</v>
      </c>
      <c r="G482" s="237"/>
      <c r="H482" s="227"/>
      <c r="I482" s="252" t="s">
        <v>3732</v>
      </c>
    </row>
    <row r="483">
      <c r="A483" s="231" t="s">
        <v>3705</v>
      </c>
      <c r="C483" s="231" t="s">
        <v>3733</v>
      </c>
      <c r="D483" s="231" t="s">
        <v>3734</v>
      </c>
      <c r="E483" s="231" t="s">
        <v>2837</v>
      </c>
      <c r="F483" s="231" t="s">
        <v>2838</v>
      </c>
      <c r="G483" s="237"/>
      <c r="H483" s="227"/>
      <c r="I483" s="252" t="s">
        <v>3735</v>
      </c>
    </row>
    <row r="484">
      <c r="A484" s="231" t="s">
        <v>3705</v>
      </c>
      <c r="C484" s="231" t="s">
        <v>3736</v>
      </c>
      <c r="D484" s="231" t="s">
        <v>3738</v>
      </c>
      <c r="E484" s="231" t="s">
        <v>2837</v>
      </c>
      <c r="F484" s="231" t="s">
        <v>2838</v>
      </c>
      <c r="G484" s="237"/>
      <c r="H484" s="227"/>
      <c r="I484" s="252" t="s">
        <v>3739</v>
      </c>
    </row>
    <row r="485">
      <c r="A485" s="231" t="s">
        <v>3705</v>
      </c>
      <c r="C485" s="231" t="s">
        <v>3740</v>
      </c>
      <c r="D485" s="231" t="s">
        <v>1750</v>
      </c>
      <c r="E485" s="231" t="s">
        <v>2837</v>
      </c>
      <c r="F485" s="231" t="s">
        <v>2838</v>
      </c>
      <c r="G485" s="237"/>
      <c r="H485" s="227"/>
      <c r="I485" s="252" t="s">
        <v>3741</v>
      </c>
    </row>
    <row r="486">
      <c r="A486" s="231" t="s">
        <v>3705</v>
      </c>
      <c r="C486" s="231" t="s">
        <v>3742</v>
      </c>
      <c r="D486" s="231" t="s">
        <v>3743</v>
      </c>
      <c r="E486" s="231" t="s">
        <v>2837</v>
      </c>
      <c r="F486" s="231" t="s">
        <v>2838</v>
      </c>
      <c r="G486" s="237"/>
      <c r="H486" s="237"/>
      <c r="I486" s="257" t="s">
        <v>3745</v>
      </c>
    </row>
    <row r="487">
      <c r="A487" s="231" t="s">
        <v>3746</v>
      </c>
      <c r="B487" s="231" t="s">
        <v>3747</v>
      </c>
      <c r="C487" s="238" t="s">
        <v>3748</v>
      </c>
      <c r="D487" s="238" t="s">
        <v>1957</v>
      </c>
      <c r="E487" s="238" t="s">
        <v>2837</v>
      </c>
      <c r="F487" s="231" t="s">
        <v>2838</v>
      </c>
      <c r="G487" s="237"/>
      <c r="H487" s="227"/>
      <c r="I487" s="252" t="s">
        <v>3750</v>
      </c>
    </row>
    <row r="488">
      <c r="A488" s="231" t="s">
        <v>3746</v>
      </c>
      <c r="C488" s="238" t="s">
        <v>3751</v>
      </c>
      <c r="D488" s="238" t="s">
        <v>1005</v>
      </c>
      <c r="E488" s="238" t="s">
        <v>2837</v>
      </c>
      <c r="F488" s="231" t="s">
        <v>2838</v>
      </c>
      <c r="G488" s="237"/>
      <c r="H488" s="227"/>
      <c r="I488" s="252" t="s">
        <v>3752</v>
      </c>
    </row>
    <row r="489">
      <c r="A489" s="231" t="s">
        <v>3746</v>
      </c>
      <c r="C489" s="238" t="s">
        <v>3753</v>
      </c>
      <c r="D489" s="238" t="s">
        <v>1236</v>
      </c>
      <c r="E489" s="238" t="s">
        <v>2837</v>
      </c>
      <c r="F489" s="231" t="s">
        <v>2838</v>
      </c>
      <c r="G489" s="237"/>
      <c r="H489" s="227"/>
      <c r="I489" s="252" t="s">
        <v>3754</v>
      </c>
    </row>
    <row r="490">
      <c r="A490" s="231" t="s">
        <v>3746</v>
      </c>
      <c r="C490" s="231" t="s">
        <v>3755</v>
      </c>
      <c r="D490" s="231" t="s">
        <v>3756</v>
      </c>
      <c r="E490" s="231" t="s">
        <v>2837</v>
      </c>
      <c r="F490" s="231" t="s">
        <v>2838</v>
      </c>
      <c r="G490" s="237"/>
      <c r="H490" s="237"/>
      <c r="I490" s="252" t="s">
        <v>3757</v>
      </c>
    </row>
    <row r="491">
      <c r="A491" s="231" t="s">
        <v>3746</v>
      </c>
      <c r="C491" s="231" t="s">
        <v>3758</v>
      </c>
      <c r="D491" s="231" t="s">
        <v>3759</v>
      </c>
      <c r="E491" s="231" t="s">
        <v>2837</v>
      </c>
      <c r="F491" s="231" t="s">
        <v>2838</v>
      </c>
      <c r="G491" s="237"/>
      <c r="H491" s="227"/>
      <c r="I491" s="257" t="s">
        <v>3760</v>
      </c>
    </row>
    <row r="492">
      <c r="A492" s="231" t="s">
        <v>3746</v>
      </c>
      <c r="C492" s="231" t="s">
        <v>3761</v>
      </c>
      <c r="D492" s="231" t="s">
        <v>1426</v>
      </c>
      <c r="E492" s="231" t="s">
        <v>2837</v>
      </c>
      <c r="F492" s="231" t="s">
        <v>2838</v>
      </c>
      <c r="G492" s="237"/>
      <c r="H492" s="227"/>
      <c r="I492" s="257" t="s">
        <v>3762</v>
      </c>
    </row>
    <row r="493">
      <c r="A493" s="231" t="s">
        <v>3746</v>
      </c>
      <c r="C493" s="238" t="s">
        <v>3763</v>
      </c>
      <c r="D493" s="238" t="s">
        <v>3764</v>
      </c>
      <c r="E493" s="238" t="s">
        <v>2837</v>
      </c>
      <c r="F493" s="231" t="s">
        <v>2838</v>
      </c>
      <c r="G493" s="237"/>
      <c r="H493" s="227"/>
      <c r="I493" s="252" t="s">
        <v>3765</v>
      </c>
    </row>
    <row r="494">
      <c r="A494" s="231" t="s">
        <v>3746</v>
      </c>
      <c r="C494" s="231" t="s">
        <v>3766</v>
      </c>
      <c r="D494" s="231" t="s">
        <v>3767</v>
      </c>
      <c r="E494" s="231" t="s">
        <v>2837</v>
      </c>
      <c r="F494" s="231" t="s">
        <v>2838</v>
      </c>
      <c r="G494" s="237"/>
      <c r="H494" s="227"/>
      <c r="I494" s="252" t="s">
        <v>3768</v>
      </c>
    </row>
    <row r="495">
      <c r="A495" s="231" t="s">
        <v>3746</v>
      </c>
      <c r="C495" s="231" t="s">
        <v>3769</v>
      </c>
      <c r="D495" s="231" t="s">
        <v>3770</v>
      </c>
      <c r="E495" s="231" t="s">
        <v>2837</v>
      </c>
      <c r="F495" s="231" t="s">
        <v>2838</v>
      </c>
      <c r="G495" s="237"/>
      <c r="H495" s="227"/>
      <c r="I495" s="252" t="s">
        <v>3771</v>
      </c>
    </row>
    <row r="496">
      <c r="A496" s="231" t="s">
        <v>3746</v>
      </c>
      <c r="C496" s="231" t="s">
        <v>3772</v>
      </c>
      <c r="D496" s="231" t="s">
        <v>3773</v>
      </c>
      <c r="E496" s="231" t="s">
        <v>2837</v>
      </c>
      <c r="F496" s="231" t="s">
        <v>2838</v>
      </c>
      <c r="G496" s="237"/>
      <c r="H496" s="227"/>
      <c r="I496" s="252" t="s">
        <v>3775</v>
      </c>
    </row>
    <row r="497">
      <c r="A497" s="231" t="s">
        <v>3746</v>
      </c>
      <c r="C497" s="231" t="s">
        <v>3776</v>
      </c>
      <c r="D497" s="231" t="s">
        <v>3178</v>
      </c>
      <c r="E497" s="231" t="s">
        <v>2837</v>
      </c>
      <c r="F497" s="231" t="s">
        <v>2838</v>
      </c>
      <c r="G497" s="237"/>
      <c r="H497" s="227"/>
      <c r="I497" s="252" t="s">
        <v>3777</v>
      </c>
    </row>
    <row r="498">
      <c r="A498" s="231" t="s">
        <v>3746</v>
      </c>
      <c r="C498" s="231" t="s">
        <v>3778</v>
      </c>
      <c r="D498" s="231" t="s">
        <v>3779</v>
      </c>
      <c r="E498" s="231" t="s">
        <v>2837</v>
      </c>
      <c r="F498" s="231" t="s">
        <v>2838</v>
      </c>
      <c r="G498" s="237"/>
      <c r="H498" s="227"/>
      <c r="I498" s="252" t="s">
        <v>3780</v>
      </c>
    </row>
    <row r="499">
      <c r="A499" s="231" t="s">
        <v>3746</v>
      </c>
      <c r="C499" s="231" t="s">
        <v>3781</v>
      </c>
      <c r="D499" s="231" t="s">
        <v>3782</v>
      </c>
      <c r="E499" s="231" t="s">
        <v>2837</v>
      </c>
      <c r="F499" s="231" t="s">
        <v>2838</v>
      </c>
      <c r="G499" s="237"/>
      <c r="H499" s="227"/>
      <c r="I499" s="252" t="s">
        <v>3783</v>
      </c>
    </row>
    <row r="500">
      <c r="A500" s="231" t="s">
        <v>3746</v>
      </c>
      <c r="C500" s="231" t="s">
        <v>3784</v>
      </c>
      <c r="D500" s="231" t="s">
        <v>2369</v>
      </c>
      <c r="E500" s="231" t="s">
        <v>2837</v>
      </c>
      <c r="F500" s="231" t="s">
        <v>2838</v>
      </c>
      <c r="G500" s="237"/>
      <c r="H500" s="227"/>
      <c r="I500" s="252" t="s">
        <v>3785</v>
      </c>
    </row>
    <row r="501">
      <c r="A501" s="231" t="s">
        <v>3746</v>
      </c>
      <c r="C501" s="231" t="s">
        <v>3786</v>
      </c>
      <c r="D501" s="231" t="s">
        <v>3787</v>
      </c>
      <c r="E501" s="231" t="s">
        <v>2837</v>
      </c>
      <c r="F501" s="231" t="s">
        <v>2838</v>
      </c>
      <c r="G501" s="237"/>
      <c r="H501" s="227"/>
      <c r="I501" s="252" t="s">
        <v>3788</v>
      </c>
    </row>
    <row r="502">
      <c r="A502" s="231" t="s">
        <v>3746</v>
      </c>
      <c r="C502" s="231" t="s">
        <v>3789</v>
      </c>
      <c r="D502" s="231" t="s">
        <v>3008</v>
      </c>
      <c r="E502" s="231" t="s">
        <v>2837</v>
      </c>
      <c r="F502" s="231" t="s">
        <v>2838</v>
      </c>
      <c r="G502" s="237"/>
      <c r="H502" s="227"/>
      <c r="I502" s="252" t="s">
        <v>3790</v>
      </c>
    </row>
    <row r="503">
      <c r="A503" s="231" t="s">
        <v>3746</v>
      </c>
      <c r="C503" s="231" t="s">
        <v>3791</v>
      </c>
      <c r="D503" s="231" t="s">
        <v>1345</v>
      </c>
      <c r="E503" s="231" t="s">
        <v>2837</v>
      </c>
      <c r="F503" s="231" t="s">
        <v>2838</v>
      </c>
      <c r="G503" s="237"/>
      <c r="H503" s="227"/>
      <c r="I503" s="252" t="s">
        <v>3792</v>
      </c>
    </row>
    <row r="504">
      <c r="A504" s="231" t="s">
        <v>3793</v>
      </c>
      <c r="B504" s="231" t="s">
        <v>108</v>
      </c>
      <c r="C504" s="231" t="s">
        <v>3794</v>
      </c>
      <c r="D504" s="231" t="s">
        <v>490</v>
      </c>
      <c r="E504" s="231" t="s">
        <v>3166</v>
      </c>
      <c r="F504" s="231" t="s">
        <v>2838</v>
      </c>
      <c r="G504" s="237"/>
      <c r="H504" s="227"/>
      <c r="I504" s="236" t="s">
        <v>3795</v>
      </c>
    </row>
    <row r="505">
      <c r="A505" s="231" t="s">
        <v>3793</v>
      </c>
      <c r="C505" s="231" t="s">
        <v>3796</v>
      </c>
      <c r="D505" s="231" t="s">
        <v>3797</v>
      </c>
      <c r="E505" s="231" t="s">
        <v>3166</v>
      </c>
      <c r="F505" s="231" t="s">
        <v>2838</v>
      </c>
      <c r="G505" s="237"/>
      <c r="H505" s="227"/>
    </row>
    <row r="506">
      <c r="A506" s="238" t="s">
        <v>3793</v>
      </c>
      <c r="C506" s="238" t="s">
        <v>3798</v>
      </c>
      <c r="D506" s="238" t="s">
        <v>2813</v>
      </c>
      <c r="E506" s="238" t="s">
        <v>3166</v>
      </c>
      <c r="F506" s="238" t="s">
        <v>2838</v>
      </c>
      <c r="G506" s="245"/>
      <c r="H506" s="227"/>
    </row>
    <row r="507">
      <c r="A507" s="231" t="s">
        <v>3793</v>
      </c>
      <c r="C507" s="231" t="s">
        <v>3800</v>
      </c>
      <c r="D507" s="231" t="s">
        <v>656</v>
      </c>
      <c r="E507" s="231" t="s">
        <v>3166</v>
      </c>
      <c r="F507" s="231" t="s">
        <v>2838</v>
      </c>
      <c r="G507" s="237"/>
      <c r="H507" s="227"/>
    </row>
    <row r="508">
      <c r="A508" s="227"/>
      <c r="B508" s="227"/>
      <c r="C508" s="227"/>
      <c r="D508" s="227"/>
      <c r="E508" s="227"/>
      <c r="F508" s="227"/>
      <c r="G508" s="227"/>
      <c r="H508" s="227"/>
      <c r="I508" s="227"/>
    </row>
    <row r="509">
      <c r="A509" s="230" t="s">
        <v>103</v>
      </c>
    </row>
    <row r="510">
      <c r="A510" s="231" t="s">
        <v>3802</v>
      </c>
      <c r="B510" s="231" t="s">
        <v>103</v>
      </c>
      <c r="C510" s="231" t="s">
        <v>3803</v>
      </c>
      <c r="D510" s="231" t="s">
        <v>648</v>
      </c>
      <c r="E510" s="231" t="s">
        <v>2837</v>
      </c>
      <c r="F510" s="231" t="s">
        <v>2838</v>
      </c>
      <c r="G510" s="237"/>
      <c r="H510" s="227"/>
      <c r="I510" s="256" t="s">
        <v>3805</v>
      </c>
    </row>
    <row r="511">
      <c r="A511" s="231" t="s">
        <v>3802</v>
      </c>
      <c r="C511" s="231" t="s">
        <v>3806</v>
      </c>
      <c r="D511" s="231" t="s">
        <v>433</v>
      </c>
      <c r="E511" s="231" t="s">
        <v>2837</v>
      </c>
      <c r="F511" s="231" t="s">
        <v>2838</v>
      </c>
      <c r="G511" s="237"/>
      <c r="H511" s="227"/>
    </row>
    <row r="512">
      <c r="A512" s="231" t="s">
        <v>3802</v>
      </c>
      <c r="C512" s="231" t="s">
        <v>3807</v>
      </c>
      <c r="D512" s="238" t="s">
        <v>3808</v>
      </c>
      <c r="E512" s="231" t="s">
        <v>2837</v>
      </c>
      <c r="F512" s="231" t="s">
        <v>2838</v>
      </c>
      <c r="G512" s="237"/>
      <c r="H512" s="227"/>
    </row>
    <row r="513">
      <c r="A513" s="231" t="s">
        <v>3802</v>
      </c>
      <c r="C513" s="231" t="s">
        <v>3810</v>
      </c>
      <c r="D513" s="231" t="s">
        <v>588</v>
      </c>
      <c r="E513" s="231" t="s">
        <v>2837</v>
      </c>
      <c r="F513" s="231" t="s">
        <v>2838</v>
      </c>
      <c r="G513" s="237"/>
      <c r="H513" s="227"/>
    </row>
    <row r="514">
      <c r="A514" s="231" t="s">
        <v>3802</v>
      </c>
      <c r="C514" s="231" t="s">
        <v>3811</v>
      </c>
      <c r="D514" s="231" t="s">
        <v>3812</v>
      </c>
      <c r="E514" s="231" t="s">
        <v>2837</v>
      </c>
      <c r="F514" s="231" t="s">
        <v>2838</v>
      </c>
      <c r="G514" s="237"/>
      <c r="H514" s="227"/>
    </row>
    <row r="515">
      <c r="A515" s="231" t="s">
        <v>3802</v>
      </c>
      <c r="C515" s="238" t="s">
        <v>3815</v>
      </c>
      <c r="D515" s="238" t="s">
        <v>3816</v>
      </c>
      <c r="E515" s="231" t="s">
        <v>929</v>
      </c>
      <c r="F515" s="231" t="s">
        <v>2838</v>
      </c>
      <c r="G515" s="237"/>
      <c r="H515" s="227"/>
    </row>
    <row r="516">
      <c r="A516" s="231" t="s">
        <v>3802</v>
      </c>
      <c r="C516" s="231" t="s">
        <v>3817</v>
      </c>
      <c r="D516" s="231" t="s">
        <v>3254</v>
      </c>
      <c r="E516" s="231" t="s">
        <v>2837</v>
      </c>
      <c r="F516" s="231" t="s">
        <v>2838</v>
      </c>
      <c r="G516" s="237"/>
      <c r="H516" s="227"/>
    </row>
    <row r="517">
      <c r="A517" s="227"/>
      <c r="B517" s="227"/>
      <c r="C517" s="227"/>
      <c r="D517" s="227"/>
      <c r="E517" s="227"/>
      <c r="F517" s="227"/>
      <c r="G517" s="227"/>
      <c r="H517" s="227"/>
      <c r="I517" s="227"/>
    </row>
    <row r="518">
      <c r="A518" s="230" t="s">
        <v>126</v>
      </c>
    </row>
    <row r="519">
      <c r="A519" s="231" t="s">
        <v>3818</v>
      </c>
      <c r="B519" s="231" t="s">
        <v>3819</v>
      </c>
      <c r="C519" s="231" t="s">
        <v>3820</v>
      </c>
      <c r="D519" s="231" t="s">
        <v>3821</v>
      </c>
      <c r="E519" s="231" t="s">
        <v>2837</v>
      </c>
      <c r="F519" s="231" t="s">
        <v>2838</v>
      </c>
      <c r="G519" s="237"/>
      <c r="H519" s="227"/>
      <c r="I519" s="227"/>
    </row>
    <row r="520">
      <c r="A520" s="231" t="s">
        <v>3818</v>
      </c>
      <c r="C520" s="231" t="s">
        <v>3822</v>
      </c>
      <c r="D520" s="231" t="s">
        <v>1665</v>
      </c>
      <c r="E520" s="231" t="s">
        <v>2837</v>
      </c>
      <c r="F520" s="231" t="s">
        <v>2838</v>
      </c>
      <c r="G520" s="237"/>
      <c r="H520" s="227"/>
      <c r="I520" s="227"/>
    </row>
    <row r="521">
      <c r="A521" s="231" t="s">
        <v>3818</v>
      </c>
      <c r="C521" s="231" t="s">
        <v>3823</v>
      </c>
      <c r="D521" s="231" t="s">
        <v>3824</v>
      </c>
      <c r="E521" s="231" t="s">
        <v>2837</v>
      </c>
      <c r="F521" s="231" t="s">
        <v>2838</v>
      </c>
      <c r="G521" s="237"/>
      <c r="H521" s="227"/>
      <c r="I521" s="227"/>
    </row>
    <row r="522">
      <c r="A522" s="231" t="s">
        <v>3818</v>
      </c>
      <c r="C522" s="231" t="s">
        <v>3825</v>
      </c>
      <c r="D522" s="231" t="s">
        <v>3826</v>
      </c>
      <c r="E522" s="231" t="s">
        <v>2837</v>
      </c>
      <c r="F522" s="231" t="s">
        <v>2838</v>
      </c>
      <c r="G522" s="237"/>
      <c r="H522" s="227"/>
      <c r="I522" s="227"/>
    </row>
    <row r="523">
      <c r="A523" s="231" t="s">
        <v>3818</v>
      </c>
      <c r="B523" s="231" t="s">
        <v>3828</v>
      </c>
      <c r="C523" s="231" t="s">
        <v>3829</v>
      </c>
      <c r="D523" s="231" t="s">
        <v>3830</v>
      </c>
      <c r="E523" s="231" t="s">
        <v>2837</v>
      </c>
      <c r="F523" s="231" t="s">
        <v>2838</v>
      </c>
      <c r="G523" s="227"/>
      <c r="H523" s="227"/>
      <c r="I523" s="227"/>
    </row>
    <row r="524">
      <c r="A524" s="231" t="s">
        <v>3818</v>
      </c>
      <c r="C524" s="231" t="s">
        <v>3832</v>
      </c>
      <c r="D524" s="231" t="s">
        <v>3833</v>
      </c>
      <c r="E524" s="231" t="s">
        <v>2837</v>
      </c>
      <c r="F524" s="231" t="s">
        <v>2838</v>
      </c>
      <c r="G524" s="227"/>
      <c r="H524" s="227"/>
      <c r="I524" s="227"/>
    </row>
    <row r="525">
      <c r="A525" s="231" t="s">
        <v>3818</v>
      </c>
      <c r="C525" s="231" t="s">
        <v>3834</v>
      </c>
      <c r="D525" s="231" t="s">
        <v>3835</v>
      </c>
      <c r="E525" s="231" t="s">
        <v>2837</v>
      </c>
      <c r="F525" s="231" t="s">
        <v>2838</v>
      </c>
      <c r="G525" s="227"/>
      <c r="H525" s="227"/>
      <c r="I525" s="227"/>
    </row>
    <row r="526">
      <c r="A526" s="231" t="s">
        <v>3818</v>
      </c>
      <c r="C526" s="231" t="s">
        <v>3836</v>
      </c>
      <c r="D526" s="231" t="s">
        <v>3837</v>
      </c>
      <c r="E526" s="231" t="s">
        <v>2837</v>
      </c>
      <c r="F526" s="231" t="s">
        <v>2838</v>
      </c>
      <c r="G526" s="227"/>
      <c r="H526" s="227"/>
      <c r="I526" s="227"/>
    </row>
    <row r="527">
      <c r="A527" s="231" t="s">
        <v>3818</v>
      </c>
      <c r="C527" s="231" t="s">
        <v>3838</v>
      </c>
      <c r="D527" s="238" t="s">
        <v>2712</v>
      </c>
      <c r="E527" s="231" t="s">
        <v>2837</v>
      </c>
      <c r="F527" s="231" t="s">
        <v>2838</v>
      </c>
      <c r="G527" s="227"/>
      <c r="H527" s="227"/>
      <c r="I527" s="227"/>
    </row>
    <row r="528">
      <c r="A528" s="232" t="s">
        <v>3818</v>
      </c>
      <c r="C528" s="232" t="s">
        <v>3839</v>
      </c>
      <c r="D528" s="232" t="s">
        <v>3840</v>
      </c>
      <c r="E528" s="232" t="s">
        <v>2837</v>
      </c>
      <c r="F528" s="232" t="s">
        <v>2838</v>
      </c>
      <c r="G528" s="234"/>
      <c r="H528" s="234"/>
      <c r="I528" s="234"/>
    </row>
    <row r="529">
      <c r="A529" s="232" t="s">
        <v>3818</v>
      </c>
      <c r="C529" s="232" t="s">
        <v>3841</v>
      </c>
      <c r="D529" s="233" t="s">
        <v>3842</v>
      </c>
      <c r="E529" s="232" t="s">
        <v>2837</v>
      </c>
      <c r="F529" s="232" t="s">
        <v>2838</v>
      </c>
      <c r="G529" s="234"/>
      <c r="H529" s="234"/>
      <c r="I529" s="234"/>
    </row>
    <row r="530">
      <c r="A530" s="231" t="s">
        <v>3818</v>
      </c>
      <c r="C530" s="231" t="s">
        <v>3843</v>
      </c>
      <c r="D530" s="231" t="s">
        <v>3844</v>
      </c>
      <c r="E530" s="231" t="s">
        <v>2837</v>
      </c>
      <c r="F530" s="231" t="s">
        <v>2838</v>
      </c>
      <c r="G530" s="227"/>
      <c r="H530" s="227"/>
      <c r="I530" s="227"/>
    </row>
    <row r="531">
      <c r="A531" s="231" t="s">
        <v>3818</v>
      </c>
      <c r="C531" s="231" t="s">
        <v>3845</v>
      </c>
      <c r="D531" s="231" t="s">
        <v>3846</v>
      </c>
      <c r="E531" s="231" t="s">
        <v>2837</v>
      </c>
      <c r="F531" s="231" t="s">
        <v>2838</v>
      </c>
      <c r="G531" s="227"/>
      <c r="H531" s="227"/>
      <c r="I531" s="227"/>
    </row>
    <row r="532">
      <c r="A532" s="231" t="s">
        <v>3818</v>
      </c>
      <c r="C532" s="231" t="s">
        <v>3847</v>
      </c>
      <c r="D532" s="231" t="s">
        <v>3848</v>
      </c>
      <c r="E532" s="231" t="s">
        <v>2837</v>
      </c>
      <c r="F532" s="227"/>
      <c r="G532" s="227"/>
      <c r="H532" s="227"/>
      <c r="I532" s="227"/>
    </row>
    <row r="533">
      <c r="A533" s="231" t="s">
        <v>3818</v>
      </c>
      <c r="C533" s="231" t="s">
        <v>3849</v>
      </c>
      <c r="D533" s="231" t="s">
        <v>3850</v>
      </c>
      <c r="E533" s="231" t="s">
        <v>2837</v>
      </c>
      <c r="F533" s="227"/>
      <c r="G533" s="227"/>
      <c r="H533" s="227"/>
      <c r="I533" s="227"/>
    </row>
    <row r="534">
      <c r="A534" s="231" t="s">
        <v>3818</v>
      </c>
      <c r="C534" s="231" t="s">
        <v>3851</v>
      </c>
      <c r="D534" s="231" t="s">
        <v>3852</v>
      </c>
      <c r="E534" s="231" t="s">
        <v>2837</v>
      </c>
      <c r="F534" s="227"/>
      <c r="G534" s="227"/>
      <c r="H534" s="227"/>
      <c r="I534" s="227"/>
    </row>
    <row r="535">
      <c r="A535" s="231" t="s">
        <v>3818</v>
      </c>
      <c r="B535" s="231" t="s">
        <v>3853</v>
      </c>
      <c r="C535" s="231" t="s">
        <v>3854</v>
      </c>
      <c r="D535" s="238" t="s">
        <v>3855</v>
      </c>
      <c r="E535" s="231" t="s">
        <v>2837</v>
      </c>
      <c r="F535" s="231" t="s">
        <v>2838</v>
      </c>
      <c r="G535" s="227"/>
      <c r="H535" s="227"/>
      <c r="I535" s="227"/>
    </row>
    <row r="536">
      <c r="A536" s="231" t="s">
        <v>3818</v>
      </c>
      <c r="C536" s="231" t="s">
        <v>3856</v>
      </c>
      <c r="D536" s="238" t="s">
        <v>3857</v>
      </c>
      <c r="E536" s="231" t="s">
        <v>2837</v>
      </c>
      <c r="F536" s="231" t="s">
        <v>2838</v>
      </c>
      <c r="G536" s="227"/>
      <c r="H536" s="227"/>
      <c r="I536" s="227"/>
    </row>
    <row r="537">
      <c r="A537" s="231" t="s">
        <v>3818</v>
      </c>
      <c r="C537" s="231" t="s">
        <v>3858</v>
      </c>
      <c r="D537" s="238" t="s">
        <v>3859</v>
      </c>
      <c r="E537" s="231" t="s">
        <v>2837</v>
      </c>
      <c r="F537" s="231" t="s">
        <v>2838</v>
      </c>
      <c r="G537" s="227"/>
      <c r="H537" s="227"/>
      <c r="I537" s="227"/>
    </row>
    <row r="538">
      <c r="A538" s="231" t="s">
        <v>3818</v>
      </c>
      <c r="C538" s="231" t="s">
        <v>3860</v>
      </c>
      <c r="D538" s="238" t="s">
        <v>3861</v>
      </c>
      <c r="E538" s="231" t="s">
        <v>2837</v>
      </c>
      <c r="F538" s="227"/>
      <c r="G538" s="227"/>
      <c r="H538" s="227"/>
      <c r="I538" s="227"/>
    </row>
    <row r="539">
      <c r="A539" s="231" t="s">
        <v>3818</v>
      </c>
      <c r="C539" s="231" t="s">
        <v>3862</v>
      </c>
      <c r="D539" s="231" t="s">
        <v>3863</v>
      </c>
      <c r="E539" s="231" t="s">
        <v>2837</v>
      </c>
      <c r="F539" s="231" t="s">
        <v>2838</v>
      </c>
      <c r="G539" s="227"/>
      <c r="H539" s="227"/>
      <c r="I539" s="227"/>
    </row>
    <row r="540">
      <c r="A540" s="231" t="s">
        <v>3818</v>
      </c>
      <c r="B540" s="231" t="s">
        <v>3864</v>
      </c>
      <c r="C540" s="231" t="s">
        <v>3865</v>
      </c>
      <c r="D540" s="238" t="s">
        <v>3866</v>
      </c>
      <c r="E540" s="231" t="s">
        <v>2837</v>
      </c>
      <c r="F540" s="231" t="s">
        <v>2838</v>
      </c>
      <c r="G540" s="227"/>
      <c r="H540" s="227"/>
      <c r="I540" s="227"/>
    </row>
    <row r="541">
      <c r="A541" s="231" t="s">
        <v>3818</v>
      </c>
      <c r="C541" s="231" t="s">
        <v>3868</v>
      </c>
      <c r="D541" s="238" t="s">
        <v>3869</v>
      </c>
      <c r="E541" s="231" t="s">
        <v>2837</v>
      </c>
      <c r="F541" s="231" t="s">
        <v>2838</v>
      </c>
      <c r="G541" s="227"/>
      <c r="H541" s="227"/>
      <c r="I541" s="227"/>
    </row>
    <row r="542">
      <c r="A542" s="231" t="s">
        <v>3818</v>
      </c>
      <c r="C542" s="231" t="s">
        <v>3870</v>
      </c>
      <c r="D542" s="238" t="s">
        <v>774</v>
      </c>
      <c r="E542" s="231" t="s">
        <v>2837</v>
      </c>
      <c r="F542" s="231" t="s">
        <v>2838</v>
      </c>
      <c r="G542" s="227"/>
      <c r="H542" s="227"/>
      <c r="I542" s="227"/>
    </row>
    <row r="543">
      <c r="A543" s="231" t="s">
        <v>3818</v>
      </c>
      <c r="B543" s="231" t="s">
        <v>3872</v>
      </c>
      <c r="C543" s="231" t="s">
        <v>3873</v>
      </c>
      <c r="D543" s="238" t="s">
        <v>886</v>
      </c>
      <c r="E543" s="231" t="s">
        <v>2837</v>
      </c>
      <c r="F543" s="231" t="s">
        <v>2838</v>
      </c>
      <c r="G543" s="227"/>
      <c r="H543" s="227"/>
      <c r="I543" s="227"/>
    </row>
    <row r="544">
      <c r="A544" s="232" t="s">
        <v>3818</v>
      </c>
      <c r="C544" s="232" t="s">
        <v>3875</v>
      </c>
      <c r="D544" s="233" t="s">
        <v>3876</v>
      </c>
      <c r="E544" s="232" t="s">
        <v>2837</v>
      </c>
      <c r="F544" s="232" t="s">
        <v>2838</v>
      </c>
      <c r="G544" s="234"/>
      <c r="H544" s="234"/>
      <c r="I544" s="234"/>
    </row>
    <row r="545">
      <c r="A545" s="232" t="s">
        <v>3818</v>
      </c>
      <c r="C545" s="232" t="s">
        <v>3877</v>
      </c>
      <c r="D545" s="233" t="s">
        <v>3878</v>
      </c>
      <c r="E545" s="232" t="s">
        <v>2837</v>
      </c>
      <c r="F545" s="232" t="s">
        <v>2838</v>
      </c>
      <c r="G545" s="234"/>
      <c r="H545" s="234"/>
      <c r="I545" s="234"/>
    </row>
    <row r="546">
      <c r="A546" s="231" t="s">
        <v>3818</v>
      </c>
      <c r="C546" s="231" t="s">
        <v>3879</v>
      </c>
      <c r="D546" s="238" t="s">
        <v>3880</v>
      </c>
      <c r="E546" s="231" t="s">
        <v>2837</v>
      </c>
      <c r="F546" s="231" t="s">
        <v>2838</v>
      </c>
      <c r="G546" s="227"/>
      <c r="H546" s="227"/>
      <c r="I546" s="227"/>
    </row>
    <row r="547">
      <c r="A547" s="231" t="s">
        <v>3818</v>
      </c>
      <c r="C547" s="231" t="s">
        <v>3881</v>
      </c>
      <c r="D547" s="231" t="s">
        <v>3882</v>
      </c>
      <c r="E547" s="231" t="s">
        <v>2837</v>
      </c>
      <c r="F547" s="231" t="s">
        <v>2838</v>
      </c>
      <c r="G547" s="227"/>
      <c r="H547" s="227"/>
      <c r="I547" s="227"/>
    </row>
    <row r="548">
      <c r="A548" s="231" t="s">
        <v>3818</v>
      </c>
      <c r="C548" s="231" t="s">
        <v>3884</v>
      </c>
      <c r="D548" s="231" t="s">
        <v>3885</v>
      </c>
      <c r="E548" s="231" t="s">
        <v>2837</v>
      </c>
      <c r="F548" s="227"/>
      <c r="G548" s="227"/>
      <c r="H548" s="227"/>
      <c r="I548" s="227"/>
    </row>
    <row r="549">
      <c r="A549" s="238" t="s">
        <v>3818</v>
      </c>
      <c r="C549" s="231" t="s">
        <v>3886</v>
      </c>
      <c r="D549" s="238" t="s">
        <v>3887</v>
      </c>
      <c r="E549" s="238" t="s">
        <v>2837</v>
      </c>
      <c r="F549" s="231" t="s">
        <v>2838</v>
      </c>
      <c r="G549" s="227"/>
      <c r="H549" s="227"/>
      <c r="I549" s="227"/>
    </row>
    <row r="550">
      <c r="A550" s="227"/>
      <c r="B550" s="227"/>
      <c r="C550" s="227"/>
      <c r="D550" s="227"/>
      <c r="E550" s="227"/>
      <c r="F550" s="227"/>
      <c r="G550" s="227"/>
      <c r="H550" s="227"/>
      <c r="I550" s="227"/>
    </row>
    <row r="551">
      <c r="A551" s="230" t="s">
        <v>3888</v>
      </c>
    </row>
    <row r="552">
      <c r="A552" s="231" t="s">
        <v>3888</v>
      </c>
      <c r="B552" s="231" t="s">
        <v>122</v>
      </c>
      <c r="C552" s="231" t="s">
        <v>3890</v>
      </c>
      <c r="D552" s="231" t="s">
        <v>3891</v>
      </c>
      <c r="E552" s="231" t="s">
        <v>2837</v>
      </c>
      <c r="F552" s="231" t="s">
        <v>2838</v>
      </c>
      <c r="G552" s="227"/>
      <c r="H552" s="227"/>
      <c r="I552" s="227"/>
    </row>
    <row r="553">
      <c r="A553" s="231" t="s">
        <v>3888</v>
      </c>
      <c r="C553" s="231" t="s">
        <v>3892</v>
      </c>
      <c r="D553" s="231" t="s">
        <v>3893</v>
      </c>
      <c r="E553" s="231" t="s">
        <v>2837</v>
      </c>
      <c r="F553" s="231" t="s">
        <v>2838</v>
      </c>
      <c r="G553" s="227"/>
      <c r="H553" s="227"/>
      <c r="I553" s="227"/>
    </row>
    <row r="554">
      <c r="A554" s="231" t="s">
        <v>3888</v>
      </c>
      <c r="C554" s="231" t="s">
        <v>3896</v>
      </c>
      <c r="D554" s="231" t="s">
        <v>1238</v>
      </c>
      <c r="E554" s="231" t="s">
        <v>2837</v>
      </c>
      <c r="F554" s="231" t="s">
        <v>2838</v>
      </c>
      <c r="G554" s="227"/>
      <c r="H554" s="227"/>
      <c r="I554" s="227"/>
    </row>
    <row r="555">
      <c r="A555" s="231" t="s">
        <v>3888</v>
      </c>
      <c r="C555" s="231" t="s">
        <v>3898</v>
      </c>
      <c r="D555" s="231" t="s">
        <v>3899</v>
      </c>
      <c r="E555" s="231" t="s">
        <v>2837</v>
      </c>
      <c r="F555" s="231" t="s">
        <v>2838</v>
      </c>
      <c r="G555" s="227"/>
      <c r="H555" s="227"/>
      <c r="I555" s="227"/>
    </row>
    <row r="556">
      <c r="A556" s="231" t="s">
        <v>3888</v>
      </c>
      <c r="C556" s="231" t="s">
        <v>3900</v>
      </c>
      <c r="D556" s="238" t="s">
        <v>3901</v>
      </c>
      <c r="E556" s="231" t="s">
        <v>2837</v>
      </c>
      <c r="F556" s="231" t="s">
        <v>2838</v>
      </c>
      <c r="G556" s="227"/>
      <c r="H556" s="227"/>
      <c r="I556" s="227"/>
    </row>
    <row r="557">
      <c r="A557" s="231" t="s">
        <v>3888</v>
      </c>
      <c r="C557" s="231" t="s">
        <v>3902</v>
      </c>
      <c r="D557" s="238" t="s">
        <v>535</v>
      </c>
      <c r="E557" s="231" t="s">
        <v>2837</v>
      </c>
      <c r="F557" s="231" t="s">
        <v>2838</v>
      </c>
      <c r="G557" s="227"/>
      <c r="H557" s="227"/>
      <c r="I557" s="227"/>
    </row>
    <row r="558">
      <c r="A558" s="231" t="s">
        <v>3888</v>
      </c>
      <c r="C558" s="231" t="s">
        <v>3903</v>
      </c>
      <c r="D558" s="238" t="s">
        <v>1376</v>
      </c>
      <c r="E558" s="231" t="s">
        <v>2837</v>
      </c>
      <c r="F558" s="231" t="s">
        <v>2838</v>
      </c>
      <c r="G558" s="227"/>
      <c r="H558" s="227"/>
      <c r="I558" s="227"/>
    </row>
    <row r="559">
      <c r="A559" s="231" t="s">
        <v>3888</v>
      </c>
      <c r="C559" s="231" t="s">
        <v>3904</v>
      </c>
      <c r="D559" s="238" t="s">
        <v>3905</v>
      </c>
      <c r="E559" s="231" t="s">
        <v>2837</v>
      </c>
      <c r="F559" s="231" t="s">
        <v>2838</v>
      </c>
      <c r="G559" s="227"/>
      <c r="H559" s="227"/>
      <c r="I559" s="227"/>
    </row>
    <row r="560">
      <c r="A560" s="231" t="s">
        <v>3888</v>
      </c>
      <c r="C560" s="231" t="s">
        <v>3906</v>
      </c>
      <c r="D560" s="231" t="s">
        <v>993</v>
      </c>
      <c r="E560" s="231" t="s">
        <v>2837</v>
      </c>
      <c r="F560" s="231" t="s">
        <v>2838</v>
      </c>
      <c r="G560" s="227"/>
      <c r="H560" s="227"/>
      <c r="I560" s="227"/>
    </row>
    <row r="561">
      <c r="A561" s="231" t="s">
        <v>3888</v>
      </c>
      <c r="C561" s="231" t="s">
        <v>3907</v>
      </c>
      <c r="D561" s="231" t="s">
        <v>514</v>
      </c>
      <c r="E561" s="231" t="s">
        <v>2837</v>
      </c>
      <c r="F561" s="231" t="s">
        <v>2838</v>
      </c>
      <c r="G561" s="227"/>
      <c r="H561" s="227"/>
      <c r="I561" s="227"/>
    </row>
    <row r="562">
      <c r="A562" s="231" t="s">
        <v>3888</v>
      </c>
      <c r="C562" s="231" t="s">
        <v>3908</v>
      </c>
      <c r="D562" s="231" t="s">
        <v>3909</v>
      </c>
      <c r="E562" s="231" t="s">
        <v>2837</v>
      </c>
      <c r="F562" s="231" t="s">
        <v>2838</v>
      </c>
      <c r="G562" s="227"/>
      <c r="H562" s="227"/>
      <c r="I562" s="227"/>
    </row>
    <row r="563">
      <c r="A563" s="231" t="s">
        <v>3888</v>
      </c>
      <c r="C563" s="231" t="s">
        <v>3911</v>
      </c>
      <c r="D563" s="231" t="s">
        <v>737</v>
      </c>
      <c r="E563" s="231" t="s">
        <v>2837</v>
      </c>
      <c r="F563" s="231" t="s">
        <v>2838</v>
      </c>
      <c r="G563" s="227"/>
      <c r="H563" s="227"/>
      <c r="I563" s="227"/>
    </row>
    <row r="564">
      <c r="A564" s="231" t="s">
        <v>3888</v>
      </c>
      <c r="C564" s="231" t="s">
        <v>3912</v>
      </c>
      <c r="D564" s="231" t="s">
        <v>1820</v>
      </c>
      <c r="E564" s="231" t="s">
        <v>2837</v>
      </c>
      <c r="F564" s="231" t="s">
        <v>2838</v>
      </c>
      <c r="G564" s="227"/>
      <c r="H564" s="227"/>
      <c r="I564" s="227"/>
    </row>
    <row r="565">
      <c r="A565" s="231" t="s">
        <v>3888</v>
      </c>
      <c r="C565" s="231" t="s">
        <v>3913</v>
      </c>
      <c r="D565" s="231" t="s">
        <v>3914</v>
      </c>
      <c r="E565" s="231" t="s">
        <v>2837</v>
      </c>
      <c r="F565" s="231" t="s">
        <v>2838</v>
      </c>
      <c r="G565" s="227"/>
      <c r="H565" s="227"/>
      <c r="I565" s="227"/>
    </row>
    <row r="566">
      <c r="A566" s="231" t="s">
        <v>3888</v>
      </c>
      <c r="C566" s="231" t="s">
        <v>3915</v>
      </c>
      <c r="D566" s="231" t="s">
        <v>3916</v>
      </c>
      <c r="E566" s="231" t="s">
        <v>591</v>
      </c>
      <c r="F566" s="231" t="s">
        <v>2838</v>
      </c>
      <c r="G566" s="227"/>
      <c r="H566" s="227"/>
      <c r="I566" s="227"/>
    </row>
    <row r="567">
      <c r="A567" s="231" t="s">
        <v>3888</v>
      </c>
      <c r="C567" s="231" t="s">
        <v>3917</v>
      </c>
      <c r="D567" s="238" t="s">
        <v>3918</v>
      </c>
      <c r="E567" s="231" t="s">
        <v>591</v>
      </c>
      <c r="F567" s="231" t="s">
        <v>2838</v>
      </c>
      <c r="G567" s="227"/>
      <c r="H567" s="227"/>
      <c r="I567" s="227"/>
    </row>
    <row r="568">
      <c r="A568" s="227"/>
      <c r="B568" s="227"/>
      <c r="C568" s="227"/>
      <c r="D568" s="243"/>
      <c r="E568" s="227"/>
      <c r="F568" s="227"/>
      <c r="G568" s="227"/>
      <c r="H568" s="227"/>
      <c r="I568" s="227"/>
    </row>
    <row r="569">
      <c r="A569" s="231" t="s">
        <v>3919</v>
      </c>
      <c r="B569" s="231" t="s">
        <v>124</v>
      </c>
      <c r="C569" s="227" t="s">
        <v>3920</v>
      </c>
      <c r="D569" s="231" t="s">
        <v>2786</v>
      </c>
      <c r="E569" s="231" t="s">
        <v>2837</v>
      </c>
      <c r="F569" s="231" t="s">
        <v>2838</v>
      </c>
      <c r="G569" s="237"/>
      <c r="H569" s="227"/>
      <c r="I569" s="256" t="s">
        <v>3921</v>
      </c>
    </row>
    <row r="570">
      <c r="A570" s="231" t="s">
        <v>3919</v>
      </c>
      <c r="D570" s="231" t="s">
        <v>3922</v>
      </c>
      <c r="E570" s="231" t="s">
        <v>2837</v>
      </c>
      <c r="F570" s="231" t="s">
        <v>2838</v>
      </c>
      <c r="G570" s="237"/>
      <c r="H570" s="227"/>
    </row>
    <row r="571">
      <c r="A571" s="231" t="s">
        <v>3919</v>
      </c>
      <c r="D571" s="231" t="s">
        <v>3923</v>
      </c>
      <c r="E571" s="231" t="s">
        <v>2837</v>
      </c>
      <c r="F571" s="231" t="s">
        <v>2838</v>
      </c>
      <c r="G571" s="237"/>
      <c r="H571" s="227"/>
    </row>
    <row r="572">
      <c r="A572" s="231" t="s">
        <v>3919</v>
      </c>
      <c r="D572" s="231" t="s">
        <v>3925</v>
      </c>
      <c r="E572" s="231" t="s">
        <v>2837</v>
      </c>
      <c r="F572" s="227"/>
      <c r="G572" s="237"/>
      <c r="H572" s="227"/>
    </row>
    <row r="573">
      <c r="A573" s="231" t="s">
        <v>3919</v>
      </c>
      <c r="D573" s="231" t="s">
        <v>1663</v>
      </c>
      <c r="E573" s="231" t="s">
        <v>2837</v>
      </c>
      <c r="F573" s="231" t="s">
        <v>2838</v>
      </c>
      <c r="G573" s="237"/>
      <c r="H573" s="227"/>
    </row>
    <row r="574">
      <c r="A574" s="231" t="s">
        <v>3919</v>
      </c>
      <c r="D574" s="231" t="s">
        <v>1448</v>
      </c>
      <c r="E574" s="231" t="s">
        <v>2837</v>
      </c>
      <c r="F574" s="227"/>
      <c r="G574" s="237"/>
      <c r="H574" s="227"/>
    </row>
    <row r="575">
      <c r="A575" s="231" t="s">
        <v>3919</v>
      </c>
      <c r="D575" s="227" t="s">
        <v>3927</v>
      </c>
      <c r="E575" s="231" t="s">
        <v>2837</v>
      </c>
      <c r="F575" s="231" t="s">
        <v>2838</v>
      </c>
      <c r="G575" s="237"/>
      <c r="H575" s="227"/>
    </row>
    <row r="576">
      <c r="A576" s="231" t="s">
        <v>3919</v>
      </c>
      <c r="D576" s="227" t="s">
        <v>3928</v>
      </c>
      <c r="E576" s="231" t="s">
        <v>2837</v>
      </c>
      <c r="F576" s="231" t="s">
        <v>2838</v>
      </c>
      <c r="G576" s="237"/>
      <c r="H576" s="227"/>
    </row>
    <row r="577">
      <c r="A577" s="231" t="s">
        <v>3919</v>
      </c>
      <c r="C577" s="231" t="s">
        <v>3929</v>
      </c>
      <c r="D577" s="231" t="s">
        <v>1339</v>
      </c>
      <c r="E577" s="231" t="s">
        <v>2837</v>
      </c>
      <c r="F577" s="231" t="s">
        <v>2838</v>
      </c>
      <c r="G577" s="237"/>
      <c r="H577" s="227"/>
      <c r="I577" s="256" t="s">
        <v>3931</v>
      </c>
    </row>
    <row r="578">
      <c r="A578" s="231" t="s">
        <v>3919</v>
      </c>
      <c r="D578" s="227" t="s">
        <v>3933</v>
      </c>
      <c r="E578" s="231" t="s">
        <v>2837</v>
      </c>
      <c r="F578" s="231" t="s">
        <v>2838</v>
      </c>
      <c r="G578" s="237"/>
      <c r="H578" s="227"/>
    </row>
    <row r="579">
      <c r="A579" s="231" t="s">
        <v>3919</v>
      </c>
      <c r="D579" s="227" t="s">
        <v>3936</v>
      </c>
      <c r="E579" s="231" t="s">
        <v>2837</v>
      </c>
      <c r="F579" s="231" t="s">
        <v>2838</v>
      </c>
      <c r="G579" s="237"/>
      <c r="H579" s="227"/>
    </row>
    <row r="580">
      <c r="A580" s="231" t="s">
        <v>3919</v>
      </c>
      <c r="D580" s="227" t="s">
        <v>847</v>
      </c>
      <c r="E580" s="231" t="s">
        <v>2837</v>
      </c>
      <c r="F580" s="231" t="s">
        <v>2838</v>
      </c>
      <c r="G580" s="237"/>
      <c r="H580" s="227"/>
    </row>
    <row r="581">
      <c r="A581" s="231" t="s">
        <v>3919</v>
      </c>
      <c r="D581" s="227" t="s">
        <v>3938</v>
      </c>
      <c r="E581" s="231" t="s">
        <v>2837</v>
      </c>
      <c r="F581" s="231" t="s">
        <v>2838</v>
      </c>
      <c r="G581" s="237"/>
      <c r="H581" s="227"/>
    </row>
    <row r="582">
      <c r="A582" s="231" t="s">
        <v>3919</v>
      </c>
      <c r="D582" s="227" t="s">
        <v>3939</v>
      </c>
      <c r="E582" s="231" t="s">
        <v>2837</v>
      </c>
      <c r="F582" s="231" t="s">
        <v>2838</v>
      </c>
      <c r="G582" s="237"/>
      <c r="H582" s="227"/>
    </row>
    <row r="583">
      <c r="A583" s="231" t="s">
        <v>3919</v>
      </c>
      <c r="D583" s="227" t="s">
        <v>658</v>
      </c>
      <c r="E583" s="231" t="s">
        <v>2837</v>
      </c>
      <c r="F583" s="231" t="s">
        <v>2838</v>
      </c>
      <c r="G583" s="237"/>
      <c r="H583" s="227"/>
    </row>
    <row r="584">
      <c r="A584" s="231" t="s">
        <v>3919</v>
      </c>
      <c r="D584" s="231" t="s">
        <v>3940</v>
      </c>
      <c r="E584" s="231" t="s">
        <v>2837</v>
      </c>
      <c r="F584" s="231" t="s">
        <v>2838</v>
      </c>
      <c r="G584" s="237"/>
      <c r="H584" s="227"/>
    </row>
    <row r="585">
      <c r="A585" s="231" t="s">
        <v>3919</v>
      </c>
      <c r="D585" s="231" t="s">
        <v>3941</v>
      </c>
      <c r="E585" s="231" t="s">
        <v>2837</v>
      </c>
      <c r="F585" s="231" t="s">
        <v>2838</v>
      </c>
      <c r="G585" s="237"/>
      <c r="H585" s="227"/>
    </row>
    <row r="586">
      <c r="A586" s="231" t="s">
        <v>3919</v>
      </c>
      <c r="D586" s="231" t="s">
        <v>3943</v>
      </c>
      <c r="E586" s="231" t="s">
        <v>2837</v>
      </c>
      <c r="F586" s="231" t="s">
        <v>2838</v>
      </c>
      <c r="G586" s="237"/>
      <c r="H586" s="227"/>
    </row>
    <row r="587">
      <c r="A587" s="231" t="s">
        <v>3919</v>
      </c>
      <c r="D587" s="231" t="s">
        <v>3944</v>
      </c>
      <c r="E587" s="231" t="s">
        <v>2837</v>
      </c>
      <c r="F587" s="231" t="s">
        <v>2838</v>
      </c>
      <c r="G587" s="237"/>
      <c r="H587" s="227"/>
    </row>
    <row r="588">
      <c r="A588" s="231" t="s">
        <v>3919</v>
      </c>
      <c r="D588" s="231" t="s">
        <v>3945</v>
      </c>
      <c r="E588" s="231" t="s">
        <v>2837</v>
      </c>
      <c r="F588" s="231" t="s">
        <v>2838</v>
      </c>
      <c r="G588" s="237"/>
      <c r="H588" s="227"/>
    </row>
    <row r="589">
      <c r="A589" s="231" t="s">
        <v>3919</v>
      </c>
      <c r="D589" s="231" t="s">
        <v>1448</v>
      </c>
      <c r="E589" s="231" t="s">
        <v>2837</v>
      </c>
      <c r="F589" s="231" t="s">
        <v>2838</v>
      </c>
      <c r="G589" s="237"/>
      <c r="H589" s="227"/>
    </row>
    <row r="590">
      <c r="A590" s="231" t="s">
        <v>3919</v>
      </c>
      <c r="D590" s="231" t="s">
        <v>2047</v>
      </c>
      <c r="E590" s="231" t="s">
        <v>2837</v>
      </c>
      <c r="F590" s="231" t="s">
        <v>2838</v>
      </c>
      <c r="G590" s="237"/>
      <c r="H590" s="227"/>
    </row>
    <row r="591">
      <c r="A591" s="231" t="s">
        <v>3919</v>
      </c>
      <c r="D591" s="231" t="s">
        <v>3946</v>
      </c>
      <c r="E591" s="231" t="s">
        <v>2837</v>
      </c>
      <c r="F591" s="231" t="s">
        <v>2838</v>
      </c>
      <c r="G591" s="237"/>
      <c r="H591" s="227"/>
    </row>
    <row r="592">
      <c r="A592" s="231" t="s">
        <v>3919</v>
      </c>
      <c r="D592" s="231" t="s">
        <v>3948</v>
      </c>
      <c r="E592" s="231" t="s">
        <v>2837</v>
      </c>
      <c r="F592" s="231" t="s">
        <v>2838</v>
      </c>
      <c r="G592" s="237"/>
      <c r="H592" s="227"/>
    </row>
    <row r="593">
      <c r="A593" s="231" t="s">
        <v>3919</v>
      </c>
      <c r="D593" s="231" t="s">
        <v>3950</v>
      </c>
      <c r="E593" s="231" t="s">
        <v>2837</v>
      </c>
      <c r="F593" s="231" t="s">
        <v>2838</v>
      </c>
      <c r="G593" s="237"/>
      <c r="H593" s="227"/>
    </row>
    <row r="594">
      <c r="A594" s="231" t="s">
        <v>3919</v>
      </c>
      <c r="D594" s="231" t="s">
        <v>3952</v>
      </c>
      <c r="E594" s="231" t="s">
        <v>2837</v>
      </c>
      <c r="F594" s="231" t="s">
        <v>2838</v>
      </c>
      <c r="G594" s="237"/>
      <c r="H594" s="227"/>
    </row>
    <row r="595">
      <c r="A595" s="231" t="s">
        <v>3919</v>
      </c>
      <c r="D595" s="231" t="s">
        <v>1996</v>
      </c>
      <c r="E595" s="231" t="s">
        <v>2837</v>
      </c>
      <c r="F595" s="231" t="s">
        <v>2838</v>
      </c>
      <c r="G595" s="237"/>
      <c r="H595" s="227"/>
    </row>
    <row r="596">
      <c r="A596" s="231" t="s">
        <v>3919</v>
      </c>
      <c r="D596" s="231" t="s">
        <v>3953</v>
      </c>
      <c r="E596" s="231" t="s">
        <v>2837</v>
      </c>
      <c r="F596" s="231" t="s">
        <v>2838</v>
      </c>
      <c r="G596" s="237"/>
      <c r="H596" s="227"/>
    </row>
    <row r="597">
      <c r="A597" s="231" t="s">
        <v>3919</v>
      </c>
      <c r="C597" s="231" t="s">
        <v>3954</v>
      </c>
      <c r="D597" s="231" t="s">
        <v>3955</v>
      </c>
      <c r="E597" s="231" t="s">
        <v>2837</v>
      </c>
      <c r="F597" s="231" t="s">
        <v>2838</v>
      </c>
      <c r="G597" s="237"/>
      <c r="H597" s="227"/>
      <c r="I597" s="256" t="s">
        <v>3956</v>
      </c>
    </row>
    <row r="598">
      <c r="A598" s="231" t="s">
        <v>3919</v>
      </c>
      <c r="D598" s="231" t="s">
        <v>3958</v>
      </c>
      <c r="E598" s="231" t="s">
        <v>2837</v>
      </c>
      <c r="F598" s="231" t="s">
        <v>2838</v>
      </c>
      <c r="G598" s="237"/>
      <c r="H598" s="227"/>
    </row>
    <row r="599">
      <c r="A599" s="231" t="s">
        <v>3919</v>
      </c>
      <c r="D599" s="231" t="s">
        <v>1475</v>
      </c>
      <c r="E599" s="231" t="s">
        <v>2837</v>
      </c>
      <c r="F599" s="231" t="s">
        <v>2838</v>
      </c>
      <c r="G599" s="237"/>
      <c r="H599" s="227"/>
    </row>
    <row r="600">
      <c r="A600" s="231" t="s">
        <v>3919</v>
      </c>
      <c r="D600" s="231" t="s">
        <v>3960</v>
      </c>
      <c r="E600" s="231" t="s">
        <v>2837</v>
      </c>
      <c r="F600" s="231" t="s">
        <v>2838</v>
      </c>
      <c r="G600" s="237"/>
      <c r="H600" s="227"/>
    </row>
    <row r="601">
      <c r="A601" s="231" t="s">
        <v>3919</v>
      </c>
      <c r="D601" s="227" t="s">
        <v>1821</v>
      </c>
      <c r="E601" s="231" t="s">
        <v>2837</v>
      </c>
      <c r="F601" s="231" t="s">
        <v>2838</v>
      </c>
      <c r="G601" s="237"/>
      <c r="H601" s="227"/>
    </row>
    <row r="602">
      <c r="A602" s="231" t="s">
        <v>3919</v>
      </c>
      <c r="D602" s="227" t="s">
        <v>1285</v>
      </c>
      <c r="E602" s="231" t="s">
        <v>2837</v>
      </c>
      <c r="F602" s="231" t="s">
        <v>2838</v>
      </c>
      <c r="G602" s="237"/>
      <c r="H602" s="227"/>
    </row>
    <row r="603">
      <c r="A603" s="231" t="s">
        <v>3919</v>
      </c>
      <c r="D603" s="227" t="s">
        <v>3963</v>
      </c>
      <c r="E603" s="231" t="s">
        <v>2837</v>
      </c>
      <c r="F603" s="231" t="s">
        <v>2838</v>
      </c>
      <c r="G603" s="237"/>
      <c r="H603" s="227"/>
    </row>
    <row r="604">
      <c r="A604" s="231" t="s">
        <v>3919</v>
      </c>
      <c r="D604" s="227" t="s">
        <v>3967</v>
      </c>
      <c r="E604" s="231" t="s">
        <v>2837</v>
      </c>
      <c r="F604" s="231" t="s">
        <v>2838</v>
      </c>
      <c r="G604" s="237"/>
      <c r="H604" s="227"/>
    </row>
    <row r="605">
      <c r="A605" s="231" t="s">
        <v>3919</v>
      </c>
      <c r="D605" s="227" t="s">
        <v>3968</v>
      </c>
      <c r="E605" s="231" t="s">
        <v>2837</v>
      </c>
      <c r="F605" s="231" t="s">
        <v>2838</v>
      </c>
      <c r="G605" s="237"/>
      <c r="H605" s="227"/>
    </row>
    <row r="606">
      <c r="A606" s="231" t="s">
        <v>3919</v>
      </c>
      <c r="D606" s="227" t="s">
        <v>927</v>
      </c>
      <c r="E606" s="231" t="s">
        <v>2837</v>
      </c>
      <c r="F606" s="231" t="s">
        <v>2838</v>
      </c>
      <c r="G606" s="237"/>
      <c r="H606" s="227"/>
    </row>
    <row r="607">
      <c r="A607" s="231" t="s">
        <v>3919</v>
      </c>
      <c r="D607" s="227" t="s">
        <v>3969</v>
      </c>
      <c r="E607" s="231" t="s">
        <v>2837</v>
      </c>
      <c r="F607" s="231" t="s">
        <v>2838</v>
      </c>
      <c r="G607" s="237"/>
      <c r="H607" s="227"/>
    </row>
    <row r="608">
      <c r="A608" s="231" t="s">
        <v>3919</v>
      </c>
      <c r="C608" s="231" t="s">
        <v>3970</v>
      </c>
      <c r="D608" s="231" t="s">
        <v>3971</v>
      </c>
      <c r="E608" s="231" t="s">
        <v>2837</v>
      </c>
      <c r="F608" s="231" t="s">
        <v>2838</v>
      </c>
      <c r="G608" s="237"/>
      <c r="H608" s="227"/>
      <c r="I608" s="256" t="s">
        <v>3972</v>
      </c>
    </row>
    <row r="609">
      <c r="A609" s="231" t="s">
        <v>3919</v>
      </c>
      <c r="D609" s="231" t="s">
        <v>3973</v>
      </c>
      <c r="E609" s="231" t="s">
        <v>2837</v>
      </c>
      <c r="F609" s="231" t="s">
        <v>2838</v>
      </c>
      <c r="G609" s="237"/>
      <c r="H609" s="227"/>
    </row>
    <row r="610">
      <c r="A610" s="231" t="s">
        <v>3919</v>
      </c>
      <c r="D610" s="227" t="s">
        <v>3968</v>
      </c>
      <c r="E610" s="231" t="s">
        <v>2837</v>
      </c>
      <c r="F610" s="231" t="s">
        <v>2838</v>
      </c>
      <c r="G610" s="237"/>
      <c r="H610" s="227"/>
    </row>
    <row r="611">
      <c r="A611" s="231" t="s">
        <v>3919</v>
      </c>
      <c r="D611" s="231" t="s">
        <v>3974</v>
      </c>
      <c r="E611" s="231" t="s">
        <v>2837</v>
      </c>
      <c r="F611" s="231" t="s">
        <v>2838</v>
      </c>
      <c r="G611" s="237"/>
      <c r="H611" s="227"/>
    </row>
    <row r="612">
      <c r="A612" s="231" t="s">
        <v>3919</v>
      </c>
      <c r="D612" s="231" t="s">
        <v>1448</v>
      </c>
      <c r="E612" s="231" t="s">
        <v>2837</v>
      </c>
      <c r="F612" s="231" t="s">
        <v>2838</v>
      </c>
      <c r="G612" s="237"/>
      <c r="H612" s="227"/>
    </row>
    <row r="613">
      <c r="A613" s="231" t="s">
        <v>3919</v>
      </c>
      <c r="D613" s="231" t="s">
        <v>3975</v>
      </c>
      <c r="E613" s="231" t="s">
        <v>2837</v>
      </c>
      <c r="F613" s="231" t="s">
        <v>2838</v>
      </c>
      <c r="G613" s="237"/>
      <c r="H613" s="227"/>
    </row>
    <row r="614">
      <c r="A614" s="231" t="s">
        <v>3919</v>
      </c>
      <c r="D614" s="231" t="s">
        <v>3976</v>
      </c>
      <c r="E614" s="231" t="s">
        <v>2837</v>
      </c>
      <c r="F614" s="231" t="s">
        <v>2838</v>
      </c>
      <c r="G614" s="237"/>
      <c r="H614" s="227"/>
    </row>
    <row r="615">
      <c r="A615" s="231" t="s">
        <v>3919</v>
      </c>
      <c r="D615" s="231" t="s">
        <v>3977</v>
      </c>
      <c r="E615" s="231" t="s">
        <v>2837</v>
      </c>
      <c r="F615" s="231" t="s">
        <v>2838</v>
      </c>
      <c r="G615" s="237"/>
      <c r="H615" s="227"/>
    </row>
    <row r="616">
      <c r="A616" s="227"/>
      <c r="B616" s="227"/>
      <c r="C616" s="227"/>
      <c r="D616" s="227"/>
      <c r="E616" s="227"/>
      <c r="F616" s="227"/>
      <c r="G616" s="227"/>
      <c r="H616" s="227"/>
      <c r="I616" s="227"/>
    </row>
    <row r="617">
      <c r="A617" s="230" t="s">
        <v>3979</v>
      </c>
    </row>
    <row r="618">
      <c r="A618" s="261" t="s">
        <v>164</v>
      </c>
      <c r="B618" s="261" t="s">
        <v>84</v>
      </c>
      <c r="C618" s="261" t="s">
        <v>3980</v>
      </c>
      <c r="D618" s="261" t="s">
        <v>567</v>
      </c>
      <c r="E618" s="261" t="s">
        <v>929</v>
      </c>
      <c r="F618" s="261" t="s">
        <v>2838</v>
      </c>
      <c r="G618" s="237"/>
      <c r="H618" s="227"/>
      <c r="I618" s="252" t="s">
        <v>3981</v>
      </c>
    </row>
    <row r="619">
      <c r="A619" s="261" t="s">
        <v>164</v>
      </c>
      <c r="C619" s="261" t="s">
        <v>3983</v>
      </c>
      <c r="D619" s="261" t="s">
        <v>739</v>
      </c>
      <c r="E619" s="261" t="s">
        <v>929</v>
      </c>
      <c r="F619" s="261" t="s">
        <v>2838</v>
      </c>
      <c r="G619" s="237"/>
      <c r="H619" s="227"/>
      <c r="I619" s="252" t="s">
        <v>3984</v>
      </c>
    </row>
    <row r="620">
      <c r="A620" s="261" t="s">
        <v>164</v>
      </c>
      <c r="C620" s="261" t="s">
        <v>3985</v>
      </c>
      <c r="D620" s="261" t="s">
        <v>1130</v>
      </c>
      <c r="E620" s="261" t="s">
        <v>929</v>
      </c>
      <c r="F620" s="261" t="s">
        <v>2838</v>
      </c>
      <c r="G620" s="237"/>
      <c r="H620" s="227"/>
      <c r="I620" s="252" t="s">
        <v>3987</v>
      </c>
    </row>
    <row r="621">
      <c r="A621" s="261" t="s">
        <v>164</v>
      </c>
      <c r="C621" s="261" t="s">
        <v>3989</v>
      </c>
      <c r="D621" s="261" t="s">
        <v>637</v>
      </c>
      <c r="E621" s="261" t="s">
        <v>929</v>
      </c>
      <c r="F621" s="261" t="s">
        <v>2838</v>
      </c>
      <c r="G621" s="237"/>
      <c r="H621" s="227"/>
      <c r="I621" s="252" t="s">
        <v>3981</v>
      </c>
    </row>
    <row r="622">
      <c r="A622" s="261" t="s">
        <v>164</v>
      </c>
      <c r="C622" s="261" t="s">
        <v>3990</v>
      </c>
      <c r="D622" s="261" t="s">
        <v>682</v>
      </c>
      <c r="E622" s="261" t="s">
        <v>929</v>
      </c>
      <c r="F622" s="261" t="s">
        <v>2838</v>
      </c>
      <c r="G622" s="237"/>
      <c r="H622" s="227"/>
      <c r="I622" s="252" t="s">
        <v>3991</v>
      </c>
    </row>
    <row r="623">
      <c r="A623" s="227"/>
      <c r="B623" s="227"/>
      <c r="C623" s="227"/>
      <c r="D623" s="227"/>
      <c r="E623" s="227"/>
      <c r="F623" s="227"/>
      <c r="G623" s="237"/>
      <c r="H623" s="227"/>
      <c r="I623" s="227"/>
    </row>
    <row r="624">
      <c r="A624" s="261" t="s">
        <v>165</v>
      </c>
      <c r="B624" s="261" t="s">
        <v>85</v>
      </c>
      <c r="C624" s="261" t="s">
        <v>3993</v>
      </c>
      <c r="D624" s="261" t="s">
        <v>3994</v>
      </c>
      <c r="E624" s="261" t="s">
        <v>929</v>
      </c>
      <c r="F624" s="261" t="s">
        <v>2838</v>
      </c>
      <c r="G624" s="237"/>
      <c r="H624" s="227"/>
      <c r="I624" s="256" t="s">
        <v>3692</v>
      </c>
    </row>
    <row r="625">
      <c r="A625" s="261" t="s">
        <v>165</v>
      </c>
      <c r="C625" s="261" t="s">
        <v>3997</v>
      </c>
      <c r="D625" s="261" t="s">
        <v>3998</v>
      </c>
      <c r="E625" s="261" t="s">
        <v>929</v>
      </c>
      <c r="F625" s="261" t="s">
        <v>2838</v>
      </c>
      <c r="G625" s="237"/>
      <c r="H625" s="227"/>
      <c r="I625" s="252" t="s">
        <v>4000</v>
      </c>
    </row>
    <row r="626">
      <c r="A626" s="261" t="s">
        <v>165</v>
      </c>
      <c r="C626" s="261" t="s">
        <v>4001</v>
      </c>
      <c r="D626" s="261" t="s">
        <v>4002</v>
      </c>
      <c r="E626" s="261" t="s">
        <v>929</v>
      </c>
      <c r="F626" s="261" t="s">
        <v>2838</v>
      </c>
      <c r="G626" s="237"/>
      <c r="H626" s="227"/>
      <c r="I626" s="252" t="s">
        <v>4003</v>
      </c>
    </row>
    <row r="627">
      <c r="A627" s="262" t="s">
        <v>165</v>
      </c>
      <c r="C627" s="122" t="s">
        <v>4004</v>
      </c>
      <c r="D627" s="262" t="s">
        <v>4005</v>
      </c>
      <c r="E627" s="262" t="s">
        <v>929</v>
      </c>
      <c r="F627" s="262" t="s">
        <v>2838</v>
      </c>
      <c r="G627" s="237"/>
      <c r="H627" s="227"/>
      <c r="I627" s="252" t="s">
        <v>4006</v>
      </c>
    </row>
    <row r="628">
      <c r="A628" s="262" t="s">
        <v>165</v>
      </c>
      <c r="C628" s="262" t="s">
        <v>4007</v>
      </c>
      <c r="D628" s="262" t="s">
        <v>1232</v>
      </c>
      <c r="E628" s="262" t="s">
        <v>929</v>
      </c>
      <c r="F628" s="262" t="s">
        <v>2838</v>
      </c>
      <c r="G628" s="237"/>
      <c r="H628" s="227"/>
      <c r="I628" s="256" t="s">
        <v>4008</v>
      </c>
    </row>
    <row r="629">
      <c r="A629" s="261" t="s">
        <v>165</v>
      </c>
      <c r="C629" s="261" t="s">
        <v>4009</v>
      </c>
      <c r="D629" s="261" t="s">
        <v>4010</v>
      </c>
      <c r="E629" s="261" t="s">
        <v>929</v>
      </c>
      <c r="F629" s="261" t="s">
        <v>2838</v>
      </c>
      <c r="G629" s="237"/>
      <c r="H629" s="227"/>
      <c r="I629" s="256" t="s">
        <v>4011</v>
      </c>
    </row>
    <row r="630">
      <c r="A630" s="261" t="s">
        <v>165</v>
      </c>
      <c r="C630" s="261" t="s">
        <v>4012</v>
      </c>
      <c r="D630" s="261" t="s">
        <v>810</v>
      </c>
      <c r="E630" s="261" t="s">
        <v>929</v>
      </c>
      <c r="F630" s="261" t="s">
        <v>2838</v>
      </c>
      <c r="G630" s="237"/>
      <c r="H630" s="227"/>
      <c r="I630" s="256" t="s">
        <v>4014</v>
      </c>
    </row>
    <row r="631">
      <c r="A631" s="261" t="s">
        <v>165</v>
      </c>
      <c r="C631" s="261" t="s">
        <v>4015</v>
      </c>
      <c r="D631" s="261" t="s">
        <v>4016</v>
      </c>
      <c r="E631" s="261" t="s">
        <v>929</v>
      </c>
      <c r="F631" s="261" t="s">
        <v>2838</v>
      </c>
      <c r="G631" s="237"/>
      <c r="H631" s="227"/>
      <c r="I631" s="256" t="s">
        <v>4017</v>
      </c>
    </row>
    <row r="632">
      <c r="A632" s="227"/>
      <c r="B632" s="227"/>
      <c r="C632" s="227"/>
      <c r="D632" s="227"/>
      <c r="E632" s="227"/>
      <c r="F632" s="227"/>
      <c r="G632" s="227"/>
      <c r="H632" s="227"/>
      <c r="I632" s="227"/>
    </row>
    <row r="633">
      <c r="A633" s="261" t="s">
        <v>4019</v>
      </c>
      <c r="B633" s="261" t="s">
        <v>89</v>
      </c>
      <c r="C633" s="261" t="s">
        <v>4020</v>
      </c>
      <c r="D633" s="261" t="s">
        <v>4021</v>
      </c>
      <c r="E633" s="261" t="s">
        <v>929</v>
      </c>
      <c r="F633" s="261" t="s">
        <v>2838</v>
      </c>
      <c r="G633" s="237"/>
      <c r="H633" s="227"/>
      <c r="I633" s="256" t="s">
        <v>4022</v>
      </c>
    </row>
    <row r="634">
      <c r="A634" s="261" t="s">
        <v>4019</v>
      </c>
      <c r="C634" s="261" t="s">
        <v>4023</v>
      </c>
      <c r="D634" s="261" t="s">
        <v>4024</v>
      </c>
      <c r="E634" s="261" t="s">
        <v>929</v>
      </c>
      <c r="F634" s="261" t="s">
        <v>2838</v>
      </c>
      <c r="G634" s="237"/>
      <c r="H634" s="227"/>
    </row>
    <row r="635">
      <c r="A635" s="261" t="s">
        <v>4019</v>
      </c>
      <c r="C635" s="261" t="s">
        <v>4025</v>
      </c>
      <c r="D635" s="261" t="s">
        <v>4026</v>
      </c>
      <c r="E635" s="261" t="s">
        <v>929</v>
      </c>
      <c r="F635" s="261" t="s">
        <v>2838</v>
      </c>
      <c r="G635" s="237"/>
      <c r="H635" s="227"/>
    </row>
    <row r="636">
      <c r="A636" s="261" t="s">
        <v>4019</v>
      </c>
      <c r="C636" s="261" t="s">
        <v>4027</v>
      </c>
      <c r="D636" s="261" t="s">
        <v>4028</v>
      </c>
      <c r="E636" s="261" t="s">
        <v>929</v>
      </c>
      <c r="F636" s="261" t="s">
        <v>2838</v>
      </c>
      <c r="G636" s="237"/>
      <c r="H636" s="227"/>
    </row>
    <row r="637">
      <c r="A637" s="261" t="s">
        <v>4019</v>
      </c>
      <c r="C637" s="261" t="s">
        <v>4029</v>
      </c>
      <c r="D637" s="261" t="s">
        <v>4031</v>
      </c>
      <c r="E637" s="261" t="s">
        <v>929</v>
      </c>
      <c r="F637" s="261" t="s">
        <v>2838</v>
      </c>
      <c r="G637" s="237"/>
      <c r="H637" s="227"/>
    </row>
    <row r="638">
      <c r="A638" s="261" t="s">
        <v>4019</v>
      </c>
      <c r="C638" s="261" t="s">
        <v>4032</v>
      </c>
      <c r="D638" s="261" t="s">
        <v>4033</v>
      </c>
      <c r="E638" s="261" t="s">
        <v>929</v>
      </c>
      <c r="F638" s="261" t="s">
        <v>2838</v>
      </c>
      <c r="G638" s="237"/>
      <c r="H638" s="227"/>
    </row>
    <row r="639">
      <c r="A639" s="261" t="s">
        <v>4019</v>
      </c>
      <c r="C639" s="261" t="s">
        <v>4036</v>
      </c>
      <c r="D639" s="261" t="s">
        <v>4038</v>
      </c>
      <c r="E639" s="261" t="s">
        <v>929</v>
      </c>
      <c r="F639" s="261" t="s">
        <v>2838</v>
      </c>
      <c r="G639" s="237"/>
      <c r="H639" s="227"/>
    </row>
    <row r="640">
      <c r="A640" s="261" t="s">
        <v>4019</v>
      </c>
      <c r="C640" s="261" t="s">
        <v>4039</v>
      </c>
      <c r="D640" s="261" t="s">
        <v>4040</v>
      </c>
      <c r="E640" s="261" t="s">
        <v>929</v>
      </c>
      <c r="F640" s="261" t="s">
        <v>2838</v>
      </c>
      <c r="G640" s="237"/>
      <c r="H640" s="227"/>
    </row>
    <row r="641">
      <c r="A641" s="261" t="s">
        <v>4019</v>
      </c>
      <c r="C641" s="261" t="s">
        <v>4041</v>
      </c>
      <c r="D641" s="261" t="s">
        <v>1080</v>
      </c>
      <c r="E641" s="261" t="s">
        <v>929</v>
      </c>
      <c r="F641" s="261" t="s">
        <v>2838</v>
      </c>
      <c r="G641" s="237"/>
      <c r="H641" s="227"/>
    </row>
    <row r="642">
      <c r="A642" s="261" t="s">
        <v>4019</v>
      </c>
      <c r="C642" s="261" t="s">
        <v>4042</v>
      </c>
      <c r="D642" s="261" t="s">
        <v>4043</v>
      </c>
      <c r="E642" s="261" t="s">
        <v>929</v>
      </c>
      <c r="F642" s="261" t="s">
        <v>2838</v>
      </c>
      <c r="G642" s="237"/>
      <c r="H642" s="227"/>
    </row>
    <row r="643">
      <c r="A643" s="261" t="s">
        <v>4019</v>
      </c>
      <c r="C643" s="261" t="s">
        <v>4045</v>
      </c>
      <c r="D643" s="261" t="s">
        <v>688</v>
      </c>
      <c r="E643" s="261" t="s">
        <v>929</v>
      </c>
      <c r="F643" s="261" t="s">
        <v>2838</v>
      </c>
      <c r="G643" s="237"/>
      <c r="H643" s="227"/>
    </row>
    <row r="644">
      <c r="A644" s="227"/>
      <c r="B644" s="227"/>
      <c r="C644" s="227"/>
      <c r="D644" s="227"/>
      <c r="E644" s="227"/>
      <c r="F644" s="227"/>
      <c r="G644" s="227"/>
      <c r="H644" s="227"/>
      <c r="I644" s="227"/>
    </row>
    <row r="645">
      <c r="A645" s="261" t="s">
        <v>171</v>
      </c>
      <c r="B645" s="261" t="s">
        <v>4047</v>
      </c>
      <c r="C645" s="261" t="s">
        <v>4049</v>
      </c>
      <c r="D645" s="261" t="s">
        <v>416</v>
      </c>
      <c r="E645" s="261" t="s">
        <v>929</v>
      </c>
      <c r="F645" s="261" t="s">
        <v>2838</v>
      </c>
      <c r="G645" s="227"/>
      <c r="H645" s="227"/>
      <c r="I645" s="227"/>
    </row>
    <row r="646">
      <c r="A646" s="261" t="s">
        <v>171</v>
      </c>
      <c r="C646" s="261" t="s">
        <v>4050</v>
      </c>
      <c r="D646" s="261" t="s">
        <v>581</v>
      </c>
      <c r="E646" s="261" t="s">
        <v>929</v>
      </c>
      <c r="F646" s="261" t="s">
        <v>2838</v>
      </c>
      <c r="G646" s="227"/>
      <c r="H646" s="227"/>
      <c r="I646" s="227"/>
    </row>
    <row r="647">
      <c r="A647" s="261" t="s">
        <v>171</v>
      </c>
      <c r="C647" s="261" t="s">
        <v>4051</v>
      </c>
      <c r="D647" s="261" t="s">
        <v>4052</v>
      </c>
      <c r="E647" s="261" t="s">
        <v>929</v>
      </c>
      <c r="F647" s="261" t="s">
        <v>2838</v>
      </c>
      <c r="G647" s="227"/>
      <c r="H647" s="227"/>
      <c r="I647" s="227"/>
    </row>
    <row r="648">
      <c r="A648" s="227"/>
      <c r="B648" s="227"/>
      <c r="C648" s="227"/>
      <c r="D648" s="227"/>
      <c r="E648" s="227"/>
      <c r="F648" s="227"/>
      <c r="G648" s="227"/>
      <c r="H648" s="227"/>
      <c r="I648" s="227"/>
    </row>
    <row r="649">
      <c r="A649" s="230" t="s">
        <v>4053</v>
      </c>
    </row>
    <row r="650">
      <c r="A650" s="263" t="s">
        <v>425</v>
      </c>
      <c r="B650" s="263" t="s">
        <v>202</v>
      </c>
      <c r="C650" s="263" t="s">
        <v>4054</v>
      </c>
      <c r="D650" s="263" t="s">
        <v>4055</v>
      </c>
      <c r="E650" s="263" t="s">
        <v>591</v>
      </c>
      <c r="F650" s="263" t="s">
        <v>2838</v>
      </c>
      <c r="G650" s="227"/>
      <c r="H650" s="227"/>
      <c r="I650" s="227"/>
    </row>
    <row r="651">
      <c r="A651" s="263" t="s">
        <v>425</v>
      </c>
      <c r="C651" s="263" t="s">
        <v>4056</v>
      </c>
      <c r="D651" s="263" t="s">
        <v>609</v>
      </c>
      <c r="E651" s="263" t="s">
        <v>591</v>
      </c>
      <c r="F651" s="263" t="s">
        <v>2838</v>
      </c>
      <c r="G651" s="227"/>
      <c r="H651" s="227"/>
      <c r="I651" s="227"/>
    </row>
    <row r="652">
      <c r="A652" s="263" t="s">
        <v>425</v>
      </c>
      <c r="C652" s="263" t="s">
        <v>4057</v>
      </c>
      <c r="D652" s="263" t="s">
        <v>4058</v>
      </c>
      <c r="E652" s="263" t="s">
        <v>591</v>
      </c>
      <c r="F652" s="263" t="s">
        <v>2838</v>
      </c>
      <c r="G652" s="227"/>
      <c r="H652" s="227"/>
      <c r="I652" s="227"/>
    </row>
    <row r="653">
      <c r="A653" s="263" t="s">
        <v>425</v>
      </c>
      <c r="C653" s="263" t="s">
        <v>4059</v>
      </c>
      <c r="D653" s="263" t="s">
        <v>4060</v>
      </c>
      <c r="E653" s="263" t="s">
        <v>591</v>
      </c>
      <c r="F653" s="263" t="s">
        <v>2838</v>
      </c>
      <c r="G653" s="227"/>
      <c r="H653" s="227"/>
      <c r="I653" s="227"/>
    </row>
    <row r="654">
      <c r="A654" s="263" t="s">
        <v>425</v>
      </c>
      <c r="C654" s="263" t="s">
        <v>4061</v>
      </c>
      <c r="D654" s="263" t="s">
        <v>825</v>
      </c>
      <c r="E654" s="263" t="s">
        <v>591</v>
      </c>
      <c r="F654" s="263" t="s">
        <v>2838</v>
      </c>
      <c r="G654" s="227"/>
      <c r="H654" s="227"/>
      <c r="I654" s="227"/>
    </row>
    <row r="655">
      <c r="A655" s="227"/>
      <c r="B655" s="227"/>
      <c r="C655" s="227"/>
      <c r="D655" s="227"/>
      <c r="E655" s="227"/>
      <c r="F655" s="227"/>
      <c r="G655" s="227"/>
      <c r="H655" s="227"/>
      <c r="I655" s="227"/>
    </row>
    <row r="656">
      <c r="A656" s="263" t="s">
        <v>434</v>
      </c>
      <c r="B656" s="263" t="s">
        <v>4062</v>
      </c>
      <c r="C656" s="263" t="s">
        <v>4063</v>
      </c>
      <c r="D656" s="231" t="s">
        <v>4064</v>
      </c>
      <c r="E656" s="263" t="s">
        <v>591</v>
      </c>
      <c r="F656" s="263" t="s">
        <v>2838</v>
      </c>
      <c r="G656" s="227"/>
      <c r="H656" s="227"/>
      <c r="I656" s="227"/>
    </row>
    <row r="657">
      <c r="A657" s="263" t="s">
        <v>434</v>
      </c>
      <c r="C657" s="263" t="s">
        <v>4065</v>
      </c>
      <c r="D657" s="263" t="s">
        <v>4066</v>
      </c>
      <c r="E657" s="263" t="s">
        <v>591</v>
      </c>
      <c r="F657" s="263" t="s">
        <v>2838</v>
      </c>
      <c r="G657" s="227"/>
      <c r="H657" s="227"/>
      <c r="I657" s="227"/>
    </row>
    <row r="658">
      <c r="A658" s="263" t="s">
        <v>434</v>
      </c>
      <c r="C658" s="263" t="s">
        <v>4067</v>
      </c>
      <c r="D658" s="263" t="s">
        <v>617</v>
      </c>
      <c r="E658" s="263" t="s">
        <v>591</v>
      </c>
      <c r="F658" s="263" t="s">
        <v>2838</v>
      </c>
      <c r="G658" s="227"/>
      <c r="H658" s="227"/>
      <c r="I658" s="227"/>
    </row>
    <row r="659">
      <c r="A659" s="263" t="s">
        <v>434</v>
      </c>
      <c r="C659" s="263" t="s">
        <v>4069</v>
      </c>
      <c r="D659" s="263" t="s">
        <v>826</v>
      </c>
      <c r="E659" s="263" t="s">
        <v>591</v>
      </c>
      <c r="F659" s="263" t="s">
        <v>2838</v>
      </c>
      <c r="G659" s="227"/>
      <c r="H659" s="227"/>
      <c r="I659" s="227"/>
    </row>
    <row r="660">
      <c r="A660" s="263" t="s">
        <v>434</v>
      </c>
      <c r="C660" s="263" t="s">
        <v>4071</v>
      </c>
      <c r="D660" s="263" t="s">
        <v>4072</v>
      </c>
      <c r="E660" s="263" t="s">
        <v>591</v>
      </c>
      <c r="F660" s="263" t="s">
        <v>2838</v>
      </c>
      <c r="G660" s="227"/>
      <c r="H660" s="227"/>
      <c r="I660" s="227"/>
    </row>
    <row r="661">
      <c r="A661" s="263" t="s">
        <v>434</v>
      </c>
      <c r="C661" s="263" t="s">
        <v>4074</v>
      </c>
      <c r="D661" s="263" t="s">
        <v>4075</v>
      </c>
      <c r="E661" s="263" t="s">
        <v>591</v>
      </c>
      <c r="F661" s="263" t="s">
        <v>2838</v>
      </c>
      <c r="G661" s="227"/>
      <c r="H661" s="227"/>
      <c r="I661" s="227"/>
    </row>
    <row r="662">
      <c r="A662" s="227"/>
      <c r="B662" s="227"/>
      <c r="C662" s="227"/>
      <c r="D662" s="227"/>
      <c r="E662" s="227"/>
      <c r="F662" s="227"/>
      <c r="G662" s="227"/>
      <c r="H662" s="227"/>
      <c r="I662" s="227"/>
    </row>
    <row r="663">
      <c r="A663" s="263" t="s">
        <v>4076</v>
      </c>
      <c r="B663" s="263" t="s">
        <v>4077</v>
      </c>
      <c r="C663" s="263" t="s">
        <v>4079</v>
      </c>
      <c r="D663" s="263" t="s">
        <v>611</v>
      </c>
      <c r="E663" s="263" t="s">
        <v>591</v>
      </c>
      <c r="F663" s="263" t="s">
        <v>2838</v>
      </c>
      <c r="G663" s="227"/>
      <c r="H663" s="227"/>
      <c r="I663" s="227"/>
    </row>
    <row r="664">
      <c r="A664" s="263" t="s">
        <v>4076</v>
      </c>
      <c r="C664" s="263" t="s">
        <v>4069</v>
      </c>
      <c r="D664" s="263" t="s">
        <v>826</v>
      </c>
      <c r="E664" s="263" t="s">
        <v>591</v>
      </c>
      <c r="F664" s="263" t="s">
        <v>2838</v>
      </c>
      <c r="G664" s="227"/>
      <c r="H664" s="227"/>
      <c r="I664" s="227"/>
    </row>
    <row r="665">
      <c r="A665" s="263" t="s">
        <v>4076</v>
      </c>
      <c r="C665" s="263" t="s">
        <v>4081</v>
      </c>
      <c r="D665" s="263" t="s">
        <v>4082</v>
      </c>
      <c r="E665" s="263" t="s">
        <v>591</v>
      </c>
      <c r="F665" s="263" t="s">
        <v>2838</v>
      </c>
      <c r="G665" s="227"/>
      <c r="H665" s="227"/>
      <c r="I665" s="227"/>
    </row>
    <row r="666">
      <c r="A666" s="263" t="s">
        <v>4076</v>
      </c>
      <c r="C666" s="263" t="s">
        <v>4083</v>
      </c>
      <c r="D666" s="263" t="s">
        <v>4084</v>
      </c>
      <c r="E666" s="263" t="s">
        <v>591</v>
      </c>
      <c r="F666" s="263" t="s">
        <v>2838</v>
      </c>
      <c r="G666" s="227"/>
      <c r="H666" s="227"/>
      <c r="I666" s="227"/>
    </row>
    <row r="667">
      <c r="A667" s="263" t="s">
        <v>4076</v>
      </c>
      <c r="C667" s="263" t="s">
        <v>4085</v>
      </c>
      <c r="D667" s="263" t="s">
        <v>4086</v>
      </c>
      <c r="E667" s="263" t="s">
        <v>591</v>
      </c>
      <c r="F667" s="263" t="s">
        <v>2838</v>
      </c>
      <c r="G667" s="227"/>
      <c r="H667" s="227"/>
      <c r="I667" s="227"/>
    </row>
    <row r="668">
      <c r="A668" s="227"/>
      <c r="B668" s="227"/>
      <c r="C668" s="227"/>
      <c r="D668" s="227"/>
      <c r="E668" s="227"/>
      <c r="F668" s="227"/>
      <c r="G668" s="227"/>
      <c r="H668" s="227"/>
      <c r="I668" s="227"/>
    </row>
    <row r="669">
      <c r="A669" s="263" t="s">
        <v>4087</v>
      </c>
      <c r="B669" s="263" t="s">
        <v>303</v>
      </c>
      <c r="C669" s="263" t="s">
        <v>4088</v>
      </c>
      <c r="D669" s="263" t="s">
        <v>875</v>
      </c>
      <c r="E669" s="263" t="s">
        <v>591</v>
      </c>
      <c r="F669" s="263" t="s">
        <v>2838</v>
      </c>
      <c r="G669" s="227"/>
      <c r="H669" s="227"/>
      <c r="I669" s="227"/>
    </row>
    <row r="670">
      <c r="A670" s="263" t="s">
        <v>4087</v>
      </c>
      <c r="C670" s="263" t="s">
        <v>4089</v>
      </c>
      <c r="D670" s="263" t="s">
        <v>849</v>
      </c>
      <c r="E670" s="263" t="s">
        <v>591</v>
      </c>
      <c r="F670" s="263" t="s">
        <v>2838</v>
      </c>
      <c r="G670" s="227"/>
      <c r="H670" s="227"/>
      <c r="I670" s="227"/>
    </row>
    <row r="671">
      <c r="A671" s="263" t="s">
        <v>4087</v>
      </c>
      <c r="C671" s="263" t="s">
        <v>4090</v>
      </c>
      <c r="D671" s="263" t="s">
        <v>4091</v>
      </c>
      <c r="E671" s="263" t="s">
        <v>591</v>
      </c>
      <c r="F671" s="263" t="s">
        <v>2838</v>
      </c>
      <c r="G671" s="227"/>
      <c r="H671" s="227"/>
      <c r="I671" s="227"/>
    </row>
    <row r="672">
      <c r="A672" s="263" t="s">
        <v>4087</v>
      </c>
      <c r="C672" s="263" t="s">
        <v>4092</v>
      </c>
      <c r="D672" s="263" t="s">
        <v>4093</v>
      </c>
      <c r="E672" s="263" t="s">
        <v>591</v>
      </c>
      <c r="F672" s="263" t="s">
        <v>2838</v>
      </c>
      <c r="G672" s="227"/>
      <c r="H672" s="227"/>
      <c r="I672" s="227"/>
    </row>
    <row r="673">
      <c r="A673" s="263" t="s">
        <v>4087</v>
      </c>
      <c r="C673" s="263" t="s">
        <v>4094</v>
      </c>
      <c r="D673" s="263" t="s">
        <v>4095</v>
      </c>
      <c r="E673" s="263" t="s">
        <v>591</v>
      </c>
      <c r="F673" s="263" t="s">
        <v>2838</v>
      </c>
      <c r="G673" s="227"/>
      <c r="H673" s="227"/>
      <c r="I673" s="227"/>
    </row>
    <row r="674">
      <c r="A674" s="263" t="s">
        <v>4087</v>
      </c>
      <c r="C674" s="263" t="s">
        <v>4096</v>
      </c>
      <c r="D674" s="263" t="s">
        <v>4097</v>
      </c>
      <c r="E674" s="263" t="s">
        <v>591</v>
      </c>
      <c r="F674" s="263" t="s">
        <v>2838</v>
      </c>
      <c r="G674" s="227"/>
      <c r="H674" s="227"/>
      <c r="I674" s="227"/>
    </row>
    <row r="675">
      <c r="A675" s="263" t="s">
        <v>4087</v>
      </c>
      <c r="C675" s="263" t="s">
        <v>4098</v>
      </c>
      <c r="D675" s="263" t="s">
        <v>634</v>
      </c>
      <c r="E675" s="263" t="s">
        <v>591</v>
      </c>
      <c r="F675" s="263" t="s">
        <v>2838</v>
      </c>
      <c r="G675" s="227"/>
      <c r="H675" s="227"/>
      <c r="I675" s="227"/>
    </row>
    <row r="676">
      <c r="A676" s="263" t="s">
        <v>4087</v>
      </c>
      <c r="C676" s="263" t="s">
        <v>4099</v>
      </c>
      <c r="D676" s="263" t="s">
        <v>4100</v>
      </c>
      <c r="E676" s="263" t="s">
        <v>591</v>
      </c>
      <c r="F676" s="263" t="s">
        <v>2838</v>
      </c>
      <c r="G676" s="227"/>
      <c r="H676" s="227"/>
      <c r="I676" s="227"/>
    </row>
    <row r="677">
      <c r="A677" s="263" t="s">
        <v>4087</v>
      </c>
      <c r="C677" s="263" t="s">
        <v>4101</v>
      </c>
      <c r="D677" s="263" t="s">
        <v>4102</v>
      </c>
      <c r="E677" s="263" t="s">
        <v>591</v>
      </c>
      <c r="F677" s="263" t="s">
        <v>2838</v>
      </c>
      <c r="G677" s="227"/>
      <c r="H677" s="227"/>
      <c r="I677" s="227"/>
    </row>
    <row r="678">
      <c r="A678" s="263" t="s">
        <v>4087</v>
      </c>
      <c r="C678" s="263" t="s">
        <v>4103</v>
      </c>
      <c r="D678" s="263" t="s">
        <v>753</v>
      </c>
      <c r="E678" s="263" t="s">
        <v>591</v>
      </c>
      <c r="F678" s="263" t="s">
        <v>2838</v>
      </c>
      <c r="G678" s="227"/>
      <c r="H678" s="227"/>
      <c r="I678" s="227"/>
    </row>
    <row r="679">
      <c r="A679" s="263" t="s">
        <v>4087</v>
      </c>
      <c r="C679" s="263" t="s">
        <v>4104</v>
      </c>
      <c r="D679" s="263" t="s">
        <v>4105</v>
      </c>
      <c r="E679" s="263" t="s">
        <v>591</v>
      </c>
      <c r="F679" s="263" t="s">
        <v>2838</v>
      </c>
      <c r="G679" s="227"/>
      <c r="H679" s="227"/>
      <c r="I679" s="227"/>
    </row>
    <row r="680">
      <c r="A680" s="227"/>
      <c r="B680" s="227"/>
      <c r="C680" s="227"/>
      <c r="D680" s="227"/>
      <c r="E680" s="227"/>
      <c r="F680" s="227"/>
      <c r="G680" s="227"/>
      <c r="H680" s="227"/>
      <c r="I680" s="227"/>
    </row>
    <row r="681">
      <c r="A681" s="231" t="s">
        <v>4107</v>
      </c>
      <c r="B681" s="231" t="s">
        <v>875</v>
      </c>
      <c r="C681" s="231" t="s">
        <v>4108</v>
      </c>
      <c r="D681" s="231" t="s">
        <v>4109</v>
      </c>
      <c r="E681" s="231" t="s">
        <v>4110</v>
      </c>
      <c r="F681" s="231" t="s">
        <v>2857</v>
      </c>
      <c r="G681" s="231" t="s">
        <v>4111</v>
      </c>
      <c r="H681" s="227"/>
      <c r="I681" s="227"/>
    </row>
    <row r="682">
      <c r="A682" s="231" t="s">
        <v>4107</v>
      </c>
      <c r="B682" s="231" t="s">
        <v>875</v>
      </c>
      <c r="C682" s="231" t="s">
        <v>4113</v>
      </c>
      <c r="D682" s="231" t="s">
        <v>4114</v>
      </c>
      <c r="E682" s="231" t="s">
        <v>4110</v>
      </c>
      <c r="F682" s="231" t="s">
        <v>2857</v>
      </c>
      <c r="G682" s="231" t="s">
        <v>4115</v>
      </c>
      <c r="H682" s="227"/>
      <c r="I682" s="227"/>
    </row>
    <row r="683">
      <c r="A683" s="231" t="s">
        <v>4107</v>
      </c>
      <c r="B683" s="231" t="s">
        <v>875</v>
      </c>
      <c r="C683" s="231" t="s">
        <v>4116</v>
      </c>
      <c r="D683" s="231" t="s">
        <v>4117</v>
      </c>
      <c r="E683" s="231" t="s">
        <v>4110</v>
      </c>
      <c r="F683" s="231" t="s">
        <v>2857</v>
      </c>
      <c r="G683" s="231" t="s">
        <v>4118</v>
      </c>
      <c r="H683" s="227"/>
      <c r="I683" s="227"/>
    </row>
    <row r="684">
      <c r="A684" s="231" t="s">
        <v>4107</v>
      </c>
      <c r="B684" s="231" t="s">
        <v>875</v>
      </c>
      <c r="C684" s="231" t="s">
        <v>4119</v>
      </c>
      <c r="D684" s="231" t="s">
        <v>989</v>
      </c>
      <c r="E684" s="231" t="s">
        <v>4110</v>
      </c>
      <c r="F684" s="231" t="s">
        <v>2857</v>
      </c>
      <c r="G684" s="231" t="s">
        <v>4122</v>
      </c>
      <c r="H684" s="227"/>
      <c r="I684" s="227"/>
    </row>
    <row r="685">
      <c r="A685" s="231" t="s">
        <v>4107</v>
      </c>
      <c r="B685" s="231" t="s">
        <v>875</v>
      </c>
      <c r="C685" s="231" t="s">
        <v>4123</v>
      </c>
      <c r="D685" s="231" t="s">
        <v>1776</v>
      </c>
      <c r="E685" s="231" t="s">
        <v>4110</v>
      </c>
      <c r="F685" s="231" t="s">
        <v>2857</v>
      </c>
      <c r="G685" s="231" t="s">
        <v>4126</v>
      </c>
      <c r="H685" s="227"/>
      <c r="I685" s="227"/>
    </row>
    <row r="686">
      <c r="A686" s="231" t="s">
        <v>4107</v>
      </c>
      <c r="B686" s="231" t="s">
        <v>875</v>
      </c>
      <c r="C686" s="231" t="s">
        <v>4130</v>
      </c>
      <c r="D686" s="231" t="s">
        <v>4131</v>
      </c>
      <c r="E686" s="231" t="s">
        <v>4110</v>
      </c>
      <c r="F686" s="231" t="s">
        <v>2857</v>
      </c>
      <c r="G686" s="231" t="s">
        <v>4132</v>
      </c>
      <c r="H686" s="227"/>
      <c r="I686" s="227"/>
    </row>
    <row r="687">
      <c r="A687" s="231" t="s">
        <v>4107</v>
      </c>
      <c r="B687" s="231" t="s">
        <v>875</v>
      </c>
      <c r="C687" s="231" t="s">
        <v>4133</v>
      </c>
      <c r="D687" s="231" t="s">
        <v>876</v>
      </c>
      <c r="E687" s="231" t="s">
        <v>4110</v>
      </c>
      <c r="F687" s="231" t="s">
        <v>2857</v>
      </c>
      <c r="G687" s="231" t="s">
        <v>4134</v>
      </c>
      <c r="H687" s="227"/>
      <c r="I687" s="227"/>
    </row>
    <row r="688">
      <c r="A688" s="231" t="s">
        <v>4107</v>
      </c>
      <c r="B688" s="231" t="s">
        <v>875</v>
      </c>
      <c r="C688" s="231" t="s">
        <v>4135</v>
      </c>
      <c r="D688" s="231" t="s">
        <v>4136</v>
      </c>
      <c r="E688" s="231" t="s">
        <v>4110</v>
      </c>
      <c r="F688" s="231" t="s">
        <v>2857</v>
      </c>
      <c r="G688" s="231" t="s">
        <v>4137</v>
      </c>
      <c r="H688" s="227"/>
      <c r="I688" s="227"/>
    </row>
    <row r="689">
      <c r="A689" s="231" t="s">
        <v>4107</v>
      </c>
      <c r="B689" s="263" t="s">
        <v>849</v>
      </c>
      <c r="C689" s="264"/>
      <c r="D689" s="264"/>
      <c r="E689" s="264"/>
      <c r="F689" s="264"/>
      <c r="G689" s="227"/>
      <c r="H689" s="227"/>
      <c r="I689" s="227"/>
    </row>
    <row r="690">
      <c r="A690" s="231" t="s">
        <v>4107</v>
      </c>
      <c r="B690" s="263" t="s">
        <v>849</v>
      </c>
      <c r="C690" s="264"/>
      <c r="D690" s="264"/>
      <c r="E690" s="264"/>
      <c r="F690" s="264"/>
      <c r="G690" s="227"/>
      <c r="H690" s="227"/>
      <c r="I690" s="227"/>
    </row>
    <row r="691">
      <c r="A691" s="231" t="s">
        <v>4107</v>
      </c>
      <c r="B691" s="263" t="s">
        <v>849</v>
      </c>
      <c r="C691" s="264"/>
      <c r="D691" s="264"/>
      <c r="E691" s="264"/>
      <c r="F691" s="264"/>
      <c r="G691" s="227"/>
      <c r="H691" s="227"/>
      <c r="I691" s="227"/>
    </row>
    <row r="692">
      <c r="A692" s="231" t="s">
        <v>4107</v>
      </c>
      <c r="B692" s="263" t="s">
        <v>849</v>
      </c>
      <c r="C692" s="264"/>
      <c r="D692" s="264"/>
      <c r="E692" s="264"/>
      <c r="F692" s="264"/>
      <c r="G692" s="227"/>
      <c r="H692" s="227"/>
      <c r="I692" s="227"/>
    </row>
    <row r="693">
      <c r="A693" s="231" t="s">
        <v>4107</v>
      </c>
      <c r="B693" s="263" t="s">
        <v>849</v>
      </c>
      <c r="C693" s="264"/>
      <c r="D693" s="264"/>
      <c r="E693" s="264"/>
      <c r="F693" s="264"/>
      <c r="G693" s="227"/>
      <c r="H693" s="227"/>
      <c r="I693" s="227"/>
    </row>
    <row r="694">
      <c r="A694" s="231" t="s">
        <v>4107</v>
      </c>
      <c r="B694" s="263" t="s">
        <v>849</v>
      </c>
      <c r="C694" s="264"/>
      <c r="D694" s="264"/>
      <c r="E694" s="264"/>
      <c r="F694" s="264"/>
      <c r="G694" s="227"/>
      <c r="H694" s="227"/>
      <c r="I694" s="227"/>
    </row>
    <row r="695">
      <c r="A695" s="231" t="s">
        <v>4107</v>
      </c>
      <c r="B695" s="263" t="s">
        <v>849</v>
      </c>
      <c r="C695" s="264"/>
      <c r="D695" s="264"/>
      <c r="E695" s="264"/>
      <c r="F695" s="264"/>
      <c r="G695" s="227"/>
      <c r="H695" s="227"/>
      <c r="I695" s="227"/>
    </row>
    <row r="696">
      <c r="A696" s="231" t="s">
        <v>4107</v>
      </c>
      <c r="B696" s="263" t="s">
        <v>849</v>
      </c>
      <c r="C696" s="264"/>
      <c r="D696" s="264"/>
      <c r="E696" s="264"/>
      <c r="F696" s="264"/>
      <c r="G696" s="227"/>
      <c r="H696" s="227"/>
      <c r="I696" s="227"/>
    </row>
    <row r="697">
      <c r="A697" s="231" t="s">
        <v>4107</v>
      </c>
      <c r="B697" s="263" t="s">
        <v>4091</v>
      </c>
      <c r="C697" s="264"/>
      <c r="D697" s="264"/>
      <c r="E697" s="264"/>
      <c r="F697" s="264"/>
      <c r="G697" s="227"/>
      <c r="H697" s="227"/>
      <c r="I697" s="227"/>
    </row>
    <row r="698">
      <c r="A698" s="231" t="s">
        <v>4107</v>
      </c>
      <c r="B698" s="263" t="s">
        <v>4091</v>
      </c>
      <c r="C698" s="264"/>
      <c r="D698" s="264"/>
      <c r="E698" s="264"/>
      <c r="F698" s="264"/>
      <c r="G698" s="227"/>
      <c r="H698" s="227"/>
      <c r="I698" s="227"/>
    </row>
    <row r="699">
      <c r="A699" s="231" t="s">
        <v>4107</v>
      </c>
      <c r="B699" s="263" t="s">
        <v>4091</v>
      </c>
      <c r="C699" s="264"/>
      <c r="D699" s="264"/>
      <c r="E699" s="264"/>
      <c r="F699" s="264"/>
      <c r="G699" s="227"/>
      <c r="H699" s="227"/>
      <c r="I699" s="227"/>
    </row>
    <row r="700">
      <c r="A700" s="231" t="s">
        <v>4107</v>
      </c>
      <c r="B700" s="263" t="s">
        <v>4091</v>
      </c>
      <c r="C700" s="264"/>
      <c r="D700" s="264"/>
      <c r="E700" s="264"/>
      <c r="F700" s="264"/>
      <c r="G700" s="227"/>
      <c r="H700" s="227"/>
      <c r="I700" s="227"/>
    </row>
    <row r="701">
      <c r="A701" s="231" t="s">
        <v>4107</v>
      </c>
      <c r="B701" s="263" t="s">
        <v>4091</v>
      </c>
      <c r="C701" s="264"/>
      <c r="D701" s="264"/>
      <c r="E701" s="264"/>
      <c r="F701" s="264"/>
      <c r="G701" s="227"/>
      <c r="H701" s="227"/>
      <c r="I701" s="227"/>
    </row>
    <row r="702">
      <c r="A702" s="231" t="s">
        <v>4107</v>
      </c>
      <c r="B702" s="263" t="s">
        <v>4091</v>
      </c>
      <c r="C702" s="264"/>
      <c r="D702" s="264"/>
      <c r="E702" s="264"/>
      <c r="F702" s="264"/>
      <c r="G702" s="227"/>
      <c r="H702" s="227"/>
      <c r="I702" s="227"/>
    </row>
    <row r="703">
      <c r="A703" s="231" t="s">
        <v>4107</v>
      </c>
      <c r="B703" s="263" t="s">
        <v>4091</v>
      </c>
      <c r="C703" s="264"/>
      <c r="D703" s="264"/>
      <c r="E703" s="264"/>
      <c r="F703" s="264"/>
      <c r="G703" s="227"/>
      <c r="H703" s="227"/>
      <c r="I703" s="227"/>
    </row>
    <row r="704">
      <c r="A704" s="231" t="s">
        <v>4107</v>
      </c>
      <c r="B704" s="263" t="s">
        <v>4093</v>
      </c>
      <c r="C704" s="264"/>
      <c r="D704" s="264"/>
      <c r="E704" s="264"/>
      <c r="F704" s="264"/>
      <c r="G704" s="227"/>
      <c r="H704" s="227"/>
      <c r="I704" s="227"/>
    </row>
    <row r="705">
      <c r="A705" s="231" t="s">
        <v>4107</v>
      </c>
      <c r="B705" s="263" t="s">
        <v>4093</v>
      </c>
      <c r="C705" s="264"/>
      <c r="D705" s="264"/>
      <c r="E705" s="264"/>
      <c r="F705" s="264"/>
      <c r="G705" s="227"/>
      <c r="H705" s="227"/>
      <c r="I705" s="227"/>
    </row>
    <row r="706">
      <c r="A706" s="231" t="s">
        <v>4107</v>
      </c>
      <c r="B706" s="263" t="s">
        <v>4093</v>
      </c>
      <c r="C706" s="264"/>
      <c r="D706" s="264"/>
      <c r="E706" s="264"/>
      <c r="F706" s="264"/>
      <c r="G706" s="227"/>
      <c r="H706" s="227"/>
      <c r="I706" s="227"/>
    </row>
    <row r="707">
      <c r="A707" s="231" t="s">
        <v>4107</v>
      </c>
      <c r="B707" s="263" t="s">
        <v>4093</v>
      </c>
      <c r="C707" s="264"/>
      <c r="D707" s="264"/>
      <c r="E707" s="264"/>
      <c r="F707" s="264"/>
      <c r="G707" s="227"/>
      <c r="H707" s="227"/>
      <c r="I707" s="227"/>
    </row>
    <row r="708">
      <c r="A708" s="231" t="s">
        <v>4107</v>
      </c>
      <c r="B708" s="263" t="s">
        <v>4093</v>
      </c>
      <c r="C708" s="264"/>
      <c r="D708" s="264"/>
      <c r="E708" s="264"/>
      <c r="F708" s="264"/>
      <c r="G708" s="227"/>
      <c r="H708" s="227"/>
      <c r="I708" s="227"/>
    </row>
    <row r="709">
      <c r="A709" s="231" t="s">
        <v>4107</v>
      </c>
      <c r="B709" s="263" t="s">
        <v>4093</v>
      </c>
      <c r="C709" s="264"/>
      <c r="D709" s="264"/>
      <c r="E709" s="264"/>
      <c r="F709" s="264"/>
      <c r="G709" s="227"/>
      <c r="H709" s="227"/>
      <c r="I709" s="227"/>
    </row>
    <row r="710">
      <c r="A710" s="231" t="s">
        <v>4107</v>
      </c>
      <c r="B710" s="263" t="s">
        <v>4095</v>
      </c>
      <c r="C710" s="264"/>
      <c r="D710" s="264"/>
      <c r="E710" s="264"/>
      <c r="F710" s="264"/>
      <c r="G710" s="227"/>
      <c r="H710" s="227"/>
      <c r="I710" s="227"/>
    </row>
    <row r="711">
      <c r="A711" s="231" t="s">
        <v>4107</v>
      </c>
      <c r="B711" s="263" t="s">
        <v>4095</v>
      </c>
      <c r="C711" s="264"/>
      <c r="D711" s="264"/>
      <c r="E711" s="264"/>
      <c r="F711" s="264"/>
      <c r="G711" s="227"/>
      <c r="H711" s="227"/>
      <c r="I711" s="227"/>
    </row>
    <row r="712">
      <c r="A712" s="231" t="s">
        <v>4107</v>
      </c>
      <c r="B712" s="263" t="s">
        <v>4095</v>
      </c>
      <c r="C712" s="264"/>
      <c r="D712" s="264"/>
      <c r="E712" s="264"/>
      <c r="F712" s="264"/>
      <c r="G712" s="227"/>
      <c r="H712" s="227"/>
      <c r="I712" s="227"/>
    </row>
    <row r="713">
      <c r="A713" s="231" t="s">
        <v>4107</v>
      </c>
      <c r="B713" s="263" t="s">
        <v>4095</v>
      </c>
      <c r="C713" s="264"/>
      <c r="D713" s="264"/>
      <c r="E713" s="264"/>
      <c r="F713" s="264"/>
      <c r="G713" s="227"/>
      <c r="H713" s="227"/>
      <c r="I713" s="227"/>
    </row>
    <row r="714">
      <c r="A714" s="231" t="s">
        <v>4107</v>
      </c>
      <c r="B714" s="263" t="s">
        <v>4095</v>
      </c>
      <c r="C714" s="264"/>
      <c r="D714" s="264"/>
      <c r="E714" s="264"/>
      <c r="F714" s="264"/>
      <c r="G714" s="227"/>
      <c r="H714" s="227"/>
      <c r="I714" s="227"/>
    </row>
    <row r="715">
      <c r="A715" s="231" t="s">
        <v>4107</v>
      </c>
      <c r="B715" s="263" t="s">
        <v>4095</v>
      </c>
      <c r="C715" s="264"/>
      <c r="D715" s="264"/>
      <c r="E715" s="264"/>
      <c r="F715" s="264"/>
      <c r="G715" s="227"/>
      <c r="H715" s="227"/>
      <c r="I715" s="227"/>
    </row>
    <row r="716">
      <c r="A716" s="231" t="s">
        <v>4107</v>
      </c>
      <c r="B716" s="263" t="s">
        <v>4095</v>
      </c>
      <c r="C716" s="264"/>
      <c r="D716" s="264"/>
      <c r="E716" s="264"/>
      <c r="F716" s="264"/>
      <c r="G716" s="227"/>
      <c r="H716" s="227"/>
      <c r="I716" s="227"/>
    </row>
    <row r="717">
      <c r="A717" s="231" t="s">
        <v>4107</v>
      </c>
      <c r="B717" s="263" t="s">
        <v>4095</v>
      </c>
      <c r="C717" s="264"/>
      <c r="D717" s="264"/>
      <c r="E717" s="264"/>
      <c r="F717" s="264"/>
      <c r="G717" s="227"/>
      <c r="H717" s="227"/>
      <c r="I717" s="227"/>
    </row>
    <row r="718">
      <c r="A718" s="231" t="s">
        <v>4107</v>
      </c>
      <c r="B718" s="263" t="s">
        <v>4097</v>
      </c>
      <c r="C718" s="264"/>
      <c r="D718" s="264"/>
      <c r="E718" s="264"/>
      <c r="F718" s="264"/>
      <c r="G718" s="227"/>
      <c r="H718" s="227"/>
      <c r="I718" s="227"/>
    </row>
    <row r="719">
      <c r="A719" s="231" t="s">
        <v>4107</v>
      </c>
      <c r="B719" s="263" t="s">
        <v>4097</v>
      </c>
      <c r="C719" s="264"/>
      <c r="D719" s="264"/>
      <c r="E719" s="264"/>
      <c r="F719" s="264"/>
      <c r="G719" s="227"/>
      <c r="H719" s="227"/>
      <c r="I719" s="227"/>
    </row>
    <row r="720">
      <c r="A720" s="231" t="s">
        <v>4107</v>
      </c>
      <c r="B720" s="263" t="s">
        <v>4097</v>
      </c>
      <c r="C720" s="264"/>
      <c r="D720" s="264"/>
      <c r="E720" s="264"/>
      <c r="F720" s="264"/>
      <c r="G720" s="227"/>
      <c r="H720" s="227"/>
      <c r="I720" s="227"/>
    </row>
    <row r="721">
      <c r="A721" s="231" t="s">
        <v>4107</v>
      </c>
      <c r="B721" s="263" t="s">
        <v>4097</v>
      </c>
      <c r="C721" s="264"/>
      <c r="D721" s="264"/>
      <c r="E721" s="264"/>
      <c r="F721" s="264"/>
      <c r="G721" s="227"/>
      <c r="H721" s="227"/>
      <c r="I721" s="227"/>
    </row>
    <row r="722">
      <c r="A722" s="231" t="s">
        <v>4107</v>
      </c>
      <c r="B722" s="263" t="s">
        <v>4097</v>
      </c>
      <c r="C722" s="264"/>
      <c r="D722" s="264"/>
      <c r="E722" s="264"/>
      <c r="F722" s="264"/>
      <c r="G722" s="227"/>
      <c r="H722" s="227"/>
      <c r="I722" s="227"/>
    </row>
    <row r="723">
      <c r="A723" s="231" t="s">
        <v>4107</v>
      </c>
      <c r="B723" s="263" t="s">
        <v>4097</v>
      </c>
      <c r="C723" s="264"/>
      <c r="D723" s="264"/>
      <c r="E723" s="264"/>
      <c r="F723" s="264"/>
      <c r="G723" s="227"/>
      <c r="H723" s="227"/>
      <c r="I723" s="227"/>
    </row>
    <row r="724">
      <c r="A724" s="231" t="s">
        <v>4107</v>
      </c>
      <c r="B724" s="263" t="s">
        <v>634</v>
      </c>
      <c r="C724" s="264"/>
      <c r="D724" s="264"/>
      <c r="E724" s="264"/>
      <c r="F724" s="264"/>
      <c r="G724" s="227"/>
      <c r="H724" s="227"/>
      <c r="I724" s="227"/>
    </row>
    <row r="725">
      <c r="A725" s="231" t="s">
        <v>4107</v>
      </c>
      <c r="B725" s="263" t="s">
        <v>634</v>
      </c>
      <c r="C725" s="264"/>
      <c r="D725" s="264"/>
      <c r="E725" s="264"/>
      <c r="F725" s="264"/>
      <c r="G725" s="227"/>
      <c r="H725" s="227"/>
      <c r="I725" s="227"/>
    </row>
    <row r="726">
      <c r="A726" s="231" t="s">
        <v>4107</v>
      </c>
      <c r="B726" s="263" t="s">
        <v>634</v>
      </c>
      <c r="C726" s="264"/>
      <c r="D726" s="264"/>
      <c r="E726" s="264"/>
      <c r="F726" s="264"/>
      <c r="G726" s="227"/>
      <c r="H726" s="227"/>
      <c r="I726" s="227"/>
    </row>
    <row r="727">
      <c r="A727" s="231" t="s">
        <v>4107</v>
      </c>
      <c r="B727" s="263" t="s">
        <v>634</v>
      </c>
      <c r="C727" s="264"/>
      <c r="D727" s="264"/>
      <c r="E727" s="264"/>
      <c r="F727" s="264"/>
      <c r="G727" s="227"/>
      <c r="H727" s="227"/>
      <c r="I727" s="227"/>
    </row>
    <row r="728">
      <c r="A728" s="238" t="s">
        <v>4107</v>
      </c>
      <c r="B728" s="263" t="s">
        <v>634</v>
      </c>
      <c r="C728" s="265"/>
      <c r="D728" s="265"/>
      <c r="E728" s="265"/>
      <c r="F728" s="264"/>
      <c r="G728" s="227"/>
      <c r="H728" s="227"/>
      <c r="I728" s="227"/>
    </row>
    <row r="729">
      <c r="A729" s="238" t="s">
        <v>4107</v>
      </c>
      <c r="B729" s="263" t="s">
        <v>4100</v>
      </c>
      <c r="C729" s="265"/>
      <c r="D729" s="265"/>
      <c r="E729" s="265"/>
      <c r="F729" s="264"/>
      <c r="G729" s="227"/>
      <c r="H729" s="227"/>
      <c r="I729" s="227"/>
    </row>
    <row r="730">
      <c r="A730" s="238" t="s">
        <v>4107</v>
      </c>
      <c r="B730" s="263" t="s">
        <v>4100</v>
      </c>
      <c r="C730" s="265"/>
      <c r="D730" s="265"/>
      <c r="E730" s="265"/>
      <c r="F730" s="264"/>
      <c r="G730" s="227"/>
      <c r="H730" s="227"/>
      <c r="I730" s="227"/>
    </row>
    <row r="731">
      <c r="A731" s="238" t="s">
        <v>4107</v>
      </c>
      <c r="B731" s="263" t="s">
        <v>4100</v>
      </c>
      <c r="C731" s="265"/>
      <c r="D731" s="265"/>
      <c r="E731" s="265"/>
      <c r="F731" s="264"/>
      <c r="G731" s="227"/>
      <c r="H731" s="227"/>
      <c r="I731" s="227"/>
    </row>
    <row r="732">
      <c r="A732" s="231" t="s">
        <v>4107</v>
      </c>
      <c r="B732" s="263" t="s">
        <v>4100</v>
      </c>
      <c r="C732" s="264"/>
      <c r="D732" s="264"/>
      <c r="E732" s="264"/>
      <c r="F732" s="264"/>
      <c r="G732" s="227"/>
      <c r="H732" s="227"/>
      <c r="I732" s="227"/>
    </row>
    <row r="733">
      <c r="A733" s="231" t="s">
        <v>4107</v>
      </c>
      <c r="B733" s="263" t="s">
        <v>4100</v>
      </c>
      <c r="C733" s="264"/>
      <c r="D733" s="264"/>
      <c r="E733" s="264"/>
      <c r="F733" s="264"/>
      <c r="G733" s="227"/>
      <c r="H733" s="227"/>
      <c r="I733" s="227"/>
    </row>
    <row r="734">
      <c r="A734" s="231" t="s">
        <v>4107</v>
      </c>
      <c r="B734" s="263" t="s">
        <v>4100</v>
      </c>
      <c r="C734" s="264"/>
      <c r="D734" s="264"/>
      <c r="E734" s="264"/>
      <c r="F734" s="264"/>
      <c r="G734" s="227"/>
      <c r="H734" s="227"/>
      <c r="I734" s="227"/>
    </row>
    <row r="735">
      <c r="A735" s="231" t="s">
        <v>4107</v>
      </c>
      <c r="B735" s="263" t="s">
        <v>4102</v>
      </c>
      <c r="C735" s="264"/>
      <c r="D735" s="264"/>
      <c r="E735" s="264"/>
      <c r="F735" s="264"/>
      <c r="G735" s="227"/>
      <c r="H735" s="227"/>
      <c r="I735" s="227"/>
    </row>
    <row r="736">
      <c r="A736" s="231" t="s">
        <v>4107</v>
      </c>
      <c r="B736" s="263" t="s">
        <v>4102</v>
      </c>
      <c r="C736" s="264"/>
      <c r="D736" s="264"/>
      <c r="E736" s="264"/>
      <c r="F736" s="264"/>
      <c r="G736" s="227"/>
      <c r="H736" s="227"/>
      <c r="I736" s="227"/>
    </row>
    <row r="737">
      <c r="A737" s="231" t="s">
        <v>4107</v>
      </c>
      <c r="B737" s="263" t="s">
        <v>4102</v>
      </c>
      <c r="C737" s="264"/>
      <c r="D737" s="264"/>
      <c r="E737" s="264"/>
      <c r="F737" s="264"/>
      <c r="G737" s="227"/>
      <c r="H737" s="227"/>
      <c r="I737" s="227"/>
    </row>
    <row r="738">
      <c r="A738" s="231" t="s">
        <v>4107</v>
      </c>
      <c r="B738" s="263" t="s">
        <v>4102</v>
      </c>
      <c r="C738" s="264"/>
      <c r="D738" s="264"/>
      <c r="E738" s="264"/>
      <c r="F738" s="264"/>
      <c r="G738" s="227"/>
      <c r="H738" s="227"/>
      <c r="I738" s="227"/>
    </row>
    <row r="739">
      <c r="A739" s="231" t="s">
        <v>4107</v>
      </c>
      <c r="B739" s="263" t="s">
        <v>4102</v>
      </c>
      <c r="C739" s="264"/>
      <c r="D739" s="264"/>
      <c r="E739" s="264"/>
      <c r="F739" s="264"/>
      <c r="G739" s="227"/>
      <c r="H739" s="227"/>
      <c r="I739" s="227"/>
    </row>
    <row r="740">
      <c r="A740" s="231" t="s">
        <v>4107</v>
      </c>
      <c r="B740" s="263" t="s">
        <v>4102</v>
      </c>
      <c r="C740" s="264"/>
      <c r="D740" s="264"/>
      <c r="E740" s="264"/>
      <c r="F740" s="264"/>
      <c r="G740" s="227"/>
      <c r="H740" s="227"/>
      <c r="I740" s="227"/>
    </row>
    <row r="741">
      <c r="A741" s="231" t="s">
        <v>4107</v>
      </c>
      <c r="B741" s="263" t="s">
        <v>753</v>
      </c>
      <c r="C741" s="264"/>
      <c r="D741" s="264"/>
      <c r="E741" s="264"/>
      <c r="F741" s="264"/>
      <c r="G741" s="227"/>
      <c r="H741" s="227"/>
      <c r="I741" s="227"/>
    </row>
    <row r="742">
      <c r="A742" s="231" t="s">
        <v>4107</v>
      </c>
      <c r="B742" s="263" t="s">
        <v>753</v>
      </c>
      <c r="C742" s="264"/>
      <c r="D742" s="264"/>
      <c r="E742" s="264"/>
      <c r="F742" s="264"/>
      <c r="G742" s="227"/>
      <c r="H742" s="227"/>
      <c r="I742" s="227"/>
    </row>
    <row r="743">
      <c r="A743" s="231" t="s">
        <v>4107</v>
      </c>
      <c r="B743" s="263" t="s">
        <v>753</v>
      </c>
      <c r="C743" s="264"/>
      <c r="D743" s="264"/>
      <c r="E743" s="264"/>
      <c r="F743" s="264"/>
      <c r="G743" s="227"/>
      <c r="H743" s="227"/>
      <c r="I743" s="227"/>
    </row>
    <row r="744">
      <c r="A744" s="231" t="s">
        <v>4107</v>
      </c>
      <c r="B744" s="263" t="s">
        <v>753</v>
      </c>
      <c r="C744" s="264"/>
      <c r="D744" s="264"/>
      <c r="E744" s="264"/>
      <c r="F744" s="264"/>
      <c r="G744" s="227"/>
      <c r="H744" s="227"/>
      <c r="I744" s="227"/>
    </row>
    <row r="745">
      <c r="A745" s="231" t="s">
        <v>4107</v>
      </c>
      <c r="B745" s="263" t="s">
        <v>753</v>
      </c>
      <c r="C745" s="264"/>
      <c r="D745" s="264"/>
      <c r="E745" s="264"/>
      <c r="F745" s="264"/>
      <c r="G745" s="227"/>
      <c r="H745" s="227"/>
      <c r="I745" s="227"/>
    </row>
    <row r="746">
      <c r="A746" s="231" t="s">
        <v>4107</v>
      </c>
      <c r="B746" s="263" t="s">
        <v>753</v>
      </c>
      <c r="C746" s="264"/>
      <c r="D746" s="264"/>
      <c r="E746" s="264"/>
      <c r="F746" s="264"/>
      <c r="G746" s="227"/>
      <c r="H746" s="227"/>
      <c r="I746" s="227"/>
    </row>
    <row r="747">
      <c r="A747" s="231" t="s">
        <v>4107</v>
      </c>
      <c r="B747" s="263" t="s">
        <v>4159</v>
      </c>
      <c r="C747" s="264"/>
      <c r="D747" s="264"/>
      <c r="E747" s="264"/>
      <c r="F747" s="264"/>
      <c r="G747" s="227"/>
      <c r="H747" s="227"/>
      <c r="I747" s="227"/>
    </row>
    <row r="748">
      <c r="A748" s="231" t="s">
        <v>4107</v>
      </c>
      <c r="B748" s="263" t="s">
        <v>4159</v>
      </c>
      <c r="C748" s="264"/>
      <c r="D748" s="264"/>
      <c r="E748" s="264"/>
      <c r="F748" s="264"/>
      <c r="G748" s="227"/>
      <c r="H748" s="227"/>
      <c r="I748" s="227"/>
    </row>
    <row r="749">
      <c r="A749" s="231" t="s">
        <v>4107</v>
      </c>
      <c r="B749" s="263" t="s">
        <v>4159</v>
      </c>
      <c r="C749" s="264"/>
      <c r="D749" s="264"/>
      <c r="E749" s="264"/>
      <c r="F749" s="264"/>
      <c r="G749" s="227"/>
      <c r="H749" s="227"/>
      <c r="I749" s="227"/>
    </row>
    <row r="750">
      <c r="A750" s="231" t="s">
        <v>4107</v>
      </c>
      <c r="B750" s="263" t="s">
        <v>4159</v>
      </c>
      <c r="C750" s="264"/>
      <c r="D750" s="264"/>
      <c r="E750" s="264"/>
      <c r="F750" s="264"/>
      <c r="G750" s="227"/>
      <c r="H750" s="227"/>
      <c r="I750" s="227"/>
    </row>
    <row r="751">
      <c r="A751" s="231" t="s">
        <v>4107</v>
      </c>
      <c r="B751" s="263" t="s">
        <v>4159</v>
      </c>
      <c r="C751" s="264"/>
      <c r="D751" s="264"/>
      <c r="E751" s="264"/>
      <c r="F751" s="264"/>
      <c r="G751" s="227"/>
      <c r="H751" s="227"/>
      <c r="I751" s="227"/>
    </row>
    <row r="752">
      <c r="A752" s="231" t="s">
        <v>4107</v>
      </c>
      <c r="B752" s="263" t="s">
        <v>4159</v>
      </c>
      <c r="C752" s="264"/>
      <c r="D752" s="264"/>
      <c r="E752" s="264"/>
      <c r="F752" s="264"/>
      <c r="G752" s="227"/>
      <c r="H752" s="227"/>
      <c r="I752" s="227"/>
    </row>
    <row r="753">
      <c r="A753" s="227"/>
      <c r="B753" s="227"/>
      <c r="C753" s="264"/>
      <c r="D753" s="264"/>
      <c r="E753" s="264"/>
      <c r="F753" s="264"/>
      <c r="G753" s="227"/>
      <c r="H753" s="227"/>
      <c r="I753" s="227"/>
    </row>
    <row r="754">
      <c r="A754" s="231" t="s">
        <v>4160</v>
      </c>
      <c r="B754" s="231" t="s">
        <v>311</v>
      </c>
      <c r="C754" s="231" t="s">
        <v>4161</v>
      </c>
      <c r="D754" s="231" t="s">
        <v>640</v>
      </c>
      <c r="E754" s="231" t="s">
        <v>591</v>
      </c>
      <c r="F754" s="231" t="s">
        <v>2838</v>
      </c>
      <c r="G754" s="227"/>
      <c r="H754" s="227"/>
      <c r="I754" s="227"/>
    </row>
    <row r="755">
      <c r="A755" s="231" t="s">
        <v>4160</v>
      </c>
      <c r="C755" s="231" t="s">
        <v>4162</v>
      </c>
      <c r="D755" s="231" t="s">
        <v>794</v>
      </c>
      <c r="E755" s="231" t="s">
        <v>591</v>
      </c>
      <c r="F755" s="231" t="s">
        <v>2838</v>
      </c>
      <c r="G755" s="227"/>
      <c r="H755" s="227"/>
      <c r="I755" s="227"/>
    </row>
    <row r="756">
      <c r="A756" s="231" t="s">
        <v>4160</v>
      </c>
      <c r="C756" s="231" t="s">
        <v>4163</v>
      </c>
      <c r="D756" s="231" t="s">
        <v>879</v>
      </c>
      <c r="E756" s="231" t="s">
        <v>591</v>
      </c>
      <c r="F756" s="231" t="s">
        <v>2838</v>
      </c>
      <c r="G756" s="227"/>
      <c r="H756" s="227"/>
      <c r="I756" s="227"/>
    </row>
    <row r="757">
      <c r="A757" s="231" t="s">
        <v>4160</v>
      </c>
      <c r="C757" s="231" t="s">
        <v>4164</v>
      </c>
      <c r="D757" s="231" t="s">
        <v>4165</v>
      </c>
      <c r="E757" s="231" t="s">
        <v>591</v>
      </c>
      <c r="F757" s="231" t="s">
        <v>2838</v>
      </c>
      <c r="G757" s="227"/>
      <c r="H757" s="227"/>
      <c r="I757" s="227"/>
    </row>
    <row r="758">
      <c r="A758" s="227"/>
      <c r="B758" s="227"/>
      <c r="C758" s="227"/>
      <c r="D758" s="227"/>
      <c r="E758" s="227"/>
      <c r="F758" s="227"/>
      <c r="G758" s="227"/>
      <c r="H758" s="227"/>
      <c r="I758" s="227"/>
    </row>
    <row r="759">
      <c r="A759" s="230" t="s">
        <v>4167</v>
      </c>
    </row>
    <row r="760">
      <c r="A760" s="231" t="s">
        <v>354</v>
      </c>
      <c r="B760" s="231" t="s">
        <v>128</v>
      </c>
      <c r="C760" s="231" t="s">
        <v>4169</v>
      </c>
      <c r="D760" s="231" t="s">
        <v>4170</v>
      </c>
      <c r="E760" s="231" t="s">
        <v>488</v>
      </c>
      <c r="F760" s="231" t="s">
        <v>2838</v>
      </c>
      <c r="G760" s="227"/>
      <c r="H760" s="227"/>
      <c r="I760" s="227"/>
    </row>
    <row r="761">
      <c r="A761" s="231" t="s">
        <v>354</v>
      </c>
      <c r="C761" s="231" t="s">
        <v>4172</v>
      </c>
      <c r="D761" s="231" t="s">
        <v>4173</v>
      </c>
      <c r="E761" s="231" t="s">
        <v>488</v>
      </c>
      <c r="F761" s="231" t="s">
        <v>2838</v>
      </c>
      <c r="G761" s="227"/>
      <c r="H761" s="227"/>
      <c r="I761" s="227"/>
    </row>
    <row r="762">
      <c r="A762" s="231" t="s">
        <v>354</v>
      </c>
      <c r="C762" s="231" t="s">
        <v>4174</v>
      </c>
      <c r="D762" s="231" t="s">
        <v>4175</v>
      </c>
      <c r="E762" s="231" t="s">
        <v>488</v>
      </c>
      <c r="F762" s="231" t="s">
        <v>2838</v>
      </c>
      <c r="G762" s="227"/>
      <c r="H762" s="227"/>
      <c r="I762" s="227"/>
    </row>
    <row r="763">
      <c r="A763" s="231" t="s">
        <v>354</v>
      </c>
      <c r="C763" s="231" t="s">
        <v>4176</v>
      </c>
      <c r="D763" s="231" t="s">
        <v>714</v>
      </c>
      <c r="E763" s="231" t="s">
        <v>488</v>
      </c>
      <c r="F763" s="231" t="s">
        <v>2838</v>
      </c>
      <c r="G763" s="227"/>
      <c r="H763" s="227"/>
      <c r="I763" s="227"/>
    </row>
    <row r="764">
      <c r="A764" s="231" t="s">
        <v>354</v>
      </c>
      <c r="C764" s="231" t="s">
        <v>4178</v>
      </c>
      <c r="D764" s="231" t="s">
        <v>4179</v>
      </c>
      <c r="E764" s="231" t="s">
        <v>488</v>
      </c>
      <c r="F764" s="231" t="s">
        <v>2838</v>
      </c>
      <c r="G764" s="227"/>
      <c r="H764" s="227"/>
      <c r="I764" s="227"/>
    </row>
    <row r="765">
      <c r="A765" s="231" t="s">
        <v>354</v>
      </c>
      <c r="C765" s="231" t="s">
        <v>4182</v>
      </c>
      <c r="D765" s="231" t="s">
        <v>521</v>
      </c>
      <c r="E765" s="231" t="s">
        <v>488</v>
      </c>
      <c r="F765" s="231" t="s">
        <v>2838</v>
      </c>
      <c r="G765" s="227"/>
      <c r="H765" s="227"/>
      <c r="I765" s="227"/>
    </row>
    <row r="766">
      <c r="A766" s="231" t="s">
        <v>354</v>
      </c>
      <c r="C766" s="231" t="s">
        <v>4184</v>
      </c>
      <c r="D766" s="231" t="s">
        <v>4185</v>
      </c>
      <c r="E766" s="231" t="s">
        <v>488</v>
      </c>
      <c r="F766" s="231" t="s">
        <v>2838</v>
      </c>
      <c r="G766" s="227"/>
      <c r="H766" s="227"/>
      <c r="I766" s="227"/>
    </row>
    <row r="767">
      <c r="A767" s="231" t="s">
        <v>354</v>
      </c>
      <c r="C767" s="231" t="s">
        <v>4186</v>
      </c>
      <c r="D767" s="231" t="s">
        <v>4187</v>
      </c>
      <c r="E767" s="231" t="s">
        <v>488</v>
      </c>
      <c r="F767" s="231" t="s">
        <v>2838</v>
      </c>
      <c r="G767" s="227"/>
      <c r="H767" s="227"/>
      <c r="I767" s="227"/>
    </row>
    <row r="768">
      <c r="A768" s="231" t="s">
        <v>354</v>
      </c>
      <c r="C768" s="231" t="s">
        <v>4188</v>
      </c>
      <c r="D768" s="231" t="s">
        <v>4189</v>
      </c>
      <c r="E768" s="231" t="s">
        <v>488</v>
      </c>
      <c r="F768" s="231" t="s">
        <v>2838</v>
      </c>
      <c r="G768" s="227"/>
      <c r="H768" s="227"/>
      <c r="I768" s="227"/>
    </row>
    <row r="769">
      <c r="A769" s="231" t="s">
        <v>354</v>
      </c>
      <c r="C769" s="231" t="s">
        <v>4190</v>
      </c>
      <c r="D769" s="231" t="s">
        <v>3070</v>
      </c>
      <c r="E769" s="231" t="s">
        <v>488</v>
      </c>
      <c r="F769" s="231" t="s">
        <v>2838</v>
      </c>
      <c r="G769" s="227"/>
      <c r="H769" s="227"/>
      <c r="I769" s="227"/>
    </row>
    <row r="770">
      <c r="A770" s="231" t="s">
        <v>354</v>
      </c>
      <c r="C770" s="231" t="s">
        <v>4191</v>
      </c>
      <c r="D770" s="231" t="s">
        <v>4192</v>
      </c>
      <c r="E770" s="231" t="s">
        <v>488</v>
      </c>
      <c r="F770" s="231" t="s">
        <v>2838</v>
      </c>
      <c r="G770" s="227"/>
      <c r="H770" s="227"/>
      <c r="I770" s="227"/>
    </row>
    <row r="771">
      <c r="A771" s="231" t="s">
        <v>354</v>
      </c>
      <c r="C771" s="231" t="s">
        <v>4193</v>
      </c>
      <c r="D771" s="231" t="s">
        <v>4194</v>
      </c>
      <c r="E771" s="231" t="s">
        <v>488</v>
      </c>
      <c r="F771" s="231" t="s">
        <v>2838</v>
      </c>
      <c r="G771" s="227"/>
      <c r="H771" s="227"/>
      <c r="I771" s="227"/>
    </row>
    <row r="772">
      <c r="A772" s="231" t="s">
        <v>354</v>
      </c>
      <c r="C772" s="231" t="s">
        <v>4195</v>
      </c>
      <c r="D772" s="231" t="s">
        <v>4196</v>
      </c>
      <c r="E772" s="231" t="s">
        <v>488</v>
      </c>
      <c r="F772" s="231" t="s">
        <v>2838</v>
      </c>
      <c r="G772" s="227"/>
      <c r="H772" s="227"/>
      <c r="I772" s="227"/>
    </row>
    <row r="773">
      <c r="A773" s="231" t="s">
        <v>354</v>
      </c>
      <c r="C773" s="231" t="s">
        <v>4197</v>
      </c>
      <c r="D773" s="231" t="s">
        <v>4198</v>
      </c>
      <c r="E773" s="231" t="s">
        <v>488</v>
      </c>
      <c r="F773" s="227"/>
      <c r="G773" s="227"/>
      <c r="H773" s="227"/>
      <c r="I773" s="227"/>
    </row>
    <row r="774">
      <c r="A774" s="231" t="s">
        <v>354</v>
      </c>
      <c r="C774" s="231" t="s">
        <v>4199</v>
      </c>
      <c r="D774" s="231" t="s">
        <v>4200</v>
      </c>
      <c r="E774" s="231" t="s">
        <v>488</v>
      </c>
      <c r="F774" s="227"/>
      <c r="G774" s="227"/>
      <c r="H774" s="227"/>
      <c r="I774" s="227"/>
    </row>
    <row r="775">
      <c r="A775" s="231" t="s">
        <v>354</v>
      </c>
      <c r="C775" s="231" t="s">
        <v>4201</v>
      </c>
      <c r="D775" s="231" t="s">
        <v>4202</v>
      </c>
      <c r="E775" s="231" t="s">
        <v>488</v>
      </c>
      <c r="F775" s="227"/>
      <c r="G775" s="227"/>
      <c r="H775" s="227"/>
      <c r="I775" s="227"/>
    </row>
    <row r="776">
      <c r="A776" s="231" t="s">
        <v>354</v>
      </c>
      <c r="C776" s="231" t="s">
        <v>3327</v>
      </c>
      <c r="D776" s="231" t="s">
        <v>803</v>
      </c>
      <c r="E776" s="231" t="s">
        <v>488</v>
      </c>
      <c r="F776" s="227"/>
      <c r="G776" s="227"/>
      <c r="H776" s="227"/>
      <c r="I776" s="227"/>
    </row>
    <row r="777">
      <c r="A777" s="231" t="s">
        <v>354</v>
      </c>
      <c r="C777" s="231" t="s">
        <v>4203</v>
      </c>
      <c r="D777" s="231" t="s">
        <v>4204</v>
      </c>
      <c r="E777" s="231" t="s">
        <v>488</v>
      </c>
      <c r="F777" s="231" t="s">
        <v>2838</v>
      </c>
      <c r="G777" s="227"/>
      <c r="H777" s="227"/>
      <c r="I777" s="227"/>
    </row>
    <row r="778">
      <c r="A778" s="227"/>
      <c r="B778" s="243"/>
      <c r="C778" s="227"/>
      <c r="D778" s="227"/>
      <c r="E778" s="227"/>
      <c r="F778" s="227"/>
      <c r="G778" s="227"/>
      <c r="H778" s="227"/>
      <c r="I778" s="227"/>
    </row>
    <row r="779">
      <c r="A779" s="266" t="s">
        <v>4205</v>
      </c>
      <c r="B779" s="267" t="s">
        <v>340</v>
      </c>
      <c r="C779" s="266" t="s">
        <v>4206</v>
      </c>
      <c r="D779" s="268" t="s">
        <v>587</v>
      </c>
      <c r="E779" s="266" t="s">
        <v>3499</v>
      </c>
      <c r="F779" s="266" t="s">
        <v>2838</v>
      </c>
      <c r="G779" s="227"/>
      <c r="H779" s="227"/>
      <c r="I779" s="227"/>
    </row>
    <row r="780">
      <c r="A780" s="266" t="s">
        <v>4205</v>
      </c>
      <c r="C780" s="266" t="s">
        <v>4207</v>
      </c>
      <c r="D780" s="266" t="s">
        <v>571</v>
      </c>
      <c r="E780" s="266" t="s">
        <v>3499</v>
      </c>
      <c r="F780" s="266" t="s">
        <v>2838</v>
      </c>
      <c r="G780" s="227"/>
      <c r="H780" s="227"/>
      <c r="I780" s="227"/>
    </row>
    <row r="781">
      <c r="A781" s="266" t="s">
        <v>4205</v>
      </c>
      <c r="C781" s="266" t="s">
        <v>4209</v>
      </c>
      <c r="D781" s="269" t="s">
        <v>412</v>
      </c>
      <c r="E781" s="266" t="s">
        <v>3499</v>
      </c>
      <c r="F781" s="269" t="s">
        <v>2838</v>
      </c>
      <c r="G781" s="227"/>
      <c r="H781" s="227"/>
      <c r="I781" s="227"/>
    </row>
    <row r="782">
      <c r="A782" s="268" t="s">
        <v>4205</v>
      </c>
      <c r="C782" s="268" t="s">
        <v>4211</v>
      </c>
      <c r="D782" s="270" t="s">
        <v>4213</v>
      </c>
      <c r="E782" s="266" t="s">
        <v>3499</v>
      </c>
      <c r="F782" s="266" t="s">
        <v>2838</v>
      </c>
      <c r="G782" s="227"/>
      <c r="H782" s="227"/>
      <c r="I782" s="227"/>
    </row>
    <row r="783">
      <c r="A783" s="268" t="s">
        <v>4205</v>
      </c>
      <c r="C783" s="268" t="s">
        <v>4214</v>
      </c>
      <c r="D783" s="268" t="s">
        <v>4215</v>
      </c>
      <c r="E783" s="266" t="s">
        <v>3499</v>
      </c>
      <c r="F783" s="266" t="s">
        <v>2838</v>
      </c>
      <c r="G783" s="227"/>
      <c r="H783" s="227"/>
      <c r="I783" s="227"/>
    </row>
    <row r="784">
      <c r="A784" s="227"/>
      <c r="B784" s="243"/>
      <c r="C784" s="227"/>
      <c r="D784" s="227"/>
      <c r="E784" s="227"/>
      <c r="F784" s="227"/>
      <c r="G784" s="227"/>
      <c r="H784" s="227"/>
      <c r="I784" s="227"/>
    </row>
    <row r="785">
      <c r="A785" s="271" t="s">
        <v>4217</v>
      </c>
      <c r="B785" s="272" t="s">
        <v>24</v>
      </c>
      <c r="C785" s="271" t="s">
        <v>4220</v>
      </c>
      <c r="D785" s="271" t="s">
        <v>4221</v>
      </c>
      <c r="E785" s="273"/>
      <c r="F785" s="273"/>
      <c r="G785" s="273"/>
      <c r="H785" s="273"/>
      <c r="I785" s="273"/>
    </row>
    <row r="786">
      <c r="A786" s="271" t="s">
        <v>4217</v>
      </c>
      <c r="C786" s="271" t="s">
        <v>4223</v>
      </c>
      <c r="D786" s="271" t="s">
        <v>590</v>
      </c>
      <c r="E786" s="273"/>
      <c r="F786" s="273"/>
      <c r="G786" s="273"/>
      <c r="H786" s="273"/>
      <c r="I786" s="273"/>
    </row>
    <row r="787">
      <c r="A787" s="271" t="s">
        <v>4217</v>
      </c>
      <c r="C787" s="271" t="s">
        <v>4224</v>
      </c>
      <c r="D787" s="271" t="s">
        <v>949</v>
      </c>
      <c r="E787" s="273"/>
      <c r="F787" s="273"/>
      <c r="G787" s="273"/>
      <c r="H787" s="273"/>
      <c r="I787" s="273"/>
    </row>
    <row r="788">
      <c r="A788" s="271" t="s">
        <v>4217</v>
      </c>
      <c r="C788" s="271" t="s">
        <v>4225</v>
      </c>
      <c r="D788" s="271" t="s">
        <v>859</v>
      </c>
      <c r="E788" s="273"/>
      <c r="F788" s="273"/>
      <c r="G788" s="273"/>
      <c r="H788" s="273"/>
      <c r="I788" s="273"/>
    </row>
    <row r="789">
      <c r="A789" s="271" t="s">
        <v>4217</v>
      </c>
      <c r="C789" s="271" t="s">
        <v>4226</v>
      </c>
      <c r="D789" s="271" t="s">
        <v>677</v>
      </c>
      <c r="E789" s="273"/>
      <c r="F789" s="273"/>
      <c r="G789" s="273"/>
      <c r="H789" s="273"/>
      <c r="I789" s="273"/>
    </row>
    <row r="790">
      <c r="A790" s="271" t="s">
        <v>4217</v>
      </c>
      <c r="C790" s="271" t="s">
        <v>4227</v>
      </c>
      <c r="D790" s="271" t="s">
        <v>4228</v>
      </c>
      <c r="E790" s="273"/>
      <c r="F790" s="273"/>
      <c r="G790" s="273"/>
      <c r="H790" s="273"/>
      <c r="I790" s="273"/>
    </row>
    <row r="791">
      <c r="A791" s="271" t="s">
        <v>4217</v>
      </c>
      <c r="C791" s="271" t="s">
        <v>4229</v>
      </c>
      <c r="D791" s="271" t="s">
        <v>4230</v>
      </c>
      <c r="E791" s="273"/>
      <c r="F791" s="273"/>
      <c r="G791" s="273"/>
      <c r="H791" s="273"/>
      <c r="I791" s="273"/>
    </row>
    <row r="792">
      <c r="A792" s="227"/>
      <c r="B792" s="227"/>
      <c r="C792" s="227"/>
      <c r="D792" s="227"/>
      <c r="E792" s="227"/>
      <c r="F792" s="227"/>
      <c r="G792" s="227"/>
      <c r="H792" s="227"/>
      <c r="I792" s="227"/>
    </row>
    <row r="793">
      <c r="A793" s="227"/>
      <c r="B793" s="227"/>
      <c r="C793" s="227"/>
      <c r="D793" s="227"/>
      <c r="E793" s="227"/>
      <c r="F793" s="227"/>
      <c r="G793" s="227"/>
      <c r="H793" s="227"/>
      <c r="I793" s="227"/>
    </row>
    <row r="794">
      <c r="A794" s="227"/>
      <c r="B794" s="227"/>
      <c r="C794" s="227"/>
      <c r="D794" s="227"/>
      <c r="E794" s="227"/>
      <c r="F794" s="227"/>
      <c r="G794" s="227"/>
      <c r="H794" s="227"/>
      <c r="I794" s="227"/>
    </row>
    <row r="795">
      <c r="A795" s="227"/>
      <c r="B795" s="227"/>
      <c r="C795" s="227"/>
      <c r="D795" s="227"/>
      <c r="E795" s="227"/>
      <c r="F795" s="227"/>
      <c r="G795" s="227"/>
      <c r="H795" s="227"/>
      <c r="I795" s="227"/>
    </row>
    <row r="796">
      <c r="A796" s="230" t="s">
        <v>4232</v>
      </c>
    </row>
    <row r="797">
      <c r="A797" s="231" t="s">
        <v>4234</v>
      </c>
      <c r="B797" s="231" t="s">
        <v>4235</v>
      </c>
      <c r="C797" s="231" t="s">
        <v>4236</v>
      </c>
      <c r="D797" s="274" t="s">
        <v>4237</v>
      </c>
      <c r="E797" s="227"/>
      <c r="F797" s="227"/>
      <c r="G797" s="227"/>
      <c r="H797" s="227"/>
      <c r="I797" s="227"/>
    </row>
    <row r="798">
      <c r="C798" s="231" t="s">
        <v>4238</v>
      </c>
      <c r="D798" s="274" t="s">
        <v>1877</v>
      </c>
      <c r="E798" s="227"/>
      <c r="F798" s="227"/>
      <c r="G798" s="227"/>
      <c r="H798" s="227"/>
      <c r="I798" s="227"/>
    </row>
    <row r="799">
      <c r="C799" s="231" t="s">
        <v>4239</v>
      </c>
      <c r="D799" s="274" t="s">
        <v>1878</v>
      </c>
      <c r="E799" s="227"/>
      <c r="F799" s="227"/>
      <c r="G799" s="227"/>
      <c r="H799" s="227"/>
      <c r="I799" s="227"/>
    </row>
    <row r="800">
      <c r="C800" s="231" t="s">
        <v>4240</v>
      </c>
      <c r="D800" s="274" t="s">
        <v>1879</v>
      </c>
      <c r="E800" s="227"/>
      <c r="F800" s="227"/>
      <c r="G800" s="227"/>
      <c r="H800" s="227"/>
      <c r="I800" s="227"/>
    </row>
    <row r="801">
      <c r="C801" s="231" t="s">
        <v>4241</v>
      </c>
      <c r="D801" s="274" t="s">
        <v>1880</v>
      </c>
      <c r="E801" s="227"/>
      <c r="F801" s="227"/>
      <c r="G801" s="227"/>
      <c r="H801" s="227"/>
      <c r="I801" s="227"/>
    </row>
    <row r="802">
      <c r="C802" s="231" t="s">
        <v>4243</v>
      </c>
      <c r="D802" s="274" t="s">
        <v>1881</v>
      </c>
      <c r="E802" s="227"/>
      <c r="F802" s="227"/>
      <c r="G802" s="227"/>
      <c r="H802" s="227"/>
      <c r="I802" s="227"/>
    </row>
    <row r="803">
      <c r="C803" s="231" t="s">
        <v>4244</v>
      </c>
      <c r="D803" s="274" t="s">
        <v>1882</v>
      </c>
      <c r="E803" s="227"/>
      <c r="F803" s="227"/>
      <c r="G803" s="227"/>
      <c r="H803" s="227"/>
      <c r="I803" s="227"/>
    </row>
    <row r="804">
      <c r="C804" s="231" t="s">
        <v>4245</v>
      </c>
      <c r="D804" s="274" t="s">
        <v>1883</v>
      </c>
      <c r="E804" s="227"/>
      <c r="F804" s="227"/>
      <c r="G804" s="227"/>
      <c r="H804" s="227"/>
      <c r="I804" s="227"/>
    </row>
    <row r="805">
      <c r="C805" s="231" t="s">
        <v>4247</v>
      </c>
      <c r="D805" s="274" t="s">
        <v>1884</v>
      </c>
      <c r="E805" s="227"/>
      <c r="F805" s="227"/>
      <c r="G805" s="227"/>
      <c r="H805" s="227"/>
      <c r="I805" s="227"/>
    </row>
    <row r="806">
      <c r="C806" s="231" t="s">
        <v>4248</v>
      </c>
      <c r="D806" s="274" t="s">
        <v>1885</v>
      </c>
      <c r="E806" s="227"/>
      <c r="F806" s="227"/>
      <c r="G806" s="227"/>
      <c r="H806" s="227"/>
      <c r="I806" s="227"/>
    </row>
    <row r="807">
      <c r="C807" s="231" t="s">
        <v>4249</v>
      </c>
      <c r="D807" s="274" t="s">
        <v>1886</v>
      </c>
      <c r="E807" s="227"/>
      <c r="F807" s="227"/>
      <c r="G807" s="227"/>
      <c r="H807" s="227"/>
      <c r="I807" s="227"/>
    </row>
    <row r="808">
      <c r="C808" s="231" t="s">
        <v>4250</v>
      </c>
      <c r="D808" s="274" t="s">
        <v>1887</v>
      </c>
      <c r="E808" s="227"/>
      <c r="F808" s="227"/>
      <c r="G808" s="227"/>
      <c r="H808" s="227"/>
      <c r="I808" s="227"/>
    </row>
    <row r="809">
      <c r="C809" s="231" t="s">
        <v>4251</v>
      </c>
      <c r="D809" s="274" t="s">
        <v>1122</v>
      </c>
      <c r="E809" s="227"/>
      <c r="F809" s="227"/>
      <c r="G809" s="227"/>
      <c r="H809" s="227"/>
      <c r="I809" s="227"/>
    </row>
    <row r="810">
      <c r="C810" s="231" t="s">
        <v>4252</v>
      </c>
      <c r="D810" s="274" t="s">
        <v>1889</v>
      </c>
      <c r="E810" s="227"/>
      <c r="F810" s="227"/>
      <c r="G810" s="227"/>
      <c r="H810" s="227"/>
      <c r="I810" s="227"/>
    </row>
    <row r="811">
      <c r="C811" s="231" t="s">
        <v>4253</v>
      </c>
      <c r="D811" s="274" t="s">
        <v>1890</v>
      </c>
      <c r="E811" s="227"/>
      <c r="F811" s="227"/>
      <c r="G811" s="227"/>
      <c r="H811" s="227"/>
      <c r="I811" s="227"/>
    </row>
    <row r="812">
      <c r="C812" s="231" t="s">
        <v>4254</v>
      </c>
      <c r="D812" s="274" t="s">
        <v>1892</v>
      </c>
      <c r="E812" s="227"/>
      <c r="F812" s="227"/>
      <c r="G812" s="227"/>
      <c r="H812" s="227"/>
      <c r="I812" s="227"/>
    </row>
    <row r="813">
      <c r="C813" s="231" t="s">
        <v>3203</v>
      </c>
      <c r="D813" s="274" t="s">
        <v>1893</v>
      </c>
      <c r="E813" s="227"/>
      <c r="F813" s="227"/>
      <c r="G813" s="227"/>
      <c r="H813" s="227"/>
      <c r="I813" s="227"/>
    </row>
    <row r="814">
      <c r="C814" s="231" t="s">
        <v>4257</v>
      </c>
      <c r="D814" s="274" t="s">
        <v>1894</v>
      </c>
      <c r="E814" s="227"/>
      <c r="F814" s="227"/>
      <c r="G814" s="227"/>
      <c r="H814" s="227"/>
      <c r="I814" s="227"/>
    </row>
    <row r="815">
      <c r="C815" s="231" t="s">
        <v>4258</v>
      </c>
      <c r="D815" s="274" t="s">
        <v>1142</v>
      </c>
      <c r="E815" s="227"/>
      <c r="F815" s="227"/>
      <c r="G815" s="227"/>
      <c r="H815" s="227"/>
      <c r="I815" s="227"/>
    </row>
    <row r="816">
      <c r="A816" s="227"/>
      <c r="B816" s="227"/>
      <c r="C816" s="227"/>
      <c r="D816" s="243"/>
      <c r="E816" s="227"/>
      <c r="F816" s="227"/>
      <c r="G816" s="227"/>
      <c r="H816" s="227"/>
      <c r="I816" s="227"/>
    </row>
    <row r="817">
      <c r="A817" s="231" t="s">
        <v>4261</v>
      </c>
      <c r="B817" s="231" t="s">
        <v>1062</v>
      </c>
      <c r="C817" s="227"/>
      <c r="D817" s="276" t="s">
        <v>4262</v>
      </c>
      <c r="E817" s="227"/>
      <c r="F817" s="227"/>
      <c r="G817" s="227"/>
      <c r="H817" s="227"/>
      <c r="I817" s="227"/>
    </row>
    <row r="818">
      <c r="C818" s="227"/>
      <c r="D818" s="274" t="s">
        <v>2198</v>
      </c>
      <c r="E818" s="227"/>
      <c r="F818" s="227"/>
      <c r="G818" s="227"/>
      <c r="H818" s="227"/>
      <c r="I818" s="227"/>
    </row>
    <row r="819">
      <c r="C819" s="227"/>
      <c r="D819" s="276" t="s">
        <v>2199</v>
      </c>
      <c r="E819" s="227"/>
      <c r="F819" s="227"/>
      <c r="G819" s="227"/>
      <c r="H819" s="227"/>
      <c r="I819" s="227"/>
    </row>
    <row r="820">
      <c r="C820" s="227"/>
      <c r="D820" s="276" t="s">
        <v>2171</v>
      </c>
      <c r="E820" s="227"/>
      <c r="F820" s="227"/>
      <c r="G820" s="227"/>
      <c r="H820" s="227"/>
      <c r="I820" s="227"/>
    </row>
    <row r="821">
      <c r="C821" s="227"/>
      <c r="D821" s="274" t="s">
        <v>2200</v>
      </c>
      <c r="E821" s="227"/>
      <c r="F821" s="227"/>
      <c r="G821" s="227"/>
      <c r="H821" s="227"/>
      <c r="I821" s="227"/>
    </row>
    <row r="822">
      <c r="C822" s="227"/>
      <c r="D822" s="276" t="s">
        <v>1878</v>
      </c>
      <c r="E822" s="227"/>
      <c r="F822" s="227"/>
      <c r="G822" s="227"/>
      <c r="H822" s="227"/>
      <c r="I822" s="227"/>
    </row>
    <row r="823">
      <c r="C823" s="227"/>
      <c r="D823" s="276" t="s">
        <v>2174</v>
      </c>
      <c r="E823" s="227"/>
      <c r="F823" s="227"/>
      <c r="G823" s="227"/>
      <c r="H823" s="227"/>
      <c r="I823" s="227"/>
    </row>
    <row r="824">
      <c r="C824" s="227"/>
      <c r="D824" s="276" t="s">
        <v>2175</v>
      </c>
      <c r="E824" s="227"/>
      <c r="F824" s="227"/>
      <c r="G824" s="227"/>
      <c r="H824" s="227"/>
      <c r="I824" s="227"/>
    </row>
    <row r="825">
      <c r="C825" s="227"/>
      <c r="D825" s="274" t="s">
        <v>1889</v>
      </c>
      <c r="E825" s="227"/>
      <c r="F825" s="227"/>
      <c r="G825" s="227"/>
      <c r="H825" s="227"/>
      <c r="I825" s="227"/>
    </row>
    <row r="826">
      <c r="C826" s="227"/>
      <c r="D826" s="276" t="s">
        <v>2201</v>
      </c>
      <c r="E826" s="227"/>
      <c r="F826" s="227"/>
      <c r="G826" s="227"/>
      <c r="H826" s="227"/>
      <c r="I826" s="227"/>
    </row>
    <row r="827">
      <c r="C827" s="227"/>
      <c r="D827" s="274" t="s">
        <v>2202</v>
      </c>
      <c r="E827" s="227"/>
      <c r="F827" s="227"/>
      <c r="G827" s="227"/>
      <c r="H827" s="227"/>
      <c r="I827" s="227"/>
    </row>
    <row r="828">
      <c r="C828" s="227"/>
      <c r="D828" s="276" t="s">
        <v>1884</v>
      </c>
      <c r="E828" s="227"/>
      <c r="F828" s="227"/>
      <c r="G828" s="227"/>
      <c r="H828" s="227"/>
      <c r="I828" s="227"/>
    </row>
    <row r="829">
      <c r="C829" s="227"/>
      <c r="D829" s="276" t="s">
        <v>2203</v>
      </c>
      <c r="E829" s="227"/>
      <c r="F829" s="227"/>
      <c r="G829" s="227"/>
      <c r="H829" s="227"/>
      <c r="I829" s="227"/>
    </row>
    <row r="830">
      <c r="C830" s="227"/>
      <c r="D830" s="276" t="s">
        <v>2204</v>
      </c>
      <c r="E830" s="227"/>
      <c r="F830" s="227"/>
      <c r="G830" s="227"/>
      <c r="H830" s="227"/>
      <c r="I830" s="227"/>
    </row>
    <row r="831">
      <c r="C831" s="227"/>
      <c r="D831" s="276" t="s">
        <v>2205</v>
      </c>
      <c r="E831" s="227"/>
      <c r="F831" s="227"/>
      <c r="G831" s="227"/>
      <c r="H831" s="227"/>
      <c r="I831" s="227"/>
    </row>
    <row r="832">
      <c r="C832" s="227"/>
      <c r="D832" s="276" t="s">
        <v>2206</v>
      </c>
      <c r="E832" s="227"/>
      <c r="F832" s="227"/>
      <c r="G832" s="227"/>
      <c r="H832" s="227"/>
      <c r="I832" s="227"/>
    </row>
    <row r="833">
      <c r="C833" s="227"/>
      <c r="D833" s="276" t="s">
        <v>2207</v>
      </c>
      <c r="E833" s="227"/>
      <c r="F833" s="227"/>
      <c r="G833" s="227"/>
      <c r="H833" s="227"/>
      <c r="I833" s="227"/>
    </row>
    <row r="834">
      <c r="C834" s="227"/>
      <c r="D834" s="276" t="s">
        <v>2208</v>
      </c>
      <c r="E834" s="227"/>
      <c r="F834" s="227"/>
      <c r="G834" s="227"/>
      <c r="H834" s="227"/>
      <c r="I834" s="227"/>
    </row>
    <row r="835">
      <c r="C835" s="227"/>
      <c r="D835" s="276" t="s">
        <v>1729</v>
      </c>
      <c r="E835" s="227"/>
      <c r="F835" s="227"/>
      <c r="G835" s="227"/>
      <c r="H835" s="227"/>
      <c r="I835" s="227"/>
    </row>
    <row r="836">
      <c r="C836" s="227"/>
      <c r="D836" s="276" t="s">
        <v>1730</v>
      </c>
      <c r="E836" s="227"/>
      <c r="F836" s="227"/>
      <c r="G836" s="227"/>
      <c r="H836" s="227"/>
      <c r="I836" s="227"/>
    </row>
    <row r="837">
      <c r="A837" s="227"/>
      <c r="B837" s="227"/>
      <c r="C837" s="227"/>
      <c r="D837" s="243"/>
      <c r="E837" s="227"/>
      <c r="F837" s="227"/>
      <c r="G837" s="227"/>
      <c r="H837" s="227"/>
      <c r="I837" s="227"/>
    </row>
    <row r="838">
      <c r="A838" s="227"/>
      <c r="B838" s="231" t="s">
        <v>4265</v>
      </c>
      <c r="C838" s="227"/>
      <c r="D838" s="276" t="s">
        <v>4266</v>
      </c>
      <c r="E838" s="227"/>
      <c r="F838" s="227"/>
      <c r="G838" s="227"/>
      <c r="H838" s="227"/>
      <c r="I838" s="227"/>
    </row>
    <row r="839">
      <c r="A839" s="227"/>
      <c r="C839" s="227"/>
      <c r="D839" s="276" t="s">
        <v>1716</v>
      </c>
      <c r="E839" s="227"/>
      <c r="F839" s="227"/>
      <c r="G839" s="227"/>
      <c r="H839" s="227"/>
      <c r="I839" s="227"/>
    </row>
    <row r="840">
      <c r="A840" s="227"/>
      <c r="C840" s="227"/>
      <c r="D840" s="276" t="s">
        <v>1718</v>
      </c>
      <c r="E840" s="227"/>
      <c r="F840" s="227"/>
      <c r="G840" s="227"/>
      <c r="H840" s="227"/>
      <c r="I840" s="227"/>
    </row>
    <row r="841">
      <c r="A841" s="227"/>
      <c r="C841" s="227"/>
      <c r="D841" s="274" t="s">
        <v>1720</v>
      </c>
      <c r="E841" s="227"/>
      <c r="F841" s="227"/>
      <c r="G841" s="227"/>
      <c r="H841" s="227"/>
      <c r="I841" s="227"/>
    </row>
    <row r="842">
      <c r="A842" s="227"/>
      <c r="C842" s="227"/>
      <c r="D842" s="274" t="s">
        <v>1722</v>
      </c>
      <c r="E842" s="227"/>
      <c r="F842" s="227"/>
      <c r="G842" s="227"/>
      <c r="H842" s="227"/>
      <c r="I842" s="227"/>
    </row>
    <row r="843">
      <c r="A843" s="227"/>
      <c r="C843" s="227"/>
      <c r="D843" s="274" t="s">
        <v>1723</v>
      </c>
      <c r="E843" s="227"/>
      <c r="F843" s="227"/>
      <c r="G843" s="227"/>
      <c r="H843" s="227"/>
      <c r="I843" s="227"/>
    </row>
    <row r="844">
      <c r="A844" s="227"/>
      <c r="C844" s="227"/>
      <c r="D844" s="274" t="s">
        <v>1724</v>
      </c>
      <c r="E844" s="227"/>
      <c r="F844" s="227"/>
      <c r="G844" s="227"/>
      <c r="H844" s="227"/>
      <c r="I844" s="227"/>
    </row>
    <row r="845">
      <c r="A845" s="227"/>
      <c r="C845" s="227"/>
      <c r="D845" s="274" t="s">
        <v>1726</v>
      </c>
      <c r="E845" s="227"/>
      <c r="F845" s="227"/>
      <c r="G845" s="227"/>
      <c r="H845" s="227"/>
      <c r="I845" s="227"/>
    </row>
    <row r="846">
      <c r="A846" s="227"/>
      <c r="C846" s="227"/>
      <c r="D846" s="274" t="s">
        <v>1727</v>
      </c>
      <c r="E846" s="227"/>
      <c r="F846" s="227"/>
      <c r="G846" s="227"/>
      <c r="H846" s="227"/>
      <c r="I846" s="227"/>
    </row>
    <row r="847">
      <c r="A847" s="227"/>
      <c r="C847" s="227"/>
      <c r="D847" s="274" t="s">
        <v>1729</v>
      </c>
      <c r="E847" s="227"/>
      <c r="F847" s="227"/>
      <c r="G847" s="227"/>
      <c r="H847" s="227"/>
      <c r="I847" s="227"/>
    </row>
    <row r="848">
      <c r="A848" s="227"/>
      <c r="C848" s="227"/>
      <c r="D848" s="274" t="s">
        <v>1730</v>
      </c>
      <c r="E848" s="227"/>
      <c r="F848" s="227"/>
      <c r="G848" s="227"/>
      <c r="H848" s="227"/>
      <c r="I848" s="227"/>
    </row>
    <row r="849">
      <c r="A849" s="227"/>
      <c r="C849" s="227"/>
      <c r="D849" s="274" t="s">
        <v>1731</v>
      </c>
      <c r="E849" s="227"/>
      <c r="F849" s="227"/>
      <c r="G849" s="227"/>
      <c r="H849" s="227"/>
      <c r="I849" s="227"/>
    </row>
    <row r="850">
      <c r="A850" s="227"/>
      <c r="C850" s="227"/>
      <c r="D850" s="274" t="s">
        <v>1732</v>
      </c>
      <c r="E850" s="227"/>
      <c r="F850" s="227"/>
      <c r="G850" s="227"/>
      <c r="H850" s="227"/>
      <c r="I850" s="227"/>
    </row>
    <row r="851">
      <c r="A851" s="227"/>
      <c r="C851" s="227"/>
      <c r="D851" s="274" t="s">
        <v>1733</v>
      </c>
      <c r="E851" s="227"/>
      <c r="F851" s="227"/>
      <c r="G851" s="227"/>
      <c r="H851" s="227"/>
      <c r="I851" s="227"/>
    </row>
    <row r="852">
      <c r="A852" s="227"/>
      <c r="C852" s="227"/>
      <c r="D852" s="274" t="s">
        <v>1734</v>
      </c>
      <c r="E852" s="227"/>
      <c r="F852" s="227"/>
      <c r="G852" s="227"/>
      <c r="H852" s="227"/>
      <c r="I852" s="227"/>
    </row>
    <row r="853">
      <c r="A853" s="227"/>
      <c r="C853" s="227"/>
      <c r="D853" s="274" t="s">
        <v>1735</v>
      </c>
      <c r="E853" s="227"/>
      <c r="F853" s="227"/>
      <c r="G853" s="227"/>
      <c r="H853" s="227"/>
      <c r="I853" s="227"/>
    </row>
    <row r="854">
      <c r="A854" s="227"/>
      <c r="C854" s="227"/>
      <c r="D854" s="274" t="s">
        <v>1736</v>
      </c>
      <c r="E854" s="227"/>
      <c r="F854" s="227"/>
      <c r="G854" s="227"/>
      <c r="H854" s="227"/>
      <c r="I854" s="227"/>
    </row>
    <row r="855">
      <c r="A855" s="227"/>
      <c r="C855" s="227"/>
      <c r="D855" s="274" t="s">
        <v>1738</v>
      </c>
      <c r="E855" s="227"/>
      <c r="F855" s="227"/>
      <c r="G855" s="227"/>
      <c r="H855" s="227"/>
      <c r="I855" s="227"/>
    </row>
    <row r="856">
      <c r="A856" s="227"/>
      <c r="C856" s="227"/>
      <c r="D856" s="274" t="s">
        <v>1739</v>
      </c>
      <c r="E856" s="227"/>
      <c r="F856" s="227"/>
      <c r="G856" s="227"/>
      <c r="H856" s="227"/>
      <c r="I856" s="227"/>
    </row>
    <row r="857">
      <c r="A857" s="227"/>
      <c r="B857" s="227"/>
      <c r="C857" s="227"/>
      <c r="D857" s="227"/>
      <c r="E857" s="227"/>
      <c r="F857" s="227"/>
      <c r="G857" s="227"/>
      <c r="H857" s="227"/>
      <c r="I857" s="227"/>
    </row>
    <row r="858">
      <c r="A858" s="227"/>
      <c r="B858" s="231" t="s">
        <v>4276</v>
      </c>
      <c r="C858" s="227"/>
      <c r="D858" s="274" t="s">
        <v>1881</v>
      </c>
      <c r="E858" s="227"/>
      <c r="F858" s="227"/>
      <c r="G858" s="227"/>
      <c r="H858" s="227"/>
      <c r="I858" s="227"/>
    </row>
    <row r="859">
      <c r="A859" s="227"/>
      <c r="C859" s="227"/>
      <c r="D859" s="274" t="s">
        <v>2048</v>
      </c>
      <c r="E859" s="227"/>
      <c r="F859" s="227"/>
      <c r="G859" s="227"/>
      <c r="H859" s="227"/>
      <c r="I859" s="227"/>
    </row>
    <row r="860">
      <c r="A860" s="227"/>
      <c r="C860" s="227"/>
      <c r="D860" s="274" t="s">
        <v>2050</v>
      </c>
      <c r="E860" s="227"/>
      <c r="F860" s="227"/>
      <c r="G860" s="227"/>
      <c r="H860" s="227"/>
      <c r="I860" s="227"/>
    </row>
    <row r="861">
      <c r="A861" s="227"/>
      <c r="C861" s="227"/>
      <c r="D861" s="274" t="s">
        <v>1732</v>
      </c>
      <c r="E861" s="227"/>
      <c r="F861" s="227"/>
      <c r="G861" s="227"/>
      <c r="H861" s="227"/>
      <c r="I861" s="227"/>
    </row>
    <row r="862">
      <c r="A862" s="227"/>
      <c r="C862" s="227"/>
      <c r="D862" s="274" t="s">
        <v>2051</v>
      </c>
      <c r="E862" s="227"/>
      <c r="F862" s="227"/>
      <c r="G862" s="227"/>
      <c r="H862" s="227"/>
      <c r="I862" s="227"/>
    </row>
    <row r="863">
      <c r="A863" s="227"/>
      <c r="C863" s="227"/>
      <c r="D863" s="274" t="s">
        <v>2053</v>
      </c>
      <c r="E863" s="227"/>
      <c r="F863" s="227"/>
      <c r="G863" s="227"/>
      <c r="H863" s="227"/>
      <c r="I863" s="227"/>
    </row>
    <row r="864">
      <c r="A864" s="227"/>
      <c r="C864" s="227"/>
      <c r="D864" s="274" t="s">
        <v>2054</v>
      </c>
      <c r="E864" s="227"/>
      <c r="F864" s="227"/>
      <c r="G864" s="227"/>
      <c r="H864" s="227"/>
      <c r="I864" s="227"/>
    </row>
    <row r="865">
      <c r="A865" s="227"/>
      <c r="C865" s="227"/>
      <c r="D865" s="274" t="s">
        <v>2055</v>
      </c>
      <c r="E865" s="227"/>
      <c r="F865" s="227"/>
      <c r="G865" s="227"/>
      <c r="H865" s="227"/>
      <c r="I865" s="227"/>
    </row>
    <row r="866">
      <c r="A866" s="227"/>
      <c r="C866" s="227"/>
      <c r="D866" s="274" t="s">
        <v>2056</v>
      </c>
      <c r="E866" s="227"/>
      <c r="F866" s="227"/>
      <c r="G866" s="227"/>
      <c r="H866" s="227"/>
      <c r="I866" s="227"/>
    </row>
    <row r="867">
      <c r="A867" s="227"/>
      <c r="C867" s="227"/>
      <c r="D867" s="274" t="s">
        <v>2057</v>
      </c>
      <c r="E867" s="227"/>
      <c r="F867" s="227"/>
      <c r="G867" s="227"/>
      <c r="H867" s="227"/>
      <c r="I867" s="227"/>
    </row>
    <row r="868">
      <c r="A868" s="227"/>
      <c r="C868" s="227"/>
      <c r="D868" s="274" t="s">
        <v>2058</v>
      </c>
      <c r="E868" s="227"/>
      <c r="F868" s="227"/>
      <c r="G868" s="227"/>
      <c r="H868" s="227"/>
      <c r="I868" s="227"/>
    </row>
    <row r="869">
      <c r="A869" s="227"/>
      <c r="C869" s="227"/>
      <c r="D869" s="274" t="s">
        <v>2059</v>
      </c>
      <c r="E869" s="227"/>
      <c r="F869" s="227"/>
      <c r="G869" s="227"/>
      <c r="H869" s="227"/>
      <c r="I869" s="227"/>
    </row>
    <row r="870">
      <c r="A870" s="227"/>
      <c r="C870" s="227"/>
      <c r="D870" s="274" t="s">
        <v>2060</v>
      </c>
      <c r="E870" s="227"/>
      <c r="F870" s="227"/>
      <c r="G870" s="227"/>
      <c r="H870" s="227"/>
      <c r="I870" s="227"/>
    </row>
    <row r="871">
      <c r="A871" s="227"/>
      <c r="C871" s="227"/>
      <c r="D871" s="274" t="s">
        <v>2061</v>
      </c>
      <c r="E871" s="227"/>
      <c r="F871" s="227"/>
      <c r="G871" s="227"/>
      <c r="H871" s="227"/>
      <c r="I871" s="227"/>
    </row>
    <row r="872">
      <c r="A872" s="227"/>
      <c r="C872" s="227"/>
      <c r="D872" s="276" t="s">
        <v>2062</v>
      </c>
      <c r="E872" s="227"/>
      <c r="F872" s="227"/>
      <c r="G872" s="227"/>
      <c r="H872" s="227"/>
      <c r="I872" s="227"/>
    </row>
    <row r="873">
      <c r="A873" s="227"/>
      <c r="C873" s="227"/>
      <c r="D873" s="276" t="s">
        <v>2063</v>
      </c>
      <c r="E873" s="227"/>
      <c r="F873" s="227"/>
      <c r="G873" s="227"/>
      <c r="H873" s="227"/>
      <c r="I873" s="227"/>
    </row>
    <row r="874">
      <c r="A874" s="227"/>
      <c r="C874" s="227"/>
      <c r="D874" s="276" t="s">
        <v>2065</v>
      </c>
      <c r="E874" s="227"/>
      <c r="F874" s="227"/>
      <c r="G874" s="227"/>
      <c r="H874" s="227"/>
      <c r="I874" s="227"/>
    </row>
    <row r="875">
      <c r="A875" s="227"/>
      <c r="C875" s="227"/>
      <c r="D875" s="276" t="s">
        <v>2066</v>
      </c>
      <c r="E875" s="227"/>
      <c r="F875" s="227"/>
      <c r="G875" s="227"/>
      <c r="H875" s="227"/>
      <c r="I875" s="227"/>
    </row>
    <row r="876">
      <c r="A876" s="227"/>
      <c r="C876" s="227"/>
      <c r="D876" s="276" t="s">
        <v>2067</v>
      </c>
      <c r="E876" s="227"/>
      <c r="F876" s="227"/>
      <c r="G876" s="227"/>
      <c r="H876" s="227"/>
      <c r="I876" s="227"/>
    </row>
    <row r="877">
      <c r="A877" s="227"/>
      <c r="C877" s="227"/>
      <c r="D877" s="276" t="s">
        <v>2068</v>
      </c>
      <c r="E877" s="227"/>
      <c r="F877" s="227"/>
      <c r="G877" s="227"/>
      <c r="H877" s="227"/>
      <c r="I877" s="227"/>
    </row>
    <row r="878">
      <c r="A878" s="227"/>
      <c r="C878" s="227"/>
      <c r="D878" s="276" t="s">
        <v>1774</v>
      </c>
      <c r="E878" s="227"/>
      <c r="F878" s="227"/>
      <c r="G878" s="227"/>
      <c r="H878" s="227"/>
      <c r="I878" s="227"/>
    </row>
    <row r="879">
      <c r="A879" s="227"/>
      <c r="C879" s="227"/>
      <c r="D879" s="276" t="s">
        <v>2070</v>
      </c>
      <c r="E879" s="227"/>
      <c r="F879" s="227"/>
      <c r="G879" s="227"/>
      <c r="H879" s="227"/>
      <c r="I879" s="227"/>
    </row>
    <row r="880">
      <c r="A880" s="227"/>
      <c r="C880" s="227"/>
      <c r="D880" s="276" t="s">
        <v>2071</v>
      </c>
      <c r="E880" s="227"/>
      <c r="F880" s="227"/>
      <c r="G880" s="227"/>
      <c r="H880" s="227"/>
      <c r="I880" s="227"/>
    </row>
    <row r="881">
      <c r="A881" s="227"/>
      <c r="C881" s="227"/>
      <c r="D881" s="276" t="s">
        <v>2072</v>
      </c>
      <c r="E881" s="227"/>
      <c r="F881" s="227"/>
      <c r="G881" s="227"/>
      <c r="H881" s="227"/>
      <c r="I881" s="227"/>
    </row>
    <row r="882">
      <c r="A882" s="227"/>
      <c r="C882" s="227"/>
      <c r="D882" s="276" t="s">
        <v>2073</v>
      </c>
      <c r="E882" s="227"/>
      <c r="F882" s="227"/>
      <c r="G882" s="227"/>
      <c r="H882" s="227"/>
      <c r="I882" s="227"/>
    </row>
    <row r="883">
      <c r="A883" s="227"/>
      <c r="C883" s="227"/>
      <c r="D883" s="276" t="s">
        <v>2074</v>
      </c>
      <c r="E883" s="227"/>
      <c r="F883" s="227"/>
      <c r="G883" s="227"/>
      <c r="H883" s="227"/>
      <c r="I883" s="227"/>
    </row>
    <row r="884">
      <c r="A884" s="227"/>
      <c r="C884" s="227"/>
      <c r="D884" s="276" t="s">
        <v>2075</v>
      </c>
      <c r="E884" s="227"/>
      <c r="F884" s="227"/>
      <c r="G884" s="227"/>
      <c r="H884" s="227"/>
      <c r="I884" s="227"/>
    </row>
    <row r="885">
      <c r="A885" s="227"/>
      <c r="C885" s="227"/>
      <c r="D885" s="276" t="s">
        <v>2076</v>
      </c>
      <c r="E885" s="227"/>
      <c r="F885" s="227"/>
      <c r="G885" s="227"/>
      <c r="H885" s="227"/>
      <c r="I885" s="227"/>
    </row>
    <row r="886">
      <c r="A886" s="227"/>
      <c r="C886" s="227"/>
      <c r="D886" s="276" t="s">
        <v>2077</v>
      </c>
      <c r="E886" s="227"/>
      <c r="F886" s="227"/>
      <c r="G886" s="227"/>
      <c r="H886" s="227"/>
      <c r="I886" s="227"/>
    </row>
    <row r="887">
      <c r="A887" s="227"/>
      <c r="C887" s="227"/>
      <c r="D887" s="276" t="s">
        <v>2078</v>
      </c>
      <c r="E887" s="227"/>
      <c r="F887" s="227"/>
      <c r="G887" s="227"/>
      <c r="H887" s="227"/>
      <c r="I887" s="227"/>
    </row>
    <row r="888">
      <c r="A888" s="227"/>
      <c r="C888" s="227"/>
      <c r="D888" s="276" t="s">
        <v>2079</v>
      </c>
      <c r="E888" s="227"/>
      <c r="F888" s="227"/>
      <c r="G888" s="227"/>
      <c r="H888" s="227"/>
      <c r="I888" s="227"/>
    </row>
    <row r="889">
      <c r="A889" s="227"/>
      <c r="C889" s="227"/>
      <c r="D889" s="277" t="s">
        <v>4286</v>
      </c>
      <c r="E889" s="227"/>
      <c r="F889" s="227"/>
      <c r="G889" s="227"/>
      <c r="H889" s="227"/>
      <c r="I889" s="227"/>
    </row>
    <row r="890">
      <c r="A890" s="227"/>
      <c r="C890" s="227"/>
      <c r="D890" s="277" t="s">
        <v>4287</v>
      </c>
      <c r="E890" s="227"/>
      <c r="F890" s="227"/>
      <c r="G890" s="227"/>
      <c r="H890" s="227"/>
      <c r="I890" s="227"/>
    </row>
    <row r="891">
      <c r="A891" s="227"/>
      <c r="C891" s="227"/>
      <c r="D891" s="277" t="s">
        <v>4288</v>
      </c>
      <c r="E891" s="227"/>
      <c r="F891" s="227"/>
      <c r="G891" s="227"/>
      <c r="H891" s="227"/>
      <c r="I891" s="227"/>
    </row>
    <row r="892">
      <c r="A892" s="227"/>
      <c r="C892" s="227"/>
      <c r="D892" s="277" t="s">
        <v>2058</v>
      </c>
      <c r="E892" s="227"/>
      <c r="F892" s="227"/>
      <c r="G892" s="227"/>
      <c r="H892" s="227"/>
      <c r="I892" s="227"/>
    </row>
    <row r="893">
      <c r="A893" s="227"/>
      <c r="C893" s="227"/>
      <c r="D893" s="277" t="s">
        <v>4289</v>
      </c>
      <c r="E893" s="227"/>
      <c r="F893" s="227"/>
      <c r="G893" s="227"/>
      <c r="H893" s="227"/>
      <c r="I893" s="227"/>
    </row>
    <row r="894">
      <c r="A894" s="227"/>
      <c r="C894" s="227"/>
      <c r="D894" s="277" t="s">
        <v>4290</v>
      </c>
      <c r="E894" s="227"/>
      <c r="F894" s="227"/>
      <c r="G894" s="227"/>
      <c r="H894" s="227"/>
      <c r="I894" s="227"/>
    </row>
    <row r="895">
      <c r="A895" s="227"/>
      <c r="C895" s="227"/>
      <c r="D895" s="277" t="s">
        <v>4291</v>
      </c>
      <c r="E895" s="227"/>
      <c r="F895" s="227"/>
      <c r="G895" s="227"/>
      <c r="H895" s="227"/>
      <c r="I895" s="227"/>
    </row>
    <row r="896">
      <c r="A896" s="227"/>
      <c r="B896" s="243"/>
      <c r="C896" s="227"/>
      <c r="D896" s="243"/>
      <c r="E896" s="227"/>
      <c r="F896" s="227"/>
      <c r="G896" s="227"/>
      <c r="H896" s="227"/>
      <c r="I896" s="227"/>
    </row>
    <row r="897">
      <c r="A897" s="227"/>
      <c r="B897" s="238" t="s">
        <v>1018</v>
      </c>
      <c r="C897" s="227"/>
      <c r="D897" s="276" t="s">
        <v>4292</v>
      </c>
      <c r="E897" s="227"/>
      <c r="F897" s="227"/>
      <c r="G897" s="227"/>
      <c r="H897" s="227"/>
      <c r="I897" s="227"/>
    </row>
    <row r="898">
      <c r="A898" s="227"/>
      <c r="C898" s="227"/>
      <c r="D898" s="276" t="s">
        <v>2169</v>
      </c>
      <c r="E898" s="227"/>
      <c r="F898" s="227"/>
      <c r="G898" s="227"/>
      <c r="H898" s="227"/>
      <c r="I898" s="227"/>
    </row>
    <row r="899">
      <c r="A899" s="227"/>
      <c r="C899" s="227"/>
      <c r="D899" s="276" t="s">
        <v>2170</v>
      </c>
      <c r="E899" s="227"/>
      <c r="F899" s="227"/>
      <c r="G899" s="227"/>
      <c r="H899" s="227"/>
      <c r="I899" s="227"/>
    </row>
    <row r="900">
      <c r="A900" s="227"/>
      <c r="C900" s="227"/>
      <c r="D900" s="276" t="s">
        <v>2171</v>
      </c>
      <c r="E900" s="227"/>
      <c r="F900" s="227"/>
      <c r="G900" s="227"/>
      <c r="H900" s="227"/>
      <c r="I900" s="227"/>
    </row>
    <row r="901">
      <c r="A901" s="227"/>
      <c r="C901" s="227"/>
      <c r="D901" s="276" t="s">
        <v>2172</v>
      </c>
      <c r="E901" s="227"/>
      <c r="F901" s="227"/>
      <c r="G901" s="227"/>
      <c r="H901" s="227"/>
      <c r="I901" s="227"/>
    </row>
    <row r="902">
      <c r="A902" s="227"/>
      <c r="C902" s="227"/>
      <c r="D902" s="276" t="s">
        <v>2173</v>
      </c>
      <c r="E902" s="227"/>
      <c r="F902" s="227"/>
      <c r="G902" s="227"/>
      <c r="H902" s="227"/>
      <c r="I902" s="227"/>
    </row>
    <row r="903">
      <c r="A903" s="227"/>
      <c r="C903" s="227"/>
      <c r="D903" s="276" t="s">
        <v>2174</v>
      </c>
      <c r="E903" s="227"/>
      <c r="F903" s="227"/>
      <c r="G903" s="227"/>
      <c r="H903" s="227"/>
      <c r="I903" s="227"/>
    </row>
    <row r="904">
      <c r="A904" s="227"/>
      <c r="C904" s="227"/>
      <c r="D904" s="276" t="s">
        <v>2175</v>
      </c>
      <c r="E904" s="227"/>
      <c r="F904" s="227"/>
      <c r="G904" s="227"/>
      <c r="H904" s="227"/>
      <c r="I904" s="227"/>
    </row>
    <row r="905">
      <c r="A905" s="227"/>
      <c r="C905" s="227"/>
      <c r="D905" s="276" t="s">
        <v>2176</v>
      </c>
      <c r="E905" s="227"/>
      <c r="F905" s="227"/>
      <c r="G905" s="227"/>
      <c r="H905" s="227"/>
      <c r="I905" s="227"/>
    </row>
    <row r="906">
      <c r="A906" s="227"/>
      <c r="C906" s="227"/>
      <c r="D906" s="276" t="s">
        <v>2177</v>
      </c>
      <c r="E906" s="227"/>
      <c r="F906" s="227"/>
      <c r="G906" s="227"/>
      <c r="H906" s="227"/>
      <c r="I906" s="227"/>
    </row>
    <row r="907">
      <c r="A907" s="227"/>
      <c r="C907" s="227"/>
      <c r="D907" s="276" t="s">
        <v>2178</v>
      </c>
      <c r="E907" s="227"/>
      <c r="F907" s="227"/>
      <c r="G907" s="227"/>
      <c r="H907" s="227"/>
      <c r="I907" s="227"/>
    </row>
    <row r="908">
      <c r="A908" s="227"/>
      <c r="C908" s="227"/>
      <c r="D908" s="276" t="s">
        <v>2179</v>
      </c>
      <c r="E908" s="227"/>
      <c r="F908" s="227"/>
      <c r="G908" s="227"/>
      <c r="H908" s="227"/>
      <c r="I908" s="227"/>
    </row>
    <row r="909">
      <c r="A909" s="227"/>
      <c r="C909" s="227"/>
      <c r="D909" s="276" t="s">
        <v>2180</v>
      </c>
      <c r="E909" s="227"/>
      <c r="F909" s="227"/>
      <c r="G909" s="227"/>
      <c r="H909" s="227"/>
      <c r="I909" s="227"/>
    </row>
    <row r="910">
      <c r="A910" s="227"/>
      <c r="C910" s="227"/>
      <c r="D910" s="276" t="s">
        <v>2181</v>
      </c>
      <c r="E910" s="227"/>
      <c r="F910" s="227"/>
      <c r="G910" s="227"/>
      <c r="H910" s="227"/>
      <c r="I910" s="227"/>
    </row>
    <row r="911">
      <c r="A911" s="227"/>
      <c r="C911" s="227"/>
      <c r="D911" s="276" t="s">
        <v>1729</v>
      </c>
      <c r="E911" s="227"/>
      <c r="F911" s="227"/>
      <c r="G911" s="227"/>
      <c r="H911" s="227"/>
      <c r="I911" s="227"/>
    </row>
    <row r="912">
      <c r="A912" s="227"/>
      <c r="C912" s="227"/>
      <c r="D912" s="276" t="s">
        <v>1730</v>
      </c>
      <c r="E912" s="227"/>
      <c r="F912" s="227"/>
      <c r="G912" s="227"/>
      <c r="H912" s="227"/>
      <c r="I912" s="227"/>
    </row>
    <row r="913">
      <c r="A913" s="227"/>
      <c r="C913" s="227"/>
      <c r="D913" s="276" t="s">
        <v>2182</v>
      </c>
      <c r="E913" s="227"/>
      <c r="F913" s="227"/>
      <c r="G913" s="227"/>
      <c r="H913" s="227"/>
      <c r="I913" s="227"/>
    </row>
    <row r="914">
      <c r="A914" s="227"/>
      <c r="C914" s="227"/>
      <c r="D914" s="276" t="s">
        <v>2183</v>
      </c>
      <c r="E914" s="227"/>
      <c r="F914" s="227"/>
      <c r="G914" s="227"/>
      <c r="H914" s="227"/>
      <c r="I914" s="227"/>
    </row>
    <row r="915">
      <c r="A915" s="227"/>
      <c r="C915" s="227"/>
      <c r="D915" s="276" t="s">
        <v>2184</v>
      </c>
      <c r="E915" s="227"/>
      <c r="F915" s="227"/>
      <c r="G915" s="227"/>
      <c r="H915" s="227"/>
      <c r="I915" s="227"/>
    </row>
    <row r="916">
      <c r="A916" s="227"/>
      <c r="C916" s="227"/>
      <c r="D916" s="276" t="s">
        <v>2185</v>
      </c>
      <c r="E916" s="227"/>
      <c r="F916" s="227"/>
      <c r="G916" s="227"/>
      <c r="H916" s="227"/>
      <c r="I916" s="227"/>
    </row>
    <row r="917">
      <c r="A917" s="227"/>
      <c r="C917" s="227"/>
      <c r="D917" s="276" t="s">
        <v>2186</v>
      </c>
      <c r="E917" s="227"/>
      <c r="F917" s="227"/>
      <c r="G917" s="227"/>
      <c r="H917" s="227"/>
      <c r="I917" s="227"/>
    </row>
    <row r="918">
      <c r="A918" s="227"/>
      <c r="C918" s="227"/>
      <c r="D918" s="274" t="s">
        <v>2187</v>
      </c>
      <c r="E918" s="227"/>
      <c r="F918" s="227"/>
      <c r="G918" s="227"/>
      <c r="H918" s="227"/>
      <c r="I918" s="227"/>
    </row>
    <row r="919">
      <c r="A919" s="227"/>
      <c r="B919" s="227"/>
      <c r="C919" s="227"/>
      <c r="D919" s="227"/>
      <c r="E919" s="227"/>
      <c r="F919" s="227"/>
      <c r="G919" s="227"/>
      <c r="H919" s="227"/>
      <c r="I919" s="227"/>
    </row>
    <row r="920">
      <c r="A920" s="227"/>
      <c r="B920" s="231" t="s">
        <v>964</v>
      </c>
      <c r="C920" s="227"/>
      <c r="D920" s="227" t="s">
        <v>4300</v>
      </c>
      <c r="E920" s="227"/>
      <c r="F920" s="227"/>
      <c r="G920" s="227"/>
      <c r="H920" s="227"/>
      <c r="I920" s="227"/>
    </row>
    <row r="921">
      <c r="A921" s="227"/>
      <c r="C921" s="227"/>
      <c r="D921" s="227" t="s">
        <v>2117</v>
      </c>
      <c r="E921" s="227"/>
      <c r="F921" s="227"/>
      <c r="G921" s="227"/>
      <c r="H921" s="227"/>
      <c r="I921" s="227"/>
    </row>
    <row r="922">
      <c r="A922" s="227"/>
      <c r="C922" s="227"/>
      <c r="D922" s="227" t="s">
        <v>2118</v>
      </c>
      <c r="E922" s="227"/>
      <c r="F922" s="227"/>
      <c r="G922" s="227"/>
      <c r="H922" s="227"/>
      <c r="I922" s="227"/>
    </row>
    <row r="923">
      <c r="A923" s="227"/>
      <c r="C923" s="227"/>
      <c r="D923" s="227" t="s">
        <v>2119</v>
      </c>
      <c r="E923" s="227"/>
      <c r="F923" s="227"/>
      <c r="G923" s="227"/>
      <c r="H923" s="227"/>
      <c r="I923" s="227"/>
    </row>
    <row r="924">
      <c r="A924" s="227"/>
      <c r="C924" s="227"/>
      <c r="D924" s="227" t="s">
        <v>2120</v>
      </c>
      <c r="E924" s="227"/>
      <c r="F924" s="227"/>
      <c r="G924" s="227"/>
      <c r="H924" s="227"/>
      <c r="I924" s="227"/>
    </row>
    <row r="925">
      <c r="A925" s="227"/>
      <c r="C925" s="227"/>
      <c r="D925" s="227" t="s">
        <v>2121</v>
      </c>
      <c r="E925" s="227"/>
      <c r="F925" s="227"/>
      <c r="G925" s="227"/>
      <c r="H925" s="227"/>
      <c r="I925" s="227"/>
    </row>
    <row r="926">
      <c r="A926" s="227"/>
      <c r="C926" s="227"/>
      <c r="D926" s="227" t="s">
        <v>2123</v>
      </c>
      <c r="E926" s="227"/>
      <c r="F926" s="227"/>
      <c r="G926" s="227"/>
      <c r="H926" s="227"/>
      <c r="I926" s="227"/>
    </row>
    <row r="927">
      <c r="A927" s="227"/>
      <c r="C927" s="227"/>
      <c r="D927" s="227" t="s">
        <v>2124</v>
      </c>
      <c r="E927" s="227"/>
      <c r="F927" s="227"/>
      <c r="G927" s="227"/>
      <c r="H927" s="227"/>
      <c r="I927" s="227"/>
    </row>
    <row r="928">
      <c r="A928" s="227"/>
      <c r="C928" s="227"/>
      <c r="D928" s="227" t="s">
        <v>2125</v>
      </c>
      <c r="E928" s="227"/>
      <c r="F928" s="227"/>
      <c r="G928" s="227"/>
      <c r="H928" s="227"/>
      <c r="I928" s="227"/>
    </row>
    <row r="929">
      <c r="A929" s="227"/>
      <c r="C929" s="227"/>
      <c r="D929" s="227" t="s">
        <v>2127</v>
      </c>
      <c r="E929" s="227"/>
      <c r="F929" s="227"/>
      <c r="G929" s="227"/>
      <c r="H929" s="227"/>
      <c r="I929" s="227"/>
    </row>
    <row r="930">
      <c r="A930" s="227"/>
      <c r="C930" s="227"/>
      <c r="D930" s="227" t="s">
        <v>2128</v>
      </c>
      <c r="E930" s="227"/>
      <c r="F930" s="227"/>
      <c r="G930" s="227"/>
      <c r="H930" s="227"/>
      <c r="I930" s="227"/>
    </row>
    <row r="931">
      <c r="A931" s="227"/>
      <c r="C931" s="227"/>
      <c r="D931" s="227" t="s">
        <v>2129</v>
      </c>
      <c r="E931" s="227"/>
      <c r="F931" s="227"/>
      <c r="G931" s="227"/>
      <c r="H931" s="227"/>
      <c r="I931" s="227"/>
    </row>
    <row r="932">
      <c r="A932" s="227"/>
      <c r="C932" s="227"/>
      <c r="D932" s="227" t="s">
        <v>2130</v>
      </c>
      <c r="E932" s="227"/>
      <c r="F932" s="227"/>
      <c r="G932" s="227"/>
      <c r="H932" s="227"/>
      <c r="I932" s="227"/>
    </row>
    <row r="933">
      <c r="A933" s="227"/>
      <c r="C933" s="227"/>
      <c r="D933" s="227" t="s">
        <v>2131</v>
      </c>
      <c r="E933" s="227"/>
      <c r="F933" s="227"/>
      <c r="G933" s="227"/>
      <c r="H933" s="227"/>
      <c r="I933" s="227"/>
    </row>
    <row r="934">
      <c r="A934" s="227"/>
      <c r="C934" s="227"/>
      <c r="D934" s="227" t="s">
        <v>2132</v>
      </c>
      <c r="E934" s="227"/>
      <c r="F934" s="227"/>
      <c r="G934" s="227"/>
      <c r="H934" s="227"/>
      <c r="I934" s="227"/>
    </row>
    <row r="935">
      <c r="A935" s="227"/>
      <c r="C935" s="227"/>
      <c r="D935" s="227" t="s">
        <v>2133</v>
      </c>
      <c r="E935" s="227"/>
      <c r="F935" s="227"/>
      <c r="G935" s="227"/>
      <c r="H935" s="227"/>
      <c r="I935" s="227"/>
    </row>
    <row r="936">
      <c r="A936" s="227"/>
      <c r="C936" s="227"/>
      <c r="D936" s="227" t="s">
        <v>2134</v>
      </c>
      <c r="E936" s="227"/>
      <c r="F936" s="227"/>
      <c r="G936" s="227"/>
      <c r="H936" s="227"/>
      <c r="I936" s="227"/>
    </row>
    <row r="937">
      <c r="A937" s="227"/>
      <c r="C937" s="227"/>
      <c r="D937" s="227" t="s">
        <v>1782</v>
      </c>
      <c r="E937" s="227"/>
      <c r="F937" s="227"/>
      <c r="G937" s="227"/>
      <c r="H937" s="227"/>
      <c r="I937" s="227"/>
    </row>
    <row r="938">
      <c r="A938" s="227"/>
      <c r="C938" s="227"/>
      <c r="D938" s="227" t="s">
        <v>2135</v>
      </c>
      <c r="E938" s="227"/>
      <c r="F938" s="227"/>
      <c r="G938" s="227"/>
      <c r="H938" s="227"/>
      <c r="I938" s="227"/>
    </row>
    <row r="939">
      <c r="A939" s="227"/>
      <c r="C939" s="227"/>
      <c r="D939" s="227" t="s">
        <v>2136</v>
      </c>
      <c r="E939" s="227"/>
      <c r="F939" s="227"/>
      <c r="G939" s="227"/>
      <c r="H939" s="227"/>
      <c r="I939" s="227"/>
    </row>
    <row r="940">
      <c r="A940" s="227"/>
      <c r="C940" s="227"/>
      <c r="D940" s="227" t="s">
        <v>2137</v>
      </c>
      <c r="E940" s="227"/>
      <c r="F940" s="227"/>
      <c r="G940" s="227"/>
      <c r="H940" s="227"/>
      <c r="I940" s="227"/>
    </row>
    <row r="941">
      <c r="A941" s="227"/>
      <c r="C941" s="227"/>
      <c r="D941" s="243" t="s">
        <v>2138</v>
      </c>
      <c r="E941" s="227"/>
      <c r="F941" s="227"/>
      <c r="G941" s="227"/>
      <c r="H941" s="227"/>
      <c r="I941" s="227"/>
    </row>
    <row r="942">
      <c r="A942" s="227"/>
      <c r="C942" s="227"/>
      <c r="D942" s="243" t="s">
        <v>2139</v>
      </c>
      <c r="E942" s="227"/>
      <c r="F942" s="227"/>
      <c r="G942" s="227"/>
      <c r="H942" s="227"/>
      <c r="I942" s="227"/>
    </row>
    <row r="943">
      <c r="A943" s="227"/>
      <c r="C943" s="227"/>
      <c r="D943" s="243" t="s">
        <v>2140</v>
      </c>
      <c r="E943" s="227"/>
      <c r="F943" s="227"/>
      <c r="G943" s="227"/>
      <c r="H943" s="227"/>
      <c r="I943" s="227"/>
    </row>
    <row r="944">
      <c r="A944" s="227"/>
      <c r="C944" s="227"/>
      <c r="D944" s="243" t="s">
        <v>2142</v>
      </c>
      <c r="E944" s="227"/>
      <c r="F944" s="227"/>
      <c r="G944" s="227"/>
      <c r="H944" s="227"/>
      <c r="I944" s="227"/>
    </row>
    <row r="945">
      <c r="A945" s="227"/>
      <c r="C945" s="227"/>
      <c r="D945" s="227" t="s">
        <v>2143</v>
      </c>
      <c r="E945" s="227"/>
      <c r="F945" s="227"/>
      <c r="G945" s="227"/>
      <c r="H945" s="227"/>
      <c r="I945" s="227"/>
    </row>
    <row r="946">
      <c r="A946" s="227"/>
      <c r="C946" s="227"/>
      <c r="D946" s="227" t="s">
        <v>2144</v>
      </c>
      <c r="E946" s="227"/>
      <c r="F946" s="227"/>
      <c r="G946" s="227"/>
      <c r="H946" s="227"/>
      <c r="I946" s="227"/>
    </row>
    <row r="947">
      <c r="A947" s="227"/>
      <c r="C947" s="227"/>
      <c r="D947" s="227" t="s">
        <v>2145</v>
      </c>
      <c r="E947" s="227"/>
      <c r="F947" s="227"/>
      <c r="G947" s="227"/>
      <c r="H947" s="227"/>
      <c r="I947" s="227"/>
    </row>
    <row r="948">
      <c r="A948" s="227"/>
      <c r="C948" s="227"/>
      <c r="D948" s="227" t="s">
        <v>2146</v>
      </c>
      <c r="E948" s="227"/>
      <c r="F948" s="227"/>
      <c r="G948" s="227"/>
      <c r="H948" s="227"/>
      <c r="I948" s="227"/>
    </row>
    <row r="949">
      <c r="A949" s="227"/>
      <c r="C949" s="227"/>
      <c r="D949" s="227" t="s">
        <v>2148</v>
      </c>
      <c r="E949" s="227"/>
      <c r="F949" s="227"/>
      <c r="G949" s="227"/>
      <c r="H949" s="227"/>
      <c r="I949" s="227"/>
    </row>
    <row r="950">
      <c r="A950" s="227"/>
      <c r="C950" s="227"/>
      <c r="D950" s="227" t="s">
        <v>2150</v>
      </c>
      <c r="E950" s="227"/>
      <c r="F950" s="227"/>
      <c r="G950" s="227"/>
      <c r="H950" s="227"/>
      <c r="I950" s="227"/>
    </row>
    <row r="951">
      <c r="A951" s="227"/>
      <c r="C951" s="227"/>
      <c r="D951" s="227" t="s">
        <v>2151</v>
      </c>
      <c r="E951" s="227"/>
      <c r="F951" s="227"/>
      <c r="G951" s="227"/>
      <c r="H951" s="227"/>
      <c r="I951" s="227"/>
    </row>
    <row r="952">
      <c r="A952" s="227"/>
      <c r="C952" s="227"/>
      <c r="D952" s="227" t="s">
        <v>2152</v>
      </c>
      <c r="E952" s="227"/>
      <c r="F952" s="227"/>
      <c r="G952" s="227"/>
      <c r="H952" s="227"/>
      <c r="I952" s="227"/>
    </row>
    <row r="953">
      <c r="A953" s="227"/>
      <c r="C953" s="227"/>
      <c r="D953" s="227" t="s">
        <v>2154</v>
      </c>
      <c r="E953" s="227"/>
      <c r="F953" s="227"/>
      <c r="G953" s="227"/>
      <c r="H953" s="227"/>
      <c r="I953" s="227"/>
    </row>
    <row r="954">
      <c r="A954" s="227"/>
      <c r="C954" s="227"/>
      <c r="D954" s="227" t="s">
        <v>2156</v>
      </c>
      <c r="E954" s="227"/>
      <c r="F954" s="227"/>
      <c r="G954" s="227"/>
      <c r="H954" s="227"/>
      <c r="I954" s="227"/>
    </row>
    <row r="955">
      <c r="A955" s="227"/>
      <c r="C955" s="227"/>
      <c r="D955" s="227" t="s">
        <v>2157</v>
      </c>
      <c r="E955" s="227"/>
      <c r="F955" s="227"/>
      <c r="G955" s="227"/>
      <c r="H955" s="227"/>
      <c r="I955" s="227"/>
    </row>
    <row r="956">
      <c r="A956" s="227"/>
      <c r="C956" s="227"/>
      <c r="D956" s="227" t="s">
        <v>2158</v>
      </c>
      <c r="E956" s="227"/>
      <c r="F956" s="227"/>
      <c r="G956" s="227"/>
      <c r="H956" s="227"/>
      <c r="I956" s="227"/>
    </row>
    <row r="957">
      <c r="A957" s="227"/>
      <c r="C957" s="227"/>
      <c r="D957" s="227" t="s">
        <v>2159</v>
      </c>
      <c r="E957" s="227"/>
      <c r="F957" s="227"/>
      <c r="G957" s="227"/>
      <c r="H957" s="227"/>
      <c r="I957" s="227"/>
    </row>
    <row r="958">
      <c r="A958" s="227"/>
      <c r="C958" s="227"/>
      <c r="D958" s="227" t="s">
        <v>2160</v>
      </c>
      <c r="E958" s="227"/>
      <c r="F958" s="227"/>
      <c r="G958" s="227"/>
      <c r="H958" s="227"/>
      <c r="I958" s="227"/>
    </row>
    <row r="959">
      <c r="A959" s="227"/>
      <c r="C959" s="227"/>
      <c r="D959" s="227" t="s">
        <v>2161</v>
      </c>
      <c r="E959" s="227"/>
      <c r="F959" s="227"/>
      <c r="G959" s="227"/>
      <c r="H959" s="227"/>
      <c r="I959" s="227"/>
    </row>
    <row r="960">
      <c r="A960" s="227"/>
      <c r="C960" s="227"/>
      <c r="D960" s="227" t="s">
        <v>2162</v>
      </c>
      <c r="E960" s="227"/>
      <c r="F960" s="227"/>
      <c r="G960" s="227"/>
      <c r="H960" s="227"/>
      <c r="I960" s="227"/>
    </row>
    <row r="961">
      <c r="A961" s="227"/>
      <c r="C961" s="227"/>
      <c r="D961" s="227" t="s">
        <v>2163</v>
      </c>
      <c r="E961" s="227"/>
      <c r="F961" s="227"/>
      <c r="G961" s="227"/>
      <c r="H961" s="227"/>
      <c r="I961" s="227"/>
    </row>
    <row r="962">
      <c r="A962" s="227"/>
      <c r="C962" s="227"/>
      <c r="D962" s="227" t="s">
        <v>2164</v>
      </c>
      <c r="E962" s="227"/>
      <c r="F962" s="227"/>
      <c r="G962" s="227"/>
      <c r="H962" s="227"/>
      <c r="I962" s="227"/>
    </row>
    <row r="963">
      <c r="A963" s="227"/>
      <c r="C963" s="227"/>
      <c r="D963" s="227" t="s">
        <v>2165</v>
      </c>
      <c r="E963" s="227"/>
      <c r="F963" s="227"/>
      <c r="G963" s="227"/>
      <c r="H963" s="227"/>
      <c r="I963" s="227"/>
    </row>
    <row r="964">
      <c r="A964" s="227"/>
      <c r="C964" s="227"/>
      <c r="D964" s="227" t="s">
        <v>2166</v>
      </c>
      <c r="E964" s="227"/>
      <c r="F964" s="227"/>
      <c r="G964" s="227"/>
      <c r="H964" s="227"/>
      <c r="I964" s="227"/>
    </row>
    <row r="965">
      <c r="A965" s="227"/>
      <c r="C965" s="227"/>
      <c r="D965" s="227" t="s">
        <v>2167</v>
      </c>
      <c r="E965" s="227"/>
      <c r="F965" s="227"/>
      <c r="G965" s="227"/>
      <c r="H965" s="227"/>
      <c r="I965" s="227"/>
    </row>
    <row r="966">
      <c r="A966" s="227"/>
      <c r="B966" s="243"/>
      <c r="C966" s="227"/>
      <c r="D966" s="227"/>
      <c r="E966" s="227"/>
      <c r="F966" s="227"/>
      <c r="G966" s="227"/>
      <c r="H966" s="227"/>
      <c r="I966" s="227"/>
    </row>
    <row r="967">
      <c r="A967" s="227"/>
      <c r="B967" s="238" t="s">
        <v>816</v>
      </c>
      <c r="C967" s="227"/>
      <c r="D967" s="274" t="s">
        <v>4308</v>
      </c>
      <c r="E967" s="227"/>
      <c r="F967" s="227"/>
      <c r="G967" s="227"/>
      <c r="H967" s="227"/>
      <c r="I967" s="227"/>
    </row>
    <row r="968">
      <c r="A968" s="227"/>
      <c r="C968" s="227"/>
      <c r="D968" s="274" t="s">
        <v>1760</v>
      </c>
      <c r="E968" s="227"/>
      <c r="F968" s="227"/>
      <c r="G968" s="227"/>
      <c r="H968" s="227"/>
      <c r="I968" s="227"/>
    </row>
    <row r="969">
      <c r="A969" s="227"/>
      <c r="C969" s="227"/>
      <c r="D969" s="274" t="s">
        <v>1761</v>
      </c>
      <c r="E969" s="227"/>
      <c r="F969" s="227"/>
      <c r="G969" s="227"/>
      <c r="H969" s="227"/>
      <c r="I969" s="227"/>
    </row>
    <row r="970">
      <c r="A970" s="227"/>
      <c r="C970" s="227"/>
      <c r="D970" s="274" t="s">
        <v>1762</v>
      </c>
      <c r="E970" s="227"/>
      <c r="F970" s="227"/>
      <c r="G970" s="227"/>
      <c r="H970" s="227"/>
      <c r="I970" s="227"/>
    </row>
    <row r="971">
      <c r="A971" s="227"/>
      <c r="C971" s="227"/>
      <c r="D971" s="274" t="s">
        <v>1763</v>
      </c>
      <c r="E971" s="227"/>
      <c r="F971" s="227"/>
      <c r="G971" s="227"/>
      <c r="H971" s="227"/>
      <c r="I971" s="227"/>
    </row>
    <row r="972">
      <c r="A972" s="227"/>
      <c r="C972" s="227"/>
      <c r="D972" s="274" t="s">
        <v>1764</v>
      </c>
      <c r="E972" s="227"/>
      <c r="F972" s="227"/>
      <c r="G972" s="227"/>
      <c r="H972" s="227"/>
      <c r="I972" s="227"/>
    </row>
    <row r="973">
      <c r="A973" s="227"/>
      <c r="C973" s="227"/>
      <c r="D973" s="274" t="s">
        <v>1765</v>
      </c>
      <c r="E973" s="227"/>
      <c r="F973" s="227"/>
      <c r="G973" s="227"/>
      <c r="H973" s="227"/>
      <c r="I973" s="227"/>
    </row>
    <row r="974">
      <c r="A974" s="227"/>
      <c r="C974" s="227"/>
      <c r="D974" s="274" t="s">
        <v>1766</v>
      </c>
      <c r="E974" s="227"/>
      <c r="F974" s="227"/>
      <c r="G974" s="227"/>
      <c r="H974" s="227"/>
      <c r="I974" s="227"/>
    </row>
    <row r="975">
      <c r="A975" s="227"/>
      <c r="C975" s="227"/>
      <c r="D975" s="274" t="s">
        <v>1767</v>
      </c>
      <c r="E975" s="227"/>
      <c r="F975" s="227"/>
      <c r="G975" s="227"/>
      <c r="H975" s="227"/>
      <c r="I975" s="227"/>
    </row>
    <row r="976">
      <c r="A976" s="227"/>
      <c r="C976" s="227"/>
      <c r="D976" s="274" t="s">
        <v>1768</v>
      </c>
      <c r="E976" s="227"/>
      <c r="F976" s="227"/>
      <c r="G976" s="227"/>
      <c r="H976" s="227"/>
      <c r="I976" s="227"/>
    </row>
    <row r="977">
      <c r="A977" s="227"/>
      <c r="C977" s="227"/>
      <c r="D977" s="274" t="s">
        <v>1769</v>
      </c>
      <c r="E977" s="227"/>
      <c r="F977" s="227"/>
      <c r="G977" s="227"/>
      <c r="H977" s="227"/>
      <c r="I977" s="227"/>
    </row>
    <row r="978">
      <c r="A978" s="227"/>
      <c r="C978" s="227"/>
      <c r="D978" s="274" t="s">
        <v>1770</v>
      </c>
      <c r="E978" s="227"/>
      <c r="F978" s="227"/>
      <c r="G978" s="227"/>
      <c r="H978" s="227"/>
      <c r="I978" s="227"/>
    </row>
    <row r="979">
      <c r="A979" s="227"/>
      <c r="C979" s="227"/>
      <c r="D979" s="274" t="s">
        <v>1771</v>
      </c>
      <c r="E979" s="227"/>
      <c r="F979" s="227"/>
      <c r="G979" s="227"/>
      <c r="H979" s="227"/>
      <c r="I979" s="227"/>
    </row>
    <row r="980">
      <c r="A980" s="227"/>
      <c r="C980" s="227"/>
      <c r="D980" s="274" t="s">
        <v>1772</v>
      </c>
      <c r="E980" s="227"/>
      <c r="F980" s="227"/>
      <c r="G980" s="227"/>
      <c r="H980" s="227"/>
      <c r="I980" s="227"/>
    </row>
    <row r="981">
      <c r="A981" s="227"/>
      <c r="C981" s="227"/>
      <c r="D981" s="274" t="s">
        <v>1773</v>
      </c>
      <c r="E981" s="227"/>
      <c r="F981" s="227"/>
      <c r="G981" s="227"/>
      <c r="H981" s="227"/>
      <c r="I981" s="227"/>
    </row>
    <row r="982">
      <c r="A982" s="227"/>
      <c r="C982" s="227"/>
      <c r="D982" s="274" t="s">
        <v>1774</v>
      </c>
      <c r="E982" s="227"/>
      <c r="F982" s="227"/>
      <c r="G982" s="227"/>
      <c r="H982" s="227"/>
      <c r="I982" s="227"/>
    </row>
    <row r="983">
      <c r="A983" s="227"/>
      <c r="C983" s="227"/>
      <c r="D983" s="274" t="s">
        <v>1775</v>
      </c>
      <c r="E983" s="227"/>
      <c r="F983" s="227"/>
      <c r="G983" s="227"/>
      <c r="H983" s="227"/>
      <c r="I983" s="227"/>
    </row>
    <row r="984">
      <c r="A984" s="227"/>
      <c r="C984" s="227"/>
      <c r="D984" s="274" t="s">
        <v>876</v>
      </c>
      <c r="E984" s="227"/>
      <c r="F984" s="227"/>
      <c r="G984" s="227"/>
      <c r="H984" s="227"/>
      <c r="I984" s="227"/>
    </row>
    <row r="985">
      <c r="A985" s="227"/>
      <c r="C985" s="227"/>
      <c r="D985" s="274" t="s">
        <v>1776</v>
      </c>
      <c r="E985" s="227"/>
      <c r="F985" s="227"/>
      <c r="G985" s="227"/>
      <c r="H985" s="227"/>
      <c r="I985" s="227"/>
    </row>
    <row r="986">
      <c r="A986" s="227"/>
      <c r="C986" s="227"/>
      <c r="D986" s="274" t="s">
        <v>1777</v>
      </c>
      <c r="E986" s="227"/>
      <c r="F986" s="227"/>
      <c r="G986" s="227"/>
      <c r="H986" s="227"/>
      <c r="I986" s="227"/>
    </row>
    <row r="987">
      <c r="A987" s="227"/>
      <c r="C987" s="227"/>
      <c r="D987" s="274" t="s">
        <v>1778</v>
      </c>
      <c r="E987" s="227"/>
      <c r="F987" s="227"/>
      <c r="G987" s="227"/>
      <c r="H987" s="227"/>
      <c r="I987" s="227"/>
    </row>
    <row r="988">
      <c r="A988" s="227"/>
      <c r="C988" s="227"/>
      <c r="D988" s="274" t="s">
        <v>1779</v>
      </c>
      <c r="E988" s="227"/>
      <c r="F988" s="227"/>
      <c r="G988" s="227"/>
      <c r="H988" s="227"/>
      <c r="I988" s="227"/>
    </row>
    <row r="989">
      <c r="A989" s="227"/>
      <c r="C989" s="227"/>
      <c r="D989" s="227" t="s">
        <v>1780</v>
      </c>
      <c r="E989" s="227"/>
      <c r="F989" s="227"/>
      <c r="G989" s="227"/>
      <c r="H989" s="227"/>
      <c r="I989" s="227"/>
    </row>
    <row r="990">
      <c r="A990" s="227"/>
      <c r="C990" s="227"/>
      <c r="D990" s="227" t="s">
        <v>1781</v>
      </c>
      <c r="E990" s="227"/>
      <c r="F990" s="227"/>
      <c r="G990" s="227"/>
      <c r="H990" s="227"/>
      <c r="I990" s="227"/>
    </row>
    <row r="991">
      <c r="A991" s="227"/>
      <c r="C991" s="227"/>
      <c r="D991" s="227" t="s">
        <v>1782</v>
      </c>
      <c r="E991" s="227"/>
      <c r="F991" s="227"/>
      <c r="G991" s="227"/>
      <c r="H991" s="227"/>
      <c r="I991" s="227"/>
    </row>
    <row r="992">
      <c r="A992" s="227"/>
      <c r="C992" s="227"/>
      <c r="D992" s="227" t="s">
        <v>1783</v>
      </c>
      <c r="E992" s="227"/>
      <c r="F992" s="227"/>
      <c r="G992" s="227"/>
      <c r="H992" s="227"/>
      <c r="I992" s="227"/>
    </row>
    <row r="993">
      <c r="A993" s="227"/>
      <c r="C993" s="227"/>
      <c r="D993" s="274" t="s">
        <v>1784</v>
      </c>
      <c r="E993" s="227"/>
      <c r="F993" s="227"/>
      <c r="G993" s="227"/>
      <c r="H993" s="227"/>
      <c r="I993" s="227"/>
    </row>
    <row r="994">
      <c r="A994" s="227"/>
      <c r="C994" s="227"/>
      <c r="D994" s="274" t="s">
        <v>1785</v>
      </c>
      <c r="E994" s="227"/>
      <c r="F994" s="227"/>
      <c r="G994" s="227"/>
      <c r="H994" s="227"/>
      <c r="I994" s="227"/>
    </row>
    <row r="995">
      <c r="A995" s="227"/>
      <c r="C995" s="227"/>
      <c r="D995" s="274" t="s">
        <v>1786</v>
      </c>
      <c r="E995" s="227"/>
      <c r="F995" s="227"/>
      <c r="G995" s="227"/>
      <c r="H995" s="227"/>
      <c r="I995" s="227"/>
    </row>
    <row r="996">
      <c r="A996" s="227"/>
      <c r="C996" s="227"/>
      <c r="D996" s="274" t="s">
        <v>1788</v>
      </c>
      <c r="E996" s="227"/>
      <c r="F996" s="227"/>
      <c r="G996" s="227"/>
      <c r="H996" s="227"/>
      <c r="I996" s="227"/>
    </row>
    <row r="997">
      <c r="A997" s="227"/>
      <c r="C997" s="227"/>
      <c r="D997" s="274" t="s">
        <v>1789</v>
      </c>
      <c r="E997" s="227"/>
      <c r="F997" s="227"/>
      <c r="G997" s="227"/>
      <c r="H997" s="227"/>
      <c r="I997" s="227"/>
    </row>
    <row r="998">
      <c r="A998" s="227"/>
      <c r="C998" s="227"/>
      <c r="D998" s="274" t="s">
        <v>1790</v>
      </c>
      <c r="E998" s="227"/>
      <c r="F998" s="227"/>
      <c r="G998" s="227"/>
      <c r="H998" s="227"/>
      <c r="I998" s="227"/>
    </row>
    <row r="999">
      <c r="A999" s="227"/>
      <c r="B999" s="243"/>
      <c r="C999" s="227"/>
      <c r="D999" s="227"/>
      <c r="E999" s="227"/>
      <c r="F999" s="227"/>
      <c r="G999" s="227"/>
      <c r="H999" s="227"/>
      <c r="I999" s="227"/>
    </row>
    <row r="1000">
      <c r="A1000" s="227"/>
      <c r="B1000" s="238" t="s">
        <v>776</v>
      </c>
      <c r="C1000" s="227"/>
      <c r="D1000" s="274" t="s">
        <v>4320</v>
      </c>
      <c r="E1000" s="227"/>
      <c r="F1000" s="227"/>
      <c r="G1000" s="227"/>
      <c r="H1000" s="227"/>
      <c r="I1000" s="227"/>
    </row>
    <row r="1001">
      <c r="A1001" s="227"/>
      <c r="C1001" s="227"/>
      <c r="D1001" s="274" t="s">
        <v>1919</v>
      </c>
      <c r="E1001" s="227"/>
      <c r="F1001" s="227"/>
      <c r="G1001" s="227"/>
      <c r="H1001" s="227"/>
      <c r="I1001" s="227"/>
    </row>
    <row r="1002">
      <c r="A1002" s="227"/>
      <c r="C1002" s="227"/>
      <c r="D1002" s="274" t="s">
        <v>1921</v>
      </c>
      <c r="E1002" s="227"/>
      <c r="F1002" s="227"/>
      <c r="G1002" s="227"/>
      <c r="H1002" s="227"/>
      <c r="I1002" s="227"/>
    </row>
    <row r="1003">
      <c r="A1003" s="227"/>
      <c r="C1003" s="227"/>
      <c r="D1003" s="274" t="s">
        <v>1922</v>
      </c>
      <c r="E1003" s="227"/>
      <c r="F1003" s="227"/>
      <c r="G1003" s="227"/>
      <c r="H1003" s="227"/>
      <c r="I1003" s="227"/>
    </row>
    <row r="1004">
      <c r="A1004" s="227"/>
      <c r="C1004" s="227"/>
      <c r="D1004" s="274" t="s">
        <v>1923</v>
      </c>
      <c r="E1004" s="227"/>
      <c r="F1004" s="227"/>
      <c r="G1004" s="227"/>
      <c r="H1004" s="227"/>
      <c r="I1004" s="227"/>
    </row>
    <row r="1005">
      <c r="A1005" s="227"/>
      <c r="C1005" s="227"/>
      <c r="D1005" s="274" t="s">
        <v>1924</v>
      </c>
      <c r="E1005" s="227"/>
      <c r="F1005" s="227"/>
      <c r="G1005" s="227"/>
      <c r="H1005" s="227"/>
      <c r="I1005" s="227"/>
    </row>
    <row r="1006">
      <c r="A1006" s="227"/>
      <c r="C1006" s="227"/>
      <c r="D1006" s="274" t="s">
        <v>1925</v>
      </c>
      <c r="E1006" s="227"/>
      <c r="F1006" s="227"/>
      <c r="G1006" s="227"/>
      <c r="H1006" s="227"/>
      <c r="I1006" s="227"/>
    </row>
    <row r="1007">
      <c r="A1007" s="227"/>
      <c r="C1007" s="227"/>
      <c r="D1007" s="274" t="s">
        <v>1926</v>
      </c>
      <c r="E1007" s="227"/>
      <c r="F1007" s="227"/>
      <c r="G1007" s="227"/>
      <c r="H1007" s="227"/>
      <c r="I1007" s="227"/>
    </row>
    <row r="1008">
      <c r="A1008" s="227"/>
      <c r="C1008" s="227"/>
      <c r="D1008" s="274" t="s">
        <v>1927</v>
      </c>
      <c r="E1008" s="227"/>
      <c r="F1008" s="227"/>
      <c r="G1008" s="227"/>
      <c r="H1008" s="227"/>
      <c r="I1008" s="227"/>
    </row>
    <row r="1009">
      <c r="A1009" s="227"/>
      <c r="C1009" s="227"/>
      <c r="D1009" s="274" t="s">
        <v>1928</v>
      </c>
      <c r="E1009" s="227"/>
      <c r="F1009" s="227"/>
      <c r="G1009" s="227"/>
      <c r="H1009" s="227"/>
      <c r="I1009" s="227"/>
    </row>
    <row r="1010">
      <c r="A1010" s="227"/>
      <c r="C1010" s="227"/>
      <c r="D1010" s="274" t="s">
        <v>1929</v>
      </c>
      <c r="E1010" s="227"/>
      <c r="F1010" s="227"/>
      <c r="G1010" s="227"/>
      <c r="H1010" s="227"/>
      <c r="I1010" s="227"/>
    </row>
    <row r="1011">
      <c r="A1011" s="227"/>
      <c r="C1011" s="227"/>
      <c r="D1011" s="278" t="s">
        <v>1930</v>
      </c>
      <c r="E1011" s="227"/>
      <c r="F1011" s="227"/>
      <c r="G1011" s="227"/>
      <c r="H1011" s="227"/>
      <c r="I1011" s="227"/>
    </row>
    <row r="1012">
      <c r="A1012" s="227"/>
      <c r="C1012" s="227"/>
      <c r="D1012" s="278" t="s">
        <v>1931</v>
      </c>
      <c r="E1012" s="227"/>
      <c r="F1012" s="227"/>
      <c r="G1012" s="227"/>
      <c r="H1012" s="227"/>
      <c r="I1012" s="227"/>
    </row>
    <row r="1013">
      <c r="A1013" s="227"/>
      <c r="C1013" s="227"/>
      <c r="D1013" s="278" t="s">
        <v>1932</v>
      </c>
      <c r="E1013" s="227"/>
      <c r="F1013" s="227"/>
      <c r="G1013" s="227"/>
      <c r="H1013" s="227"/>
      <c r="I1013" s="227"/>
    </row>
    <row r="1014">
      <c r="A1014" s="227"/>
      <c r="C1014" s="227"/>
      <c r="D1014" s="278" t="s">
        <v>1933</v>
      </c>
      <c r="E1014" s="227"/>
      <c r="F1014" s="227"/>
      <c r="G1014" s="227"/>
      <c r="H1014" s="227"/>
      <c r="I1014" s="227"/>
    </row>
    <row r="1015">
      <c r="A1015" s="227"/>
      <c r="C1015" s="227"/>
      <c r="D1015" s="278" t="s">
        <v>1934</v>
      </c>
      <c r="E1015" s="227"/>
      <c r="F1015" s="227"/>
      <c r="G1015" s="227"/>
      <c r="H1015" s="227"/>
      <c r="I1015" s="227"/>
    </row>
    <row r="1016">
      <c r="A1016" s="227"/>
      <c r="C1016" s="227"/>
      <c r="D1016" s="278" t="s">
        <v>1935</v>
      </c>
      <c r="E1016" s="227"/>
      <c r="F1016" s="227"/>
      <c r="G1016" s="227"/>
      <c r="H1016" s="227"/>
      <c r="I1016" s="227"/>
    </row>
    <row r="1017">
      <c r="A1017" s="227"/>
      <c r="C1017" s="227"/>
      <c r="D1017" s="278" t="s">
        <v>1937</v>
      </c>
      <c r="E1017" s="227"/>
      <c r="F1017" s="227"/>
      <c r="G1017" s="227"/>
      <c r="H1017" s="227"/>
      <c r="I1017" s="227"/>
    </row>
    <row r="1018">
      <c r="A1018" s="227"/>
      <c r="B1018" s="243"/>
      <c r="C1018" s="227"/>
      <c r="D1018" s="227"/>
      <c r="E1018" s="227"/>
      <c r="F1018" s="227"/>
      <c r="G1018" s="227"/>
      <c r="H1018" s="227"/>
      <c r="I1018" s="227"/>
    </row>
    <row r="1019">
      <c r="A1019" s="227"/>
      <c r="B1019" s="238" t="s">
        <v>899</v>
      </c>
      <c r="C1019" s="227"/>
      <c r="D1019" s="274" t="s">
        <v>4329</v>
      </c>
      <c r="E1019" s="227"/>
      <c r="F1019" s="227"/>
      <c r="G1019" s="227"/>
      <c r="H1019" s="227"/>
      <c r="I1019" s="227"/>
    </row>
    <row r="1020">
      <c r="A1020" s="227"/>
      <c r="C1020" s="227"/>
      <c r="D1020" s="274" t="s">
        <v>2080</v>
      </c>
      <c r="E1020" s="227"/>
      <c r="F1020" s="227"/>
      <c r="G1020" s="227"/>
      <c r="H1020" s="227"/>
      <c r="I1020" s="227"/>
    </row>
    <row r="1021">
      <c r="A1021" s="227"/>
      <c r="C1021" s="227"/>
      <c r="D1021" s="274" t="s">
        <v>2081</v>
      </c>
      <c r="E1021" s="227"/>
      <c r="F1021" s="227"/>
      <c r="G1021" s="227"/>
      <c r="H1021" s="227"/>
      <c r="I1021" s="227"/>
    </row>
    <row r="1022">
      <c r="A1022" s="227"/>
      <c r="C1022" s="227"/>
      <c r="D1022" s="274" t="s">
        <v>2082</v>
      </c>
      <c r="E1022" s="227"/>
      <c r="F1022" s="227"/>
      <c r="G1022" s="227"/>
      <c r="H1022" s="227"/>
      <c r="I1022" s="227"/>
    </row>
    <row r="1023">
      <c r="A1023" s="227"/>
      <c r="C1023" s="227"/>
      <c r="D1023" s="274" t="s">
        <v>2083</v>
      </c>
      <c r="E1023" s="227"/>
      <c r="F1023" s="227"/>
      <c r="G1023" s="227"/>
      <c r="H1023" s="227"/>
      <c r="I1023" s="227"/>
    </row>
    <row r="1024">
      <c r="A1024" s="227"/>
      <c r="C1024" s="227"/>
      <c r="D1024" s="274" t="s">
        <v>2084</v>
      </c>
      <c r="E1024" s="227"/>
      <c r="F1024" s="227"/>
      <c r="G1024" s="227"/>
      <c r="H1024" s="227"/>
      <c r="I1024" s="227"/>
    </row>
    <row r="1025">
      <c r="A1025" s="227"/>
      <c r="C1025" s="227"/>
      <c r="D1025" s="274" t="s">
        <v>2086</v>
      </c>
      <c r="E1025" s="227"/>
      <c r="F1025" s="227"/>
      <c r="G1025" s="227"/>
      <c r="H1025" s="227"/>
      <c r="I1025" s="227"/>
    </row>
    <row r="1026">
      <c r="A1026" s="227"/>
      <c r="C1026" s="227"/>
      <c r="D1026" s="274" t="s">
        <v>2087</v>
      </c>
      <c r="E1026" s="227"/>
      <c r="F1026" s="227"/>
      <c r="G1026" s="227"/>
      <c r="H1026" s="227"/>
      <c r="I1026" s="227"/>
    </row>
    <row r="1027">
      <c r="A1027" s="227"/>
      <c r="C1027" s="227"/>
      <c r="D1027" s="274" t="s">
        <v>2088</v>
      </c>
      <c r="E1027" s="227"/>
      <c r="F1027" s="227"/>
      <c r="G1027" s="227"/>
      <c r="H1027" s="227"/>
      <c r="I1027" s="227"/>
    </row>
    <row r="1028">
      <c r="A1028" s="227"/>
      <c r="C1028" s="227"/>
      <c r="D1028" s="274" t="s">
        <v>2089</v>
      </c>
      <c r="E1028" s="227"/>
      <c r="F1028" s="227"/>
      <c r="G1028" s="227"/>
      <c r="H1028" s="227"/>
      <c r="I1028" s="227"/>
    </row>
    <row r="1029">
      <c r="A1029" s="227"/>
      <c r="C1029" s="227"/>
      <c r="D1029" s="274" t="s">
        <v>1893</v>
      </c>
      <c r="E1029" s="227"/>
      <c r="F1029" s="227"/>
      <c r="G1029" s="227"/>
      <c r="H1029" s="227"/>
      <c r="I1029" s="227"/>
    </row>
    <row r="1030">
      <c r="A1030" s="227"/>
      <c r="C1030" s="227"/>
      <c r="D1030" s="274" t="s">
        <v>2090</v>
      </c>
      <c r="E1030" s="227"/>
      <c r="F1030" s="227"/>
      <c r="G1030" s="227"/>
      <c r="H1030" s="227"/>
      <c r="I1030" s="227"/>
    </row>
    <row r="1031">
      <c r="A1031" s="227"/>
      <c r="C1031" s="227"/>
      <c r="D1031" s="274" t="s">
        <v>2091</v>
      </c>
      <c r="E1031" s="227"/>
      <c r="F1031" s="227"/>
      <c r="G1031" s="227"/>
      <c r="H1031" s="227"/>
      <c r="I1031" s="227"/>
    </row>
    <row r="1032">
      <c r="A1032" s="227"/>
      <c r="C1032" s="227"/>
      <c r="D1032" s="274" t="s">
        <v>2092</v>
      </c>
      <c r="E1032" s="227"/>
      <c r="F1032" s="227"/>
      <c r="G1032" s="227"/>
      <c r="H1032" s="227"/>
      <c r="I1032" s="227"/>
    </row>
    <row r="1033">
      <c r="A1033" s="227"/>
      <c r="C1033" s="227"/>
      <c r="D1033" s="274" t="s">
        <v>2093</v>
      </c>
      <c r="E1033" s="227"/>
      <c r="F1033" s="227"/>
      <c r="G1033" s="227"/>
      <c r="H1033" s="227"/>
      <c r="I1033" s="227"/>
    </row>
    <row r="1034">
      <c r="A1034" s="227"/>
      <c r="C1034" s="227"/>
      <c r="D1034" s="274" t="s">
        <v>2094</v>
      </c>
      <c r="E1034" s="227"/>
      <c r="F1034" s="227"/>
      <c r="G1034" s="227"/>
      <c r="H1034" s="227"/>
      <c r="I1034" s="227"/>
    </row>
    <row r="1035">
      <c r="A1035" s="227"/>
      <c r="C1035" s="227"/>
      <c r="D1035" s="274" t="s">
        <v>2095</v>
      </c>
      <c r="E1035" s="227"/>
      <c r="F1035" s="227"/>
      <c r="G1035" s="227"/>
      <c r="H1035" s="227"/>
      <c r="I1035" s="227"/>
    </row>
    <row r="1036">
      <c r="A1036" s="227"/>
      <c r="C1036" s="227"/>
      <c r="D1036" s="274" t="s">
        <v>2096</v>
      </c>
      <c r="E1036" s="227"/>
      <c r="F1036" s="227"/>
      <c r="G1036" s="227"/>
      <c r="H1036" s="227"/>
      <c r="I1036" s="227"/>
    </row>
    <row r="1037">
      <c r="A1037" s="227"/>
      <c r="C1037" s="227"/>
      <c r="D1037" s="274" t="s">
        <v>2097</v>
      </c>
      <c r="E1037" s="227"/>
      <c r="F1037" s="227"/>
      <c r="G1037" s="227"/>
      <c r="H1037" s="227"/>
      <c r="I1037" s="227"/>
    </row>
    <row r="1038">
      <c r="A1038" s="227"/>
      <c r="C1038" s="227"/>
      <c r="D1038" s="274" t="s">
        <v>2098</v>
      </c>
      <c r="E1038" s="227"/>
      <c r="F1038" s="227"/>
      <c r="G1038" s="227"/>
      <c r="H1038" s="227"/>
      <c r="I1038" s="227"/>
    </row>
    <row r="1039">
      <c r="A1039" s="227"/>
      <c r="C1039" s="227"/>
      <c r="D1039" s="274" t="s">
        <v>1543</v>
      </c>
      <c r="E1039" s="227"/>
      <c r="F1039" s="227"/>
      <c r="G1039" s="227"/>
      <c r="H1039" s="227"/>
      <c r="I1039" s="227"/>
    </row>
    <row r="1040">
      <c r="A1040" s="227"/>
      <c r="C1040" s="227"/>
      <c r="D1040" s="274" t="s">
        <v>1880</v>
      </c>
      <c r="E1040" s="227"/>
      <c r="F1040" s="227"/>
      <c r="G1040" s="227"/>
      <c r="H1040" s="227"/>
      <c r="I1040" s="227"/>
    </row>
    <row r="1041">
      <c r="A1041" s="227"/>
      <c r="C1041" s="227"/>
      <c r="D1041" s="274" t="s">
        <v>1160</v>
      </c>
      <c r="E1041" s="227"/>
      <c r="F1041" s="227"/>
      <c r="G1041" s="227"/>
      <c r="H1041" s="227"/>
      <c r="I1041" s="227"/>
    </row>
    <row r="1042">
      <c r="A1042" s="227"/>
      <c r="C1042" s="227"/>
      <c r="D1042" s="274" t="s">
        <v>2102</v>
      </c>
      <c r="E1042" s="227"/>
      <c r="F1042" s="227"/>
      <c r="G1042" s="227"/>
      <c r="H1042" s="227"/>
      <c r="I1042" s="227"/>
    </row>
    <row r="1043">
      <c r="A1043" s="227"/>
      <c r="C1043" s="227"/>
      <c r="D1043" s="274" t="s">
        <v>2104</v>
      </c>
      <c r="E1043" s="227"/>
      <c r="F1043" s="227"/>
      <c r="G1043" s="227"/>
      <c r="H1043" s="227"/>
      <c r="I1043" s="227"/>
    </row>
    <row r="1044">
      <c r="A1044" s="227"/>
      <c r="C1044" s="227"/>
      <c r="D1044" s="274" t="s">
        <v>2105</v>
      </c>
      <c r="E1044" s="227"/>
      <c r="F1044" s="227"/>
      <c r="G1044" s="227"/>
      <c r="H1044" s="227"/>
      <c r="I1044" s="227"/>
    </row>
    <row r="1045">
      <c r="A1045" s="227"/>
      <c r="C1045" s="227"/>
      <c r="D1045" s="276" t="s">
        <v>2106</v>
      </c>
      <c r="E1045" s="227"/>
      <c r="F1045" s="227"/>
      <c r="G1045" s="227"/>
      <c r="H1045" s="227"/>
      <c r="I1045" s="227"/>
    </row>
    <row r="1046">
      <c r="A1046" s="227"/>
      <c r="C1046" s="227"/>
      <c r="D1046" s="276" t="s">
        <v>2108</v>
      </c>
      <c r="E1046" s="227"/>
      <c r="F1046" s="227"/>
      <c r="G1046" s="227"/>
      <c r="H1046" s="227"/>
      <c r="I1046" s="227"/>
    </row>
    <row r="1047">
      <c r="A1047" s="227"/>
      <c r="C1047" s="227"/>
      <c r="D1047" s="276" t="s">
        <v>2110</v>
      </c>
      <c r="E1047" s="227"/>
      <c r="F1047" s="227"/>
      <c r="G1047" s="227"/>
      <c r="H1047" s="227"/>
      <c r="I1047" s="227"/>
    </row>
    <row r="1048">
      <c r="A1048" s="227"/>
      <c r="C1048" s="227"/>
      <c r="D1048" s="276" t="s">
        <v>2111</v>
      </c>
      <c r="E1048" s="227"/>
      <c r="F1048" s="227"/>
      <c r="G1048" s="227"/>
      <c r="H1048" s="227"/>
      <c r="I1048" s="227"/>
    </row>
    <row r="1049">
      <c r="A1049" s="227"/>
      <c r="C1049" s="227"/>
      <c r="D1049" s="276" t="s">
        <v>2112</v>
      </c>
      <c r="E1049" s="227"/>
      <c r="F1049" s="227"/>
      <c r="G1049" s="227"/>
      <c r="H1049" s="227"/>
      <c r="I1049" s="227"/>
    </row>
    <row r="1050">
      <c r="A1050" s="227"/>
      <c r="C1050" s="227"/>
      <c r="D1050" s="276" t="s">
        <v>2113</v>
      </c>
      <c r="E1050" s="227"/>
      <c r="F1050" s="227"/>
      <c r="G1050" s="227"/>
      <c r="H1050" s="227"/>
      <c r="I1050" s="227"/>
    </row>
    <row r="1051">
      <c r="A1051" s="227"/>
      <c r="B1051" s="227"/>
      <c r="C1051" s="227"/>
      <c r="D1051" s="243"/>
      <c r="E1051" s="227"/>
      <c r="F1051" s="227"/>
      <c r="G1051" s="227"/>
      <c r="H1051" s="227"/>
      <c r="I1051" s="227"/>
    </row>
    <row r="1052">
      <c r="A1052" s="227"/>
      <c r="B1052" s="231" t="s">
        <v>706</v>
      </c>
      <c r="C1052" s="227"/>
      <c r="D1052" s="276" t="s">
        <v>4338</v>
      </c>
      <c r="E1052" s="227"/>
      <c r="F1052" s="227"/>
      <c r="G1052" s="227"/>
      <c r="H1052" s="227"/>
      <c r="I1052" s="227"/>
    </row>
    <row r="1053">
      <c r="A1053" s="227"/>
      <c r="C1053" s="227"/>
      <c r="D1053" s="276" t="s">
        <v>2410</v>
      </c>
      <c r="E1053" s="227"/>
      <c r="F1053" s="227"/>
      <c r="G1053" s="227"/>
      <c r="H1053" s="227"/>
      <c r="I1053" s="227"/>
    </row>
    <row r="1054">
      <c r="A1054" s="227"/>
      <c r="C1054" s="227"/>
      <c r="D1054" s="276" t="s">
        <v>2411</v>
      </c>
      <c r="E1054" s="227"/>
      <c r="F1054" s="227"/>
      <c r="G1054" s="227"/>
      <c r="H1054" s="227"/>
      <c r="I1054" s="227"/>
    </row>
    <row r="1055">
      <c r="A1055" s="227"/>
      <c r="C1055" s="227"/>
      <c r="D1055" s="276" t="s">
        <v>2412</v>
      </c>
      <c r="E1055" s="227"/>
      <c r="F1055" s="227"/>
      <c r="G1055" s="227"/>
      <c r="H1055" s="227"/>
      <c r="I1055" s="227"/>
    </row>
    <row r="1056">
      <c r="A1056" s="227"/>
      <c r="C1056" s="227"/>
      <c r="D1056" s="276" t="s">
        <v>2413</v>
      </c>
      <c r="E1056" s="227"/>
      <c r="F1056" s="227"/>
      <c r="G1056" s="227"/>
      <c r="H1056" s="227"/>
      <c r="I1056" s="227"/>
    </row>
    <row r="1057">
      <c r="A1057" s="227"/>
      <c r="C1057" s="227"/>
      <c r="D1057" s="276" t="s">
        <v>2414</v>
      </c>
      <c r="E1057" s="227"/>
      <c r="F1057" s="227"/>
      <c r="G1057" s="227"/>
      <c r="H1057" s="227"/>
      <c r="I1057" s="227"/>
    </row>
    <row r="1058">
      <c r="A1058" s="227"/>
      <c r="C1058" s="227"/>
      <c r="D1058" s="276" t="s">
        <v>2415</v>
      </c>
      <c r="E1058" s="227"/>
      <c r="F1058" s="227"/>
      <c r="G1058" s="227"/>
      <c r="H1058" s="227"/>
      <c r="I1058" s="227"/>
    </row>
    <row r="1059">
      <c r="A1059" s="227"/>
      <c r="C1059" s="227"/>
      <c r="D1059" s="276" t="s">
        <v>2416</v>
      </c>
      <c r="E1059" s="227"/>
      <c r="F1059" s="227"/>
      <c r="G1059" s="227"/>
      <c r="H1059" s="227"/>
      <c r="I1059" s="227"/>
    </row>
    <row r="1060">
      <c r="A1060" s="227"/>
      <c r="C1060" s="227"/>
      <c r="D1060" s="276" t="s">
        <v>2418</v>
      </c>
      <c r="E1060" s="227"/>
      <c r="F1060" s="227"/>
      <c r="G1060" s="227"/>
      <c r="H1060" s="227"/>
      <c r="I1060" s="227"/>
    </row>
    <row r="1061">
      <c r="A1061" s="227"/>
      <c r="C1061" s="227"/>
      <c r="D1061" s="276" t="s">
        <v>2419</v>
      </c>
      <c r="E1061" s="227"/>
      <c r="F1061" s="227"/>
      <c r="G1061" s="227"/>
      <c r="H1061" s="227"/>
      <c r="I1061" s="227"/>
    </row>
    <row r="1062">
      <c r="A1062" s="227"/>
      <c r="C1062" s="227"/>
      <c r="D1062" s="276" t="s">
        <v>2420</v>
      </c>
      <c r="E1062" s="227"/>
      <c r="F1062" s="227"/>
      <c r="G1062" s="227"/>
      <c r="H1062" s="227"/>
      <c r="I1062" s="227"/>
    </row>
    <row r="1063">
      <c r="A1063" s="227"/>
      <c r="C1063" s="227"/>
      <c r="D1063" s="276" t="s">
        <v>2422</v>
      </c>
      <c r="E1063" s="227"/>
      <c r="F1063" s="227"/>
      <c r="G1063" s="227"/>
      <c r="H1063" s="227"/>
      <c r="I1063" s="227"/>
    </row>
    <row r="1064">
      <c r="A1064" s="227"/>
      <c r="C1064" s="227"/>
      <c r="D1064" s="276" t="s">
        <v>2423</v>
      </c>
      <c r="E1064" s="227"/>
      <c r="F1064" s="227"/>
      <c r="G1064" s="227"/>
      <c r="H1064" s="227"/>
      <c r="I1064" s="227"/>
    </row>
    <row r="1065">
      <c r="A1065" s="227"/>
      <c r="C1065" s="227"/>
      <c r="D1065" s="276" t="s">
        <v>2424</v>
      </c>
      <c r="E1065" s="227"/>
      <c r="F1065" s="227"/>
      <c r="G1065" s="227"/>
      <c r="H1065" s="227"/>
      <c r="I1065" s="227"/>
    </row>
    <row r="1066">
      <c r="A1066" s="227"/>
      <c r="C1066" s="227"/>
      <c r="D1066" s="274" t="s">
        <v>2425</v>
      </c>
      <c r="E1066" s="227"/>
      <c r="F1066" s="227"/>
      <c r="G1066" s="227"/>
      <c r="H1066" s="227"/>
      <c r="I1066" s="227"/>
    </row>
    <row r="1067">
      <c r="A1067" s="227"/>
      <c r="C1067" s="227"/>
      <c r="D1067" s="274" t="s">
        <v>2427</v>
      </c>
      <c r="E1067" s="227"/>
      <c r="F1067" s="227"/>
      <c r="G1067" s="227"/>
      <c r="H1067" s="227"/>
      <c r="I1067" s="227"/>
    </row>
    <row r="1068">
      <c r="A1068" s="227"/>
      <c r="C1068" s="227"/>
      <c r="D1068" s="274" t="s">
        <v>2428</v>
      </c>
      <c r="E1068" s="227"/>
      <c r="F1068" s="227"/>
      <c r="G1068" s="227"/>
      <c r="H1068" s="227"/>
      <c r="I1068" s="227"/>
    </row>
    <row r="1069">
      <c r="A1069" s="227"/>
      <c r="C1069" s="227"/>
      <c r="D1069" s="274" t="s">
        <v>2430</v>
      </c>
      <c r="E1069" s="227"/>
      <c r="F1069" s="227"/>
      <c r="G1069" s="227"/>
      <c r="H1069" s="227"/>
      <c r="I1069" s="227"/>
    </row>
    <row r="1070">
      <c r="A1070" s="227"/>
      <c r="C1070" s="227"/>
      <c r="D1070" s="274" t="s">
        <v>2432</v>
      </c>
      <c r="E1070" s="227"/>
      <c r="F1070" s="227"/>
      <c r="G1070" s="227"/>
      <c r="H1070" s="227"/>
      <c r="I1070" s="227"/>
    </row>
    <row r="1071">
      <c r="A1071" s="227"/>
      <c r="C1071" s="227"/>
      <c r="D1071" s="274" t="s">
        <v>2433</v>
      </c>
      <c r="E1071" s="227"/>
      <c r="F1071" s="227"/>
      <c r="G1071" s="227"/>
      <c r="H1071" s="227"/>
      <c r="I1071" s="227"/>
    </row>
    <row r="1072">
      <c r="A1072" s="227"/>
      <c r="C1072" s="227"/>
      <c r="D1072" s="274" t="s">
        <v>2434</v>
      </c>
      <c r="E1072" s="227"/>
      <c r="F1072" s="227"/>
      <c r="G1072" s="227"/>
      <c r="H1072" s="227"/>
      <c r="I1072" s="227"/>
    </row>
    <row r="1073">
      <c r="A1073" s="227"/>
      <c r="C1073" s="227"/>
      <c r="D1073" s="274" t="s">
        <v>2435</v>
      </c>
      <c r="E1073" s="227"/>
      <c r="F1073" s="227"/>
      <c r="G1073" s="227"/>
      <c r="H1073" s="227"/>
      <c r="I1073" s="227"/>
    </row>
    <row r="1074">
      <c r="A1074" s="227"/>
      <c r="B1074" s="227"/>
      <c r="C1074" s="227"/>
      <c r="D1074" s="227"/>
      <c r="E1074" s="227"/>
      <c r="F1074" s="227"/>
      <c r="G1074" s="227"/>
      <c r="H1074" s="227"/>
      <c r="I1074" s="227"/>
    </row>
    <row r="1075">
      <c r="A1075" s="227"/>
      <c r="B1075" s="231" t="s">
        <v>536</v>
      </c>
      <c r="C1075" s="227"/>
      <c r="D1075" s="274" t="s">
        <v>4349</v>
      </c>
      <c r="E1075" s="227"/>
      <c r="F1075" s="227"/>
      <c r="G1075" s="227"/>
      <c r="H1075" s="227"/>
      <c r="I1075" s="227"/>
    </row>
    <row r="1076">
      <c r="A1076" s="227"/>
      <c r="C1076" s="227"/>
      <c r="D1076" s="274" t="s">
        <v>1980</v>
      </c>
      <c r="E1076" s="227"/>
      <c r="F1076" s="227"/>
      <c r="G1076" s="227"/>
      <c r="H1076" s="227"/>
      <c r="I1076" s="227"/>
    </row>
    <row r="1077">
      <c r="A1077" s="227"/>
      <c r="C1077" s="227"/>
      <c r="D1077" s="274" t="s">
        <v>1981</v>
      </c>
      <c r="E1077" s="227"/>
      <c r="F1077" s="227"/>
      <c r="G1077" s="227"/>
      <c r="H1077" s="227"/>
      <c r="I1077" s="227"/>
    </row>
    <row r="1078">
      <c r="A1078" s="227"/>
      <c r="C1078" s="227"/>
      <c r="D1078" s="274" t="s">
        <v>1982</v>
      </c>
      <c r="E1078" s="227"/>
      <c r="F1078" s="227"/>
      <c r="G1078" s="227"/>
      <c r="H1078" s="227"/>
      <c r="I1078" s="227"/>
    </row>
    <row r="1079">
      <c r="A1079" s="227"/>
      <c r="C1079" s="227"/>
      <c r="D1079" s="274" t="s">
        <v>1983</v>
      </c>
      <c r="E1079" s="227"/>
      <c r="F1079" s="227"/>
      <c r="G1079" s="227"/>
      <c r="H1079" s="227"/>
      <c r="I1079" s="227"/>
    </row>
    <row r="1080">
      <c r="A1080" s="227"/>
      <c r="C1080" s="227"/>
      <c r="D1080" s="274" t="s">
        <v>1984</v>
      </c>
      <c r="E1080" s="227"/>
      <c r="F1080" s="227"/>
      <c r="G1080" s="227"/>
      <c r="H1080" s="227"/>
      <c r="I1080" s="227"/>
    </row>
    <row r="1081">
      <c r="A1081" s="227"/>
      <c r="C1081" s="227"/>
      <c r="D1081" s="274" t="s">
        <v>1985</v>
      </c>
      <c r="E1081" s="227"/>
      <c r="F1081" s="227"/>
      <c r="G1081" s="227"/>
      <c r="H1081" s="227"/>
      <c r="I1081" s="227"/>
    </row>
    <row r="1082">
      <c r="A1082" s="227"/>
      <c r="C1082" s="227"/>
      <c r="D1082" s="274" t="s">
        <v>1986</v>
      </c>
      <c r="E1082" s="227"/>
      <c r="F1082" s="227"/>
      <c r="G1082" s="227"/>
      <c r="H1082" s="227"/>
      <c r="I1082" s="227"/>
    </row>
    <row r="1083">
      <c r="A1083" s="227"/>
      <c r="C1083" s="227"/>
      <c r="D1083" s="274" t="s">
        <v>1987</v>
      </c>
      <c r="E1083" s="227"/>
      <c r="F1083" s="227"/>
      <c r="G1083" s="227"/>
      <c r="H1083" s="227"/>
      <c r="I1083" s="227"/>
    </row>
    <row r="1084">
      <c r="A1084" s="227"/>
      <c r="C1084" s="227"/>
      <c r="D1084" s="274" t="s">
        <v>1988</v>
      </c>
      <c r="E1084" s="227"/>
      <c r="F1084" s="227"/>
      <c r="G1084" s="227"/>
      <c r="H1084" s="227"/>
      <c r="I1084" s="227"/>
    </row>
    <row r="1085">
      <c r="A1085" s="227"/>
      <c r="C1085" s="227"/>
      <c r="D1085" s="274" t="s">
        <v>1989</v>
      </c>
      <c r="E1085" s="227"/>
      <c r="F1085" s="227"/>
      <c r="G1085" s="227"/>
      <c r="H1085" s="227"/>
      <c r="I1085" s="227"/>
    </row>
    <row r="1086">
      <c r="A1086" s="227"/>
      <c r="C1086" s="227"/>
      <c r="D1086" s="274" t="s">
        <v>1990</v>
      </c>
      <c r="E1086" s="227"/>
      <c r="F1086" s="227"/>
      <c r="G1086" s="227"/>
      <c r="H1086" s="227"/>
      <c r="I1086" s="227"/>
    </row>
    <row r="1087">
      <c r="A1087" s="227"/>
      <c r="C1087" s="227"/>
      <c r="D1087" s="274" t="s">
        <v>1991</v>
      </c>
      <c r="E1087" s="227"/>
      <c r="F1087" s="227"/>
      <c r="G1087" s="227"/>
      <c r="H1087" s="227"/>
      <c r="I1087" s="227"/>
    </row>
    <row r="1088">
      <c r="A1088" s="227"/>
      <c r="C1088" s="227"/>
      <c r="D1088" s="274" t="s">
        <v>1992</v>
      </c>
      <c r="E1088" s="227"/>
      <c r="F1088" s="227"/>
      <c r="G1088" s="227"/>
      <c r="H1088" s="227"/>
      <c r="I1088" s="227"/>
    </row>
    <row r="1089">
      <c r="A1089" s="227"/>
      <c r="C1089" s="227"/>
      <c r="D1089" s="274" t="s">
        <v>1993</v>
      </c>
      <c r="E1089" s="227"/>
      <c r="F1089" s="227"/>
      <c r="G1089" s="227"/>
      <c r="H1089" s="227"/>
      <c r="I1089" s="227"/>
    </row>
    <row r="1090">
      <c r="A1090" s="227"/>
      <c r="B1090" s="243"/>
      <c r="C1090" s="227"/>
      <c r="D1090" s="227"/>
      <c r="E1090" s="227"/>
      <c r="F1090" s="227"/>
      <c r="G1090" s="227"/>
      <c r="H1090" s="227"/>
      <c r="I1090" s="227"/>
    </row>
    <row r="1091">
      <c r="A1091" s="227"/>
      <c r="B1091" s="238" t="s">
        <v>4360</v>
      </c>
      <c r="C1091" s="227"/>
      <c r="D1091" s="220" t="s">
        <v>2765</v>
      </c>
      <c r="E1091" s="227"/>
      <c r="F1091" s="227"/>
      <c r="G1091" s="227"/>
      <c r="H1091" s="227"/>
      <c r="I1091" s="227"/>
    </row>
    <row r="1092">
      <c r="A1092" s="227"/>
      <c r="B1092" s="243"/>
      <c r="C1092" s="227"/>
      <c r="D1092" s="227"/>
      <c r="E1092" s="227"/>
      <c r="F1092" s="227"/>
      <c r="G1092" s="227"/>
      <c r="H1092" s="227"/>
      <c r="I1092" s="227"/>
    </row>
    <row r="1093">
      <c r="A1093" s="227"/>
      <c r="B1093" s="238" t="s">
        <v>2654</v>
      </c>
      <c r="C1093" s="227"/>
      <c r="D1093" s="227" t="s">
        <v>4363</v>
      </c>
      <c r="E1093" s="227"/>
      <c r="F1093" s="227"/>
      <c r="G1093" s="227"/>
      <c r="H1093" s="227"/>
      <c r="I1093" s="227"/>
    </row>
    <row r="1094">
      <c r="A1094" s="227"/>
      <c r="C1094" s="227"/>
      <c r="D1094" s="227" t="s">
        <v>4364</v>
      </c>
      <c r="E1094" s="227"/>
      <c r="F1094" s="227"/>
      <c r="G1094" s="227"/>
      <c r="H1094" s="227"/>
      <c r="I1094" s="227"/>
    </row>
    <row r="1095">
      <c r="A1095" s="227"/>
      <c r="C1095" s="227"/>
      <c r="D1095" s="227" t="s">
        <v>4365</v>
      </c>
      <c r="E1095" s="227"/>
      <c r="F1095" s="227"/>
      <c r="G1095" s="227"/>
      <c r="H1095" s="227"/>
      <c r="I1095" s="227"/>
    </row>
    <row r="1096">
      <c r="A1096" s="227"/>
      <c r="C1096" s="227"/>
      <c r="D1096" s="227" t="s">
        <v>4367</v>
      </c>
      <c r="E1096" s="227"/>
      <c r="F1096" s="227"/>
      <c r="G1096" s="227"/>
      <c r="H1096" s="227"/>
      <c r="I1096" s="227"/>
    </row>
    <row r="1097">
      <c r="A1097" s="227"/>
      <c r="C1097" s="227"/>
      <c r="D1097" s="227" t="s">
        <v>4368</v>
      </c>
      <c r="E1097" s="227"/>
      <c r="F1097" s="227"/>
      <c r="G1097" s="227"/>
      <c r="H1097" s="227"/>
      <c r="I1097" s="227"/>
    </row>
    <row r="1098">
      <c r="A1098" s="227"/>
      <c r="C1098" s="227"/>
      <c r="D1098" s="227" t="s">
        <v>4370</v>
      </c>
      <c r="E1098" s="227"/>
      <c r="F1098" s="227"/>
      <c r="G1098" s="227"/>
      <c r="H1098" s="227"/>
      <c r="I1098" s="227"/>
    </row>
    <row r="1099">
      <c r="A1099" s="227"/>
      <c r="C1099" s="227"/>
      <c r="D1099" s="227" t="s">
        <v>2700</v>
      </c>
      <c r="E1099" s="227"/>
      <c r="F1099" s="227"/>
      <c r="G1099" s="227"/>
      <c r="H1099" s="227"/>
      <c r="I1099" s="227"/>
    </row>
    <row r="1100">
      <c r="A1100" s="227"/>
      <c r="C1100" s="227"/>
      <c r="D1100" s="227" t="s">
        <v>4373</v>
      </c>
      <c r="E1100" s="227"/>
      <c r="F1100" s="227"/>
      <c r="G1100" s="227"/>
      <c r="H1100" s="227"/>
      <c r="I1100" s="227"/>
    </row>
    <row r="1101">
      <c r="A1101" s="227"/>
      <c r="C1101" s="227"/>
      <c r="D1101" s="227" t="s">
        <v>4374</v>
      </c>
      <c r="E1101" s="227"/>
      <c r="F1101" s="227"/>
      <c r="G1101" s="227"/>
      <c r="H1101" s="227"/>
      <c r="I1101" s="227"/>
    </row>
    <row r="1102">
      <c r="A1102" s="227"/>
      <c r="C1102" s="227"/>
      <c r="D1102" s="227" t="s">
        <v>4375</v>
      </c>
      <c r="E1102" s="227"/>
      <c r="F1102" s="227"/>
      <c r="G1102" s="227"/>
      <c r="H1102" s="227"/>
      <c r="I1102" s="227"/>
    </row>
    <row r="1103">
      <c r="A1103" s="227"/>
      <c r="C1103" s="227"/>
      <c r="D1103" s="227" t="s">
        <v>4376</v>
      </c>
      <c r="E1103" s="227"/>
      <c r="F1103" s="227"/>
      <c r="G1103" s="227"/>
      <c r="H1103" s="227"/>
      <c r="I1103" s="227"/>
    </row>
    <row r="1104">
      <c r="A1104" s="227"/>
      <c r="C1104" s="227"/>
      <c r="D1104" s="227" t="s">
        <v>4377</v>
      </c>
      <c r="E1104" s="227"/>
      <c r="F1104" s="227"/>
      <c r="G1104" s="227"/>
      <c r="H1104" s="227"/>
      <c r="I1104" s="227"/>
    </row>
    <row r="1105">
      <c r="A1105" s="227"/>
      <c r="C1105" s="227"/>
      <c r="D1105" s="227" t="s">
        <v>4378</v>
      </c>
      <c r="E1105" s="227"/>
      <c r="F1105" s="227"/>
      <c r="G1105" s="227"/>
      <c r="H1105" s="227"/>
      <c r="I1105" s="227"/>
    </row>
    <row r="1106">
      <c r="A1106" s="227"/>
      <c r="C1106" s="227"/>
      <c r="D1106" s="227" t="s">
        <v>4380</v>
      </c>
      <c r="E1106" s="227"/>
      <c r="F1106" s="227"/>
      <c r="G1106" s="227"/>
      <c r="H1106" s="227"/>
      <c r="I1106" s="227"/>
    </row>
    <row r="1107">
      <c r="A1107" s="227"/>
      <c r="C1107" s="227"/>
      <c r="D1107" s="227" t="s">
        <v>4381</v>
      </c>
      <c r="E1107" s="227"/>
      <c r="F1107" s="227"/>
      <c r="G1107" s="227"/>
      <c r="H1107" s="227"/>
      <c r="I1107" s="227"/>
    </row>
    <row r="1108">
      <c r="A1108" s="227"/>
      <c r="C1108" s="227"/>
      <c r="D1108" s="227" t="s">
        <v>4382</v>
      </c>
      <c r="E1108" s="227"/>
      <c r="F1108" s="227"/>
      <c r="G1108" s="227"/>
      <c r="H1108" s="227"/>
      <c r="I1108" s="227"/>
    </row>
    <row r="1109">
      <c r="A1109" s="227"/>
      <c r="C1109" s="227"/>
      <c r="D1109" s="227" t="s">
        <v>4385</v>
      </c>
      <c r="E1109" s="227"/>
      <c r="F1109" s="227"/>
      <c r="G1109" s="227"/>
      <c r="H1109" s="227"/>
      <c r="I1109" s="227"/>
    </row>
    <row r="1110">
      <c r="A1110" s="227"/>
      <c r="C1110" s="227"/>
      <c r="D1110" s="227" t="s">
        <v>4386</v>
      </c>
      <c r="E1110" s="227"/>
      <c r="F1110" s="227"/>
      <c r="G1110" s="227"/>
      <c r="H1110" s="227"/>
      <c r="I1110" s="227"/>
    </row>
    <row r="1111">
      <c r="A1111" s="227"/>
      <c r="C1111" s="227"/>
      <c r="D1111" s="227" t="s">
        <v>4387</v>
      </c>
      <c r="E1111" s="227"/>
      <c r="F1111" s="227"/>
      <c r="G1111" s="227"/>
      <c r="H1111" s="227"/>
      <c r="I1111" s="227"/>
    </row>
    <row r="1112">
      <c r="A1112" s="227"/>
      <c r="C1112" s="227"/>
      <c r="D1112" s="227" t="s">
        <v>4388</v>
      </c>
      <c r="E1112" s="227"/>
      <c r="F1112" s="227"/>
      <c r="G1112" s="227"/>
      <c r="H1112" s="227"/>
      <c r="I1112" s="227"/>
    </row>
    <row r="1113">
      <c r="A1113" s="227"/>
      <c r="C1113" s="227"/>
      <c r="D1113" s="227" t="s">
        <v>4034</v>
      </c>
      <c r="E1113" s="227"/>
      <c r="F1113" s="227"/>
      <c r="G1113" s="227"/>
      <c r="H1113" s="227"/>
      <c r="I1113" s="227"/>
    </row>
    <row r="1114">
      <c r="A1114" s="227"/>
      <c r="B1114" s="227"/>
      <c r="C1114" s="227"/>
      <c r="D1114" s="227"/>
      <c r="E1114" s="227"/>
      <c r="F1114" s="227"/>
      <c r="G1114" s="227"/>
      <c r="H1114" s="227"/>
      <c r="I1114" s="227"/>
    </row>
    <row r="1115">
      <c r="A1115" s="227"/>
      <c r="B1115" s="231" t="s">
        <v>2958</v>
      </c>
      <c r="C1115" s="227"/>
      <c r="D1115" s="274" t="s">
        <v>4389</v>
      </c>
      <c r="E1115" s="227"/>
      <c r="F1115" s="227"/>
      <c r="G1115" s="227"/>
      <c r="H1115" s="227"/>
      <c r="I1115" s="227"/>
    </row>
    <row r="1116">
      <c r="A1116" s="227"/>
      <c r="C1116" s="227"/>
      <c r="D1116" s="274" t="s">
        <v>4390</v>
      </c>
      <c r="E1116" s="227"/>
      <c r="F1116" s="227"/>
      <c r="G1116" s="227"/>
      <c r="H1116" s="227"/>
      <c r="I1116" s="227"/>
    </row>
    <row r="1117">
      <c r="A1117" s="227"/>
      <c r="C1117" s="227"/>
      <c r="D1117" s="274" t="s">
        <v>4391</v>
      </c>
      <c r="E1117" s="227"/>
      <c r="F1117" s="227"/>
      <c r="G1117" s="227"/>
      <c r="H1117" s="227"/>
      <c r="I1117" s="227"/>
    </row>
    <row r="1118">
      <c r="A1118" s="227"/>
      <c r="C1118" s="227"/>
      <c r="D1118" s="274" t="s">
        <v>4392</v>
      </c>
      <c r="E1118" s="227"/>
      <c r="F1118" s="227"/>
      <c r="G1118" s="227"/>
      <c r="H1118" s="227"/>
      <c r="I1118" s="227"/>
    </row>
    <row r="1119">
      <c r="A1119" s="227"/>
      <c r="C1119" s="227"/>
      <c r="D1119" s="274" t="s">
        <v>2138</v>
      </c>
      <c r="E1119" s="227"/>
      <c r="F1119" s="227"/>
      <c r="G1119" s="227"/>
      <c r="H1119" s="227"/>
      <c r="I1119" s="227"/>
    </row>
    <row r="1120">
      <c r="A1120" s="227"/>
      <c r="C1120" s="227"/>
      <c r="D1120" s="274" t="s">
        <v>4393</v>
      </c>
      <c r="E1120" s="227"/>
      <c r="F1120" s="227"/>
      <c r="G1120" s="227"/>
      <c r="H1120" s="227"/>
      <c r="I1120" s="227"/>
    </row>
    <row r="1121">
      <c r="A1121" s="227"/>
      <c r="C1121" s="227"/>
      <c r="D1121" s="274" t="s">
        <v>4394</v>
      </c>
      <c r="E1121" s="227"/>
      <c r="F1121" s="227"/>
      <c r="G1121" s="227"/>
      <c r="H1121" s="227"/>
      <c r="I1121" s="227"/>
    </row>
    <row r="1122">
      <c r="A1122" s="227"/>
      <c r="C1122" s="227"/>
      <c r="D1122" s="274" t="s">
        <v>4395</v>
      </c>
      <c r="E1122" s="227"/>
      <c r="F1122" s="227"/>
      <c r="G1122" s="227"/>
      <c r="H1122" s="227"/>
      <c r="I1122" s="227"/>
    </row>
    <row r="1123">
      <c r="A1123" s="227"/>
      <c r="C1123" s="227"/>
      <c r="D1123" s="274" t="s">
        <v>4396</v>
      </c>
      <c r="E1123" s="227"/>
      <c r="F1123" s="227"/>
      <c r="G1123" s="227"/>
      <c r="H1123" s="227"/>
      <c r="I1123" s="227"/>
    </row>
    <row r="1124">
      <c r="A1124" s="227"/>
      <c r="C1124" s="227"/>
      <c r="D1124" s="274" t="s">
        <v>4397</v>
      </c>
      <c r="E1124" s="227"/>
      <c r="F1124" s="227"/>
      <c r="G1124" s="227"/>
      <c r="H1124" s="227"/>
      <c r="I1124" s="227"/>
    </row>
    <row r="1125">
      <c r="A1125" s="227"/>
      <c r="C1125" s="227"/>
      <c r="D1125" s="274" t="s">
        <v>4398</v>
      </c>
      <c r="E1125" s="227"/>
      <c r="F1125" s="227"/>
      <c r="G1125" s="227"/>
      <c r="H1125" s="227"/>
      <c r="I1125" s="227"/>
    </row>
    <row r="1126">
      <c r="A1126" s="227"/>
      <c r="C1126" s="227"/>
      <c r="D1126" s="274" t="s">
        <v>4399</v>
      </c>
      <c r="E1126" s="227"/>
      <c r="F1126" s="227"/>
      <c r="G1126" s="227"/>
      <c r="H1126" s="227"/>
      <c r="I1126" s="227"/>
    </row>
    <row r="1127">
      <c r="A1127" s="227"/>
      <c r="C1127" s="227"/>
      <c r="D1127" s="274" t="s">
        <v>4400</v>
      </c>
      <c r="E1127" s="227"/>
      <c r="F1127" s="227"/>
      <c r="G1127" s="227"/>
      <c r="H1127" s="227"/>
      <c r="I1127" s="227"/>
    </row>
    <row r="1128">
      <c r="A1128" s="227"/>
      <c r="C1128" s="227"/>
      <c r="D1128" s="274" t="s">
        <v>4401</v>
      </c>
      <c r="E1128" s="227"/>
      <c r="F1128" s="227"/>
      <c r="G1128" s="227"/>
      <c r="H1128" s="227"/>
      <c r="I1128" s="227"/>
    </row>
    <row r="1129">
      <c r="A1129" s="227"/>
      <c r="B1129" s="227"/>
      <c r="C1129" s="227"/>
      <c r="D1129" s="227"/>
      <c r="E1129" s="227"/>
      <c r="F1129" s="227"/>
      <c r="G1129" s="227"/>
      <c r="H1129" s="227"/>
      <c r="I1129" s="227"/>
    </row>
    <row r="1130">
      <c r="A1130" s="227"/>
      <c r="B1130" s="231" t="s">
        <v>2326</v>
      </c>
      <c r="C1130" s="227"/>
      <c r="D1130" s="274" t="s">
        <v>2344</v>
      </c>
      <c r="E1130" s="227"/>
      <c r="F1130" s="227"/>
      <c r="G1130" s="227"/>
      <c r="H1130" s="227"/>
      <c r="I1130" s="227"/>
    </row>
    <row r="1131">
      <c r="A1131" s="227"/>
      <c r="C1131" s="227"/>
      <c r="D1131" s="274" t="s">
        <v>2792</v>
      </c>
      <c r="E1131" s="227"/>
      <c r="F1131" s="227"/>
      <c r="G1131" s="227"/>
      <c r="H1131" s="227"/>
      <c r="I1131" s="227"/>
    </row>
    <row r="1132">
      <c r="A1132" s="227"/>
      <c r="C1132" s="227"/>
      <c r="D1132" s="274" t="s">
        <v>2793</v>
      </c>
      <c r="E1132" s="227"/>
      <c r="F1132" s="227"/>
      <c r="G1132" s="227"/>
      <c r="H1132" s="227"/>
      <c r="I1132" s="227"/>
    </row>
    <row r="1133">
      <c r="A1133" s="227"/>
      <c r="C1133" s="227"/>
      <c r="D1133" s="274" t="s">
        <v>2794</v>
      </c>
      <c r="E1133" s="227"/>
      <c r="F1133" s="227"/>
      <c r="G1133" s="227"/>
      <c r="H1133" s="227"/>
      <c r="I1133" s="227"/>
    </row>
    <row r="1134">
      <c r="A1134" s="227"/>
      <c r="C1134" s="227"/>
      <c r="D1134" s="274" t="s">
        <v>2795</v>
      </c>
      <c r="E1134" s="227"/>
      <c r="F1134" s="227"/>
      <c r="G1134" s="227"/>
      <c r="H1134" s="227"/>
      <c r="I1134" s="227"/>
    </row>
    <row r="1135">
      <c r="A1135" s="227"/>
      <c r="C1135" s="227"/>
      <c r="D1135" s="274" t="s">
        <v>2796</v>
      </c>
      <c r="E1135" s="227"/>
      <c r="F1135" s="227"/>
      <c r="G1135" s="227"/>
      <c r="H1135" s="227"/>
      <c r="I1135" s="227"/>
    </row>
    <row r="1136">
      <c r="A1136" s="227"/>
      <c r="B1136" s="243"/>
      <c r="C1136" s="227"/>
      <c r="D1136" s="227"/>
      <c r="E1136" s="227"/>
      <c r="F1136" s="227"/>
      <c r="G1136" s="227"/>
      <c r="H1136" s="227"/>
      <c r="I1136" s="227"/>
    </row>
    <row r="1137">
      <c r="A1137" s="227"/>
      <c r="B1137" s="238" t="s">
        <v>1438</v>
      </c>
      <c r="C1137" s="227"/>
      <c r="D1137" s="274" t="s">
        <v>4402</v>
      </c>
      <c r="E1137" s="227"/>
      <c r="F1137" s="227"/>
      <c r="G1137" s="227"/>
      <c r="H1137" s="227"/>
      <c r="I1137" s="227"/>
    </row>
    <row r="1138">
      <c r="A1138" s="227"/>
      <c r="C1138" s="227"/>
      <c r="D1138" s="274" t="s">
        <v>2388</v>
      </c>
      <c r="E1138" s="227"/>
      <c r="F1138" s="227"/>
      <c r="G1138" s="227"/>
      <c r="H1138" s="227"/>
      <c r="I1138" s="227"/>
    </row>
    <row r="1139">
      <c r="A1139" s="227"/>
      <c r="C1139" s="227"/>
      <c r="D1139" s="274" t="s">
        <v>2389</v>
      </c>
      <c r="E1139" s="227"/>
      <c r="F1139" s="227"/>
      <c r="G1139" s="227"/>
      <c r="H1139" s="227"/>
      <c r="I1139" s="227"/>
    </row>
    <row r="1140">
      <c r="A1140" s="227"/>
      <c r="C1140" s="227"/>
      <c r="D1140" s="274" t="s">
        <v>2390</v>
      </c>
      <c r="E1140" s="227"/>
      <c r="F1140" s="227"/>
      <c r="G1140" s="227"/>
      <c r="H1140" s="227"/>
      <c r="I1140" s="227"/>
    </row>
    <row r="1141">
      <c r="A1141" s="227"/>
      <c r="C1141" s="227"/>
      <c r="D1141" s="274" t="s">
        <v>2391</v>
      </c>
      <c r="E1141" s="227"/>
      <c r="F1141" s="227"/>
      <c r="G1141" s="227"/>
      <c r="H1141" s="227"/>
      <c r="I1141" s="227"/>
    </row>
    <row r="1142">
      <c r="A1142" s="227"/>
      <c r="C1142" s="227"/>
      <c r="D1142" s="274" t="s">
        <v>2392</v>
      </c>
      <c r="E1142" s="227"/>
      <c r="F1142" s="227"/>
      <c r="G1142" s="227"/>
      <c r="H1142" s="227"/>
      <c r="I1142" s="227"/>
    </row>
    <row r="1143">
      <c r="A1143" s="227"/>
      <c r="C1143" s="227"/>
      <c r="D1143" s="274" t="s">
        <v>2393</v>
      </c>
      <c r="E1143" s="227"/>
      <c r="F1143" s="227"/>
      <c r="G1143" s="227"/>
      <c r="H1143" s="227"/>
      <c r="I1143" s="227"/>
    </row>
    <row r="1144">
      <c r="A1144" s="227"/>
      <c r="C1144" s="227"/>
      <c r="D1144" s="274" t="s">
        <v>2394</v>
      </c>
      <c r="E1144" s="227"/>
      <c r="F1144" s="227"/>
      <c r="G1144" s="227"/>
      <c r="H1144" s="227"/>
      <c r="I1144" s="227"/>
    </row>
    <row r="1145">
      <c r="A1145" s="227"/>
      <c r="C1145" s="227"/>
      <c r="D1145" s="274" t="s">
        <v>2395</v>
      </c>
      <c r="E1145" s="227"/>
      <c r="F1145" s="227"/>
      <c r="G1145" s="227"/>
      <c r="H1145" s="227"/>
      <c r="I1145" s="227"/>
    </row>
    <row r="1146">
      <c r="A1146" s="227"/>
      <c r="C1146" s="227"/>
      <c r="D1146" s="274" t="s">
        <v>2396</v>
      </c>
      <c r="E1146" s="227"/>
      <c r="F1146" s="227"/>
      <c r="G1146" s="227"/>
      <c r="H1146" s="227"/>
      <c r="I1146" s="227"/>
    </row>
    <row r="1147">
      <c r="A1147" s="227"/>
      <c r="C1147" s="227"/>
      <c r="D1147" s="274" t="s">
        <v>2397</v>
      </c>
      <c r="E1147" s="227"/>
      <c r="F1147" s="227"/>
      <c r="G1147" s="227"/>
      <c r="H1147" s="227"/>
      <c r="I1147" s="227"/>
    </row>
    <row r="1148">
      <c r="A1148" s="227"/>
      <c r="C1148" s="227"/>
      <c r="D1148" s="274" t="s">
        <v>2398</v>
      </c>
      <c r="E1148" s="227"/>
      <c r="F1148" s="227"/>
      <c r="G1148" s="227"/>
      <c r="H1148" s="227"/>
      <c r="I1148" s="227"/>
    </row>
    <row r="1149">
      <c r="A1149" s="227"/>
      <c r="C1149" s="227"/>
      <c r="D1149" s="274" t="s">
        <v>2399</v>
      </c>
      <c r="E1149" s="227"/>
      <c r="F1149" s="227"/>
      <c r="G1149" s="227"/>
      <c r="H1149" s="227"/>
      <c r="I1149" s="227"/>
    </row>
    <row r="1150">
      <c r="A1150" s="227"/>
      <c r="C1150" s="227"/>
      <c r="D1150" s="274" t="s">
        <v>2400</v>
      </c>
      <c r="E1150" s="227"/>
      <c r="F1150" s="227"/>
      <c r="G1150" s="227"/>
      <c r="H1150" s="227"/>
      <c r="I1150" s="227"/>
    </row>
    <row r="1151">
      <c r="A1151" s="227"/>
      <c r="C1151" s="227"/>
      <c r="D1151" s="274" t="s">
        <v>2402</v>
      </c>
      <c r="E1151" s="227"/>
      <c r="F1151" s="227"/>
      <c r="G1151" s="227"/>
      <c r="H1151" s="227"/>
      <c r="I1151" s="227"/>
    </row>
    <row r="1152">
      <c r="A1152" s="227"/>
      <c r="C1152" s="227"/>
      <c r="D1152" s="274" t="s">
        <v>2034</v>
      </c>
      <c r="E1152" s="227"/>
      <c r="F1152" s="227"/>
      <c r="G1152" s="227"/>
      <c r="H1152" s="227"/>
      <c r="I1152" s="227"/>
    </row>
    <row r="1153">
      <c r="A1153" s="227"/>
      <c r="C1153" s="227"/>
      <c r="D1153" s="274" t="s">
        <v>2404</v>
      </c>
      <c r="E1153" s="227"/>
      <c r="F1153" s="227"/>
      <c r="G1153" s="227"/>
      <c r="H1153" s="227"/>
      <c r="I1153" s="227"/>
    </row>
    <row r="1154">
      <c r="A1154" s="227"/>
      <c r="C1154" s="227"/>
      <c r="D1154" s="274" t="s">
        <v>2405</v>
      </c>
      <c r="E1154" s="227"/>
      <c r="F1154" s="227"/>
      <c r="G1154" s="227"/>
      <c r="H1154" s="227"/>
      <c r="I1154" s="227"/>
    </row>
    <row r="1155">
      <c r="A1155" s="227"/>
      <c r="C1155" s="227"/>
      <c r="D1155" s="274" t="s">
        <v>2406</v>
      </c>
      <c r="E1155" s="227"/>
      <c r="F1155" s="227"/>
      <c r="G1155" s="227"/>
      <c r="H1155" s="227"/>
      <c r="I1155" s="227"/>
    </row>
    <row r="1156">
      <c r="A1156" s="227"/>
      <c r="C1156" s="227"/>
      <c r="D1156" s="274" t="s">
        <v>2408</v>
      </c>
      <c r="E1156" s="227"/>
      <c r="F1156" s="227"/>
      <c r="G1156" s="227"/>
      <c r="H1156" s="227"/>
      <c r="I1156" s="227"/>
    </row>
    <row r="1157">
      <c r="A1157" s="227"/>
      <c r="C1157" s="227"/>
      <c r="D1157" s="274" t="s">
        <v>2409</v>
      </c>
      <c r="E1157" s="227"/>
      <c r="F1157" s="227"/>
      <c r="G1157" s="227"/>
      <c r="H1157" s="227"/>
      <c r="I1157" s="227"/>
    </row>
    <row r="1158">
      <c r="A1158" s="227"/>
      <c r="B1158" s="227"/>
      <c r="C1158" s="227"/>
      <c r="D1158" s="227"/>
      <c r="E1158" s="227"/>
      <c r="F1158" s="227"/>
      <c r="G1158" s="227"/>
      <c r="H1158" s="227"/>
      <c r="I1158" s="227"/>
    </row>
    <row r="1159">
      <c r="A1159" s="227"/>
      <c r="B1159" s="231" t="s">
        <v>498</v>
      </c>
      <c r="C1159" s="227"/>
      <c r="D1159" s="274" t="s">
        <v>4403</v>
      </c>
      <c r="E1159" s="227"/>
      <c r="F1159" s="227"/>
      <c r="G1159" s="227"/>
      <c r="H1159" s="227"/>
      <c r="I1159" s="227"/>
    </row>
    <row r="1160">
      <c r="A1160" s="227"/>
      <c r="C1160" s="227"/>
      <c r="D1160" s="274" t="s">
        <v>2337</v>
      </c>
      <c r="E1160" s="227"/>
      <c r="F1160" s="227"/>
      <c r="G1160" s="227"/>
      <c r="H1160" s="227"/>
      <c r="I1160" s="227"/>
    </row>
    <row r="1161">
      <c r="A1161" s="227"/>
      <c r="C1161" s="227"/>
      <c r="D1161" s="274" t="s">
        <v>2338</v>
      </c>
      <c r="E1161" s="227"/>
      <c r="F1161" s="227"/>
      <c r="G1161" s="227"/>
      <c r="H1161" s="227"/>
      <c r="I1161" s="227"/>
    </row>
    <row r="1162">
      <c r="A1162" s="227"/>
      <c r="C1162" s="227"/>
      <c r="D1162" s="274" t="s">
        <v>2340</v>
      </c>
      <c r="E1162" s="227"/>
      <c r="F1162" s="227"/>
      <c r="G1162" s="227"/>
      <c r="H1162" s="227"/>
      <c r="I1162" s="227"/>
    </row>
    <row r="1163">
      <c r="A1163" s="227"/>
      <c r="C1163" s="227"/>
      <c r="D1163" s="274" t="s">
        <v>2341</v>
      </c>
      <c r="E1163" s="227"/>
      <c r="F1163" s="227"/>
      <c r="G1163" s="227"/>
      <c r="H1163" s="227"/>
      <c r="I1163" s="227"/>
    </row>
    <row r="1164">
      <c r="A1164" s="227"/>
      <c r="C1164" s="227"/>
      <c r="D1164" s="274" t="s">
        <v>2342</v>
      </c>
      <c r="E1164" s="227"/>
      <c r="F1164" s="227"/>
      <c r="G1164" s="227"/>
      <c r="H1164" s="227"/>
      <c r="I1164" s="227"/>
    </row>
    <row r="1165">
      <c r="A1165" s="227"/>
      <c r="C1165" s="227"/>
      <c r="D1165" s="274" t="s">
        <v>2343</v>
      </c>
      <c r="E1165" s="227"/>
      <c r="F1165" s="227"/>
      <c r="G1165" s="227"/>
      <c r="H1165" s="227"/>
      <c r="I1165" s="227"/>
    </row>
    <row r="1166">
      <c r="A1166" s="227"/>
      <c r="C1166" s="227"/>
      <c r="D1166" s="274" t="s">
        <v>2345</v>
      </c>
      <c r="E1166" s="227"/>
      <c r="F1166" s="227"/>
      <c r="G1166" s="227"/>
      <c r="H1166" s="227"/>
      <c r="I1166" s="227"/>
    </row>
    <row r="1167">
      <c r="A1167" s="227"/>
      <c r="C1167" s="227"/>
      <c r="D1167" s="274" t="s">
        <v>2347</v>
      </c>
      <c r="E1167" s="227"/>
      <c r="F1167" s="227"/>
      <c r="G1167" s="227"/>
      <c r="H1167" s="227"/>
      <c r="I1167" s="227"/>
    </row>
    <row r="1168">
      <c r="A1168" s="227"/>
      <c r="C1168" s="227"/>
      <c r="D1168" s="274" t="s">
        <v>2348</v>
      </c>
      <c r="E1168" s="227"/>
      <c r="F1168" s="227"/>
      <c r="G1168" s="227"/>
      <c r="H1168" s="227"/>
      <c r="I1168" s="227"/>
    </row>
    <row r="1169">
      <c r="A1169" s="227"/>
      <c r="C1169" s="227"/>
      <c r="D1169" s="274" t="s">
        <v>2349</v>
      </c>
      <c r="E1169" s="227"/>
      <c r="F1169" s="227"/>
      <c r="G1169" s="227"/>
      <c r="H1169" s="227"/>
      <c r="I1169" s="227"/>
    </row>
    <row r="1170">
      <c r="A1170" s="227"/>
      <c r="C1170" s="227"/>
      <c r="D1170" s="274" t="s">
        <v>2350</v>
      </c>
      <c r="E1170" s="227"/>
      <c r="F1170" s="227"/>
      <c r="G1170" s="227"/>
      <c r="H1170" s="227"/>
      <c r="I1170" s="227"/>
    </row>
    <row r="1171">
      <c r="A1171" s="227"/>
      <c r="C1171" s="227"/>
      <c r="D1171" s="274" t="s">
        <v>2352</v>
      </c>
      <c r="E1171" s="227"/>
      <c r="F1171" s="227"/>
      <c r="G1171" s="227"/>
      <c r="H1171" s="227"/>
      <c r="I1171" s="227"/>
    </row>
    <row r="1172">
      <c r="A1172" s="227"/>
      <c r="C1172" s="227"/>
      <c r="D1172" s="274" t="s">
        <v>2353</v>
      </c>
      <c r="E1172" s="227"/>
      <c r="F1172" s="227"/>
      <c r="G1172" s="227"/>
      <c r="H1172" s="227"/>
      <c r="I1172" s="227"/>
    </row>
    <row r="1173">
      <c r="A1173" s="227"/>
      <c r="C1173" s="227"/>
      <c r="D1173" s="274" t="s">
        <v>2355</v>
      </c>
      <c r="E1173" s="227"/>
      <c r="F1173" s="227"/>
      <c r="G1173" s="227"/>
      <c r="H1173" s="227"/>
      <c r="I1173" s="227"/>
    </row>
    <row r="1174">
      <c r="A1174" s="227"/>
      <c r="C1174" s="227"/>
      <c r="D1174" s="274" t="s">
        <v>1674</v>
      </c>
      <c r="E1174" s="227"/>
      <c r="F1174" s="227"/>
      <c r="G1174" s="227"/>
      <c r="H1174" s="227"/>
      <c r="I1174" s="227"/>
    </row>
    <row r="1175">
      <c r="A1175" s="227"/>
      <c r="C1175" s="227"/>
      <c r="D1175" s="274" t="s">
        <v>2357</v>
      </c>
      <c r="E1175" s="227"/>
      <c r="F1175" s="227"/>
      <c r="G1175" s="227"/>
      <c r="H1175" s="227"/>
      <c r="I1175" s="227"/>
    </row>
    <row r="1176">
      <c r="A1176" s="227"/>
      <c r="C1176" s="227"/>
      <c r="D1176" s="274" t="s">
        <v>2358</v>
      </c>
      <c r="E1176" s="227"/>
      <c r="F1176" s="227"/>
      <c r="G1176" s="227"/>
      <c r="H1176" s="227"/>
      <c r="I1176" s="227"/>
    </row>
    <row r="1177">
      <c r="A1177" s="227"/>
      <c r="C1177" s="227"/>
      <c r="D1177" s="274" t="s">
        <v>2359</v>
      </c>
      <c r="E1177" s="227"/>
      <c r="F1177" s="227"/>
      <c r="G1177" s="227"/>
      <c r="H1177" s="227"/>
      <c r="I1177" s="227"/>
    </row>
    <row r="1178">
      <c r="A1178" s="227"/>
      <c r="C1178" s="227"/>
      <c r="D1178" s="274" t="s">
        <v>2361</v>
      </c>
      <c r="E1178" s="227"/>
      <c r="F1178" s="227"/>
      <c r="G1178" s="227"/>
      <c r="H1178" s="227"/>
      <c r="I1178" s="227"/>
    </row>
    <row r="1179">
      <c r="A1179" s="227"/>
      <c r="C1179" s="227"/>
      <c r="D1179" s="274" t="s">
        <v>2363</v>
      </c>
      <c r="E1179" s="227"/>
      <c r="F1179" s="227"/>
      <c r="G1179" s="227"/>
      <c r="H1179" s="227"/>
      <c r="I1179" s="227"/>
    </row>
    <row r="1180">
      <c r="A1180" s="227"/>
      <c r="C1180" s="227"/>
      <c r="D1180" s="274" t="s">
        <v>1729</v>
      </c>
      <c r="E1180" s="227"/>
      <c r="F1180" s="227"/>
      <c r="G1180" s="227"/>
      <c r="H1180" s="227"/>
      <c r="I1180" s="227"/>
    </row>
    <row r="1181">
      <c r="A1181" s="227"/>
      <c r="C1181" s="227"/>
      <c r="D1181" s="274" t="s">
        <v>1730</v>
      </c>
      <c r="E1181" s="227"/>
      <c r="F1181" s="227"/>
      <c r="G1181" s="227"/>
      <c r="H1181" s="227"/>
      <c r="I1181" s="227"/>
    </row>
    <row r="1182">
      <c r="A1182" s="227"/>
      <c r="C1182" s="227"/>
      <c r="D1182" s="274" t="s">
        <v>2365</v>
      </c>
      <c r="E1182" s="227"/>
      <c r="F1182" s="227"/>
      <c r="G1182" s="227"/>
      <c r="H1182" s="227"/>
      <c r="I1182" s="227"/>
    </row>
    <row r="1183">
      <c r="A1183" s="227"/>
      <c r="B1183" s="243"/>
      <c r="C1183" s="227"/>
      <c r="D1183" s="227"/>
      <c r="E1183" s="227"/>
      <c r="F1183" s="227"/>
      <c r="G1183" s="227"/>
      <c r="H1183" s="227"/>
      <c r="I1183" s="227"/>
    </row>
    <row r="1184">
      <c r="A1184" s="227"/>
      <c r="B1184" s="238" t="s">
        <v>2351</v>
      </c>
      <c r="C1184" s="227"/>
      <c r="D1184" s="278" t="s">
        <v>4404</v>
      </c>
      <c r="E1184" s="227"/>
      <c r="F1184" s="227"/>
      <c r="G1184" s="227"/>
      <c r="H1184" s="227"/>
      <c r="I1184" s="227"/>
    </row>
    <row r="1185">
      <c r="A1185" s="227"/>
      <c r="C1185" s="227"/>
      <c r="D1185" s="278" t="s">
        <v>2123</v>
      </c>
      <c r="E1185" s="227"/>
      <c r="F1185" s="227"/>
      <c r="G1185" s="227"/>
      <c r="H1185" s="227"/>
      <c r="I1185" s="227"/>
    </row>
    <row r="1186">
      <c r="A1186" s="227"/>
      <c r="C1186" s="227"/>
      <c r="D1186" s="278" t="s">
        <v>2134</v>
      </c>
      <c r="E1186" s="227"/>
      <c r="F1186" s="227"/>
      <c r="G1186" s="227"/>
      <c r="H1186" s="227"/>
      <c r="I1186" s="227"/>
    </row>
    <row r="1187">
      <c r="A1187" s="227"/>
      <c r="C1187" s="227"/>
      <c r="D1187" s="278" t="s">
        <v>2803</v>
      </c>
      <c r="E1187" s="227"/>
      <c r="F1187" s="227"/>
      <c r="G1187" s="227"/>
      <c r="H1187" s="227"/>
      <c r="I1187" s="227"/>
    </row>
    <row r="1188">
      <c r="A1188" s="227"/>
      <c r="C1188" s="227"/>
      <c r="D1188" s="278" t="s">
        <v>2804</v>
      </c>
      <c r="E1188" s="227"/>
      <c r="F1188" s="227"/>
      <c r="G1188" s="227"/>
      <c r="H1188" s="227"/>
      <c r="I1188" s="227"/>
    </row>
    <row r="1189">
      <c r="A1189" s="227"/>
      <c r="C1189" s="227"/>
      <c r="D1189" s="278" t="s">
        <v>1921</v>
      </c>
      <c r="E1189" s="227"/>
      <c r="F1189" s="227"/>
      <c r="G1189" s="227"/>
      <c r="H1189" s="227"/>
      <c r="I1189" s="227"/>
    </row>
    <row r="1190">
      <c r="A1190" s="227"/>
      <c r="C1190" s="227"/>
      <c r="D1190" s="278" t="s">
        <v>2805</v>
      </c>
      <c r="E1190" s="227"/>
      <c r="F1190" s="227"/>
      <c r="G1190" s="227"/>
      <c r="H1190" s="227"/>
      <c r="I1190" s="227"/>
    </row>
    <row r="1191">
      <c r="A1191" s="227"/>
      <c r="C1191" s="227"/>
      <c r="D1191" s="278" t="s">
        <v>2806</v>
      </c>
      <c r="E1191" s="227"/>
      <c r="F1191" s="227"/>
      <c r="G1191" s="227"/>
      <c r="H1191" s="227"/>
      <c r="I1191" s="227"/>
    </row>
    <row r="1192">
      <c r="A1192" s="227"/>
      <c r="C1192" s="227"/>
      <c r="D1192" s="278" t="s">
        <v>2808</v>
      </c>
      <c r="E1192" s="227"/>
      <c r="F1192" s="227"/>
      <c r="G1192" s="227"/>
      <c r="H1192" s="227"/>
      <c r="I1192" s="227"/>
    </row>
    <row r="1193">
      <c r="A1193" s="227"/>
      <c r="C1193" s="227"/>
      <c r="D1193" s="278" t="s">
        <v>2809</v>
      </c>
      <c r="E1193" s="227"/>
      <c r="F1193" s="227"/>
      <c r="G1193" s="227"/>
      <c r="H1193" s="227"/>
      <c r="I1193" s="227"/>
    </row>
    <row r="1194">
      <c r="A1194" s="227"/>
      <c r="C1194" s="227"/>
      <c r="D1194" s="278" t="s">
        <v>2810</v>
      </c>
      <c r="E1194" s="227"/>
      <c r="F1194" s="227"/>
      <c r="G1194" s="227"/>
      <c r="H1194" s="227"/>
      <c r="I1194" s="227"/>
    </row>
    <row r="1195">
      <c r="A1195" s="227"/>
      <c r="B1195" s="227"/>
      <c r="C1195" s="227"/>
      <c r="D1195" s="227"/>
      <c r="E1195" s="227"/>
      <c r="F1195" s="227"/>
      <c r="G1195" s="227"/>
      <c r="H1195" s="227"/>
      <c r="I1195" s="227"/>
    </row>
    <row r="1196">
      <c r="A1196" s="227"/>
      <c r="B1196" s="231" t="s">
        <v>2980</v>
      </c>
      <c r="C1196" s="227"/>
      <c r="D1196" s="278" t="s">
        <v>4405</v>
      </c>
      <c r="E1196" s="227"/>
      <c r="F1196" s="227"/>
      <c r="G1196" s="227"/>
      <c r="H1196" s="227"/>
      <c r="I1196" s="227"/>
    </row>
    <row r="1197">
      <c r="A1197" s="227"/>
      <c r="C1197" s="227"/>
      <c r="D1197" s="278" t="s">
        <v>4406</v>
      </c>
      <c r="E1197" s="227"/>
      <c r="F1197" s="227"/>
      <c r="G1197" s="227"/>
      <c r="H1197" s="227"/>
      <c r="I1197" s="227"/>
    </row>
    <row r="1198">
      <c r="A1198" s="227"/>
      <c r="C1198" s="227"/>
      <c r="D1198" s="278" t="s">
        <v>4407</v>
      </c>
      <c r="E1198" s="227"/>
      <c r="F1198" s="227"/>
      <c r="G1198" s="227"/>
      <c r="H1198" s="227"/>
      <c r="I1198" s="227"/>
    </row>
    <row r="1199">
      <c r="A1199" s="227"/>
      <c r="C1199" s="227"/>
      <c r="D1199" s="278" t="s">
        <v>4408</v>
      </c>
      <c r="E1199" s="227"/>
      <c r="F1199" s="227"/>
      <c r="G1199" s="227"/>
      <c r="H1199" s="227"/>
      <c r="I1199" s="227"/>
    </row>
    <row r="1200">
      <c r="A1200" s="227"/>
      <c r="C1200" s="227"/>
      <c r="D1200" s="278" t="s">
        <v>4409</v>
      </c>
      <c r="E1200" s="227"/>
      <c r="F1200" s="227"/>
      <c r="G1200" s="227"/>
      <c r="H1200" s="227"/>
      <c r="I1200" s="227"/>
    </row>
    <row r="1201">
      <c r="A1201" s="227"/>
      <c r="C1201" s="227"/>
      <c r="D1201" s="278" t="s">
        <v>4410</v>
      </c>
      <c r="E1201" s="227"/>
      <c r="F1201" s="227"/>
      <c r="G1201" s="227"/>
      <c r="H1201" s="227"/>
      <c r="I1201" s="227"/>
    </row>
    <row r="1202">
      <c r="A1202" s="227"/>
      <c r="C1202" s="227"/>
      <c r="D1202" s="278" t="s">
        <v>4411</v>
      </c>
      <c r="E1202" s="227"/>
      <c r="F1202" s="227"/>
      <c r="G1202" s="227"/>
      <c r="H1202" s="227"/>
      <c r="I1202" s="227"/>
    </row>
    <row r="1203">
      <c r="A1203" s="227"/>
      <c r="C1203" s="227"/>
      <c r="D1203" s="278" t="s">
        <v>4412</v>
      </c>
      <c r="E1203" s="227"/>
      <c r="F1203" s="227"/>
      <c r="G1203" s="227"/>
      <c r="H1203" s="227"/>
      <c r="I1203" s="227"/>
    </row>
    <row r="1204">
      <c r="A1204" s="227"/>
      <c r="C1204" s="227"/>
      <c r="D1204" s="278" t="s">
        <v>4413</v>
      </c>
      <c r="E1204" s="227"/>
      <c r="F1204" s="227"/>
      <c r="G1204" s="227"/>
      <c r="H1204" s="227"/>
      <c r="I1204" s="227"/>
    </row>
    <row r="1205">
      <c r="A1205" s="227"/>
      <c r="C1205" s="227"/>
      <c r="D1205" s="278" t="s">
        <v>4414</v>
      </c>
      <c r="E1205" s="227"/>
      <c r="F1205" s="227"/>
      <c r="G1205" s="227"/>
      <c r="H1205" s="227"/>
      <c r="I1205" s="227"/>
    </row>
    <row r="1206">
      <c r="A1206" s="227"/>
      <c r="B1206" s="227"/>
      <c r="C1206" s="227"/>
      <c r="D1206" s="227"/>
      <c r="E1206" s="227"/>
      <c r="F1206" s="227"/>
      <c r="G1206" s="227"/>
      <c r="H1206" s="227"/>
      <c r="I1206" s="227"/>
    </row>
    <row r="1207">
      <c r="A1207" s="227"/>
      <c r="B1207" s="231" t="s">
        <v>707</v>
      </c>
      <c r="C1207" s="227"/>
      <c r="D1207" s="274" t="s">
        <v>2122</v>
      </c>
      <c r="E1207" s="227"/>
      <c r="F1207" s="227"/>
      <c r="G1207" s="227"/>
      <c r="H1207" s="227"/>
      <c r="I1207" s="227"/>
    </row>
    <row r="1208">
      <c r="A1208" s="227"/>
      <c r="C1208" s="227"/>
      <c r="D1208" s="274" t="s">
        <v>2028</v>
      </c>
      <c r="E1208" s="227"/>
      <c r="F1208" s="227"/>
      <c r="G1208" s="227"/>
      <c r="H1208" s="227"/>
      <c r="I1208" s="227"/>
    </row>
    <row r="1209">
      <c r="A1209" s="227"/>
      <c r="C1209" s="227"/>
      <c r="D1209" s="274" t="s">
        <v>2029</v>
      </c>
      <c r="E1209" s="227"/>
      <c r="F1209" s="227"/>
      <c r="G1209" s="227"/>
      <c r="H1209" s="227"/>
      <c r="I1209" s="227"/>
    </row>
    <row r="1210">
      <c r="A1210" s="227"/>
      <c r="C1210" s="227"/>
      <c r="D1210" s="274" t="s">
        <v>2030</v>
      </c>
      <c r="E1210" s="227"/>
      <c r="F1210" s="227"/>
      <c r="G1210" s="227"/>
      <c r="H1210" s="227"/>
      <c r="I1210" s="227"/>
    </row>
    <row r="1211">
      <c r="A1211" s="227"/>
      <c r="C1211" s="227"/>
      <c r="D1211" s="274" t="s">
        <v>2031</v>
      </c>
      <c r="E1211" s="227"/>
      <c r="F1211" s="227"/>
      <c r="G1211" s="227"/>
      <c r="H1211" s="227"/>
      <c r="I1211" s="227"/>
    </row>
    <row r="1212">
      <c r="A1212" s="227"/>
      <c r="C1212" s="227"/>
      <c r="D1212" s="274" t="s">
        <v>2032</v>
      </c>
      <c r="E1212" s="227"/>
      <c r="F1212" s="227"/>
      <c r="G1212" s="227"/>
      <c r="H1212" s="227"/>
      <c r="I1212" s="227"/>
    </row>
    <row r="1213">
      <c r="A1213" s="227"/>
      <c r="C1213" s="227"/>
      <c r="D1213" s="274" t="s">
        <v>2033</v>
      </c>
      <c r="E1213" s="227"/>
      <c r="F1213" s="227"/>
      <c r="G1213" s="227"/>
      <c r="H1213" s="227"/>
      <c r="I1213" s="227"/>
    </row>
    <row r="1214">
      <c r="A1214" s="227"/>
      <c r="C1214" s="227"/>
      <c r="D1214" s="274" t="s">
        <v>2034</v>
      </c>
      <c r="E1214" s="227"/>
      <c r="F1214" s="227"/>
      <c r="G1214" s="227"/>
      <c r="H1214" s="227"/>
      <c r="I1214" s="227"/>
    </row>
    <row r="1215">
      <c r="A1215" s="227"/>
      <c r="C1215" s="227"/>
      <c r="D1215" s="274" t="s">
        <v>2035</v>
      </c>
      <c r="E1215" s="227"/>
      <c r="F1215" s="227"/>
      <c r="G1215" s="227"/>
      <c r="H1215" s="227"/>
      <c r="I1215" s="227"/>
    </row>
    <row r="1216">
      <c r="A1216" s="227"/>
      <c r="C1216" s="227"/>
      <c r="D1216" s="274" t="s">
        <v>2036</v>
      </c>
      <c r="E1216" s="227"/>
      <c r="F1216" s="227"/>
      <c r="G1216" s="227"/>
      <c r="H1216" s="227"/>
      <c r="I1216" s="227"/>
    </row>
    <row r="1217">
      <c r="A1217" s="227"/>
      <c r="C1217" s="227"/>
      <c r="D1217" s="274" t="s">
        <v>2037</v>
      </c>
      <c r="E1217" s="227"/>
      <c r="F1217" s="227"/>
      <c r="G1217" s="227"/>
      <c r="H1217" s="227"/>
      <c r="I1217" s="227"/>
    </row>
    <row r="1218">
      <c r="A1218" s="227"/>
      <c r="C1218" s="227"/>
      <c r="D1218" s="274" t="s">
        <v>2038</v>
      </c>
      <c r="E1218" s="227"/>
      <c r="F1218" s="227"/>
      <c r="G1218" s="227"/>
      <c r="H1218" s="227"/>
      <c r="I1218" s="227"/>
    </row>
    <row r="1219">
      <c r="A1219" s="227"/>
      <c r="C1219" s="227"/>
      <c r="D1219" s="274" t="s">
        <v>2039</v>
      </c>
      <c r="E1219" s="227"/>
      <c r="F1219" s="227"/>
      <c r="G1219" s="227"/>
      <c r="H1219" s="227"/>
      <c r="I1219" s="227"/>
    </row>
    <row r="1220">
      <c r="A1220" s="227"/>
      <c r="C1220" s="227"/>
      <c r="D1220" s="274" t="s">
        <v>2040</v>
      </c>
      <c r="E1220" s="227"/>
      <c r="F1220" s="227"/>
      <c r="G1220" s="227"/>
      <c r="H1220" s="227"/>
      <c r="I1220" s="227"/>
    </row>
    <row r="1221">
      <c r="A1221" s="227"/>
      <c r="C1221" s="227"/>
      <c r="D1221" s="274" t="s">
        <v>2041</v>
      </c>
      <c r="E1221" s="227"/>
      <c r="F1221" s="227"/>
      <c r="G1221" s="227"/>
      <c r="H1221" s="227"/>
      <c r="I1221" s="227"/>
    </row>
    <row r="1222">
      <c r="A1222" s="227"/>
      <c r="B1222" s="227"/>
      <c r="C1222" s="227"/>
      <c r="D1222" s="227"/>
      <c r="E1222" s="227"/>
      <c r="F1222" s="227"/>
      <c r="G1222" s="227"/>
      <c r="H1222" s="227"/>
      <c r="I1222" s="227"/>
    </row>
    <row r="1223">
      <c r="A1223" s="227"/>
      <c r="B1223" s="231" t="s">
        <v>352</v>
      </c>
      <c r="C1223" s="227"/>
      <c r="D1223" s="274" t="s">
        <v>4415</v>
      </c>
      <c r="E1223" s="227"/>
      <c r="F1223" s="227"/>
      <c r="G1223" s="227"/>
      <c r="H1223" s="227"/>
      <c r="I1223" s="227"/>
    </row>
    <row r="1224">
      <c r="A1224" s="227"/>
      <c r="C1224" s="227"/>
      <c r="D1224" s="274" t="s">
        <v>1954</v>
      </c>
      <c r="E1224" s="227"/>
      <c r="F1224" s="227"/>
      <c r="G1224" s="227"/>
      <c r="H1224" s="227"/>
      <c r="I1224" s="227"/>
    </row>
    <row r="1225">
      <c r="A1225" s="227"/>
      <c r="C1225" s="227"/>
      <c r="D1225" s="274" t="s">
        <v>1956</v>
      </c>
      <c r="E1225" s="227"/>
      <c r="F1225" s="227"/>
      <c r="G1225" s="227"/>
      <c r="H1225" s="227"/>
      <c r="I1225" s="227"/>
    </row>
    <row r="1226">
      <c r="A1226" s="227"/>
      <c r="C1226" s="227"/>
      <c r="D1226" s="274" t="s">
        <v>1957</v>
      </c>
      <c r="E1226" s="227"/>
      <c r="F1226" s="227"/>
      <c r="G1226" s="227"/>
      <c r="H1226" s="227"/>
      <c r="I1226" s="227"/>
    </row>
    <row r="1227">
      <c r="A1227" s="227"/>
      <c r="C1227" s="227"/>
      <c r="D1227" s="274" t="s">
        <v>1959</v>
      </c>
      <c r="E1227" s="227"/>
      <c r="F1227" s="227"/>
      <c r="G1227" s="227"/>
      <c r="H1227" s="227"/>
      <c r="I1227" s="227"/>
    </row>
    <row r="1228">
      <c r="A1228" s="227"/>
      <c r="C1228" s="227"/>
      <c r="D1228" s="274" t="s">
        <v>1961</v>
      </c>
      <c r="E1228" s="227"/>
      <c r="F1228" s="227"/>
      <c r="G1228" s="227"/>
      <c r="H1228" s="227"/>
      <c r="I1228" s="227"/>
    </row>
    <row r="1229">
      <c r="A1229" s="227"/>
      <c r="C1229" s="227"/>
      <c r="D1229" s="274" t="s">
        <v>1962</v>
      </c>
      <c r="E1229" s="227"/>
      <c r="F1229" s="227"/>
      <c r="G1229" s="227"/>
      <c r="H1229" s="227"/>
      <c r="I1229" s="227"/>
    </row>
    <row r="1230">
      <c r="A1230" s="227"/>
      <c r="C1230" s="227"/>
      <c r="D1230" s="274" t="s">
        <v>1964</v>
      </c>
      <c r="E1230" s="227"/>
      <c r="F1230" s="227"/>
      <c r="G1230" s="227"/>
      <c r="H1230" s="227"/>
      <c r="I1230" s="227"/>
    </row>
    <row r="1231">
      <c r="A1231" s="227"/>
      <c r="C1231" s="227"/>
      <c r="D1231" s="274" t="s">
        <v>1296</v>
      </c>
      <c r="E1231" s="227"/>
      <c r="F1231" s="227"/>
      <c r="G1231" s="227"/>
      <c r="H1231" s="227"/>
      <c r="I1231" s="227"/>
    </row>
    <row r="1232">
      <c r="A1232" s="227"/>
      <c r="C1232" s="227"/>
      <c r="D1232" s="274" t="s">
        <v>1966</v>
      </c>
      <c r="E1232" s="227"/>
      <c r="F1232" s="227"/>
      <c r="G1232" s="227"/>
      <c r="H1232" s="227"/>
      <c r="I1232" s="227"/>
    </row>
    <row r="1233">
      <c r="A1233" s="227"/>
      <c r="B1233" s="227"/>
      <c r="C1233" s="227"/>
      <c r="D1233" s="227"/>
      <c r="E1233" s="227"/>
      <c r="F1233" s="227"/>
      <c r="G1233" s="227"/>
      <c r="H1233" s="227"/>
      <c r="I1233" s="227"/>
    </row>
    <row r="1234">
      <c r="A1234" s="227"/>
      <c r="B1234" s="231" t="s">
        <v>610</v>
      </c>
      <c r="C1234" s="227"/>
      <c r="D1234" s="278" t="s">
        <v>4416</v>
      </c>
      <c r="E1234" s="227"/>
      <c r="F1234" s="227"/>
      <c r="G1234" s="227"/>
      <c r="H1234" s="227"/>
      <c r="I1234" s="227"/>
    </row>
    <row r="1235">
      <c r="A1235" s="227"/>
      <c r="C1235" s="227"/>
      <c r="D1235" s="278" t="s">
        <v>2001</v>
      </c>
      <c r="E1235" s="227"/>
      <c r="F1235" s="227"/>
      <c r="G1235" s="227"/>
      <c r="H1235" s="227"/>
      <c r="I1235" s="227"/>
    </row>
    <row r="1236">
      <c r="A1236" s="227"/>
      <c r="C1236" s="227"/>
      <c r="D1236" s="278" t="s">
        <v>2002</v>
      </c>
      <c r="E1236" s="227"/>
      <c r="F1236" s="227"/>
      <c r="G1236" s="227"/>
      <c r="H1236" s="227"/>
      <c r="I1236" s="227"/>
    </row>
    <row r="1237">
      <c r="A1237" s="227"/>
      <c r="C1237" s="227"/>
      <c r="D1237" s="278" t="s">
        <v>2003</v>
      </c>
      <c r="E1237" s="227"/>
      <c r="F1237" s="227"/>
      <c r="G1237" s="227"/>
      <c r="H1237" s="227"/>
      <c r="I1237" s="227"/>
    </row>
    <row r="1238">
      <c r="A1238" s="227"/>
      <c r="C1238" s="227"/>
      <c r="D1238" s="278" t="s">
        <v>2004</v>
      </c>
      <c r="E1238" s="227"/>
      <c r="F1238" s="227"/>
      <c r="G1238" s="227"/>
      <c r="H1238" s="227"/>
      <c r="I1238" s="227"/>
    </row>
    <row r="1239">
      <c r="A1239" s="227"/>
      <c r="C1239" s="227"/>
      <c r="D1239" s="278" t="s">
        <v>2005</v>
      </c>
      <c r="E1239" s="227"/>
      <c r="F1239" s="227"/>
      <c r="G1239" s="227"/>
      <c r="H1239" s="227"/>
      <c r="I1239" s="227"/>
    </row>
    <row r="1240">
      <c r="A1240" s="227"/>
      <c r="C1240" s="227"/>
      <c r="D1240" s="278" t="s">
        <v>2006</v>
      </c>
      <c r="E1240" s="227"/>
      <c r="F1240" s="227"/>
      <c r="G1240" s="227"/>
      <c r="H1240" s="227"/>
      <c r="I1240" s="227"/>
    </row>
    <row r="1241">
      <c r="A1241" s="227"/>
      <c r="C1241" s="227"/>
      <c r="D1241" s="278" t="s">
        <v>2007</v>
      </c>
      <c r="E1241" s="227"/>
      <c r="F1241" s="227"/>
      <c r="G1241" s="227"/>
      <c r="H1241" s="227"/>
      <c r="I1241" s="227"/>
    </row>
    <row r="1242">
      <c r="A1242" s="227"/>
      <c r="C1242" s="227"/>
      <c r="D1242" s="278" t="s">
        <v>2009</v>
      </c>
      <c r="E1242" s="227"/>
      <c r="F1242" s="227"/>
      <c r="G1242" s="227"/>
      <c r="H1242" s="227"/>
      <c r="I1242" s="227"/>
    </row>
    <row r="1243">
      <c r="A1243" s="227"/>
      <c r="B1243" s="227"/>
      <c r="C1243" s="227"/>
      <c r="D1243" s="227"/>
      <c r="E1243" s="227"/>
      <c r="F1243" s="227"/>
      <c r="G1243" s="227"/>
      <c r="H1243" s="227"/>
      <c r="I1243" s="227"/>
    </row>
    <row r="1244">
      <c r="A1244" s="227"/>
      <c r="B1244" s="231" t="s">
        <v>2995</v>
      </c>
      <c r="C1244" s="227"/>
      <c r="D1244" s="227" t="s">
        <v>4417</v>
      </c>
      <c r="E1244" s="227"/>
      <c r="F1244" s="227"/>
      <c r="G1244" s="227"/>
      <c r="H1244" s="227"/>
      <c r="I1244" s="227"/>
    </row>
    <row r="1245">
      <c r="A1245" s="227"/>
      <c r="C1245" s="227"/>
      <c r="D1245" s="227" t="s">
        <v>4418</v>
      </c>
      <c r="E1245" s="227"/>
      <c r="F1245" s="227"/>
      <c r="G1245" s="227"/>
      <c r="H1245" s="227"/>
      <c r="I1245" s="227"/>
    </row>
    <row r="1246">
      <c r="A1246" s="227"/>
      <c r="C1246" s="227"/>
      <c r="D1246" s="227" t="s">
        <v>4419</v>
      </c>
      <c r="E1246" s="227"/>
      <c r="F1246" s="227"/>
      <c r="G1246" s="227"/>
      <c r="H1246" s="227"/>
      <c r="I1246" s="227"/>
    </row>
    <row r="1247">
      <c r="A1247" s="227"/>
      <c r="C1247" s="227"/>
      <c r="D1247" s="227" t="s">
        <v>4420</v>
      </c>
      <c r="E1247" s="227"/>
      <c r="F1247" s="227"/>
      <c r="G1247" s="227"/>
      <c r="H1247" s="227"/>
      <c r="I1247" s="227"/>
    </row>
    <row r="1248">
      <c r="A1248" s="227"/>
      <c r="C1248" s="227"/>
      <c r="D1248" s="227" t="s">
        <v>3975</v>
      </c>
      <c r="E1248" s="227"/>
      <c r="F1248" s="227"/>
      <c r="G1248" s="227"/>
      <c r="H1248" s="227"/>
      <c r="I1248" s="227"/>
    </row>
    <row r="1249">
      <c r="A1249" s="227"/>
      <c r="C1249" s="227"/>
      <c r="D1249" s="227" t="s">
        <v>3310</v>
      </c>
      <c r="E1249" s="227"/>
      <c r="F1249" s="227"/>
      <c r="G1249" s="227"/>
      <c r="H1249" s="227"/>
      <c r="I1249" s="227"/>
    </row>
    <row r="1250">
      <c r="A1250" s="227"/>
      <c r="C1250" s="227"/>
      <c r="D1250" s="227" t="s">
        <v>4421</v>
      </c>
      <c r="E1250" s="227"/>
      <c r="F1250" s="227"/>
      <c r="G1250" s="227"/>
      <c r="H1250" s="227"/>
      <c r="I1250" s="227"/>
    </row>
    <row r="1251">
      <c r="A1251" s="227"/>
      <c r="C1251" s="227"/>
      <c r="D1251" s="227" t="s">
        <v>4422</v>
      </c>
      <c r="E1251" s="227"/>
      <c r="F1251" s="227"/>
      <c r="G1251" s="227"/>
      <c r="H1251" s="227"/>
      <c r="I1251" s="227"/>
    </row>
    <row r="1252">
      <c r="A1252" s="227"/>
      <c r="C1252" s="227"/>
      <c r="D1252" s="227" t="s">
        <v>4423</v>
      </c>
      <c r="E1252" s="227"/>
      <c r="F1252" s="227"/>
      <c r="G1252" s="227"/>
      <c r="H1252" s="227"/>
      <c r="I1252" s="227"/>
    </row>
    <row r="1253">
      <c r="A1253" s="227"/>
      <c r="C1253" s="227"/>
      <c r="D1253" s="227" t="s">
        <v>4424</v>
      </c>
      <c r="E1253" s="227"/>
      <c r="F1253" s="227"/>
      <c r="G1253" s="227"/>
      <c r="H1253" s="227"/>
      <c r="I1253" s="227"/>
    </row>
    <row r="1254">
      <c r="A1254" s="227"/>
      <c r="C1254" s="227"/>
      <c r="D1254" s="227" t="s">
        <v>4425</v>
      </c>
      <c r="E1254" s="227"/>
      <c r="F1254" s="227"/>
      <c r="G1254" s="227"/>
      <c r="H1254" s="227"/>
      <c r="I1254" s="227"/>
    </row>
    <row r="1255">
      <c r="A1255" s="227"/>
      <c r="C1255" s="227"/>
      <c r="D1255" s="227" t="s">
        <v>4426</v>
      </c>
      <c r="E1255" s="227"/>
      <c r="F1255" s="227"/>
      <c r="G1255" s="227"/>
      <c r="H1255" s="227"/>
      <c r="I1255" s="227"/>
    </row>
    <row r="1256">
      <c r="A1256" s="227"/>
      <c r="C1256" s="227"/>
      <c r="D1256" s="227" t="s">
        <v>4427</v>
      </c>
      <c r="E1256" s="227"/>
      <c r="F1256" s="227"/>
      <c r="G1256" s="227"/>
      <c r="H1256" s="227"/>
      <c r="I1256" s="227"/>
    </row>
    <row r="1257">
      <c r="A1257" s="227"/>
      <c r="C1257" s="227"/>
      <c r="D1257" s="227" t="s">
        <v>4428</v>
      </c>
      <c r="E1257" s="227"/>
      <c r="F1257" s="227"/>
      <c r="G1257" s="227"/>
      <c r="H1257" s="227"/>
      <c r="I1257" s="227"/>
    </row>
    <row r="1258">
      <c r="A1258" s="227"/>
      <c r="C1258" s="227"/>
      <c r="D1258" s="227" t="s">
        <v>4429</v>
      </c>
      <c r="E1258" s="227"/>
      <c r="F1258" s="227"/>
      <c r="G1258" s="227"/>
      <c r="H1258" s="227"/>
      <c r="I1258" s="227"/>
    </row>
    <row r="1259">
      <c r="A1259" s="227"/>
      <c r="C1259" s="227"/>
      <c r="D1259" s="227" t="s">
        <v>4430</v>
      </c>
      <c r="E1259" s="227"/>
      <c r="F1259" s="227"/>
      <c r="G1259" s="227"/>
      <c r="H1259" s="227"/>
      <c r="I1259" s="227"/>
    </row>
    <row r="1260">
      <c r="A1260" s="227"/>
      <c r="C1260" s="227"/>
      <c r="D1260" s="227" t="s">
        <v>4431</v>
      </c>
      <c r="E1260" s="227"/>
      <c r="F1260" s="227"/>
      <c r="G1260" s="227"/>
      <c r="H1260" s="227"/>
      <c r="I1260" s="227"/>
    </row>
    <row r="1261">
      <c r="A1261" s="227"/>
      <c r="C1261" s="227"/>
      <c r="D1261" s="227" t="s">
        <v>4432</v>
      </c>
      <c r="E1261" s="227"/>
      <c r="F1261" s="227"/>
      <c r="G1261" s="227"/>
      <c r="H1261" s="227"/>
      <c r="I1261" s="227"/>
    </row>
    <row r="1262">
      <c r="A1262" s="227"/>
      <c r="C1262" s="227"/>
      <c r="D1262" s="227" t="s">
        <v>4433</v>
      </c>
      <c r="E1262" s="227"/>
      <c r="F1262" s="227"/>
      <c r="G1262" s="227"/>
      <c r="H1262" s="227"/>
      <c r="I1262" s="227"/>
    </row>
    <row r="1263">
      <c r="A1263" s="227"/>
      <c r="C1263" s="227"/>
      <c r="D1263" s="227" t="s">
        <v>4434</v>
      </c>
      <c r="E1263" s="227"/>
      <c r="F1263" s="227"/>
      <c r="G1263" s="227"/>
      <c r="H1263" s="227"/>
      <c r="I1263" s="227"/>
    </row>
    <row r="1264">
      <c r="A1264" s="227"/>
      <c r="C1264" s="227"/>
      <c r="D1264" s="227" t="s">
        <v>4435</v>
      </c>
      <c r="E1264" s="227"/>
      <c r="F1264" s="227"/>
      <c r="G1264" s="227"/>
      <c r="H1264" s="227"/>
      <c r="I1264" s="227"/>
    </row>
    <row r="1265">
      <c r="A1265" s="227"/>
      <c r="C1265" s="227"/>
      <c r="D1265" s="227" t="s">
        <v>4436</v>
      </c>
      <c r="E1265" s="227"/>
      <c r="F1265" s="227"/>
      <c r="G1265" s="227"/>
      <c r="H1265" s="227"/>
      <c r="I1265" s="227"/>
    </row>
    <row r="1266">
      <c r="A1266" s="227"/>
      <c r="C1266" s="227"/>
      <c r="D1266" s="227" t="s">
        <v>4437</v>
      </c>
      <c r="E1266" s="227"/>
      <c r="F1266" s="227"/>
      <c r="G1266" s="227"/>
      <c r="H1266" s="227"/>
      <c r="I1266" s="227"/>
    </row>
    <row r="1267">
      <c r="A1267" s="227"/>
      <c r="C1267" s="227"/>
      <c r="D1267" s="227" t="s">
        <v>4438</v>
      </c>
      <c r="E1267" s="227"/>
      <c r="F1267" s="227"/>
      <c r="G1267" s="227"/>
      <c r="H1267" s="227"/>
      <c r="I1267" s="227"/>
    </row>
    <row r="1268">
      <c r="A1268" s="227"/>
      <c r="C1268" s="227"/>
      <c r="D1268" s="227" t="s">
        <v>4439</v>
      </c>
      <c r="E1268" s="227"/>
      <c r="F1268" s="227"/>
      <c r="G1268" s="227"/>
      <c r="H1268" s="227"/>
      <c r="I1268" s="227"/>
    </row>
    <row r="1269">
      <c r="A1269" s="227"/>
      <c r="C1269" s="227"/>
      <c r="D1269" s="227" t="s">
        <v>4440</v>
      </c>
      <c r="E1269" s="227"/>
      <c r="F1269" s="227"/>
      <c r="G1269" s="227"/>
      <c r="H1269" s="227"/>
      <c r="I1269" s="227"/>
    </row>
    <row r="1270">
      <c r="A1270" s="227"/>
      <c r="C1270" s="227"/>
      <c r="D1270" s="227" t="s">
        <v>4441</v>
      </c>
      <c r="E1270" s="227"/>
      <c r="F1270" s="227"/>
      <c r="G1270" s="227"/>
      <c r="H1270" s="227"/>
      <c r="I1270" s="227"/>
    </row>
    <row r="1271">
      <c r="A1271" s="227"/>
      <c r="C1271" s="227"/>
      <c r="D1271" s="227" t="s">
        <v>4442</v>
      </c>
      <c r="E1271" s="227"/>
      <c r="F1271" s="227"/>
      <c r="G1271" s="227"/>
      <c r="H1271" s="227"/>
      <c r="I1271" s="227"/>
    </row>
    <row r="1272">
      <c r="A1272" s="227"/>
      <c r="C1272" s="227"/>
      <c r="D1272" s="227" t="s">
        <v>4443</v>
      </c>
      <c r="E1272" s="227"/>
      <c r="F1272" s="227"/>
      <c r="G1272" s="227"/>
      <c r="H1272" s="227"/>
      <c r="I1272" s="227"/>
    </row>
    <row r="1273">
      <c r="A1273" s="227"/>
      <c r="B1273" s="227"/>
      <c r="C1273" s="227"/>
      <c r="D1273" s="227"/>
      <c r="E1273" s="227"/>
      <c r="F1273" s="227"/>
      <c r="G1273" s="227"/>
      <c r="H1273" s="227"/>
      <c r="I1273" s="227"/>
    </row>
    <row r="1274">
      <c r="A1274" s="227"/>
      <c r="B1274" s="227"/>
      <c r="C1274" s="227"/>
      <c r="D1274" s="227"/>
      <c r="E1274" s="227"/>
      <c r="F1274" s="227"/>
      <c r="G1274" s="227"/>
      <c r="H1274" s="227"/>
      <c r="I1274" s="227"/>
    </row>
    <row r="1275">
      <c r="A1275" s="227"/>
      <c r="B1275" s="231" t="s">
        <v>4444</v>
      </c>
      <c r="C1275" s="227" t="s">
        <v>4445</v>
      </c>
      <c r="D1275" s="227"/>
      <c r="E1275" s="227"/>
      <c r="F1275" s="227"/>
      <c r="G1275" s="227"/>
      <c r="H1275" s="227"/>
      <c r="I1275" s="227"/>
    </row>
    <row r="1276">
      <c r="A1276" s="227"/>
      <c r="B1276" s="227"/>
      <c r="C1276" s="227"/>
      <c r="D1276" s="227"/>
      <c r="E1276" s="227"/>
      <c r="F1276" s="227"/>
      <c r="G1276" s="227"/>
      <c r="H1276" s="227"/>
      <c r="I1276" s="227"/>
    </row>
    <row r="1277">
      <c r="A1277" s="280" t="s">
        <v>3181</v>
      </c>
      <c r="B1277" s="280" t="s">
        <v>816</v>
      </c>
      <c r="C1277" s="280" t="s">
        <v>4446</v>
      </c>
      <c r="D1277" s="280" t="s">
        <v>4447</v>
      </c>
      <c r="E1277" s="280" t="s">
        <v>4448</v>
      </c>
      <c r="F1277" s="280" t="s">
        <v>2857</v>
      </c>
      <c r="G1277" s="280" t="s">
        <v>4449</v>
      </c>
      <c r="H1277" s="281"/>
      <c r="I1277" s="281"/>
    </row>
    <row r="1278">
      <c r="A1278" s="280" t="s">
        <v>3181</v>
      </c>
      <c r="C1278" s="280" t="s">
        <v>4450</v>
      </c>
      <c r="D1278" s="280" t="s">
        <v>4451</v>
      </c>
      <c r="E1278" s="280" t="s">
        <v>4452</v>
      </c>
      <c r="F1278" s="280" t="s">
        <v>2857</v>
      </c>
      <c r="G1278" s="280" t="s">
        <v>4453</v>
      </c>
      <c r="H1278" s="281"/>
      <c r="I1278" s="281"/>
    </row>
    <row r="1279">
      <c r="A1279" s="280" t="s">
        <v>3181</v>
      </c>
      <c r="C1279" s="280" t="s">
        <v>4454</v>
      </c>
      <c r="D1279" s="280" t="s">
        <v>4455</v>
      </c>
      <c r="E1279" s="280" t="s">
        <v>591</v>
      </c>
      <c r="F1279" s="280" t="s">
        <v>2857</v>
      </c>
      <c r="G1279" s="280" t="s">
        <v>4456</v>
      </c>
      <c r="H1279" s="281"/>
      <c r="I1279" s="281"/>
    </row>
    <row r="1280">
      <c r="A1280" s="280" t="s">
        <v>3181</v>
      </c>
      <c r="C1280" s="280" t="s">
        <v>4457</v>
      </c>
      <c r="D1280" s="280" t="s">
        <v>4458</v>
      </c>
      <c r="E1280" s="280" t="s">
        <v>4448</v>
      </c>
      <c r="F1280" s="280" t="s">
        <v>2857</v>
      </c>
      <c r="G1280" s="280" t="s">
        <v>4459</v>
      </c>
      <c r="H1280" s="281"/>
      <c r="I1280" s="281"/>
    </row>
    <row r="1281">
      <c r="A1281" s="281"/>
      <c r="C1281" s="280" t="s">
        <v>4460</v>
      </c>
      <c r="D1281" s="280" t="s">
        <v>4461</v>
      </c>
      <c r="E1281" s="280" t="s">
        <v>348</v>
      </c>
      <c r="F1281" s="280" t="s">
        <v>2857</v>
      </c>
      <c r="G1281" s="280" t="s">
        <v>4462</v>
      </c>
      <c r="H1281" s="281"/>
      <c r="I1281" s="281"/>
    </row>
    <row r="1282">
      <c r="A1282" s="280" t="s">
        <v>3181</v>
      </c>
      <c r="C1282" s="280" t="s">
        <v>4463</v>
      </c>
      <c r="D1282" s="280" t="s">
        <v>4464</v>
      </c>
      <c r="E1282" s="280" t="s">
        <v>348</v>
      </c>
      <c r="F1282" s="280" t="s">
        <v>2857</v>
      </c>
      <c r="G1282" s="280" t="s">
        <v>4465</v>
      </c>
      <c r="H1282" s="281"/>
      <c r="I1282" s="281"/>
    </row>
    <row r="1283">
      <c r="A1283" s="116"/>
      <c r="B1283" s="116"/>
      <c r="C1283" s="116"/>
      <c r="D1283" s="116"/>
      <c r="E1283" s="116"/>
      <c r="F1283" s="116"/>
      <c r="G1283" s="116"/>
      <c r="H1283" s="116"/>
      <c r="I1283" s="116"/>
    </row>
    <row r="1284">
      <c r="A1284" s="116"/>
      <c r="B1284" s="116"/>
      <c r="C1284" s="116"/>
      <c r="D1284" s="116"/>
      <c r="E1284" s="116"/>
      <c r="F1284" s="116"/>
      <c r="G1284" s="116"/>
      <c r="H1284" s="116"/>
      <c r="I1284" s="116"/>
    </row>
    <row r="1285">
      <c r="A1285" s="116"/>
      <c r="B1285" s="116"/>
      <c r="C1285" s="116"/>
      <c r="D1285" s="116"/>
      <c r="E1285" s="116"/>
      <c r="F1285" s="116"/>
      <c r="G1285" s="116"/>
      <c r="H1285" s="116"/>
      <c r="I1285" s="116"/>
    </row>
    <row r="1286">
      <c r="A1286" s="116"/>
      <c r="B1286" s="116"/>
      <c r="C1286" s="116"/>
      <c r="D1286" s="116"/>
      <c r="E1286" s="116"/>
      <c r="F1286" s="116"/>
      <c r="G1286" s="116"/>
      <c r="H1286" s="116"/>
      <c r="I1286" s="116"/>
    </row>
    <row r="1287">
      <c r="A1287" s="116"/>
      <c r="B1287" s="116"/>
      <c r="C1287" s="116"/>
      <c r="D1287" s="116"/>
      <c r="E1287" s="116"/>
      <c r="F1287" s="116"/>
      <c r="G1287" s="116"/>
      <c r="H1287" s="116"/>
      <c r="I1287" s="116"/>
    </row>
    <row r="1288">
      <c r="A1288" s="116"/>
      <c r="B1288" s="116"/>
      <c r="C1288" s="116"/>
      <c r="D1288" s="116"/>
      <c r="E1288" s="116"/>
      <c r="F1288" s="116"/>
      <c r="G1288" s="116"/>
      <c r="H1288" s="116"/>
      <c r="I1288" s="116"/>
    </row>
    <row r="1289">
      <c r="A1289" s="116"/>
      <c r="B1289" s="116"/>
      <c r="C1289" s="116"/>
      <c r="D1289" s="116"/>
      <c r="E1289" s="116"/>
      <c r="F1289" s="116"/>
      <c r="G1289" s="116"/>
      <c r="H1289" s="116"/>
      <c r="I1289" s="116"/>
    </row>
    <row r="1290">
      <c r="A1290" s="116"/>
      <c r="B1290" s="116"/>
      <c r="C1290" s="116"/>
      <c r="D1290" s="116"/>
      <c r="E1290" s="116"/>
      <c r="F1290" s="116"/>
      <c r="G1290" s="116"/>
      <c r="H1290" s="116"/>
      <c r="I1290" s="116"/>
    </row>
    <row r="1291">
      <c r="A1291" s="116"/>
      <c r="B1291" s="116"/>
      <c r="C1291" s="116"/>
      <c r="D1291" s="116"/>
      <c r="E1291" s="116"/>
      <c r="F1291" s="116"/>
      <c r="G1291" s="116"/>
      <c r="H1291" s="116"/>
      <c r="I1291" s="116"/>
    </row>
    <row r="1292">
      <c r="A1292" s="116"/>
      <c r="B1292" s="116"/>
      <c r="C1292" s="116"/>
      <c r="D1292" s="116"/>
      <c r="E1292" s="116"/>
      <c r="F1292" s="116"/>
      <c r="G1292" s="116"/>
      <c r="H1292" s="116"/>
      <c r="I1292" s="116"/>
    </row>
    <row r="1293">
      <c r="A1293" s="116"/>
      <c r="B1293" s="116"/>
      <c r="C1293" s="116"/>
      <c r="D1293" s="116"/>
      <c r="E1293" s="116"/>
      <c r="F1293" s="116"/>
      <c r="G1293" s="116"/>
      <c r="H1293" s="116"/>
      <c r="I1293" s="116"/>
    </row>
    <row r="1294">
      <c r="A1294" s="116"/>
      <c r="B1294" s="116"/>
      <c r="C1294" s="116"/>
      <c r="D1294" s="116"/>
      <c r="E1294" s="116"/>
      <c r="F1294" s="116"/>
      <c r="G1294" s="116"/>
      <c r="H1294" s="116"/>
      <c r="I1294" s="116"/>
    </row>
    <row r="1295">
      <c r="A1295" s="116"/>
      <c r="B1295" s="116"/>
      <c r="C1295" s="116"/>
      <c r="D1295" s="116"/>
      <c r="E1295" s="116"/>
      <c r="F1295" s="116"/>
      <c r="G1295" s="116"/>
      <c r="H1295" s="116"/>
      <c r="I1295" s="116"/>
    </row>
    <row r="1296">
      <c r="A1296" s="116"/>
      <c r="B1296" s="116"/>
      <c r="C1296" s="116"/>
      <c r="D1296" s="116"/>
      <c r="E1296" s="116"/>
      <c r="F1296" s="116"/>
      <c r="G1296" s="116"/>
      <c r="H1296" s="116"/>
      <c r="I1296" s="116"/>
    </row>
    <row r="1297">
      <c r="A1297" s="116"/>
      <c r="B1297" s="116"/>
      <c r="C1297" s="116"/>
      <c r="D1297" s="116"/>
      <c r="E1297" s="116"/>
      <c r="F1297" s="116"/>
      <c r="G1297" s="116"/>
      <c r="H1297" s="116"/>
      <c r="I1297" s="116"/>
    </row>
    <row r="1298">
      <c r="A1298" s="116"/>
      <c r="B1298" s="116"/>
      <c r="C1298" s="116"/>
      <c r="D1298" s="116"/>
      <c r="E1298" s="116"/>
      <c r="F1298" s="116"/>
      <c r="G1298" s="116"/>
      <c r="H1298" s="116"/>
      <c r="I1298" s="116"/>
    </row>
    <row r="1299">
      <c r="A1299" s="116"/>
      <c r="B1299" s="116"/>
      <c r="C1299" s="116"/>
      <c r="D1299" s="116"/>
      <c r="E1299" s="116"/>
      <c r="F1299" s="116"/>
      <c r="G1299" s="116"/>
      <c r="H1299" s="116"/>
      <c r="I1299" s="116"/>
    </row>
    <row r="1300">
      <c r="A1300" s="116"/>
      <c r="B1300" s="116"/>
      <c r="C1300" s="116"/>
      <c r="D1300" s="116"/>
      <c r="E1300" s="116"/>
      <c r="F1300" s="116"/>
      <c r="G1300" s="116"/>
      <c r="H1300" s="116"/>
      <c r="I1300" s="116"/>
    </row>
    <row r="1301">
      <c r="A1301" s="116"/>
      <c r="B1301" s="116"/>
      <c r="C1301" s="116"/>
      <c r="D1301" s="116"/>
      <c r="E1301" s="116"/>
      <c r="F1301" s="116"/>
      <c r="G1301" s="116"/>
      <c r="H1301" s="116"/>
      <c r="I1301" s="116"/>
    </row>
    <row r="1302">
      <c r="A1302" s="116"/>
      <c r="B1302" s="116"/>
      <c r="C1302" s="116"/>
      <c r="D1302" s="116"/>
      <c r="E1302" s="116"/>
      <c r="F1302" s="116"/>
      <c r="G1302" s="116"/>
      <c r="H1302" s="116"/>
      <c r="I1302" s="116"/>
    </row>
    <row r="1303">
      <c r="A1303" s="116"/>
      <c r="B1303" s="116"/>
      <c r="C1303" s="116"/>
      <c r="D1303" s="116"/>
      <c r="E1303" s="116"/>
      <c r="F1303" s="116"/>
      <c r="G1303" s="116"/>
      <c r="H1303" s="116"/>
      <c r="I1303" s="116"/>
    </row>
    <row r="1304">
      <c r="A1304" s="116"/>
      <c r="B1304" s="116"/>
      <c r="C1304" s="116"/>
      <c r="D1304" s="116"/>
      <c r="E1304" s="116"/>
      <c r="F1304" s="116"/>
      <c r="G1304" s="116"/>
      <c r="H1304" s="116"/>
      <c r="I1304" s="116"/>
    </row>
    <row r="1305">
      <c r="A1305" s="116"/>
      <c r="B1305" s="116"/>
      <c r="C1305" s="116"/>
      <c r="D1305" s="116"/>
      <c r="E1305" s="116"/>
      <c r="F1305" s="116"/>
      <c r="G1305" s="116"/>
      <c r="H1305" s="116"/>
      <c r="I1305" s="116"/>
    </row>
    <row r="1306">
      <c r="A1306" s="116"/>
      <c r="B1306" s="116"/>
      <c r="C1306" s="116"/>
      <c r="D1306" s="116"/>
      <c r="E1306" s="116"/>
      <c r="F1306" s="116"/>
      <c r="G1306" s="116"/>
      <c r="H1306" s="116"/>
      <c r="I1306" s="116"/>
    </row>
    <row r="1307">
      <c r="A1307" s="116"/>
      <c r="B1307" s="116"/>
      <c r="C1307" s="116"/>
      <c r="D1307" s="116"/>
      <c r="E1307" s="116"/>
      <c r="F1307" s="116"/>
      <c r="G1307" s="116"/>
      <c r="H1307" s="116"/>
      <c r="I1307" s="116"/>
    </row>
    <row r="1308">
      <c r="A1308" s="116"/>
      <c r="B1308" s="116"/>
      <c r="C1308" s="116"/>
      <c r="D1308" s="116"/>
      <c r="E1308" s="116"/>
      <c r="F1308" s="116"/>
      <c r="G1308" s="116"/>
      <c r="H1308" s="116"/>
      <c r="I1308" s="116"/>
    </row>
    <row r="1309">
      <c r="A1309" s="116"/>
      <c r="B1309" s="116"/>
      <c r="C1309" s="116"/>
      <c r="D1309" s="116"/>
      <c r="E1309" s="116"/>
      <c r="F1309" s="116"/>
      <c r="G1309" s="116"/>
      <c r="H1309" s="116"/>
      <c r="I1309" s="116"/>
    </row>
    <row r="1310">
      <c r="A1310" s="116"/>
      <c r="B1310" s="116"/>
      <c r="C1310" s="116"/>
      <c r="D1310" s="116"/>
      <c r="E1310" s="116"/>
      <c r="F1310" s="116"/>
      <c r="G1310" s="116"/>
      <c r="H1310" s="116"/>
      <c r="I1310" s="116"/>
    </row>
    <row r="1311">
      <c r="A1311" s="116"/>
      <c r="B1311" s="116"/>
      <c r="C1311" s="116"/>
      <c r="D1311" s="116"/>
      <c r="E1311" s="116"/>
      <c r="F1311" s="116"/>
      <c r="G1311" s="116"/>
      <c r="H1311" s="116"/>
      <c r="I1311" s="116"/>
    </row>
    <row r="1312">
      <c r="A1312" s="116"/>
      <c r="B1312" s="116"/>
      <c r="C1312" s="116"/>
      <c r="D1312" s="116"/>
      <c r="E1312" s="116"/>
      <c r="F1312" s="116"/>
      <c r="G1312" s="116"/>
      <c r="H1312" s="116"/>
      <c r="I1312" s="116"/>
    </row>
    <row r="1313">
      <c r="A1313" s="116"/>
      <c r="B1313" s="116"/>
      <c r="C1313" s="116"/>
      <c r="D1313" s="116"/>
      <c r="E1313" s="116"/>
      <c r="F1313" s="116"/>
      <c r="G1313" s="116"/>
      <c r="H1313" s="116"/>
      <c r="I1313" s="116"/>
    </row>
    <row r="1314">
      <c r="A1314" s="116"/>
      <c r="B1314" s="116"/>
      <c r="C1314" s="116"/>
      <c r="D1314" s="116"/>
      <c r="E1314" s="116"/>
      <c r="F1314" s="116"/>
      <c r="G1314" s="116"/>
      <c r="H1314" s="116"/>
      <c r="I1314" s="116"/>
    </row>
    <row r="1315">
      <c r="A1315" s="116"/>
      <c r="B1315" s="116"/>
      <c r="C1315" s="116"/>
      <c r="D1315" s="116"/>
      <c r="E1315" s="116"/>
      <c r="F1315" s="116"/>
      <c r="G1315" s="116"/>
      <c r="H1315" s="116"/>
      <c r="I1315" s="116"/>
    </row>
    <row r="1316">
      <c r="A1316" s="116"/>
      <c r="B1316" s="116"/>
      <c r="C1316" s="116"/>
      <c r="D1316" s="116"/>
      <c r="E1316" s="116"/>
      <c r="F1316" s="116"/>
      <c r="G1316" s="116"/>
      <c r="H1316" s="116"/>
      <c r="I1316" s="116"/>
    </row>
    <row r="1317">
      <c r="A1317" s="116"/>
      <c r="B1317" s="116"/>
      <c r="C1317" s="116"/>
      <c r="D1317" s="116"/>
      <c r="E1317" s="116"/>
      <c r="F1317" s="116"/>
      <c r="G1317" s="116"/>
      <c r="H1317" s="116"/>
      <c r="I1317" s="116"/>
    </row>
    <row r="1318">
      <c r="A1318" s="116"/>
      <c r="B1318" s="116"/>
      <c r="C1318" s="116"/>
      <c r="D1318" s="116"/>
      <c r="E1318" s="116"/>
      <c r="F1318" s="116"/>
      <c r="G1318" s="116"/>
      <c r="H1318" s="116"/>
      <c r="I1318" s="116"/>
    </row>
    <row r="1319">
      <c r="A1319" s="116"/>
      <c r="B1319" s="116"/>
      <c r="C1319" s="116"/>
      <c r="D1319" s="116"/>
      <c r="E1319" s="116"/>
      <c r="F1319" s="116"/>
      <c r="G1319" s="116"/>
      <c r="H1319" s="116"/>
      <c r="I1319" s="116"/>
    </row>
    <row r="1320">
      <c r="A1320" s="116"/>
      <c r="B1320" s="116"/>
      <c r="C1320" s="116"/>
      <c r="D1320" s="116"/>
      <c r="E1320" s="116"/>
      <c r="F1320" s="116"/>
      <c r="G1320" s="116"/>
      <c r="H1320" s="116"/>
      <c r="I1320" s="116"/>
    </row>
    <row r="1321">
      <c r="A1321" s="116"/>
      <c r="B1321" s="116"/>
      <c r="C1321" s="116"/>
      <c r="D1321" s="116"/>
      <c r="E1321" s="116"/>
      <c r="F1321" s="116"/>
      <c r="G1321" s="116"/>
      <c r="H1321" s="116"/>
      <c r="I1321" s="116"/>
    </row>
    <row r="1322">
      <c r="A1322" s="116"/>
      <c r="B1322" s="116"/>
      <c r="C1322" s="116"/>
      <c r="D1322" s="116"/>
      <c r="E1322" s="116"/>
      <c r="F1322" s="116"/>
      <c r="G1322" s="116"/>
      <c r="H1322" s="116"/>
      <c r="I1322" s="116"/>
    </row>
    <row r="1323">
      <c r="A1323" s="116"/>
      <c r="B1323" s="116"/>
      <c r="C1323" s="116"/>
      <c r="D1323" s="116"/>
      <c r="E1323" s="116"/>
      <c r="F1323" s="116"/>
      <c r="G1323" s="116"/>
      <c r="H1323" s="116"/>
      <c r="I1323" s="116"/>
    </row>
    <row r="1324">
      <c r="A1324" s="116"/>
      <c r="B1324" s="116"/>
      <c r="C1324" s="116"/>
      <c r="D1324" s="116"/>
      <c r="E1324" s="116"/>
      <c r="F1324" s="116"/>
      <c r="G1324" s="116"/>
      <c r="H1324" s="116"/>
      <c r="I1324" s="116"/>
    </row>
    <row r="1325">
      <c r="A1325" s="116"/>
      <c r="B1325" s="116"/>
      <c r="C1325" s="116"/>
      <c r="D1325" s="116"/>
      <c r="E1325" s="116"/>
      <c r="F1325" s="116"/>
      <c r="G1325" s="116"/>
      <c r="H1325" s="116"/>
      <c r="I1325" s="116"/>
    </row>
    <row r="1326">
      <c r="A1326" s="116"/>
      <c r="B1326" s="116"/>
      <c r="C1326" s="116"/>
      <c r="D1326" s="116"/>
      <c r="E1326" s="116"/>
      <c r="F1326" s="116"/>
      <c r="G1326" s="116"/>
      <c r="H1326" s="116"/>
      <c r="I1326" s="116"/>
    </row>
    <row r="1327">
      <c r="A1327" s="116"/>
      <c r="B1327" s="116"/>
      <c r="C1327" s="116"/>
      <c r="D1327" s="116"/>
      <c r="E1327" s="116"/>
      <c r="F1327" s="116"/>
      <c r="G1327" s="116"/>
      <c r="H1327" s="116"/>
      <c r="I1327" s="116"/>
    </row>
    <row r="1328">
      <c r="A1328" s="116"/>
      <c r="B1328" s="116"/>
      <c r="C1328" s="116"/>
      <c r="D1328" s="116"/>
      <c r="E1328" s="116"/>
      <c r="F1328" s="116"/>
      <c r="G1328" s="116"/>
      <c r="H1328" s="116"/>
      <c r="I1328" s="116"/>
    </row>
    <row r="1329">
      <c r="A1329" s="116"/>
      <c r="B1329" s="116"/>
      <c r="C1329" s="116"/>
      <c r="D1329" s="116"/>
      <c r="E1329" s="116"/>
      <c r="F1329" s="116"/>
      <c r="G1329" s="116"/>
      <c r="H1329" s="116"/>
      <c r="I1329" s="116"/>
    </row>
    <row r="1330">
      <c r="A1330" s="116"/>
      <c r="B1330" s="116"/>
      <c r="C1330" s="116"/>
      <c r="D1330" s="116"/>
      <c r="E1330" s="116"/>
      <c r="F1330" s="116"/>
      <c r="G1330" s="116"/>
      <c r="H1330" s="116"/>
      <c r="I1330" s="116"/>
    </row>
    <row r="1331">
      <c r="A1331" s="116"/>
      <c r="B1331" s="116"/>
      <c r="C1331" s="116"/>
      <c r="D1331" s="116"/>
      <c r="E1331" s="116"/>
      <c r="F1331" s="116"/>
      <c r="G1331" s="116"/>
      <c r="H1331" s="116"/>
      <c r="I1331" s="116"/>
    </row>
    <row r="1332">
      <c r="A1332" s="116"/>
      <c r="B1332" s="116"/>
      <c r="C1332" s="116"/>
      <c r="D1332" s="116"/>
      <c r="E1332" s="116"/>
      <c r="F1332" s="116"/>
      <c r="G1332" s="116"/>
      <c r="H1332" s="116"/>
      <c r="I1332" s="116"/>
    </row>
    <row r="1333">
      <c r="A1333" s="116"/>
      <c r="B1333" s="116"/>
      <c r="C1333" s="116"/>
      <c r="D1333" s="116"/>
      <c r="E1333" s="116"/>
      <c r="F1333" s="116"/>
      <c r="G1333" s="116"/>
      <c r="H1333" s="116"/>
      <c r="I1333" s="116"/>
    </row>
    <row r="1334">
      <c r="A1334" s="116"/>
      <c r="B1334" s="116"/>
      <c r="C1334" s="116"/>
      <c r="D1334" s="116"/>
      <c r="E1334" s="116"/>
      <c r="F1334" s="116"/>
      <c r="G1334" s="116"/>
      <c r="H1334" s="116"/>
      <c r="I1334" s="116"/>
    </row>
    <row r="1335">
      <c r="A1335" s="116"/>
      <c r="B1335" s="116"/>
      <c r="C1335" s="116"/>
      <c r="D1335" s="116"/>
      <c r="E1335" s="116"/>
      <c r="F1335" s="116"/>
      <c r="G1335" s="116"/>
      <c r="H1335" s="116"/>
      <c r="I1335" s="116"/>
    </row>
    <row r="1336">
      <c r="A1336" s="116"/>
      <c r="B1336" s="116"/>
      <c r="C1336" s="116"/>
      <c r="D1336" s="116"/>
      <c r="E1336" s="116"/>
      <c r="F1336" s="116"/>
      <c r="G1336" s="116"/>
      <c r="H1336" s="116"/>
      <c r="I1336" s="116"/>
    </row>
    <row r="1337">
      <c r="A1337" s="116"/>
      <c r="B1337" s="116"/>
      <c r="C1337" s="116"/>
      <c r="D1337" s="116"/>
      <c r="E1337" s="116"/>
      <c r="F1337" s="116"/>
      <c r="G1337" s="116"/>
      <c r="H1337" s="116"/>
      <c r="I1337" s="116"/>
    </row>
    <row r="1338">
      <c r="A1338" s="116"/>
      <c r="B1338" s="116"/>
      <c r="C1338" s="116"/>
      <c r="D1338" s="116"/>
      <c r="E1338" s="116"/>
      <c r="F1338" s="116"/>
      <c r="G1338" s="116"/>
      <c r="H1338" s="116"/>
      <c r="I1338" s="116"/>
    </row>
    <row r="1339">
      <c r="A1339" s="116"/>
      <c r="B1339" s="116"/>
      <c r="C1339" s="116"/>
      <c r="D1339" s="116"/>
      <c r="E1339" s="116"/>
      <c r="F1339" s="116"/>
      <c r="G1339" s="116"/>
      <c r="H1339" s="116"/>
      <c r="I1339" s="116"/>
    </row>
    <row r="1340">
      <c r="A1340" s="116"/>
      <c r="B1340" s="116"/>
      <c r="C1340" s="116"/>
      <c r="D1340" s="116"/>
      <c r="E1340" s="116"/>
      <c r="F1340" s="116"/>
      <c r="G1340" s="116"/>
      <c r="H1340" s="116"/>
      <c r="I1340" s="116"/>
    </row>
    <row r="1341">
      <c r="A1341" s="116"/>
      <c r="B1341" s="116"/>
      <c r="C1341" s="116"/>
      <c r="D1341" s="116"/>
      <c r="E1341" s="116"/>
      <c r="F1341" s="116"/>
      <c r="G1341" s="116"/>
      <c r="H1341" s="116"/>
      <c r="I1341" s="116"/>
    </row>
    <row r="1342">
      <c r="A1342" s="116"/>
      <c r="B1342" s="116"/>
      <c r="C1342" s="116"/>
      <c r="D1342" s="116"/>
      <c r="E1342" s="116"/>
      <c r="F1342" s="116"/>
      <c r="G1342" s="116"/>
      <c r="H1342" s="116"/>
      <c r="I1342" s="116"/>
    </row>
    <row r="1343">
      <c r="A1343" s="116"/>
      <c r="B1343" s="116"/>
      <c r="C1343" s="116"/>
      <c r="D1343" s="116"/>
      <c r="E1343" s="116"/>
      <c r="F1343" s="116"/>
      <c r="G1343" s="116"/>
      <c r="H1343" s="116"/>
      <c r="I1343" s="116"/>
    </row>
    <row r="1344">
      <c r="A1344" s="116"/>
      <c r="B1344" s="116"/>
      <c r="C1344" s="116"/>
      <c r="D1344" s="116"/>
      <c r="E1344" s="116"/>
      <c r="F1344" s="116"/>
      <c r="G1344" s="116"/>
      <c r="H1344" s="116"/>
      <c r="I1344" s="116"/>
    </row>
    <row r="1345">
      <c r="A1345" s="116"/>
      <c r="B1345" s="116"/>
      <c r="C1345" s="116"/>
      <c r="D1345" s="116"/>
      <c r="E1345" s="116"/>
      <c r="F1345" s="116"/>
      <c r="G1345" s="116"/>
      <c r="H1345" s="116"/>
      <c r="I1345" s="116"/>
    </row>
    <row r="1346">
      <c r="A1346" s="116"/>
      <c r="B1346" s="116"/>
      <c r="C1346" s="116"/>
      <c r="D1346" s="116"/>
      <c r="E1346" s="116"/>
      <c r="F1346" s="116"/>
      <c r="G1346" s="116"/>
      <c r="H1346" s="116"/>
      <c r="I1346" s="116"/>
    </row>
    <row r="1347">
      <c r="A1347" s="116"/>
      <c r="B1347" s="116"/>
      <c r="C1347" s="116"/>
      <c r="D1347" s="116"/>
      <c r="E1347" s="116"/>
      <c r="F1347" s="116"/>
      <c r="G1347" s="116"/>
      <c r="H1347" s="116"/>
      <c r="I1347" s="116"/>
    </row>
    <row r="1348">
      <c r="A1348" s="116"/>
      <c r="B1348" s="116"/>
      <c r="C1348" s="116"/>
      <c r="D1348" s="116"/>
      <c r="E1348" s="116"/>
      <c r="F1348" s="116"/>
      <c r="G1348" s="116"/>
      <c r="H1348" s="116"/>
      <c r="I1348" s="116"/>
    </row>
    <row r="1349">
      <c r="A1349" s="116"/>
      <c r="B1349" s="116"/>
      <c r="C1349" s="116"/>
      <c r="D1349" s="116"/>
      <c r="E1349" s="116"/>
      <c r="F1349" s="116"/>
      <c r="G1349" s="116"/>
      <c r="H1349" s="116"/>
      <c r="I1349" s="116"/>
    </row>
    <row r="1350">
      <c r="A1350" s="116"/>
      <c r="B1350" s="116"/>
      <c r="C1350" s="116"/>
      <c r="D1350" s="116"/>
      <c r="E1350" s="116"/>
      <c r="F1350" s="116"/>
      <c r="G1350" s="116"/>
      <c r="H1350" s="116"/>
      <c r="I1350" s="116"/>
    </row>
    <row r="1351">
      <c r="A1351" s="116"/>
      <c r="B1351" s="116"/>
      <c r="C1351" s="116"/>
      <c r="D1351" s="116"/>
      <c r="E1351" s="116"/>
      <c r="F1351" s="116"/>
      <c r="G1351" s="116"/>
      <c r="H1351" s="116"/>
      <c r="I1351" s="116"/>
    </row>
    <row r="1352">
      <c r="A1352" s="116"/>
      <c r="B1352" s="116"/>
      <c r="C1352" s="116"/>
      <c r="D1352" s="116"/>
      <c r="E1352" s="116"/>
      <c r="F1352" s="116"/>
      <c r="G1352" s="116"/>
      <c r="H1352" s="116"/>
      <c r="I1352" s="116"/>
    </row>
    <row r="1353">
      <c r="A1353" s="116"/>
      <c r="B1353" s="116"/>
      <c r="C1353" s="116"/>
      <c r="D1353" s="116"/>
      <c r="E1353" s="116"/>
      <c r="F1353" s="116"/>
      <c r="G1353" s="116"/>
      <c r="H1353" s="116"/>
      <c r="I1353" s="116"/>
    </row>
    <row r="1354">
      <c r="A1354" s="116"/>
      <c r="B1354" s="116"/>
      <c r="C1354" s="116"/>
      <c r="D1354" s="116"/>
      <c r="E1354" s="116"/>
      <c r="F1354" s="116"/>
      <c r="G1354" s="116"/>
      <c r="H1354" s="116"/>
      <c r="I1354" s="116"/>
    </row>
    <row r="1355">
      <c r="A1355" s="116"/>
      <c r="B1355" s="116"/>
      <c r="C1355" s="116"/>
      <c r="D1355" s="116"/>
      <c r="E1355" s="116"/>
      <c r="F1355" s="116"/>
      <c r="G1355" s="116"/>
      <c r="H1355" s="116"/>
      <c r="I1355" s="116"/>
    </row>
    <row r="1356">
      <c r="A1356" s="116"/>
      <c r="B1356" s="116"/>
      <c r="C1356" s="116"/>
      <c r="D1356" s="116"/>
      <c r="E1356" s="116"/>
      <c r="F1356" s="116"/>
      <c r="G1356" s="116"/>
      <c r="H1356" s="116"/>
      <c r="I1356" s="116"/>
    </row>
    <row r="1357">
      <c r="A1357" s="116"/>
      <c r="B1357" s="116"/>
      <c r="C1357" s="116"/>
      <c r="D1357" s="116"/>
      <c r="E1357" s="116"/>
      <c r="F1357" s="116"/>
      <c r="G1357" s="116"/>
      <c r="H1357" s="116"/>
      <c r="I1357" s="116"/>
    </row>
    <row r="1358">
      <c r="A1358" s="116"/>
      <c r="B1358" s="116"/>
      <c r="C1358" s="116"/>
      <c r="D1358" s="116"/>
      <c r="E1358" s="116"/>
      <c r="F1358" s="116"/>
      <c r="G1358" s="116"/>
      <c r="H1358" s="116"/>
      <c r="I1358" s="116"/>
    </row>
    <row r="1359">
      <c r="A1359" s="116"/>
      <c r="B1359" s="116"/>
      <c r="C1359" s="116"/>
      <c r="D1359" s="116"/>
      <c r="E1359" s="116"/>
      <c r="F1359" s="116"/>
      <c r="G1359" s="116"/>
      <c r="H1359" s="116"/>
      <c r="I1359" s="116"/>
    </row>
    <row r="1360">
      <c r="A1360" s="116"/>
      <c r="B1360" s="116"/>
      <c r="C1360" s="116"/>
      <c r="D1360" s="116"/>
      <c r="E1360" s="116"/>
      <c r="F1360" s="116"/>
      <c r="G1360" s="116"/>
      <c r="H1360" s="116"/>
      <c r="I1360" s="116"/>
    </row>
    <row r="1361">
      <c r="A1361" s="116"/>
      <c r="B1361" s="116"/>
      <c r="C1361" s="116"/>
      <c r="D1361" s="116"/>
      <c r="E1361" s="116"/>
      <c r="F1361" s="116"/>
      <c r="G1361" s="116"/>
      <c r="H1361" s="116"/>
      <c r="I1361" s="116"/>
    </row>
    <row r="1362">
      <c r="A1362" s="116"/>
      <c r="B1362" s="116"/>
      <c r="C1362" s="116"/>
      <c r="D1362" s="116"/>
      <c r="E1362" s="116"/>
      <c r="F1362" s="116"/>
      <c r="G1362" s="116"/>
      <c r="H1362" s="116"/>
      <c r="I1362" s="116"/>
    </row>
    <row r="1363">
      <c r="A1363" s="116"/>
      <c r="B1363" s="116"/>
      <c r="C1363" s="116"/>
      <c r="D1363" s="116"/>
      <c r="E1363" s="116"/>
      <c r="F1363" s="116"/>
      <c r="G1363" s="116"/>
      <c r="H1363" s="116"/>
      <c r="I1363" s="116"/>
    </row>
    <row r="1364">
      <c r="A1364" s="116"/>
      <c r="B1364" s="116"/>
      <c r="C1364" s="116"/>
      <c r="D1364" s="116"/>
      <c r="E1364" s="116"/>
      <c r="F1364" s="116"/>
      <c r="G1364" s="116"/>
      <c r="H1364" s="116"/>
      <c r="I1364" s="116"/>
    </row>
    <row r="1365">
      <c r="A1365" s="116"/>
      <c r="B1365" s="116"/>
      <c r="C1365" s="116"/>
      <c r="D1365" s="116"/>
      <c r="E1365" s="116"/>
      <c r="F1365" s="116"/>
      <c r="G1365" s="116"/>
      <c r="H1365" s="116"/>
      <c r="I1365" s="116"/>
    </row>
    <row r="1366">
      <c r="A1366" s="116"/>
      <c r="B1366" s="116"/>
      <c r="C1366" s="116"/>
      <c r="D1366" s="116"/>
      <c r="E1366" s="116"/>
      <c r="F1366" s="116"/>
      <c r="G1366" s="116"/>
      <c r="H1366" s="116"/>
      <c r="I1366" s="116"/>
    </row>
    <row r="1367">
      <c r="A1367" s="116"/>
      <c r="B1367" s="116"/>
      <c r="C1367" s="116"/>
      <c r="D1367" s="116"/>
      <c r="E1367" s="116"/>
      <c r="F1367" s="116"/>
      <c r="G1367" s="116"/>
      <c r="H1367" s="116"/>
      <c r="I1367" s="116"/>
    </row>
    <row r="1368">
      <c r="A1368" s="116"/>
      <c r="B1368" s="116"/>
      <c r="C1368" s="116"/>
      <c r="D1368" s="116"/>
      <c r="E1368" s="116"/>
      <c r="F1368" s="116"/>
      <c r="G1368" s="116"/>
      <c r="H1368" s="116"/>
      <c r="I1368" s="116"/>
    </row>
    <row r="1369">
      <c r="A1369" s="116"/>
      <c r="B1369" s="116"/>
      <c r="C1369" s="116"/>
      <c r="D1369" s="116"/>
      <c r="E1369" s="116"/>
      <c r="F1369" s="116"/>
      <c r="G1369" s="116"/>
      <c r="H1369" s="116"/>
      <c r="I1369" s="116"/>
    </row>
    <row r="1370">
      <c r="A1370" s="116"/>
      <c r="B1370" s="116"/>
      <c r="C1370" s="116"/>
      <c r="D1370" s="116"/>
      <c r="E1370" s="116"/>
      <c r="F1370" s="116"/>
      <c r="G1370" s="116"/>
      <c r="H1370" s="116"/>
      <c r="I1370" s="116"/>
    </row>
    <row r="1371">
      <c r="A1371" s="116"/>
      <c r="B1371" s="116"/>
      <c r="C1371" s="116"/>
      <c r="D1371" s="116"/>
      <c r="E1371" s="116"/>
      <c r="F1371" s="116"/>
      <c r="G1371" s="116"/>
      <c r="H1371" s="116"/>
      <c r="I1371" s="116"/>
    </row>
    <row r="1372">
      <c r="A1372" s="116"/>
      <c r="B1372" s="116"/>
      <c r="C1372" s="116"/>
      <c r="D1372" s="116"/>
      <c r="E1372" s="116"/>
      <c r="F1372" s="116"/>
      <c r="G1372" s="116"/>
      <c r="H1372" s="116"/>
      <c r="I1372" s="116"/>
    </row>
    <row r="1373">
      <c r="A1373" s="116"/>
      <c r="B1373" s="116"/>
      <c r="C1373" s="116"/>
      <c r="D1373" s="116"/>
      <c r="E1373" s="116"/>
      <c r="F1373" s="116"/>
      <c r="G1373" s="116"/>
      <c r="H1373" s="116"/>
      <c r="I1373" s="116"/>
    </row>
    <row r="1374">
      <c r="A1374" s="116"/>
      <c r="B1374" s="116"/>
      <c r="C1374" s="116"/>
      <c r="D1374" s="116"/>
      <c r="E1374" s="116"/>
      <c r="F1374" s="116"/>
      <c r="G1374" s="116"/>
      <c r="H1374" s="116"/>
      <c r="I1374" s="116"/>
    </row>
    <row r="1375">
      <c r="A1375" s="116"/>
      <c r="B1375" s="116"/>
      <c r="C1375" s="116"/>
      <c r="D1375" s="116"/>
      <c r="E1375" s="116"/>
      <c r="F1375" s="116"/>
      <c r="G1375" s="116"/>
      <c r="H1375" s="116"/>
      <c r="I1375" s="116"/>
    </row>
    <row r="1376">
      <c r="A1376" s="116"/>
      <c r="B1376" s="116"/>
      <c r="C1376" s="116"/>
      <c r="D1376" s="116"/>
      <c r="E1376" s="116"/>
      <c r="F1376" s="116"/>
      <c r="G1376" s="116"/>
      <c r="H1376" s="116"/>
      <c r="I1376" s="116"/>
    </row>
    <row r="1377">
      <c r="A1377" s="116"/>
      <c r="B1377" s="116"/>
      <c r="C1377" s="116"/>
      <c r="D1377" s="116"/>
      <c r="E1377" s="116"/>
      <c r="F1377" s="116"/>
      <c r="G1377" s="116"/>
      <c r="H1377" s="116"/>
      <c r="I1377" s="116"/>
    </row>
    <row r="1378">
      <c r="A1378" s="116"/>
      <c r="B1378" s="116"/>
      <c r="C1378" s="116"/>
      <c r="D1378" s="116"/>
      <c r="E1378" s="116"/>
      <c r="F1378" s="116"/>
      <c r="G1378" s="116"/>
      <c r="H1378" s="116"/>
      <c r="I1378" s="116"/>
    </row>
    <row r="1379">
      <c r="A1379" s="116"/>
      <c r="B1379" s="116"/>
      <c r="C1379" s="116"/>
      <c r="D1379" s="116"/>
      <c r="E1379" s="116"/>
      <c r="F1379" s="116"/>
      <c r="G1379" s="116"/>
      <c r="H1379" s="116"/>
      <c r="I1379" s="116"/>
    </row>
    <row r="1380">
      <c r="A1380" s="116"/>
      <c r="B1380" s="116"/>
      <c r="C1380" s="116"/>
      <c r="D1380" s="116"/>
      <c r="E1380" s="116"/>
      <c r="F1380" s="116"/>
      <c r="G1380" s="116"/>
      <c r="H1380" s="116"/>
      <c r="I1380" s="116"/>
    </row>
    <row r="1381">
      <c r="A1381" s="116"/>
      <c r="B1381" s="116"/>
      <c r="C1381" s="116"/>
      <c r="D1381" s="116"/>
      <c r="E1381" s="116"/>
      <c r="F1381" s="116"/>
      <c r="G1381" s="116"/>
      <c r="H1381" s="116"/>
      <c r="I1381" s="116"/>
    </row>
    <row r="1382">
      <c r="A1382" s="116"/>
      <c r="B1382" s="116"/>
      <c r="C1382" s="116"/>
      <c r="D1382" s="116"/>
      <c r="E1382" s="116"/>
      <c r="F1382" s="116"/>
      <c r="G1382" s="116"/>
      <c r="H1382" s="116"/>
      <c r="I1382" s="116"/>
    </row>
    <row r="1383">
      <c r="A1383" s="116"/>
      <c r="B1383" s="116"/>
      <c r="C1383" s="116"/>
      <c r="D1383" s="116"/>
      <c r="E1383" s="116"/>
      <c r="F1383" s="116"/>
      <c r="G1383" s="116"/>
      <c r="H1383" s="116"/>
      <c r="I1383" s="116"/>
    </row>
    <row r="1384">
      <c r="A1384" s="116"/>
      <c r="B1384" s="116"/>
      <c r="C1384" s="116"/>
      <c r="D1384" s="116"/>
      <c r="E1384" s="116"/>
      <c r="F1384" s="116"/>
      <c r="G1384" s="116"/>
      <c r="H1384" s="116"/>
      <c r="I1384" s="116"/>
    </row>
    <row r="1385">
      <c r="A1385" s="116"/>
      <c r="B1385" s="116"/>
      <c r="C1385" s="116"/>
      <c r="D1385" s="116"/>
      <c r="E1385" s="116"/>
      <c r="F1385" s="116"/>
      <c r="G1385" s="116"/>
      <c r="H1385" s="116"/>
      <c r="I1385" s="116"/>
    </row>
    <row r="1386">
      <c r="A1386" s="116"/>
      <c r="B1386" s="116"/>
      <c r="C1386" s="116"/>
      <c r="D1386" s="116"/>
      <c r="E1386" s="116"/>
      <c r="F1386" s="116"/>
      <c r="G1386" s="116"/>
      <c r="H1386" s="116"/>
      <c r="I1386" s="116"/>
    </row>
    <row r="1387">
      <c r="A1387" s="116"/>
      <c r="B1387" s="116"/>
      <c r="C1387" s="116"/>
      <c r="D1387" s="116"/>
      <c r="E1387" s="116"/>
      <c r="F1387" s="116"/>
      <c r="G1387" s="116"/>
      <c r="H1387" s="116"/>
      <c r="I1387" s="116"/>
    </row>
    <row r="1388">
      <c r="A1388" s="116"/>
      <c r="B1388" s="116"/>
      <c r="C1388" s="116"/>
      <c r="D1388" s="116"/>
      <c r="E1388" s="116"/>
      <c r="F1388" s="116"/>
      <c r="G1388" s="116"/>
      <c r="H1388" s="116"/>
      <c r="I1388" s="116"/>
    </row>
    <row r="1389">
      <c r="A1389" s="116"/>
      <c r="B1389" s="116"/>
      <c r="C1389" s="116"/>
      <c r="D1389" s="116"/>
      <c r="E1389" s="116"/>
      <c r="F1389" s="116"/>
      <c r="G1389" s="116"/>
      <c r="H1389" s="116"/>
      <c r="I1389" s="116"/>
    </row>
    <row r="1390">
      <c r="A1390" s="116"/>
      <c r="B1390" s="116"/>
      <c r="C1390" s="116"/>
      <c r="D1390" s="116"/>
      <c r="E1390" s="116"/>
      <c r="F1390" s="116"/>
      <c r="G1390" s="116"/>
      <c r="H1390" s="116"/>
      <c r="I1390" s="116"/>
    </row>
    <row r="1391">
      <c r="A1391" s="116"/>
      <c r="B1391" s="116"/>
      <c r="C1391" s="116"/>
      <c r="D1391" s="116"/>
      <c r="E1391" s="116"/>
      <c r="F1391" s="116"/>
      <c r="G1391" s="116"/>
      <c r="H1391" s="116"/>
      <c r="I1391" s="116"/>
    </row>
    <row r="1392">
      <c r="A1392" s="116"/>
      <c r="B1392" s="116"/>
      <c r="C1392" s="116"/>
      <c r="D1392" s="116"/>
      <c r="E1392" s="116"/>
      <c r="F1392" s="116"/>
      <c r="G1392" s="116"/>
      <c r="H1392" s="116"/>
      <c r="I1392" s="116"/>
    </row>
    <row r="1393">
      <c r="A1393" s="116"/>
      <c r="B1393" s="116"/>
      <c r="C1393" s="116"/>
      <c r="D1393" s="116"/>
      <c r="E1393" s="116"/>
      <c r="F1393" s="116"/>
      <c r="G1393" s="116"/>
      <c r="H1393" s="116"/>
      <c r="I1393" s="116"/>
    </row>
    <row r="1394">
      <c r="A1394" s="116"/>
      <c r="B1394" s="116"/>
      <c r="C1394" s="116"/>
      <c r="D1394" s="116"/>
      <c r="E1394" s="116"/>
      <c r="F1394" s="116"/>
      <c r="G1394" s="116"/>
      <c r="H1394" s="116"/>
      <c r="I1394" s="116"/>
    </row>
    <row r="1395">
      <c r="A1395" s="116"/>
      <c r="B1395" s="116"/>
      <c r="C1395" s="116"/>
      <c r="D1395" s="116"/>
      <c r="E1395" s="116"/>
      <c r="F1395" s="116"/>
      <c r="G1395" s="116"/>
      <c r="H1395" s="116"/>
      <c r="I1395" s="116"/>
    </row>
    <row r="1396">
      <c r="A1396" s="116"/>
      <c r="B1396" s="116"/>
      <c r="C1396" s="116"/>
      <c r="D1396" s="116"/>
      <c r="E1396" s="116"/>
      <c r="F1396" s="116"/>
      <c r="G1396" s="116"/>
      <c r="H1396" s="116"/>
      <c r="I1396" s="116"/>
    </row>
    <row r="1397">
      <c r="A1397" s="116"/>
      <c r="B1397" s="116"/>
      <c r="C1397" s="116"/>
      <c r="D1397" s="116"/>
      <c r="E1397" s="116"/>
      <c r="F1397" s="116"/>
      <c r="G1397" s="116"/>
      <c r="H1397" s="116"/>
      <c r="I1397" s="116"/>
    </row>
    <row r="1398">
      <c r="A1398" s="116"/>
      <c r="B1398" s="116"/>
      <c r="C1398" s="116"/>
      <c r="D1398" s="116"/>
      <c r="E1398" s="116"/>
      <c r="F1398" s="116"/>
      <c r="G1398" s="116"/>
      <c r="H1398" s="116"/>
      <c r="I1398" s="116"/>
    </row>
    <row r="1399">
      <c r="A1399" s="116"/>
      <c r="B1399" s="116"/>
      <c r="C1399" s="116"/>
      <c r="D1399" s="116"/>
      <c r="E1399" s="116"/>
      <c r="F1399" s="116"/>
      <c r="G1399" s="116"/>
      <c r="H1399" s="116"/>
      <c r="I1399" s="116"/>
    </row>
    <row r="1400">
      <c r="A1400" s="116"/>
      <c r="B1400" s="116"/>
      <c r="C1400" s="116"/>
      <c r="D1400" s="116"/>
      <c r="E1400" s="116"/>
      <c r="F1400" s="116"/>
      <c r="G1400" s="116"/>
      <c r="H1400" s="116"/>
      <c r="I1400" s="116"/>
    </row>
    <row r="1401">
      <c r="A1401" s="116"/>
      <c r="B1401" s="116"/>
      <c r="C1401" s="116"/>
      <c r="D1401" s="116"/>
      <c r="E1401" s="116"/>
      <c r="F1401" s="116"/>
      <c r="G1401" s="116"/>
      <c r="H1401" s="116"/>
      <c r="I1401" s="116"/>
    </row>
    <row r="1402">
      <c r="A1402" s="116"/>
      <c r="B1402" s="116"/>
      <c r="C1402" s="116"/>
      <c r="D1402" s="116"/>
      <c r="E1402" s="116"/>
      <c r="F1402" s="116"/>
      <c r="G1402" s="116"/>
      <c r="H1402" s="116"/>
      <c r="I1402" s="116"/>
    </row>
    <row r="1403">
      <c r="A1403" s="116"/>
      <c r="B1403" s="116"/>
      <c r="C1403" s="116"/>
      <c r="D1403" s="116"/>
      <c r="E1403" s="116"/>
      <c r="F1403" s="116"/>
      <c r="G1403" s="116"/>
      <c r="H1403" s="116"/>
      <c r="I1403" s="116"/>
    </row>
    <row r="1404">
      <c r="A1404" s="116"/>
      <c r="B1404" s="116"/>
      <c r="C1404" s="116"/>
      <c r="D1404" s="116"/>
      <c r="E1404" s="116"/>
      <c r="F1404" s="116"/>
      <c r="G1404" s="116"/>
      <c r="H1404" s="116"/>
      <c r="I1404" s="116"/>
    </row>
    <row r="1405">
      <c r="A1405" s="116"/>
      <c r="B1405" s="116"/>
      <c r="C1405" s="116"/>
      <c r="D1405" s="116"/>
      <c r="E1405" s="116"/>
      <c r="F1405" s="116"/>
      <c r="G1405" s="116"/>
      <c r="H1405" s="116"/>
      <c r="I1405" s="116"/>
    </row>
    <row r="1406">
      <c r="A1406" s="116"/>
      <c r="B1406" s="116"/>
      <c r="C1406" s="116"/>
      <c r="D1406" s="116"/>
      <c r="E1406" s="116"/>
      <c r="F1406" s="116"/>
      <c r="G1406" s="116"/>
      <c r="H1406" s="116"/>
      <c r="I1406" s="116"/>
    </row>
    <row r="1407">
      <c r="A1407" s="116"/>
      <c r="B1407" s="116"/>
      <c r="C1407" s="116"/>
      <c r="D1407" s="116"/>
      <c r="E1407" s="116"/>
      <c r="F1407" s="116"/>
      <c r="G1407" s="116"/>
      <c r="H1407" s="116"/>
      <c r="I1407" s="116"/>
    </row>
    <row r="1408">
      <c r="A1408" s="116"/>
      <c r="B1408" s="116"/>
      <c r="C1408" s="116"/>
      <c r="D1408" s="116"/>
      <c r="E1408" s="116"/>
      <c r="F1408" s="116"/>
      <c r="G1408" s="116"/>
      <c r="H1408" s="116"/>
      <c r="I1408" s="116"/>
    </row>
    <row r="1409">
      <c r="A1409" s="116"/>
      <c r="B1409" s="116"/>
      <c r="C1409" s="116"/>
      <c r="D1409" s="116"/>
      <c r="E1409" s="116"/>
      <c r="F1409" s="116"/>
      <c r="G1409" s="116"/>
      <c r="H1409" s="116"/>
      <c r="I1409" s="116"/>
    </row>
    <row r="1410">
      <c r="A1410" s="116"/>
      <c r="B1410" s="116"/>
      <c r="C1410" s="116"/>
      <c r="D1410" s="116"/>
      <c r="E1410" s="116"/>
      <c r="F1410" s="116"/>
      <c r="G1410" s="116"/>
      <c r="H1410" s="116"/>
      <c r="I1410" s="116"/>
    </row>
    <row r="1411">
      <c r="A1411" s="116"/>
      <c r="B1411" s="116"/>
      <c r="C1411" s="116"/>
      <c r="D1411" s="116"/>
      <c r="E1411" s="116"/>
      <c r="F1411" s="116"/>
      <c r="G1411" s="116"/>
      <c r="H1411" s="116"/>
      <c r="I1411" s="116"/>
    </row>
    <row r="1412">
      <c r="A1412" s="116"/>
      <c r="B1412" s="116"/>
      <c r="C1412" s="116"/>
      <c r="D1412" s="116"/>
      <c r="E1412" s="116"/>
      <c r="F1412" s="116"/>
      <c r="G1412" s="116"/>
      <c r="H1412" s="116"/>
      <c r="I1412" s="116"/>
    </row>
    <row r="1413">
      <c r="A1413" s="116"/>
      <c r="B1413" s="116"/>
      <c r="C1413" s="116"/>
      <c r="D1413" s="116"/>
      <c r="E1413" s="116"/>
      <c r="F1413" s="116"/>
      <c r="G1413" s="116"/>
      <c r="H1413" s="116"/>
      <c r="I1413" s="116"/>
    </row>
    <row r="1414">
      <c r="A1414" s="116"/>
      <c r="B1414" s="116"/>
      <c r="C1414" s="116"/>
      <c r="D1414" s="116"/>
      <c r="E1414" s="116"/>
      <c r="F1414" s="116"/>
      <c r="G1414" s="116"/>
      <c r="H1414" s="116"/>
      <c r="I1414" s="116"/>
    </row>
    <row r="1415">
      <c r="A1415" s="116"/>
      <c r="B1415" s="116"/>
      <c r="C1415" s="116"/>
      <c r="D1415" s="116"/>
      <c r="E1415" s="116"/>
      <c r="F1415" s="116"/>
      <c r="G1415" s="116"/>
      <c r="H1415" s="116"/>
      <c r="I1415" s="116"/>
    </row>
    <row r="1416">
      <c r="A1416" s="116"/>
      <c r="B1416" s="116"/>
      <c r="C1416" s="116"/>
      <c r="D1416" s="116"/>
      <c r="E1416" s="116"/>
      <c r="F1416" s="116"/>
      <c r="G1416" s="116"/>
      <c r="H1416" s="116"/>
      <c r="I1416" s="116"/>
    </row>
    <row r="1417">
      <c r="A1417" s="116"/>
      <c r="B1417" s="116"/>
      <c r="C1417" s="116"/>
      <c r="D1417" s="116"/>
      <c r="E1417" s="116"/>
      <c r="F1417" s="116"/>
      <c r="G1417" s="116"/>
      <c r="H1417" s="116"/>
      <c r="I1417" s="116"/>
    </row>
    <row r="1418">
      <c r="A1418" s="116"/>
      <c r="B1418" s="116"/>
      <c r="C1418" s="116"/>
      <c r="D1418" s="116"/>
      <c r="E1418" s="116"/>
      <c r="F1418" s="116"/>
      <c r="G1418" s="116"/>
      <c r="H1418" s="116"/>
      <c r="I1418" s="116"/>
    </row>
    <row r="1419">
      <c r="A1419" s="116"/>
      <c r="B1419" s="116"/>
      <c r="C1419" s="116"/>
      <c r="D1419" s="116"/>
      <c r="E1419" s="116"/>
      <c r="F1419" s="116"/>
      <c r="G1419" s="116"/>
      <c r="H1419" s="116"/>
      <c r="I1419" s="116"/>
    </row>
    <row r="1420">
      <c r="A1420" s="116"/>
      <c r="B1420" s="116"/>
      <c r="C1420" s="116"/>
      <c r="D1420" s="116"/>
      <c r="E1420" s="116"/>
      <c r="F1420" s="116"/>
      <c r="G1420" s="116"/>
      <c r="H1420" s="116"/>
      <c r="I1420" s="116"/>
    </row>
    <row r="1421">
      <c r="A1421" s="116"/>
      <c r="B1421" s="116"/>
      <c r="C1421" s="116"/>
      <c r="D1421" s="116"/>
      <c r="E1421" s="116"/>
      <c r="F1421" s="116"/>
      <c r="G1421" s="116"/>
      <c r="H1421" s="116"/>
      <c r="I1421" s="116"/>
    </row>
    <row r="1422">
      <c r="A1422" s="116"/>
      <c r="B1422" s="116"/>
      <c r="C1422" s="116"/>
      <c r="D1422" s="116"/>
      <c r="E1422" s="116"/>
      <c r="F1422" s="116"/>
      <c r="G1422" s="116"/>
      <c r="H1422" s="116"/>
      <c r="I1422" s="116"/>
    </row>
    <row r="1423">
      <c r="A1423" s="116"/>
      <c r="B1423" s="116"/>
      <c r="C1423" s="116"/>
      <c r="D1423" s="116"/>
      <c r="E1423" s="116"/>
      <c r="F1423" s="116"/>
      <c r="G1423" s="116"/>
      <c r="H1423" s="116"/>
      <c r="I1423" s="116"/>
    </row>
    <row r="1424">
      <c r="A1424" s="116"/>
      <c r="B1424" s="116"/>
      <c r="C1424" s="116"/>
      <c r="D1424" s="116"/>
      <c r="E1424" s="116"/>
      <c r="F1424" s="116"/>
      <c r="G1424" s="116"/>
      <c r="H1424" s="116"/>
      <c r="I1424" s="116"/>
    </row>
    <row r="1425">
      <c r="A1425" s="116"/>
      <c r="B1425" s="116"/>
      <c r="C1425" s="116"/>
      <c r="D1425" s="116"/>
      <c r="E1425" s="116"/>
      <c r="F1425" s="116"/>
      <c r="G1425" s="116"/>
      <c r="H1425" s="116"/>
      <c r="I1425" s="116"/>
    </row>
    <row r="1426">
      <c r="A1426" s="116"/>
      <c r="B1426" s="116"/>
      <c r="C1426" s="116"/>
      <c r="D1426" s="116"/>
      <c r="E1426" s="116"/>
      <c r="F1426" s="116"/>
      <c r="G1426" s="116"/>
      <c r="H1426" s="116"/>
      <c r="I1426" s="116"/>
    </row>
    <row r="1427">
      <c r="A1427" s="116"/>
      <c r="B1427" s="116"/>
      <c r="C1427" s="116"/>
      <c r="D1427" s="116"/>
      <c r="E1427" s="116"/>
      <c r="F1427" s="116"/>
      <c r="G1427" s="116"/>
      <c r="H1427" s="116"/>
      <c r="I1427" s="116"/>
    </row>
    <row r="1428">
      <c r="A1428" s="116"/>
      <c r="B1428" s="116"/>
      <c r="C1428" s="116"/>
      <c r="D1428" s="116"/>
      <c r="E1428" s="116"/>
      <c r="F1428" s="116"/>
      <c r="G1428" s="116"/>
      <c r="H1428" s="116"/>
      <c r="I1428" s="116"/>
    </row>
    <row r="1429">
      <c r="A1429" s="116"/>
      <c r="B1429" s="116"/>
      <c r="C1429" s="116"/>
      <c r="D1429" s="116"/>
      <c r="E1429" s="116"/>
      <c r="F1429" s="116"/>
      <c r="G1429" s="116"/>
      <c r="H1429" s="116"/>
      <c r="I1429" s="116"/>
    </row>
    <row r="1430">
      <c r="A1430" s="116"/>
      <c r="B1430" s="116"/>
      <c r="C1430" s="116"/>
      <c r="D1430" s="116"/>
      <c r="E1430" s="116"/>
      <c r="F1430" s="116"/>
      <c r="G1430" s="116"/>
      <c r="H1430" s="116"/>
      <c r="I1430" s="116"/>
    </row>
    <row r="1431">
      <c r="A1431" s="116"/>
      <c r="B1431" s="116"/>
      <c r="C1431" s="116"/>
      <c r="D1431" s="116"/>
      <c r="E1431" s="116"/>
      <c r="F1431" s="116"/>
      <c r="G1431" s="116"/>
      <c r="H1431" s="116"/>
      <c r="I1431" s="116"/>
    </row>
    <row r="1432">
      <c r="A1432" s="116"/>
      <c r="B1432" s="116"/>
      <c r="C1432" s="116"/>
      <c r="D1432" s="116"/>
      <c r="E1432" s="116"/>
      <c r="F1432" s="116"/>
      <c r="G1432" s="116"/>
      <c r="H1432" s="116"/>
      <c r="I1432" s="116"/>
    </row>
    <row r="1433">
      <c r="A1433" s="116"/>
      <c r="B1433" s="116"/>
      <c r="C1433" s="116"/>
      <c r="D1433" s="116"/>
      <c r="E1433" s="116"/>
      <c r="F1433" s="116"/>
      <c r="G1433" s="116"/>
      <c r="H1433" s="116"/>
      <c r="I1433" s="116"/>
    </row>
    <row r="1434">
      <c r="A1434" s="116"/>
      <c r="B1434" s="116"/>
      <c r="C1434" s="116"/>
      <c r="D1434" s="116"/>
      <c r="E1434" s="116"/>
      <c r="F1434" s="116"/>
      <c r="G1434" s="116"/>
      <c r="H1434" s="116"/>
      <c r="I1434" s="116"/>
    </row>
    <row r="1435">
      <c r="A1435" s="116"/>
      <c r="B1435" s="116"/>
      <c r="C1435" s="116"/>
      <c r="D1435" s="116"/>
      <c r="E1435" s="116"/>
      <c r="F1435" s="116"/>
      <c r="G1435" s="116"/>
      <c r="H1435" s="116"/>
      <c r="I1435" s="116"/>
    </row>
    <row r="1436">
      <c r="A1436" s="116"/>
      <c r="B1436" s="116"/>
      <c r="C1436" s="116"/>
      <c r="D1436" s="116"/>
      <c r="E1436" s="116"/>
      <c r="F1436" s="116"/>
      <c r="G1436" s="116"/>
      <c r="H1436" s="116"/>
      <c r="I1436" s="116"/>
    </row>
    <row r="1437">
      <c r="A1437" s="116"/>
      <c r="B1437" s="116"/>
      <c r="C1437" s="116"/>
      <c r="D1437" s="116"/>
      <c r="E1437" s="116"/>
      <c r="F1437" s="116"/>
      <c r="G1437" s="116"/>
      <c r="H1437" s="116"/>
      <c r="I1437" s="116"/>
    </row>
    <row r="1438">
      <c r="A1438" s="116"/>
      <c r="B1438" s="116"/>
      <c r="C1438" s="116"/>
      <c r="D1438" s="116"/>
      <c r="E1438" s="116"/>
      <c r="F1438" s="116"/>
      <c r="G1438" s="116"/>
      <c r="H1438" s="116"/>
      <c r="I1438" s="116"/>
    </row>
    <row r="1439">
      <c r="A1439" s="116"/>
      <c r="B1439" s="116"/>
      <c r="C1439" s="116"/>
      <c r="D1439" s="116"/>
      <c r="E1439" s="116"/>
      <c r="F1439" s="116"/>
      <c r="G1439" s="116"/>
      <c r="H1439" s="116"/>
      <c r="I1439" s="116"/>
    </row>
    <row r="1440">
      <c r="A1440" s="116"/>
      <c r="B1440" s="116"/>
      <c r="C1440" s="116"/>
      <c r="D1440" s="116"/>
      <c r="E1440" s="116"/>
      <c r="F1440" s="116"/>
      <c r="G1440" s="116"/>
      <c r="H1440" s="116"/>
      <c r="I1440" s="116"/>
    </row>
    <row r="1441">
      <c r="A1441" s="116"/>
      <c r="B1441" s="116"/>
      <c r="C1441" s="116"/>
      <c r="D1441" s="116"/>
      <c r="E1441" s="116"/>
      <c r="F1441" s="116"/>
      <c r="G1441" s="116"/>
      <c r="H1441" s="116"/>
      <c r="I1441" s="116"/>
    </row>
    <row r="1442">
      <c r="A1442" s="116"/>
      <c r="B1442" s="116"/>
      <c r="C1442" s="116"/>
      <c r="D1442" s="116"/>
      <c r="E1442" s="116"/>
      <c r="F1442" s="116"/>
      <c r="G1442" s="116"/>
      <c r="H1442" s="116"/>
      <c r="I1442" s="116"/>
    </row>
    <row r="1443">
      <c r="A1443" s="116"/>
      <c r="B1443" s="116"/>
      <c r="C1443" s="116"/>
      <c r="D1443" s="116"/>
      <c r="E1443" s="116"/>
      <c r="F1443" s="116"/>
      <c r="G1443" s="116"/>
      <c r="H1443" s="116"/>
      <c r="I1443" s="116"/>
    </row>
    <row r="1444">
      <c r="A1444" s="116"/>
      <c r="B1444" s="116"/>
      <c r="C1444" s="116"/>
      <c r="D1444" s="116"/>
      <c r="E1444" s="116"/>
      <c r="F1444" s="116"/>
      <c r="G1444" s="116"/>
      <c r="H1444" s="116"/>
      <c r="I1444" s="116"/>
    </row>
    <row r="1445">
      <c r="A1445" s="116"/>
      <c r="B1445" s="116"/>
      <c r="C1445" s="116"/>
      <c r="D1445" s="116"/>
      <c r="E1445" s="116"/>
      <c r="F1445" s="116"/>
      <c r="G1445" s="116"/>
      <c r="H1445" s="116"/>
      <c r="I1445" s="116"/>
    </row>
    <row r="1446">
      <c r="A1446" s="116"/>
      <c r="B1446" s="116"/>
      <c r="C1446" s="116"/>
      <c r="D1446" s="116"/>
      <c r="E1446" s="116"/>
      <c r="F1446" s="116"/>
      <c r="G1446" s="116"/>
      <c r="H1446" s="116"/>
      <c r="I1446" s="116"/>
    </row>
    <row r="1447">
      <c r="A1447" s="116"/>
      <c r="B1447" s="116"/>
      <c r="C1447" s="116"/>
      <c r="D1447" s="116"/>
      <c r="E1447" s="116"/>
      <c r="F1447" s="116"/>
      <c r="G1447" s="116"/>
      <c r="H1447" s="116"/>
      <c r="I1447" s="116"/>
    </row>
    <row r="1448">
      <c r="A1448" s="116"/>
      <c r="B1448" s="116"/>
      <c r="C1448" s="116"/>
      <c r="D1448" s="116"/>
      <c r="E1448" s="116"/>
      <c r="F1448" s="116"/>
      <c r="G1448" s="116"/>
      <c r="H1448" s="116"/>
      <c r="I1448" s="116"/>
    </row>
    <row r="1449">
      <c r="A1449" s="116"/>
      <c r="B1449" s="116"/>
      <c r="C1449" s="116"/>
      <c r="D1449" s="116"/>
      <c r="E1449" s="116"/>
      <c r="F1449" s="116"/>
      <c r="G1449" s="116"/>
      <c r="H1449" s="116"/>
      <c r="I1449" s="116"/>
    </row>
    <row r="1450">
      <c r="A1450" s="116"/>
      <c r="B1450" s="116"/>
      <c r="C1450" s="116"/>
      <c r="D1450" s="116"/>
      <c r="E1450" s="116"/>
      <c r="F1450" s="116"/>
      <c r="G1450" s="116"/>
      <c r="H1450" s="116"/>
      <c r="I1450" s="116"/>
    </row>
    <row r="1451">
      <c r="A1451" s="116"/>
      <c r="B1451" s="116"/>
      <c r="C1451" s="116"/>
      <c r="D1451" s="116"/>
      <c r="E1451" s="116"/>
      <c r="F1451" s="116"/>
      <c r="G1451" s="116"/>
      <c r="H1451" s="116"/>
      <c r="I1451" s="116"/>
    </row>
    <row r="1452">
      <c r="A1452" s="116"/>
      <c r="B1452" s="116"/>
      <c r="C1452" s="116"/>
      <c r="D1452" s="116"/>
      <c r="E1452" s="116"/>
      <c r="F1452" s="116"/>
      <c r="G1452" s="116"/>
      <c r="H1452" s="116"/>
      <c r="I1452" s="116"/>
    </row>
    <row r="1453">
      <c r="A1453" s="116"/>
      <c r="B1453" s="116"/>
      <c r="C1453" s="116"/>
      <c r="D1453" s="116"/>
      <c r="E1453" s="116"/>
      <c r="F1453" s="116"/>
      <c r="G1453" s="116"/>
      <c r="H1453" s="116"/>
      <c r="I1453" s="116"/>
    </row>
    <row r="1454">
      <c r="A1454" s="116"/>
      <c r="B1454" s="116"/>
      <c r="C1454" s="116"/>
      <c r="D1454" s="116"/>
      <c r="E1454" s="116"/>
      <c r="F1454" s="116"/>
      <c r="G1454" s="116"/>
      <c r="H1454" s="116"/>
      <c r="I1454" s="116"/>
    </row>
    <row r="1455">
      <c r="A1455" s="116"/>
      <c r="B1455" s="116"/>
      <c r="C1455" s="116"/>
      <c r="D1455" s="116"/>
      <c r="E1455" s="116"/>
      <c r="F1455" s="116"/>
      <c r="G1455" s="116"/>
      <c r="H1455" s="116"/>
      <c r="I1455" s="116"/>
    </row>
    <row r="1456">
      <c r="A1456" s="116"/>
      <c r="B1456" s="116"/>
      <c r="C1456" s="116"/>
      <c r="D1456" s="116"/>
      <c r="E1456" s="116"/>
      <c r="F1456" s="116"/>
      <c r="G1456" s="116"/>
      <c r="H1456" s="116"/>
      <c r="I1456" s="116"/>
    </row>
    <row r="1457">
      <c r="A1457" s="116"/>
      <c r="B1457" s="116"/>
      <c r="C1457" s="116"/>
      <c r="D1457" s="116"/>
      <c r="E1457" s="116"/>
      <c r="F1457" s="116"/>
      <c r="G1457" s="116"/>
      <c r="H1457" s="116"/>
      <c r="I1457" s="116"/>
    </row>
    <row r="1458">
      <c r="A1458" s="116"/>
      <c r="B1458" s="116"/>
      <c r="C1458" s="116"/>
      <c r="D1458" s="116"/>
      <c r="E1458" s="116"/>
      <c r="F1458" s="116"/>
      <c r="G1458" s="116"/>
      <c r="H1458" s="116"/>
      <c r="I1458" s="116"/>
    </row>
    <row r="1459">
      <c r="A1459" s="116"/>
      <c r="B1459" s="116"/>
      <c r="C1459" s="116"/>
      <c r="D1459" s="116"/>
      <c r="E1459" s="116"/>
      <c r="F1459" s="116"/>
      <c r="G1459" s="116"/>
      <c r="H1459" s="116"/>
      <c r="I1459" s="116"/>
    </row>
    <row r="1460">
      <c r="A1460" s="116"/>
      <c r="B1460" s="116"/>
      <c r="C1460" s="116"/>
      <c r="D1460" s="116"/>
      <c r="E1460" s="116"/>
      <c r="F1460" s="116"/>
      <c r="G1460" s="116"/>
      <c r="H1460" s="116"/>
      <c r="I1460" s="116"/>
    </row>
    <row r="1461">
      <c r="A1461" s="116"/>
      <c r="B1461" s="116"/>
      <c r="C1461" s="116"/>
      <c r="D1461" s="116"/>
      <c r="E1461" s="116"/>
      <c r="F1461" s="116"/>
      <c r="G1461" s="116"/>
      <c r="H1461" s="116"/>
      <c r="I1461" s="116"/>
    </row>
    <row r="1462">
      <c r="A1462" s="116"/>
      <c r="B1462" s="116"/>
      <c r="C1462" s="116"/>
      <c r="D1462" s="116"/>
      <c r="E1462" s="116"/>
      <c r="F1462" s="116"/>
      <c r="G1462" s="116"/>
      <c r="H1462" s="116"/>
      <c r="I1462" s="116"/>
    </row>
    <row r="1463">
      <c r="A1463" s="116"/>
      <c r="B1463" s="116"/>
      <c r="C1463" s="116"/>
      <c r="D1463" s="116"/>
      <c r="E1463" s="116"/>
      <c r="F1463" s="116"/>
      <c r="G1463" s="116"/>
      <c r="H1463" s="116"/>
      <c r="I1463" s="116"/>
    </row>
    <row r="1464">
      <c r="A1464" s="116"/>
      <c r="B1464" s="116"/>
      <c r="C1464" s="116"/>
      <c r="D1464" s="116"/>
      <c r="E1464" s="116"/>
      <c r="F1464" s="116"/>
      <c r="G1464" s="116"/>
      <c r="H1464" s="116"/>
      <c r="I1464" s="116"/>
    </row>
    <row r="1465">
      <c r="A1465" s="116"/>
      <c r="B1465" s="116"/>
      <c r="C1465" s="116"/>
      <c r="D1465" s="116"/>
      <c r="E1465" s="116"/>
      <c r="F1465" s="116"/>
      <c r="G1465" s="116"/>
      <c r="H1465" s="116"/>
      <c r="I1465" s="116"/>
    </row>
    <row r="1466">
      <c r="A1466" s="116"/>
      <c r="B1466" s="116"/>
      <c r="C1466" s="116"/>
      <c r="D1466" s="116"/>
      <c r="E1466" s="116"/>
      <c r="F1466" s="116"/>
      <c r="G1466" s="116"/>
      <c r="H1466" s="116"/>
      <c r="I1466" s="116"/>
    </row>
    <row r="1467">
      <c r="A1467" s="116"/>
      <c r="B1467" s="116"/>
      <c r="C1467" s="116"/>
      <c r="D1467" s="116"/>
      <c r="E1467" s="116"/>
      <c r="F1467" s="116"/>
      <c r="G1467" s="116"/>
      <c r="H1467" s="116"/>
      <c r="I1467" s="116"/>
    </row>
    <row r="1468">
      <c r="A1468" s="116"/>
      <c r="B1468" s="116"/>
      <c r="C1468" s="116"/>
      <c r="D1468" s="116"/>
      <c r="E1468" s="116"/>
      <c r="F1468" s="116"/>
      <c r="G1468" s="116"/>
      <c r="H1468" s="116"/>
      <c r="I1468" s="116"/>
    </row>
    <row r="1469">
      <c r="A1469" s="116"/>
      <c r="B1469" s="116"/>
      <c r="C1469" s="116"/>
      <c r="D1469" s="116"/>
      <c r="E1469" s="116"/>
      <c r="F1469" s="116"/>
      <c r="G1469" s="116"/>
      <c r="H1469" s="116"/>
      <c r="I1469" s="116"/>
    </row>
    <row r="1470">
      <c r="A1470" s="116"/>
      <c r="B1470" s="116"/>
      <c r="C1470" s="116"/>
      <c r="D1470" s="116"/>
      <c r="E1470" s="116"/>
      <c r="F1470" s="116"/>
      <c r="G1470" s="116"/>
      <c r="H1470" s="116"/>
      <c r="I1470" s="116"/>
    </row>
    <row r="1471">
      <c r="A1471" s="116"/>
      <c r="B1471" s="116"/>
      <c r="C1471" s="116"/>
      <c r="D1471" s="116"/>
      <c r="E1471" s="116"/>
      <c r="F1471" s="116"/>
      <c r="G1471" s="116"/>
      <c r="H1471" s="116"/>
      <c r="I1471" s="116"/>
    </row>
    <row r="1472">
      <c r="A1472" s="116"/>
      <c r="B1472" s="116"/>
      <c r="C1472" s="116"/>
      <c r="D1472" s="116"/>
      <c r="E1472" s="116"/>
      <c r="F1472" s="116"/>
      <c r="G1472" s="116"/>
      <c r="H1472" s="116"/>
      <c r="I1472" s="116"/>
    </row>
    <row r="1473">
      <c r="A1473" s="116"/>
      <c r="B1473" s="116"/>
      <c r="C1473" s="116"/>
      <c r="D1473" s="116"/>
      <c r="E1473" s="116"/>
      <c r="F1473" s="116"/>
      <c r="G1473" s="116"/>
      <c r="H1473" s="116"/>
      <c r="I1473" s="116"/>
    </row>
    <row r="1474">
      <c r="A1474" s="116"/>
      <c r="B1474" s="116"/>
      <c r="C1474" s="116"/>
      <c r="D1474" s="116"/>
      <c r="E1474" s="116"/>
      <c r="F1474" s="116"/>
      <c r="G1474" s="116"/>
      <c r="H1474" s="116"/>
      <c r="I1474" s="116"/>
    </row>
    <row r="1475">
      <c r="A1475" s="116"/>
      <c r="B1475" s="116"/>
      <c r="C1475" s="116"/>
      <c r="D1475" s="116"/>
      <c r="E1475" s="116"/>
      <c r="F1475" s="116"/>
      <c r="G1475" s="116"/>
      <c r="H1475" s="116"/>
      <c r="I1475" s="116"/>
    </row>
    <row r="1476">
      <c r="A1476" s="116"/>
      <c r="B1476" s="116"/>
      <c r="C1476" s="116"/>
      <c r="D1476" s="116"/>
      <c r="E1476" s="116"/>
      <c r="F1476" s="116"/>
      <c r="G1476" s="116"/>
      <c r="H1476" s="116"/>
      <c r="I1476" s="116"/>
    </row>
    <row r="1477">
      <c r="A1477" s="116"/>
      <c r="B1477" s="116"/>
      <c r="C1477" s="116"/>
      <c r="D1477" s="116"/>
      <c r="E1477" s="116"/>
      <c r="F1477" s="116"/>
      <c r="G1477" s="116"/>
      <c r="H1477" s="116"/>
      <c r="I1477" s="116"/>
    </row>
    <row r="1478">
      <c r="A1478" s="116"/>
      <c r="B1478" s="116"/>
      <c r="C1478" s="116"/>
      <c r="D1478" s="116"/>
      <c r="E1478" s="116"/>
      <c r="F1478" s="116"/>
      <c r="G1478" s="116"/>
      <c r="H1478" s="116"/>
      <c r="I1478" s="116"/>
    </row>
    <row r="1479">
      <c r="A1479" s="116"/>
      <c r="B1479" s="116"/>
      <c r="C1479" s="116"/>
      <c r="D1479" s="116"/>
      <c r="E1479" s="116"/>
      <c r="F1479" s="116"/>
      <c r="G1479" s="116"/>
      <c r="H1479" s="116"/>
      <c r="I1479" s="116"/>
    </row>
    <row r="1480">
      <c r="A1480" s="116"/>
      <c r="B1480" s="116"/>
      <c r="C1480" s="116"/>
      <c r="D1480" s="116"/>
      <c r="E1480" s="116"/>
      <c r="F1480" s="116"/>
      <c r="G1480" s="116"/>
      <c r="H1480" s="116"/>
      <c r="I1480" s="116"/>
    </row>
    <row r="1481">
      <c r="A1481" s="116"/>
      <c r="B1481" s="116"/>
      <c r="C1481" s="116"/>
      <c r="D1481" s="116"/>
      <c r="E1481" s="116"/>
      <c r="F1481" s="116"/>
      <c r="G1481" s="116"/>
      <c r="H1481" s="116"/>
      <c r="I1481" s="116"/>
    </row>
    <row r="1482">
      <c r="A1482" s="116"/>
      <c r="B1482" s="116"/>
      <c r="C1482" s="116"/>
      <c r="D1482" s="116"/>
      <c r="E1482" s="116"/>
      <c r="F1482" s="116"/>
      <c r="G1482" s="116"/>
      <c r="H1482" s="116"/>
      <c r="I1482" s="116"/>
    </row>
    <row r="1483">
      <c r="A1483" s="116"/>
      <c r="B1483" s="116"/>
      <c r="C1483" s="116"/>
      <c r="D1483" s="116"/>
      <c r="E1483" s="116"/>
      <c r="F1483" s="116"/>
      <c r="G1483" s="116"/>
      <c r="H1483" s="116"/>
      <c r="I1483" s="116"/>
    </row>
    <row r="1484">
      <c r="A1484" s="116"/>
      <c r="B1484" s="116"/>
      <c r="C1484" s="116"/>
      <c r="D1484" s="116"/>
      <c r="E1484" s="116"/>
      <c r="F1484" s="116"/>
      <c r="G1484" s="116"/>
      <c r="H1484" s="116"/>
      <c r="I1484" s="116"/>
    </row>
    <row r="1485">
      <c r="A1485" s="116"/>
      <c r="B1485" s="116"/>
      <c r="C1485" s="116"/>
      <c r="D1485" s="116"/>
      <c r="E1485" s="116"/>
      <c r="F1485" s="116"/>
      <c r="G1485" s="116"/>
      <c r="H1485" s="116"/>
      <c r="I1485" s="116"/>
    </row>
    <row r="1486">
      <c r="A1486" s="116"/>
      <c r="B1486" s="116"/>
      <c r="C1486" s="116"/>
      <c r="D1486" s="116"/>
      <c r="E1486" s="116"/>
      <c r="F1486" s="116"/>
      <c r="G1486" s="116"/>
      <c r="H1486" s="116"/>
      <c r="I1486" s="116"/>
    </row>
    <row r="1487">
      <c r="A1487" s="116"/>
      <c r="B1487" s="116"/>
      <c r="C1487" s="116"/>
      <c r="D1487" s="116"/>
      <c r="E1487" s="116"/>
      <c r="F1487" s="116"/>
      <c r="G1487" s="116"/>
      <c r="H1487" s="116"/>
      <c r="I1487" s="116"/>
    </row>
    <row r="1488">
      <c r="A1488" s="116"/>
      <c r="B1488" s="116"/>
      <c r="C1488" s="116"/>
      <c r="D1488" s="116"/>
      <c r="E1488" s="116"/>
      <c r="F1488" s="116"/>
      <c r="G1488" s="116"/>
      <c r="H1488" s="116"/>
      <c r="I1488" s="116"/>
    </row>
    <row r="1489">
      <c r="A1489" s="116"/>
      <c r="B1489" s="116"/>
      <c r="C1489" s="116"/>
      <c r="D1489" s="116"/>
      <c r="E1489" s="116"/>
      <c r="F1489" s="116"/>
      <c r="G1489" s="116"/>
      <c r="H1489" s="116"/>
      <c r="I1489" s="116"/>
    </row>
    <row r="1490">
      <c r="A1490" s="116"/>
      <c r="B1490" s="116"/>
      <c r="C1490" s="116"/>
      <c r="D1490" s="116"/>
      <c r="E1490" s="116"/>
      <c r="F1490" s="116"/>
      <c r="G1490" s="116"/>
      <c r="H1490" s="116"/>
      <c r="I1490" s="116"/>
    </row>
    <row r="1491">
      <c r="A1491" s="116"/>
      <c r="B1491" s="116"/>
      <c r="C1491" s="116"/>
      <c r="D1491" s="116"/>
      <c r="E1491" s="116"/>
      <c r="F1491" s="116"/>
      <c r="G1491" s="116"/>
      <c r="H1491" s="116"/>
      <c r="I1491" s="116"/>
    </row>
    <row r="1492">
      <c r="A1492" s="116"/>
      <c r="B1492" s="116"/>
      <c r="C1492" s="116"/>
      <c r="D1492" s="116"/>
      <c r="E1492" s="116"/>
      <c r="F1492" s="116"/>
      <c r="G1492" s="116"/>
      <c r="H1492" s="116"/>
      <c r="I1492" s="116"/>
    </row>
    <row r="1493">
      <c r="A1493" s="116"/>
      <c r="B1493" s="116"/>
      <c r="C1493" s="116"/>
      <c r="D1493" s="116"/>
      <c r="E1493" s="116"/>
      <c r="F1493" s="116"/>
      <c r="G1493" s="116"/>
      <c r="H1493" s="116"/>
      <c r="I1493" s="116"/>
    </row>
    <row r="1494">
      <c r="A1494" s="116"/>
      <c r="B1494" s="116"/>
      <c r="C1494" s="116"/>
      <c r="D1494" s="116"/>
      <c r="E1494" s="116"/>
      <c r="F1494" s="116"/>
      <c r="G1494" s="116"/>
      <c r="H1494" s="116"/>
      <c r="I1494" s="116"/>
    </row>
    <row r="1495">
      <c r="A1495" s="116"/>
      <c r="B1495" s="116"/>
      <c r="C1495" s="116"/>
      <c r="D1495" s="116"/>
      <c r="E1495" s="116"/>
      <c r="F1495" s="116"/>
      <c r="G1495" s="116"/>
      <c r="H1495" s="116"/>
      <c r="I1495" s="116"/>
    </row>
    <row r="1496">
      <c r="A1496" s="116"/>
      <c r="B1496" s="116"/>
      <c r="C1496" s="116"/>
      <c r="D1496" s="116"/>
      <c r="E1496" s="116"/>
      <c r="F1496" s="116"/>
      <c r="G1496" s="116"/>
      <c r="H1496" s="116"/>
      <c r="I1496" s="116"/>
    </row>
    <row r="1497">
      <c r="A1497" s="116"/>
      <c r="B1497" s="116"/>
      <c r="C1497" s="116"/>
      <c r="D1497" s="116"/>
      <c r="E1497" s="116"/>
      <c r="F1497" s="116"/>
      <c r="G1497" s="116"/>
      <c r="H1497" s="116"/>
      <c r="I1497" s="116"/>
    </row>
    <row r="1498">
      <c r="A1498" s="116"/>
      <c r="B1498" s="116"/>
      <c r="C1498" s="116"/>
      <c r="D1498" s="116"/>
      <c r="E1498" s="116"/>
      <c r="F1498" s="116"/>
      <c r="G1498" s="116"/>
      <c r="H1498" s="116"/>
      <c r="I1498" s="116"/>
    </row>
    <row r="1499">
      <c r="A1499" s="116"/>
      <c r="B1499" s="116"/>
      <c r="C1499" s="116"/>
      <c r="D1499" s="116"/>
      <c r="E1499" s="116"/>
      <c r="F1499" s="116"/>
      <c r="G1499" s="116"/>
      <c r="H1499" s="116"/>
      <c r="I1499" s="116"/>
    </row>
    <row r="1500">
      <c r="A1500" s="116"/>
      <c r="B1500" s="116"/>
      <c r="C1500" s="116"/>
      <c r="D1500" s="116"/>
      <c r="E1500" s="116"/>
      <c r="F1500" s="116"/>
      <c r="G1500" s="116"/>
      <c r="H1500" s="116"/>
      <c r="I1500" s="116"/>
    </row>
    <row r="1501">
      <c r="A1501" s="116"/>
      <c r="B1501" s="116"/>
      <c r="C1501" s="116"/>
      <c r="D1501" s="116"/>
      <c r="E1501" s="116"/>
      <c r="F1501" s="116"/>
      <c r="G1501" s="116"/>
      <c r="H1501" s="116"/>
      <c r="I1501" s="116"/>
    </row>
    <row r="1502">
      <c r="A1502" s="116"/>
      <c r="B1502" s="116"/>
      <c r="C1502" s="116"/>
      <c r="D1502" s="116"/>
      <c r="E1502" s="116"/>
      <c r="F1502" s="116"/>
      <c r="G1502" s="116"/>
      <c r="H1502" s="116"/>
      <c r="I1502" s="116"/>
    </row>
    <row r="1503">
      <c r="A1503" s="116"/>
      <c r="B1503" s="116"/>
      <c r="C1503" s="116"/>
      <c r="D1503" s="116"/>
      <c r="E1503" s="116"/>
      <c r="F1503" s="116"/>
      <c r="G1503" s="116"/>
      <c r="H1503" s="116"/>
      <c r="I1503" s="116"/>
    </row>
    <row r="1504">
      <c r="A1504" s="116"/>
      <c r="B1504" s="116"/>
      <c r="C1504" s="116"/>
      <c r="D1504" s="116"/>
      <c r="E1504" s="116"/>
      <c r="F1504" s="116"/>
      <c r="G1504" s="116"/>
      <c r="H1504" s="116"/>
      <c r="I1504" s="116"/>
    </row>
    <row r="1505">
      <c r="A1505" s="116"/>
      <c r="B1505" s="116"/>
      <c r="C1505" s="116"/>
      <c r="D1505" s="116"/>
      <c r="E1505" s="116"/>
      <c r="F1505" s="116"/>
      <c r="G1505" s="116"/>
      <c r="H1505" s="116"/>
      <c r="I1505" s="116"/>
    </row>
    <row r="1506">
      <c r="A1506" s="116"/>
      <c r="B1506" s="116"/>
      <c r="C1506" s="116"/>
      <c r="D1506" s="116"/>
      <c r="E1506" s="116"/>
      <c r="F1506" s="116"/>
      <c r="G1506" s="116"/>
      <c r="H1506" s="116"/>
      <c r="I1506" s="116"/>
    </row>
    <row r="1507">
      <c r="A1507" s="116"/>
      <c r="B1507" s="116"/>
      <c r="C1507" s="116"/>
      <c r="D1507" s="116"/>
      <c r="E1507" s="116"/>
      <c r="F1507" s="116"/>
      <c r="G1507" s="116"/>
      <c r="H1507" s="116"/>
      <c r="I1507" s="116"/>
    </row>
    <row r="1508">
      <c r="A1508" s="116"/>
      <c r="B1508" s="116"/>
      <c r="C1508" s="116"/>
      <c r="D1508" s="116"/>
      <c r="E1508" s="116"/>
      <c r="F1508" s="116"/>
      <c r="G1508" s="116"/>
      <c r="H1508" s="116"/>
      <c r="I1508" s="116"/>
    </row>
    <row r="1509">
      <c r="A1509" s="116"/>
      <c r="B1509" s="116"/>
      <c r="C1509" s="116"/>
      <c r="D1509" s="116"/>
      <c r="E1509" s="116"/>
      <c r="F1509" s="116"/>
      <c r="G1509" s="116"/>
      <c r="H1509" s="116"/>
      <c r="I1509" s="116"/>
    </row>
    <row r="1510">
      <c r="A1510" s="116"/>
      <c r="B1510" s="116"/>
      <c r="C1510" s="116"/>
      <c r="D1510" s="116"/>
      <c r="E1510" s="116"/>
      <c r="F1510" s="116"/>
      <c r="G1510" s="116"/>
      <c r="H1510" s="116"/>
      <c r="I1510" s="116"/>
    </row>
    <row r="1511">
      <c r="A1511" s="116"/>
      <c r="B1511" s="116"/>
      <c r="C1511" s="116"/>
      <c r="D1511" s="116"/>
      <c r="E1511" s="116"/>
      <c r="F1511" s="116"/>
      <c r="G1511" s="116"/>
      <c r="H1511" s="116"/>
      <c r="I1511" s="116"/>
    </row>
    <row r="1512">
      <c r="A1512" s="116"/>
      <c r="B1512" s="116"/>
      <c r="C1512" s="116"/>
      <c r="D1512" s="116"/>
      <c r="E1512" s="116"/>
      <c r="F1512" s="116"/>
      <c r="G1512" s="116"/>
      <c r="H1512" s="116"/>
      <c r="I1512" s="116"/>
    </row>
    <row r="1513">
      <c r="A1513" s="116"/>
      <c r="B1513" s="116"/>
      <c r="C1513" s="116"/>
      <c r="D1513" s="116"/>
      <c r="E1513" s="116"/>
      <c r="F1513" s="116"/>
      <c r="G1513" s="116"/>
      <c r="H1513" s="116"/>
      <c r="I1513" s="116"/>
    </row>
    <row r="1514">
      <c r="A1514" s="116"/>
      <c r="B1514" s="116"/>
      <c r="C1514" s="116"/>
      <c r="D1514" s="116"/>
      <c r="E1514" s="116"/>
      <c r="F1514" s="116"/>
      <c r="G1514" s="116"/>
      <c r="H1514" s="116"/>
      <c r="I1514" s="116"/>
    </row>
    <row r="1515">
      <c r="A1515" s="116"/>
      <c r="B1515" s="116"/>
      <c r="C1515" s="116"/>
      <c r="D1515" s="116"/>
      <c r="E1515" s="116"/>
      <c r="F1515" s="116"/>
      <c r="G1515" s="116"/>
      <c r="H1515" s="116"/>
      <c r="I1515" s="116"/>
    </row>
    <row r="1516">
      <c r="A1516" s="116"/>
      <c r="B1516" s="116"/>
      <c r="C1516" s="116"/>
      <c r="D1516" s="116"/>
      <c r="E1516" s="116"/>
      <c r="F1516" s="116"/>
      <c r="G1516" s="116"/>
      <c r="H1516" s="116"/>
      <c r="I1516" s="116"/>
    </row>
    <row r="1517">
      <c r="A1517" s="116"/>
      <c r="B1517" s="116"/>
      <c r="C1517" s="116"/>
      <c r="D1517" s="116"/>
      <c r="E1517" s="116"/>
      <c r="F1517" s="116"/>
      <c r="G1517" s="116"/>
      <c r="H1517" s="116"/>
      <c r="I1517" s="116"/>
    </row>
    <row r="1518">
      <c r="A1518" s="116"/>
      <c r="B1518" s="116"/>
      <c r="C1518" s="116"/>
      <c r="D1518" s="116"/>
      <c r="E1518" s="116"/>
      <c r="F1518" s="116"/>
      <c r="G1518" s="116"/>
      <c r="H1518" s="116"/>
      <c r="I1518" s="116"/>
    </row>
    <row r="1519">
      <c r="A1519" s="116"/>
      <c r="B1519" s="116"/>
      <c r="C1519" s="116"/>
      <c r="D1519" s="116"/>
      <c r="E1519" s="116"/>
      <c r="F1519" s="116"/>
      <c r="G1519" s="116"/>
      <c r="H1519" s="116"/>
      <c r="I1519" s="116"/>
    </row>
    <row r="1520">
      <c r="A1520" s="116"/>
      <c r="B1520" s="116"/>
      <c r="C1520" s="116"/>
      <c r="D1520" s="116"/>
      <c r="E1520" s="116"/>
      <c r="F1520" s="116"/>
      <c r="G1520" s="116"/>
      <c r="H1520" s="116"/>
      <c r="I1520" s="116"/>
    </row>
    <row r="1521">
      <c r="A1521" s="116"/>
      <c r="B1521" s="116"/>
      <c r="C1521" s="116"/>
      <c r="D1521" s="116"/>
      <c r="E1521" s="116"/>
      <c r="F1521" s="116"/>
      <c r="G1521" s="116"/>
      <c r="H1521" s="116"/>
      <c r="I1521" s="116"/>
    </row>
    <row r="1522">
      <c r="A1522" s="116"/>
      <c r="B1522" s="116"/>
      <c r="C1522" s="116"/>
      <c r="D1522" s="116"/>
      <c r="E1522" s="116"/>
      <c r="F1522" s="116"/>
      <c r="G1522" s="116"/>
      <c r="H1522" s="116"/>
      <c r="I1522" s="116"/>
    </row>
    <row r="1523">
      <c r="A1523" s="116"/>
      <c r="B1523" s="116"/>
      <c r="C1523" s="116"/>
      <c r="D1523" s="116"/>
      <c r="E1523" s="116"/>
      <c r="F1523" s="116"/>
      <c r="G1523" s="116"/>
      <c r="H1523" s="116"/>
      <c r="I1523" s="116"/>
    </row>
    <row r="1524">
      <c r="A1524" s="116"/>
      <c r="B1524" s="116"/>
      <c r="C1524" s="116"/>
      <c r="D1524" s="116"/>
      <c r="E1524" s="116"/>
      <c r="F1524" s="116"/>
      <c r="G1524" s="116"/>
      <c r="H1524" s="116"/>
      <c r="I1524" s="116"/>
    </row>
    <row r="1525">
      <c r="A1525" s="116"/>
      <c r="B1525" s="116"/>
      <c r="C1525" s="116"/>
      <c r="D1525" s="116"/>
      <c r="E1525" s="116"/>
      <c r="F1525" s="116"/>
      <c r="G1525" s="116"/>
      <c r="H1525" s="116"/>
      <c r="I1525" s="116"/>
    </row>
    <row r="1526">
      <c r="A1526" s="116"/>
      <c r="B1526" s="116"/>
      <c r="C1526" s="116"/>
      <c r="D1526" s="116"/>
      <c r="E1526" s="116"/>
      <c r="F1526" s="116"/>
      <c r="G1526" s="116"/>
      <c r="H1526" s="116"/>
      <c r="I1526" s="116"/>
    </row>
    <row r="1527">
      <c r="A1527" s="116"/>
      <c r="B1527" s="116"/>
      <c r="C1527" s="116"/>
      <c r="D1527" s="116"/>
      <c r="E1527" s="116"/>
      <c r="F1527" s="116"/>
      <c r="G1527" s="116"/>
      <c r="H1527" s="116"/>
      <c r="I1527" s="116"/>
    </row>
    <row r="1528">
      <c r="A1528" s="116"/>
      <c r="B1528" s="116"/>
      <c r="C1528" s="116"/>
      <c r="D1528" s="116"/>
      <c r="E1528" s="116"/>
      <c r="F1528" s="116"/>
      <c r="G1528" s="116"/>
      <c r="H1528" s="116"/>
      <c r="I1528" s="116"/>
    </row>
    <row r="1529">
      <c r="A1529" s="116"/>
      <c r="B1529" s="116"/>
      <c r="C1529" s="116"/>
      <c r="D1529" s="116"/>
      <c r="E1529" s="116"/>
      <c r="F1529" s="116"/>
      <c r="G1529" s="116"/>
      <c r="H1529" s="116"/>
      <c r="I1529" s="116"/>
    </row>
    <row r="1530">
      <c r="A1530" s="116"/>
      <c r="B1530" s="116"/>
      <c r="C1530" s="116"/>
      <c r="D1530" s="116"/>
      <c r="E1530" s="116"/>
      <c r="F1530" s="116"/>
      <c r="G1530" s="116"/>
      <c r="H1530" s="116"/>
      <c r="I1530" s="116"/>
    </row>
    <row r="1531">
      <c r="A1531" s="116"/>
      <c r="B1531" s="116"/>
      <c r="C1531" s="116"/>
      <c r="D1531" s="116"/>
      <c r="E1531" s="116"/>
      <c r="F1531" s="116"/>
      <c r="G1531" s="116"/>
      <c r="H1531" s="116"/>
      <c r="I1531" s="116"/>
    </row>
    <row r="1532">
      <c r="A1532" s="116"/>
      <c r="B1532" s="116"/>
      <c r="C1532" s="116"/>
      <c r="D1532" s="116"/>
      <c r="E1532" s="116"/>
      <c r="F1532" s="116"/>
      <c r="G1532" s="116"/>
      <c r="H1532" s="116"/>
      <c r="I1532" s="116"/>
    </row>
    <row r="1533">
      <c r="A1533" s="116"/>
      <c r="B1533" s="116"/>
      <c r="C1533" s="116"/>
      <c r="D1533" s="116"/>
      <c r="E1533" s="116"/>
      <c r="F1533" s="116"/>
      <c r="G1533" s="116"/>
      <c r="H1533" s="116"/>
      <c r="I1533" s="116"/>
    </row>
    <row r="1534">
      <c r="A1534" s="116"/>
      <c r="B1534" s="116"/>
      <c r="C1534" s="116"/>
      <c r="D1534" s="116"/>
      <c r="E1534" s="116"/>
      <c r="F1534" s="116"/>
      <c r="G1534" s="116"/>
      <c r="H1534" s="116"/>
      <c r="I1534" s="116"/>
    </row>
    <row r="1535">
      <c r="A1535" s="116"/>
      <c r="B1535" s="116"/>
      <c r="C1535" s="116"/>
      <c r="D1535" s="116"/>
      <c r="E1535" s="116"/>
      <c r="F1535" s="116"/>
      <c r="G1535" s="116"/>
      <c r="H1535" s="116"/>
      <c r="I1535" s="116"/>
    </row>
    <row r="1536">
      <c r="A1536" s="116"/>
      <c r="B1536" s="116"/>
      <c r="C1536" s="116"/>
      <c r="D1536" s="116"/>
      <c r="E1536" s="116"/>
      <c r="F1536" s="116"/>
      <c r="G1536" s="116"/>
      <c r="H1536" s="116"/>
      <c r="I1536" s="116"/>
    </row>
    <row r="1537">
      <c r="A1537" s="116"/>
      <c r="B1537" s="116"/>
      <c r="C1537" s="116"/>
      <c r="D1537" s="116"/>
      <c r="E1537" s="116"/>
      <c r="F1537" s="116"/>
      <c r="G1537" s="116"/>
      <c r="H1537" s="116"/>
      <c r="I1537" s="116"/>
    </row>
    <row r="1538">
      <c r="A1538" s="116"/>
      <c r="B1538" s="116"/>
      <c r="C1538" s="116"/>
      <c r="D1538" s="116"/>
      <c r="E1538" s="116"/>
      <c r="F1538" s="116"/>
      <c r="G1538" s="116"/>
      <c r="H1538" s="116"/>
      <c r="I1538" s="116"/>
    </row>
    <row r="1539">
      <c r="A1539" s="116"/>
      <c r="B1539" s="116"/>
      <c r="C1539" s="116"/>
      <c r="D1539" s="116"/>
      <c r="E1539" s="116"/>
      <c r="F1539" s="116"/>
      <c r="G1539" s="116"/>
      <c r="H1539" s="116"/>
      <c r="I1539" s="116"/>
    </row>
    <row r="1540">
      <c r="A1540" s="116"/>
      <c r="B1540" s="116"/>
      <c r="C1540" s="116"/>
      <c r="D1540" s="116"/>
      <c r="E1540" s="116"/>
      <c r="F1540" s="116"/>
      <c r="G1540" s="116"/>
      <c r="H1540" s="116"/>
      <c r="I1540" s="116"/>
    </row>
    <row r="1541">
      <c r="A1541" s="116"/>
      <c r="B1541" s="116"/>
      <c r="C1541" s="116"/>
      <c r="D1541" s="116"/>
      <c r="E1541" s="116"/>
      <c r="F1541" s="116"/>
      <c r="G1541" s="116"/>
      <c r="H1541" s="116"/>
      <c r="I1541" s="116"/>
    </row>
    <row r="1542">
      <c r="A1542" s="116"/>
      <c r="B1542" s="116"/>
      <c r="C1542" s="116"/>
      <c r="D1542" s="116"/>
      <c r="E1542" s="116"/>
      <c r="F1542" s="116"/>
      <c r="G1542" s="116"/>
      <c r="H1542" s="116"/>
      <c r="I1542" s="116"/>
    </row>
    <row r="1543">
      <c r="A1543" s="116"/>
      <c r="B1543" s="116"/>
      <c r="C1543" s="116"/>
      <c r="D1543" s="116"/>
      <c r="E1543" s="116"/>
      <c r="F1543" s="116"/>
      <c r="G1543" s="116"/>
      <c r="H1543" s="116"/>
      <c r="I1543" s="116"/>
    </row>
    <row r="1544">
      <c r="A1544" s="116"/>
      <c r="B1544" s="116"/>
      <c r="C1544" s="116"/>
      <c r="D1544" s="116"/>
      <c r="E1544" s="116"/>
      <c r="F1544" s="116"/>
      <c r="G1544" s="116"/>
      <c r="H1544" s="116"/>
      <c r="I1544" s="116"/>
    </row>
    <row r="1545">
      <c r="A1545" s="116"/>
      <c r="B1545" s="116"/>
      <c r="C1545" s="116"/>
      <c r="D1545" s="116"/>
      <c r="E1545" s="116"/>
      <c r="F1545" s="116"/>
      <c r="G1545" s="116"/>
      <c r="H1545" s="116"/>
      <c r="I1545" s="116"/>
    </row>
    <row r="1546">
      <c r="A1546" s="116"/>
      <c r="B1546" s="116"/>
      <c r="C1546" s="116"/>
      <c r="D1546" s="116"/>
      <c r="E1546" s="116"/>
      <c r="F1546" s="116"/>
      <c r="G1546" s="116"/>
      <c r="H1546" s="116"/>
      <c r="I1546" s="116"/>
    </row>
    <row r="1547">
      <c r="A1547" s="116"/>
      <c r="B1547" s="116"/>
      <c r="C1547" s="116"/>
      <c r="D1547" s="116"/>
      <c r="E1547" s="116"/>
      <c r="F1547" s="116"/>
      <c r="G1547" s="116"/>
      <c r="H1547" s="116"/>
      <c r="I1547" s="116"/>
    </row>
    <row r="1548">
      <c r="A1548" s="116"/>
      <c r="B1548" s="116"/>
      <c r="C1548" s="116"/>
      <c r="D1548" s="116"/>
      <c r="E1548" s="116"/>
      <c r="F1548" s="116"/>
      <c r="G1548" s="116"/>
      <c r="H1548" s="116"/>
      <c r="I1548" s="116"/>
    </row>
    <row r="1549">
      <c r="A1549" s="116"/>
      <c r="B1549" s="116"/>
      <c r="C1549" s="116"/>
      <c r="D1549" s="116"/>
      <c r="E1549" s="116"/>
      <c r="F1549" s="116"/>
      <c r="G1549" s="116"/>
      <c r="H1549" s="116"/>
      <c r="I1549" s="116"/>
    </row>
    <row r="1550">
      <c r="A1550" s="116"/>
      <c r="B1550" s="116"/>
      <c r="C1550" s="116"/>
      <c r="D1550" s="116"/>
      <c r="E1550" s="116"/>
      <c r="F1550" s="116"/>
      <c r="G1550" s="116"/>
      <c r="H1550" s="116"/>
      <c r="I1550" s="116"/>
    </row>
    <row r="1551">
      <c r="A1551" s="116"/>
      <c r="B1551" s="116"/>
      <c r="C1551" s="116"/>
      <c r="D1551" s="116"/>
      <c r="E1551" s="116"/>
      <c r="F1551" s="116"/>
      <c r="G1551" s="116"/>
      <c r="H1551" s="116"/>
      <c r="I1551" s="116"/>
    </row>
    <row r="1552">
      <c r="A1552" s="116"/>
      <c r="B1552" s="116"/>
      <c r="C1552" s="116"/>
      <c r="D1552" s="116"/>
      <c r="E1552" s="116"/>
      <c r="F1552" s="116"/>
      <c r="G1552" s="116"/>
      <c r="H1552" s="116"/>
      <c r="I1552" s="116"/>
    </row>
    <row r="1553">
      <c r="A1553" s="116"/>
      <c r="B1553" s="116"/>
      <c r="C1553" s="116"/>
      <c r="D1553" s="116"/>
      <c r="E1553" s="116"/>
      <c r="F1553" s="116"/>
      <c r="G1553" s="116"/>
      <c r="H1553" s="116"/>
      <c r="I1553" s="116"/>
    </row>
    <row r="1554">
      <c r="A1554" s="116"/>
      <c r="B1554" s="116"/>
      <c r="C1554" s="116"/>
      <c r="D1554" s="116"/>
      <c r="E1554" s="116"/>
      <c r="F1554" s="116"/>
      <c r="G1554" s="116"/>
      <c r="H1554" s="116"/>
      <c r="I1554" s="116"/>
    </row>
    <row r="1555">
      <c r="A1555" s="116"/>
      <c r="B1555" s="116"/>
      <c r="C1555" s="116"/>
      <c r="D1555" s="116"/>
      <c r="E1555" s="116"/>
      <c r="F1555" s="116"/>
      <c r="G1555" s="116"/>
      <c r="H1555" s="116"/>
      <c r="I1555" s="116"/>
    </row>
    <row r="1556">
      <c r="A1556" s="116"/>
      <c r="B1556" s="116"/>
      <c r="C1556" s="116"/>
      <c r="D1556" s="116"/>
      <c r="E1556" s="116"/>
      <c r="F1556" s="116"/>
      <c r="G1556" s="116"/>
      <c r="H1556" s="116"/>
      <c r="I1556" s="116"/>
    </row>
    <row r="1557">
      <c r="A1557" s="116"/>
      <c r="B1557" s="116"/>
      <c r="C1557" s="116"/>
      <c r="D1557" s="116"/>
      <c r="E1557" s="116"/>
      <c r="F1557" s="116"/>
      <c r="G1557" s="116"/>
      <c r="H1557" s="116"/>
      <c r="I1557" s="116"/>
    </row>
    <row r="1558">
      <c r="A1558" s="116"/>
      <c r="B1558" s="116"/>
      <c r="C1558" s="116"/>
      <c r="D1558" s="116"/>
      <c r="E1558" s="116"/>
      <c r="F1558" s="116"/>
      <c r="G1558" s="116"/>
      <c r="H1558" s="116"/>
      <c r="I1558" s="116"/>
    </row>
    <row r="1559">
      <c r="A1559" s="116"/>
      <c r="B1559" s="116"/>
      <c r="C1559" s="116"/>
      <c r="D1559" s="116"/>
      <c r="E1559" s="116"/>
      <c r="F1559" s="116"/>
      <c r="G1559" s="116"/>
      <c r="H1559" s="116"/>
      <c r="I1559" s="116"/>
    </row>
    <row r="1560">
      <c r="A1560" s="116"/>
      <c r="B1560" s="116"/>
      <c r="C1560" s="116"/>
      <c r="D1560" s="116"/>
      <c r="E1560" s="116"/>
      <c r="F1560" s="116"/>
      <c r="G1560" s="116"/>
      <c r="H1560" s="116"/>
      <c r="I1560" s="116"/>
    </row>
    <row r="1561">
      <c r="A1561" s="116"/>
      <c r="B1561" s="116"/>
      <c r="C1561" s="116"/>
      <c r="D1561" s="116"/>
      <c r="E1561" s="116"/>
      <c r="F1561" s="116"/>
      <c r="G1561" s="116"/>
      <c r="H1561" s="116"/>
      <c r="I1561" s="116"/>
    </row>
    <row r="1562">
      <c r="A1562" s="116"/>
      <c r="B1562" s="116"/>
      <c r="C1562" s="116"/>
      <c r="D1562" s="116"/>
      <c r="E1562" s="116"/>
      <c r="F1562" s="116"/>
      <c r="G1562" s="116"/>
      <c r="H1562" s="116"/>
      <c r="I1562" s="116"/>
    </row>
    <row r="1563">
      <c r="A1563" s="116"/>
      <c r="B1563" s="116"/>
      <c r="C1563" s="116"/>
      <c r="D1563" s="116"/>
      <c r="E1563" s="116"/>
      <c r="F1563" s="116"/>
      <c r="G1563" s="116"/>
      <c r="H1563" s="116"/>
      <c r="I1563" s="116"/>
    </row>
    <row r="1564">
      <c r="A1564" s="116"/>
      <c r="B1564" s="116"/>
      <c r="C1564" s="116"/>
      <c r="D1564" s="116"/>
      <c r="E1564" s="116"/>
      <c r="F1564" s="116"/>
      <c r="G1564" s="116"/>
      <c r="H1564" s="116"/>
      <c r="I1564" s="116"/>
    </row>
    <row r="1565">
      <c r="A1565" s="116"/>
      <c r="B1565" s="116"/>
      <c r="C1565" s="116"/>
      <c r="D1565" s="116"/>
      <c r="E1565" s="116"/>
      <c r="F1565" s="116"/>
      <c r="G1565" s="116"/>
      <c r="H1565" s="116"/>
      <c r="I1565" s="116"/>
    </row>
    <row r="1566">
      <c r="A1566" s="116"/>
      <c r="B1566" s="116"/>
      <c r="C1566" s="116"/>
      <c r="D1566" s="116"/>
      <c r="E1566" s="116"/>
      <c r="F1566" s="116"/>
      <c r="G1566" s="116"/>
      <c r="H1566" s="116"/>
      <c r="I1566" s="116"/>
    </row>
    <row r="1567">
      <c r="A1567" s="116"/>
      <c r="B1567" s="116"/>
      <c r="C1567" s="116"/>
      <c r="D1567" s="116"/>
      <c r="E1567" s="116"/>
      <c r="F1567" s="116"/>
      <c r="G1567" s="116"/>
      <c r="H1567" s="116"/>
      <c r="I1567" s="116"/>
    </row>
    <row r="1568">
      <c r="A1568" s="116"/>
      <c r="B1568" s="116"/>
      <c r="C1568" s="116"/>
      <c r="D1568" s="116"/>
      <c r="E1568" s="116"/>
      <c r="F1568" s="116"/>
      <c r="G1568" s="116"/>
      <c r="H1568" s="116"/>
      <c r="I1568" s="116"/>
    </row>
    <row r="1569">
      <c r="A1569" s="116"/>
      <c r="B1569" s="116"/>
      <c r="C1569" s="116"/>
      <c r="D1569" s="116"/>
      <c r="E1569" s="116"/>
      <c r="F1569" s="116"/>
      <c r="G1569" s="116"/>
      <c r="H1569" s="116"/>
      <c r="I1569" s="116"/>
    </row>
    <row r="1570">
      <c r="A1570" s="116"/>
      <c r="B1570" s="116"/>
      <c r="C1570" s="116"/>
      <c r="D1570" s="116"/>
      <c r="E1570" s="116"/>
      <c r="F1570" s="116"/>
      <c r="G1570" s="116"/>
      <c r="H1570" s="116"/>
      <c r="I1570" s="116"/>
    </row>
    <row r="1571">
      <c r="A1571" s="116"/>
      <c r="B1571" s="116"/>
      <c r="C1571" s="116"/>
      <c r="D1571" s="116"/>
      <c r="E1571" s="116"/>
      <c r="F1571" s="116"/>
      <c r="G1571" s="116"/>
      <c r="H1571" s="116"/>
      <c r="I1571" s="116"/>
    </row>
    <row r="1572">
      <c r="A1572" s="116"/>
      <c r="B1572" s="116"/>
      <c r="C1572" s="116"/>
      <c r="D1572" s="116"/>
      <c r="E1572" s="116"/>
      <c r="F1572" s="116"/>
      <c r="G1572" s="116"/>
      <c r="H1572" s="116"/>
      <c r="I1572" s="116"/>
    </row>
    <row r="1573">
      <c r="A1573" s="116"/>
      <c r="B1573" s="116"/>
      <c r="C1573" s="116"/>
      <c r="D1573" s="116"/>
      <c r="E1573" s="116"/>
      <c r="F1573" s="116"/>
      <c r="G1573" s="116"/>
      <c r="H1573" s="116"/>
      <c r="I1573" s="116"/>
    </row>
    <row r="1574">
      <c r="A1574" s="116"/>
      <c r="B1574" s="116"/>
      <c r="C1574" s="116"/>
      <c r="D1574" s="116"/>
      <c r="E1574" s="116"/>
      <c r="F1574" s="116"/>
      <c r="G1574" s="116"/>
      <c r="H1574" s="116"/>
      <c r="I1574" s="116"/>
    </row>
    <row r="1575">
      <c r="A1575" s="116"/>
      <c r="B1575" s="116"/>
      <c r="C1575" s="116"/>
      <c r="D1575" s="116"/>
      <c r="E1575" s="116"/>
      <c r="F1575" s="116"/>
      <c r="G1575" s="116"/>
      <c r="H1575" s="116"/>
      <c r="I1575" s="116"/>
    </row>
    <row r="1576">
      <c r="A1576" s="116"/>
      <c r="B1576" s="116"/>
      <c r="C1576" s="116"/>
      <c r="D1576" s="116"/>
      <c r="E1576" s="116"/>
      <c r="F1576" s="116"/>
      <c r="G1576" s="116"/>
      <c r="H1576" s="116"/>
      <c r="I1576" s="116"/>
    </row>
    <row r="1577">
      <c r="A1577" s="116"/>
      <c r="B1577" s="116"/>
      <c r="C1577" s="116"/>
      <c r="D1577" s="116"/>
      <c r="E1577" s="116"/>
      <c r="F1577" s="116"/>
      <c r="G1577" s="116"/>
      <c r="H1577" s="116"/>
      <c r="I1577" s="116"/>
    </row>
    <row r="1578">
      <c r="A1578" s="116"/>
      <c r="B1578" s="116"/>
      <c r="C1578" s="116"/>
      <c r="D1578" s="116"/>
      <c r="E1578" s="116"/>
      <c r="F1578" s="116"/>
      <c r="G1578" s="116"/>
      <c r="H1578" s="116"/>
      <c r="I1578" s="116"/>
    </row>
    <row r="1579">
      <c r="A1579" s="116"/>
      <c r="B1579" s="116"/>
      <c r="C1579" s="116"/>
      <c r="D1579" s="116"/>
      <c r="E1579" s="116"/>
      <c r="F1579" s="116"/>
      <c r="G1579" s="116"/>
      <c r="H1579" s="116"/>
      <c r="I1579" s="116"/>
    </row>
    <row r="1580">
      <c r="A1580" s="116"/>
      <c r="B1580" s="116"/>
      <c r="C1580" s="116"/>
      <c r="D1580" s="116"/>
      <c r="E1580" s="116"/>
      <c r="F1580" s="116"/>
      <c r="G1580" s="116"/>
      <c r="H1580" s="116"/>
      <c r="I1580" s="116"/>
    </row>
    <row r="1581">
      <c r="A1581" s="116"/>
      <c r="B1581" s="116"/>
      <c r="C1581" s="116"/>
      <c r="D1581" s="116"/>
      <c r="E1581" s="116"/>
      <c r="F1581" s="116"/>
      <c r="G1581" s="116"/>
      <c r="H1581" s="116"/>
      <c r="I1581" s="116"/>
    </row>
    <row r="1582">
      <c r="A1582" s="116"/>
      <c r="B1582" s="116"/>
      <c r="C1582" s="116"/>
      <c r="D1582" s="116"/>
      <c r="E1582" s="116"/>
      <c r="F1582" s="116"/>
      <c r="G1582" s="116"/>
      <c r="H1582" s="116"/>
      <c r="I1582" s="116"/>
    </row>
    <row r="1583">
      <c r="A1583" s="116"/>
      <c r="B1583" s="116"/>
      <c r="C1583" s="116"/>
      <c r="D1583" s="116"/>
      <c r="E1583" s="116"/>
      <c r="F1583" s="116"/>
      <c r="G1583" s="116"/>
      <c r="H1583" s="116"/>
      <c r="I1583" s="116"/>
    </row>
    <row r="1584">
      <c r="A1584" s="116"/>
      <c r="B1584" s="116"/>
      <c r="C1584" s="116"/>
      <c r="D1584" s="116"/>
      <c r="E1584" s="116"/>
      <c r="F1584" s="116"/>
      <c r="G1584" s="116"/>
      <c r="H1584" s="116"/>
      <c r="I1584" s="116"/>
    </row>
    <row r="1585">
      <c r="A1585" s="116"/>
      <c r="B1585" s="116"/>
      <c r="C1585" s="116"/>
      <c r="D1585" s="116"/>
      <c r="E1585" s="116"/>
      <c r="F1585" s="116"/>
      <c r="G1585" s="116"/>
      <c r="H1585" s="116"/>
      <c r="I1585" s="116"/>
    </row>
    <row r="1586">
      <c r="A1586" s="116"/>
      <c r="B1586" s="116"/>
      <c r="C1586" s="116"/>
      <c r="D1586" s="116"/>
      <c r="E1586" s="116"/>
      <c r="F1586" s="116"/>
      <c r="G1586" s="116"/>
      <c r="H1586" s="116"/>
      <c r="I1586" s="116"/>
    </row>
    <row r="1587">
      <c r="A1587" s="116"/>
      <c r="B1587" s="116"/>
      <c r="C1587" s="116"/>
      <c r="D1587" s="116"/>
      <c r="E1587" s="116"/>
      <c r="F1587" s="116"/>
      <c r="G1587" s="116"/>
      <c r="H1587" s="116"/>
      <c r="I1587" s="116"/>
    </row>
    <row r="1588">
      <c r="A1588" s="116"/>
      <c r="B1588" s="116"/>
      <c r="C1588" s="116"/>
      <c r="D1588" s="116"/>
      <c r="E1588" s="116"/>
      <c r="F1588" s="116"/>
      <c r="G1588" s="116"/>
      <c r="H1588" s="116"/>
      <c r="I1588" s="116"/>
    </row>
    <row r="1589">
      <c r="A1589" s="116"/>
      <c r="B1589" s="116"/>
      <c r="C1589" s="116"/>
      <c r="D1589" s="116"/>
      <c r="E1589" s="116"/>
      <c r="F1589" s="116"/>
      <c r="G1589" s="116"/>
      <c r="H1589" s="116"/>
      <c r="I1589" s="116"/>
    </row>
    <row r="1590">
      <c r="A1590" s="116"/>
      <c r="B1590" s="116"/>
      <c r="C1590" s="116"/>
      <c r="D1590" s="116"/>
      <c r="E1590" s="116"/>
      <c r="F1590" s="116"/>
      <c r="G1590" s="116"/>
      <c r="H1590" s="116"/>
      <c r="I1590" s="116"/>
    </row>
    <row r="1591">
      <c r="A1591" s="116"/>
      <c r="B1591" s="116"/>
      <c r="C1591" s="116"/>
      <c r="D1591" s="116"/>
      <c r="E1591" s="116"/>
      <c r="F1591" s="116"/>
      <c r="G1591" s="116"/>
      <c r="H1591" s="116"/>
      <c r="I1591" s="116"/>
    </row>
    <row r="1592">
      <c r="A1592" s="116"/>
      <c r="B1592" s="116"/>
      <c r="C1592" s="116"/>
      <c r="D1592" s="116"/>
      <c r="E1592" s="116"/>
      <c r="F1592" s="116"/>
      <c r="G1592" s="116"/>
      <c r="H1592" s="116"/>
      <c r="I1592" s="116"/>
    </row>
    <row r="1593">
      <c r="A1593" s="116"/>
      <c r="B1593" s="116"/>
      <c r="C1593" s="116"/>
      <c r="D1593" s="116"/>
      <c r="E1593" s="116"/>
      <c r="F1593" s="116"/>
      <c r="G1593" s="116"/>
      <c r="H1593" s="116"/>
      <c r="I1593" s="116"/>
    </row>
    <row r="1594">
      <c r="A1594" s="116"/>
      <c r="B1594" s="116"/>
      <c r="C1594" s="116"/>
      <c r="D1594" s="116"/>
      <c r="E1594" s="116"/>
      <c r="F1594" s="116"/>
      <c r="G1594" s="116"/>
      <c r="H1594" s="116"/>
      <c r="I1594" s="116"/>
    </row>
    <row r="1595">
      <c r="A1595" s="116"/>
      <c r="B1595" s="116"/>
      <c r="C1595" s="116"/>
      <c r="D1595" s="116"/>
      <c r="E1595" s="116"/>
      <c r="F1595" s="116"/>
      <c r="G1595" s="116"/>
      <c r="H1595" s="116"/>
      <c r="I1595" s="116"/>
    </row>
    <row r="1596">
      <c r="A1596" s="116"/>
      <c r="B1596" s="116"/>
      <c r="C1596" s="116"/>
      <c r="D1596" s="116"/>
      <c r="E1596" s="116"/>
      <c r="F1596" s="116"/>
      <c r="G1596" s="116"/>
      <c r="H1596" s="116"/>
      <c r="I1596" s="116"/>
    </row>
    <row r="1597">
      <c r="A1597" s="116"/>
      <c r="B1597" s="116"/>
      <c r="C1597" s="116"/>
      <c r="D1597" s="116"/>
      <c r="E1597" s="116"/>
      <c r="F1597" s="116"/>
      <c r="G1597" s="116"/>
      <c r="H1597" s="116"/>
      <c r="I1597" s="116"/>
    </row>
    <row r="1598">
      <c r="A1598" s="116"/>
      <c r="B1598" s="116"/>
      <c r="C1598" s="116"/>
      <c r="D1598" s="116"/>
      <c r="E1598" s="116"/>
      <c r="F1598" s="116"/>
      <c r="G1598" s="116"/>
      <c r="H1598" s="116"/>
      <c r="I1598" s="116"/>
    </row>
    <row r="1599">
      <c r="A1599" s="116"/>
      <c r="B1599" s="116"/>
      <c r="C1599" s="116"/>
      <c r="D1599" s="116"/>
      <c r="E1599" s="116"/>
      <c r="F1599" s="116"/>
      <c r="G1599" s="116"/>
      <c r="H1599" s="116"/>
      <c r="I1599" s="116"/>
    </row>
    <row r="1600">
      <c r="A1600" s="116"/>
      <c r="B1600" s="116"/>
      <c r="C1600" s="116"/>
      <c r="D1600" s="116"/>
      <c r="E1600" s="116"/>
      <c r="F1600" s="116"/>
      <c r="G1600" s="116"/>
      <c r="H1600" s="116"/>
      <c r="I1600" s="116"/>
    </row>
    <row r="1601">
      <c r="A1601" s="116"/>
      <c r="B1601" s="116"/>
      <c r="C1601" s="116"/>
      <c r="D1601" s="116"/>
      <c r="E1601" s="116"/>
      <c r="F1601" s="116"/>
      <c r="G1601" s="116"/>
      <c r="H1601" s="116"/>
      <c r="I1601" s="116"/>
    </row>
    <row r="1602">
      <c r="A1602" s="116"/>
      <c r="B1602" s="116"/>
      <c r="C1602" s="116"/>
      <c r="D1602" s="116"/>
      <c r="E1602" s="116"/>
      <c r="F1602" s="116"/>
      <c r="G1602" s="116"/>
      <c r="H1602" s="116"/>
      <c r="I1602" s="116"/>
    </row>
    <row r="1603">
      <c r="A1603" s="116"/>
      <c r="B1603" s="116"/>
      <c r="C1603" s="116"/>
      <c r="D1603" s="116"/>
      <c r="E1603" s="116"/>
      <c r="F1603" s="116"/>
      <c r="G1603" s="116"/>
      <c r="H1603" s="116"/>
      <c r="I1603" s="116"/>
    </row>
    <row r="1604">
      <c r="A1604" s="116"/>
      <c r="B1604" s="116"/>
      <c r="C1604" s="116"/>
      <c r="D1604" s="116"/>
      <c r="E1604" s="116"/>
      <c r="F1604" s="116"/>
      <c r="G1604" s="116"/>
      <c r="H1604" s="116"/>
      <c r="I1604" s="116"/>
    </row>
    <row r="1605">
      <c r="A1605" s="116"/>
      <c r="B1605" s="116"/>
      <c r="C1605" s="116"/>
      <c r="D1605" s="116"/>
      <c r="E1605" s="116"/>
      <c r="F1605" s="116"/>
      <c r="G1605" s="116"/>
      <c r="H1605" s="116"/>
      <c r="I1605" s="116"/>
    </row>
    <row r="1606">
      <c r="A1606" s="116"/>
      <c r="B1606" s="116"/>
      <c r="C1606" s="116"/>
      <c r="D1606" s="116"/>
      <c r="E1606" s="116"/>
      <c r="F1606" s="116"/>
      <c r="G1606" s="116"/>
      <c r="H1606" s="116"/>
      <c r="I1606" s="116"/>
    </row>
    <row r="1607">
      <c r="A1607" s="116"/>
      <c r="B1607" s="116"/>
      <c r="C1607" s="116"/>
      <c r="D1607" s="116"/>
      <c r="E1607" s="116"/>
      <c r="F1607" s="116"/>
      <c r="G1607" s="116"/>
      <c r="H1607" s="116"/>
      <c r="I1607" s="116"/>
    </row>
    <row r="1608">
      <c r="A1608" s="116"/>
      <c r="B1608" s="116"/>
      <c r="C1608" s="116"/>
      <c r="D1608" s="116"/>
      <c r="E1608" s="116"/>
      <c r="F1608" s="116"/>
      <c r="G1608" s="116"/>
      <c r="H1608" s="116"/>
      <c r="I1608" s="116"/>
    </row>
    <row r="1609">
      <c r="A1609" s="116"/>
      <c r="B1609" s="116"/>
      <c r="C1609" s="116"/>
      <c r="D1609" s="116"/>
      <c r="E1609" s="116"/>
      <c r="F1609" s="116"/>
      <c r="G1609" s="116"/>
      <c r="H1609" s="116"/>
      <c r="I1609" s="116"/>
    </row>
    <row r="1610">
      <c r="A1610" s="116"/>
      <c r="B1610" s="116"/>
      <c r="C1610" s="116"/>
      <c r="D1610" s="116"/>
      <c r="E1610" s="116"/>
      <c r="F1610" s="116"/>
      <c r="G1610" s="116"/>
      <c r="H1610" s="116"/>
      <c r="I1610" s="116"/>
    </row>
    <row r="1611">
      <c r="A1611" s="116"/>
      <c r="B1611" s="116"/>
      <c r="C1611" s="116"/>
      <c r="D1611" s="116"/>
      <c r="E1611" s="116"/>
      <c r="F1611" s="116"/>
      <c r="G1611" s="116"/>
      <c r="H1611" s="116"/>
      <c r="I1611" s="116"/>
    </row>
    <row r="1612">
      <c r="A1612" s="116"/>
      <c r="B1612" s="116"/>
      <c r="C1612" s="116"/>
      <c r="D1612" s="116"/>
      <c r="E1612" s="116"/>
      <c r="F1612" s="116"/>
      <c r="G1612" s="116"/>
      <c r="H1612" s="116"/>
      <c r="I1612" s="116"/>
    </row>
    <row r="1613">
      <c r="A1613" s="116"/>
      <c r="B1613" s="116"/>
      <c r="C1613" s="116"/>
      <c r="D1613" s="116"/>
      <c r="E1613" s="116"/>
      <c r="F1613" s="116"/>
      <c r="G1613" s="116"/>
      <c r="H1613" s="116"/>
      <c r="I1613" s="116"/>
    </row>
    <row r="1614">
      <c r="A1614" s="116"/>
      <c r="B1614" s="116"/>
      <c r="C1614" s="116"/>
      <c r="D1614" s="116"/>
      <c r="E1614" s="116"/>
      <c r="F1614" s="116"/>
      <c r="G1614" s="116"/>
      <c r="H1614" s="116"/>
      <c r="I1614" s="116"/>
    </row>
    <row r="1615">
      <c r="A1615" s="116"/>
      <c r="B1615" s="116"/>
      <c r="C1615" s="116"/>
      <c r="D1615" s="116"/>
      <c r="E1615" s="116"/>
      <c r="F1615" s="116"/>
      <c r="G1615" s="116"/>
      <c r="H1615" s="116"/>
      <c r="I1615" s="116"/>
    </row>
    <row r="1616">
      <c r="A1616" s="116"/>
      <c r="B1616" s="116"/>
      <c r="C1616" s="116"/>
      <c r="D1616" s="116"/>
      <c r="E1616" s="116"/>
      <c r="F1616" s="116"/>
      <c r="G1616" s="116"/>
      <c r="H1616" s="116"/>
      <c r="I1616" s="116"/>
    </row>
    <row r="1617">
      <c r="A1617" s="116"/>
      <c r="B1617" s="116"/>
      <c r="C1617" s="116"/>
      <c r="D1617" s="116"/>
      <c r="E1617" s="116"/>
      <c r="F1617" s="116"/>
      <c r="G1617" s="116"/>
      <c r="H1617" s="116"/>
      <c r="I1617" s="116"/>
    </row>
    <row r="1618">
      <c r="A1618" s="116"/>
      <c r="B1618" s="116"/>
      <c r="C1618" s="116"/>
      <c r="D1618" s="116"/>
      <c r="E1618" s="116"/>
      <c r="F1618" s="116"/>
      <c r="G1618" s="116"/>
      <c r="H1618" s="116"/>
      <c r="I1618" s="116"/>
    </row>
    <row r="1619">
      <c r="A1619" s="116"/>
      <c r="B1619" s="116"/>
      <c r="C1619" s="116"/>
      <c r="D1619" s="116"/>
      <c r="E1619" s="116"/>
      <c r="F1619" s="116"/>
      <c r="G1619" s="116"/>
      <c r="H1619" s="116"/>
      <c r="I1619" s="116"/>
    </row>
    <row r="1620">
      <c r="A1620" s="116"/>
      <c r="B1620" s="116"/>
      <c r="C1620" s="116"/>
      <c r="D1620" s="116"/>
      <c r="E1620" s="116"/>
      <c r="F1620" s="116"/>
      <c r="G1620" s="116"/>
      <c r="H1620" s="116"/>
      <c r="I1620" s="116"/>
    </row>
    <row r="1621">
      <c r="A1621" s="116"/>
      <c r="B1621" s="116"/>
      <c r="C1621" s="116"/>
      <c r="D1621" s="116"/>
      <c r="E1621" s="116"/>
      <c r="F1621" s="116"/>
      <c r="G1621" s="116"/>
      <c r="H1621" s="116"/>
      <c r="I1621" s="116"/>
    </row>
    <row r="1622">
      <c r="A1622" s="116"/>
      <c r="B1622" s="116"/>
      <c r="C1622" s="116"/>
      <c r="D1622" s="116"/>
      <c r="E1622" s="116"/>
      <c r="F1622" s="116"/>
      <c r="G1622" s="116"/>
      <c r="H1622" s="116"/>
      <c r="I1622" s="116"/>
    </row>
    <row r="1623">
      <c r="A1623" s="116"/>
      <c r="B1623" s="116"/>
      <c r="C1623" s="116"/>
      <c r="D1623" s="116"/>
      <c r="E1623" s="116"/>
      <c r="F1623" s="116"/>
      <c r="G1623" s="116"/>
      <c r="H1623" s="116"/>
      <c r="I1623" s="116"/>
    </row>
    <row r="1624">
      <c r="A1624" s="116"/>
      <c r="B1624" s="116"/>
      <c r="C1624" s="116"/>
      <c r="D1624" s="116"/>
      <c r="E1624" s="116"/>
      <c r="F1624" s="116"/>
      <c r="G1624" s="116"/>
      <c r="H1624" s="116"/>
      <c r="I1624" s="116"/>
    </row>
    <row r="1625">
      <c r="A1625" s="116"/>
      <c r="B1625" s="116"/>
      <c r="C1625" s="116"/>
      <c r="D1625" s="116"/>
      <c r="E1625" s="116"/>
      <c r="F1625" s="116"/>
      <c r="G1625" s="116"/>
      <c r="H1625" s="116"/>
      <c r="I1625" s="116"/>
    </row>
    <row r="1626">
      <c r="A1626" s="116"/>
      <c r="B1626" s="116"/>
      <c r="C1626" s="116"/>
      <c r="D1626" s="116"/>
      <c r="E1626" s="116"/>
      <c r="F1626" s="116"/>
      <c r="G1626" s="116"/>
      <c r="H1626" s="116"/>
      <c r="I1626" s="116"/>
    </row>
    <row r="1627">
      <c r="A1627" s="116"/>
      <c r="B1627" s="116"/>
      <c r="C1627" s="116"/>
      <c r="D1627" s="116"/>
      <c r="E1627" s="116"/>
      <c r="F1627" s="116"/>
      <c r="G1627" s="116"/>
      <c r="H1627" s="116"/>
      <c r="I1627" s="116"/>
    </row>
    <row r="1628">
      <c r="A1628" s="116"/>
      <c r="B1628" s="116"/>
      <c r="C1628" s="116"/>
      <c r="D1628" s="116"/>
      <c r="E1628" s="116"/>
      <c r="F1628" s="116"/>
      <c r="G1628" s="116"/>
      <c r="H1628" s="116"/>
      <c r="I1628" s="116"/>
    </row>
    <row r="1629">
      <c r="A1629" s="116"/>
      <c r="B1629" s="116"/>
      <c r="C1629" s="116"/>
      <c r="D1629" s="116"/>
      <c r="E1629" s="116"/>
      <c r="F1629" s="116"/>
      <c r="G1629" s="116"/>
      <c r="H1629" s="116"/>
      <c r="I1629" s="116"/>
    </row>
    <row r="1630">
      <c r="A1630" s="116"/>
      <c r="B1630" s="116"/>
      <c r="C1630" s="116"/>
      <c r="D1630" s="116"/>
      <c r="E1630" s="116"/>
      <c r="F1630" s="116"/>
      <c r="G1630" s="116"/>
      <c r="H1630" s="116"/>
      <c r="I1630" s="116"/>
    </row>
    <row r="1631">
      <c r="A1631" s="116"/>
      <c r="B1631" s="116"/>
      <c r="C1631" s="116"/>
      <c r="D1631" s="116"/>
      <c r="E1631" s="116"/>
      <c r="F1631" s="116"/>
      <c r="G1631" s="116"/>
      <c r="H1631" s="116"/>
      <c r="I1631" s="116"/>
    </row>
    <row r="1632">
      <c r="A1632" s="116"/>
      <c r="B1632" s="116"/>
      <c r="C1632" s="116"/>
      <c r="D1632" s="116"/>
      <c r="E1632" s="116"/>
      <c r="F1632" s="116"/>
      <c r="G1632" s="116"/>
      <c r="H1632" s="116"/>
      <c r="I1632" s="116"/>
    </row>
    <row r="1633">
      <c r="A1633" s="116"/>
      <c r="B1633" s="116"/>
      <c r="C1633" s="116"/>
      <c r="D1633" s="116"/>
      <c r="E1633" s="116"/>
      <c r="F1633" s="116"/>
      <c r="G1633" s="116"/>
      <c r="H1633" s="116"/>
      <c r="I1633" s="116"/>
    </row>
    <row r="1634">
      <c r="A1634" s="116"/>
      <c r="B1634" s="116"/>
      <c r="C1634" s="116"/>
      <c r="D1634" s="116"/>
      <c r="E1634" s="116"/>
      <c r="F1634" s="116"/>
      <c r="G1634" s="116"/>
      <c r="H1634" s="116"/>
      <c r="I1634" s="116"/>
    </row>
    <row r="1635">
      <c r="A1635" s="116"/>
      <c r="B1635" s="116"/>
      <c r="C1635" s="116"/>
      <c r="D1635" s="116"/>
      <c r="E1635" s="116"/>
      <c r="F1635" s="116"/>
      <c r="G1635" s="116"/>
      <c r="H1635" s="116"/>
      <c r="I1635" s="116"/>
    </row>
    <row r="1636">
      <c r="A1636" s="116"/>
      <c r="B1636" s="116"/>
      <c r="C1636" s="116"/>
      <c r="D1636" s="116"/>
      <c r="E1636" s="116"/>
      <c r="F1636" s="116"/>
      <c r="G1636" s="116"/>
      <c r="H1636" s="116"/>
      <c r="I1636" s="116"/>
    </row>
    <row r="1637">
      <c r="A1637" s="116"/>
      <c r="B1637" s="116"/>
      <c r="C1637" s="116"/>
      <c r="D1637" s="116"/>
      <c r="E1637" s="116"/>
      <c r="F1637" s="116"/>
      <c r="G1637" s="116"/>
      <c r="H1637" s="116"/>
      <c r="I1637" s="116"/>
    </row>
    <row r="1638">
      <c r="A1638" s="116"/>
      <c r="B1638" s="116"/>
      <c r="C1638" s="116"/>
      <c r="D1638" s="116"/>
      <c r="E1638" s="116"/>
      <c r="F1638" s="116"/>
      <c r="G1638" s="116"/>
      <c r="H1638" s="116"/>
      <c r="I1638" s="116"/>
    </row>
    <row r="1639">
      <c r="A1639" s="116"/>
      <c r="B1639" s="116"/>
      <c r="C1639" s="116"/>
      <c r="D1639" s="116"/>
      <c r="E1639" s="116"/>
      <c r="F1639" s="116"/>
      <c r="G1639" s="116"/>
      <c r="H1639" s="116"/>
      <c r="I1639" s="116"/>
    </row>
    <row r="1640">
      <c r="A1640" s="116"/>
      <c r="B1640" s="116"/>
      <c r="C1640" s="116"/>
      <c r="D1640" s="116"/>
      <c r="E1640" s="116"/>
      <c r="F1640" s="116"/>
      <c r="G1640" s="116"/>
      <c r="H1640" s="116"/>
      <c r="I1640" s="116"/>
    </row>
    <row r="1641">
      <c r="A1641" s="116"/>
      <c r="B1641" s="116"/>
      <c r="C1641" s="116"/>
      <c r="D1641" s="116"/>
      <c r="E1641" s="116"/>
      <c r="F1641" s="116"/>
      <c r="G1641" s="116"/>
      <c r="H1641" s="116"/>
      <c r="I1641" s="116"/>
    </row>
    <row r="1642">
      <c r="A1642" s="116"/>
      <c r="B1642" s="116"/>
      <c r="C1642" s="116"/>
      <c r="D1642" s="116"/>
      <c r="E1642" s="116"/>
      <c r="F1642" s="116"/>
      <c r="G1642" s="116"/>
      <c r="H1642" s="116"/>
      <c r="I1642" s="116"/>
    </row>
    <row r="1643">
      <c r="A1643" s="116"/>
      <c r="B1643" s="116"/>
      <c r="C1643" s="116"/>
      <c r="D1643" s="116"/>
      <c r="E1643" s="116"/>
      <c r="F1643" s="116"/>
      <c r="G1643" s="116"/>
      <c r="H1643" s="116"/>
      <c r="I1643" s="116"/>
    </row>
    <row r="1644">
      <c r="A1644" s="116"/>
      <c r="B1644" s="116"/>
      <c r="C1644" s="116"/>
      <c r="D1644" s="116"/>
      <c r="E1644" s="116"/>
      <c r="F1644" s="116"/>
      <c r="G1644" s="116"/>
      <c r="H1644" s="116"/>
      <c r="I1644" s="116"/>
    </row>
    <row r="1645">
      <c r="A1645" s="116"/>
      <c r="B1645" s="116"/>
      <c r="C1645" s="116"/>
      <c r="D1645" s="116"/>
      <c r="E1645" s="116"/>
      <c r="F1645" s="116"/>
      <c r="G1645" s="116"/>
      <c r="H1645" s="116"/>
      <c r="I1645" s="116"/>
    </row>
    <row r="1646">
      <c r="A1646" s="116"/>
      <c r="B1646" s="116"/>
      <c r="C1646" s="116"/>
      <c r="D1646" s="116"/>
      <c r="E1646" s="116"/>
      <c r="F1646" s="116"/>
      <c r="G1646" s="116"/>
      <c r="H1646" s="116"/>
      <c r="I1646" s="116"/>
    </row>
    <row r="1647">
      <c r="A1647" s="116"/>
      <c r="B1647" s="116"/>
      <c r="C1647" s="116"/>
      <c r="D1647" s="116"/>
      <c r="E1647" s="116"/>
      <c r="F1647" s="116"/>
      <c r="G1647" s="116"/>
      <c r="H1647" s="116"/>
      <c r="I1647" s="116"/>
    </row>
    <row r="1648">
      <c r="A1648" s="116"/>
      <c r="B1648" s="116"/>
      <c r="C1648" s="116"/>
      <c r="D1648" s="116"/>
      <c r="E1648" s="116"/>
      <c r="F1648" s="116"/>
      <c r="G1648" s="116"/>
      <c r="H1648" s="116"/>
      <c r="I1648" s="116"/>
    </row>
    <row r="1649">
      <c r="A1649" s="116"/>
      <c r="B1649" s="116"/>
      <c r="C1649" s="116"/>
      <c r="D1649" s="116"/>
      <c r="E1649" s="116"/>
      <c r="F1649" s="116"/>
      <c r="G1649" s="116"/>
      <c r="H1649" s="116"/>
      <c r="I1649" s="116"/>
    </row>
    <row r="1650">
      <c r="A1650" s="116"/>
      <c r="B1650" s="116"/>
      <c r="C1650" s="116"/>
      <c r="D1650" s="116"/>
      <c r="E1650" s="116"/>
      <c r="F1650" s="116"/>
      <c r="G1650" s="116"/>
      <c r="H1650" s="116"/>
      <c r="I1650" s="116"/>
    </row>
    <row r="1651">
      <c r="A1651" s="116"/>
      <c r="B1651" s="116"/>
      <c r="C1651" s="116"/>
      <c r="D1651" s="116"/>
      <c r="E1651" s="116"/>
      <c r="F1651" s="116"/>
      <c r="G1651" s="116"/>
      <c r="H1651" s="116"/>
      <c r="I1651" s="116"/>
    </row>
    <row r="1652">
      <c r="A1652" s="116"/>
      <c r="B1652" s="116"/>
      <c r="C1652" s="116"/>
      <c r="D1652" s="116"/>
      <c r="E1652" s="116"/>
      <c r="F1652" s="116"/>
      <c r="G1652" s="116"/>
      <c r="H1652" s="116"/>
      <c r="I1652" s="116"/>
    </row>
    <row r="1653">
      <c r="A1653" s="116"/>
      <c r="B1653" s="116"/>
      <c r="C1653" s="116"/>
      <c r="D1653" s="116"/>
      <c r="E1653" s="116"/>
      <c r="F1653" s="116"/>
      <c r="G1653" s="116"/>
      <c r="H1653" s="116"/>
      <c r="I1653" s="116"/>
    </row>
    <row r="1654">
      <c r="A1654" s="116"/>
      <c r="B1654" s="116"/>
      <c r="C1654" s="116"/>
      <c r="D1654" s="116"/>
      <c r="E1654" s="116"/>
      <c r="F1654" s="116"/>
      <c r="G1654" s="116"/>
      <c r="H1654" s="116"/>
      <c r="I1654" s="116"/>
    </row>
    <row r="1655">
      <c r="A1655" s="116"/>
      <c r="B1655" s="116"/>
      <c r="C1655" s="116"/>
      <c r="D1655" s="116"/>
      <c r="E1655" s="116"/>
      <c r="F1655" s="116"/>
      <c r="G1655" s="116"/>
      <c r="H1655" s="116"/>
      <c r="I1655" s="116"/>
    </row>
    <row r="1656">
      <c r="A1656" s="116"/>
      <c r="B1656" s="116"/>
      <c r="C1656" s="116"/>
      <c r="D1656" s="116"/>
      <c r="E1656" s="116"/>
      <c r="F1656" s="116"/>
      <c r="G1656" s="116"/>
      <c r="H1656" s="116"/>
      <c r="I1656" s="116"/>
    </row>
    <row r="1657">
      <c r="A1657" s="116"/>
      <c r="B1657" s="116"/>
      <c r="C1657" s="116"/>
      <c r="D1657" s="116"/>
      <c r="E1657" s="116"/>
      <c r="F1657" s="116"/>
      <c r="G1657" s="116"/>
      <c r="H1657" s="116"/>
      <c r="I1657" s="116"/>
    </row>
    <row r="1658">
      <c r="A1658" s="116"/>
      <c r="B1658" s="116"/>
      <c r="C1658" s="116"/>
      <c r="D1658" s="116"/>
      <c r="E1658" s="116"/>
      <c r="F1658" s="116"/>
      <c r="G1658" s="116"/>
      <c r="H1658" s="116"/>
      <c r="I1658" s="116"/>
    </row>
    <row r="1659">
      <c r="A1659" s="116"/>
      <c r="B1659" s="116"/>
      <c r="C1659" s="116"/>
      <c r="D1659" s="116"/>
      <c r="E1659" s="116"/>
      <c r="F1659" s="116"/>
      <c r="G1659" s="116"/>
      <c r="H1659" s="116"/>
      <c r="I1659" s="116"/>
    </row>
    <row r="1660">
      <c r="A1660" s="116"/>
      <c r="B1660" s="116"/>
      <c r="C1660" s="116"/>
      <c r="D1660" s="116"/>
      <c r="E1660" s="116"/>
      <c r="F1660" s="116"/>
      <c r="G1660" s="116"/>
      <c r="H1660" s="116"/>
      <c r="I1660" s="116"/>
    </row>
    <row r="1661">
      <c r="A1661" s="116"/>
      <c r="B1661" s="116"/>
      <c r="C1661" s="116"/>
      <c r="D1661" s="116"/>
      <c r="E1661" s="116"/>
      <c r="F1661" s="116"/>
      <c r="G1661" s="116"/>
      <c r="H1661" s="116"/>
      <c r="I1661" s="116"/>
    </row>
    <row r="1662">
      <c r="A1662" s="116"/>
      <c r="B1662" s="116"/>
      <c r="C1662" s="116"/>
      <c r="D1662" s="116"/>
      <c r="E1662" s="116"/>
      <c r="F1662" s="116"/>
      <c r="G1662" s="116"/>
      <c r="H1662" s="116"/>
      <c r="I1662" s="116"/>
    </row>
    <row r="1663">
      <c r="A1663" s="116"/>
      <c r="B1663" s="116"/>
      <c r="C1663" s="116"/>
      <c r="D1663" s="116"/>
      <c r="E1663" s="116"/>
      <c r="F1663" s="116"/>
      <c r="G1663" s="116"/>
      <c r="H1663" s="116"/>
      <c r="I1663" s="116"/>
    </row>
    <row r="1664">
      <c r="A1664" s="116"/>
      <c r="B1664" s="116"/>
      <c r="C1664" s="116"/>
      <c r="D1664" s="116"/>
      <c r="E1664" s="116"/>
      <c r="F1664" s="116"/>
      <c r="G1664" s="116"/>
      <c r="H1664" s="116"/>
      <c r="I1664" s="116"/>
    </row>
    <row r="1665">
      <c r="A1665" s="116"/>
      <c r="B1665" s="116"/>
      <c r="C1665" s="116"/>
      <c r="D1665" s="116"/>
      <c r="E1665" s="116"/>
      <c r="F1665" s="116"/>
      <c r="G1665" s="116"/>
      <c r="H1665" s="116"/>
      <c r="I1665" s="116"/>
    </row>
    <row r="1666">
      <c r="A1666" s="116"/>
      <c r="B1666" s="116"/>
      <c r="C1666" s="116"/>
      <c r="D1666" s="116"/>
      <c r="E1666" s="116"/>
      <c r="F1666" s="116"/>
      <c r="G1666" s="116"/>
      <c r="H1666" s="116"/>
      <c r="I1666" s="116"/>
    </row>
    <row r="1667">
      <c r="A1667" s="116"/>
      <c r="B1667" s="116"/>
      <c r="C1667" s="116"/>
      <c r="D1667" s="116"/>
      <c r="E1667" s="116"/>
      <c r="F1667" s="116"/>
      <c r="G1667" s="116"/>
      <c r="H1667" s="116"/>
      <c r="I1667" s="116"/>
    </row>
    <row r="1668">
      <c r="A1668" s="116"/>
      <c r="B1668" s="116"/>
      <c r="C1668" s="116"/>
      <c r="D1668" s="116"/>
      <c r="E1668" s="116"/>
      <c r="F1668" s="116"/>
      <c r="G1668" s="116"/>
      <c r="H1668" s="116"/>
      <c r="I1668" s="116"/>
    </row>
    <row r="1669">
      <c r="A1669" s="116"/>
      <c r="B1669" s="116"/>
      <c r="C1669" s="116"/>
      <c r="D1669" s="116"/>
      <c r="E1669" s="116"/>
      <c r="F1669" s="116"/>
      <c r="G1669" s="116"/>
      <c r="H1669" s="116"/>
      <c r="I1669" s="116"/>
    </row>
    <row r="1670">
      <c r="A1670" s="116"/>
      <c r="B1670" s="116"/>
      <c r="C1670" s="116"/>
      <c r="D1670" s="116"/>
      <c r="E1670" s="116"/>
      <c r="F1670" s="116"/>
      <c r="G1670" s="116"/>
      <c r="H1670" s="116"/>
      <c r="I1670" s="116"/>
    </row>
    <row r="1671">
      <c r="A1671" s="116"/>
      <c r="B1671" s="116"/>
      <c r="C1671" s="116"/>
      <c r="D1671" s="116"/>
      <c r="E1671" s="116"/>
      <c r="F1671" s="116"/>
      <c r="G1671" s="116"/>
      <c r="H1671" s="116"/>
      <c r="I1671" s="116"/>
    </row>
    <row r="1672">
      <c r="A1672" s="116"/>
      <c r="B1672" s="116"/>
      <c r="C1672" s="116"/>
      <c r="D1672" s="116"/>
      <c r="E1672" s="116"/>
      <c r="F1672" s="116"/>
      <c r="G1672" s="116"/>
      <c r="H1672" s="116"/>
      <c r="I1672" s="116"/>
    </row>
    <row r="1673">
      <c r="A1673" s="116"/>
      <c r="B1673" s="116"/>
      <c r="C1673" s="116"/>
      <c r="D1673" s="116"/>
      <c r="E1673" s="116"/>
      <c r="F1673" s="116"/>
      <c r="G1673" s="116"/>
      <c r="H1673" s="116"/>
      <c r="I1673" s="116"/>
    </row>
    <row r="1674">
      <c r="A1674" s="116"/>
      <c r="B1674" s="116"/>
      <c r="C1674" s="116"/>
      <c r="D1674" s="116"/>
      <c r="E1674" s="116"/>
      <c r="F1674" s="116"/>
      <c r="G1674" s="116"/>
      <c r="H1674" s="116"/>
      <c r="I1674" s="116"/>
    </row>
    <row r="1675">
      <c r="A1675" s="116"/>
      <c r="B1675" s="116"/>
      <c r="C1675" s="116"/>
      <c r="D1675" s="116"/>
      <c r="E1675" s="116"/>
      <c r="F1675" s="116"/>
      <c r="G1675" s="116"/>
      <c r="H1675" s="116"/>
      <c r="I1675" s="116"/>
    </row>
    <row r="1676">
      <c r="A1676" s="116"/>
      <c r="B1676" s="116"/>
      <c r="C1676" s="116"/>
      <c r="D1676" s="116"/>
      <c r="E1676" s="116"/>
      <c r="F1676" s="116"/>
      <c r="G1676" s="116"/>
      <c r="H1676" s="116"/>
      <c r="I1676" s="116"/>
    </row>
    <row r="1677">
      <c r="A1677" s="116"/>
      <c r="B1677" s="116"/>
      <c r="C1677" s="116"/>
      <c r="D1677" s="116"/>
      <c r="E1677" s="116"/>
      <c r="F1677" s="116"/>
      <c r="G1677" s="116"/>
      <c r="H1677" s="116"/>
      <c r="I1677" s="116"/>
    </row>
    <row r="1678">
      <c r="A1678" s="116"/>
      <c r="B1678" s="116"/>
      <c r="C1678" s="116"/>
      <c r="D1678" s="116"/>
      <c r="E1678" s="116"/>
      <c r="F1678" s="116"/>
      <c r="G1678" s="116"/>
      <c r="H1678" s="116"/>
      <c r="I1678" s="116"/>
    </row>
    <row r="1679">
      <c r="A1679" s="116"/>
      <c r="B1679" s="116"/>
      <c r="C1679" s="116"/>
      <c r="D1679" s="116"/>
      <c r="E1679" s="116"/>
      <c r="F1679" s="116"/>
      <c r="G1679" s="116"/>
      <c r="H1679" s="116"/>
      <c r="I1679" s="116"/>
    </row>
  </sheetData>
  <mergeCells count="143">
    <mergeCell ref="A3:I3"/>
    <mergeCell ref="A11:I11"/>
    <mergeCell ref="A19:I19"/>
    <mergeCell ref="A28:I28"/>
    <mergeCell ref="A53:I53"/>
    <mergeCell ref="B54:B64"/>
    <mergeCell ref="D57:D58"/>
    <mergeCell ref="D60:D63"/>
    <mergeCell ref="C57:C58"/>
    <mergeCell ref="C60:C63"/>
    <mergeCell ref="B65:B77"/>
    <mergeCell ref="C66:C70"/>
    <mergeCell ref="D66:D70"/>
    <mergeCell ref="D71:D73"/>
    <mergeCell ref="D78:D80"/>
    <mergeCell ref="A113:I113"/>
    <mergeCell ref="A114:A116"/>
    <mergeCell ref="B114:B118"/>
    <mergeCell ref="C115:C116"/>
    <mergeCell ref="C117:C120"/>
    <mergeCell ref="B78:B85"/>
    <mergeCell ref="B86:B93"/>
    <mergeCell ref="B94:B96"/>
    <mergeCell ref="B97:B101"/>
    <mergeCell ref="B102:B104"/>
    <mergeCell ref="A105:I105"/>
    <mergeCell ref="A112:I112"/>
    <mergeCell ref="C130:C133"/>
    <mergeCell ref="C136:C137"/>
    <mergeCell ref="C138:C139"/>
    <mergeCell ref="A147:I147"/>
    <mergeCell ref="B148:B150"/>
    <mergeCell ref="C71:C73"/>
    <mergeCell ref="C78:C80"/>
    <mergeCell ref="C89:C90"/>
    <mergeCell ref="D89:D90"/>
    <mergeCell ref="C91:C92"/>
    <mergeCell ref="D91:D92"/>
    <mergeCell ref="C121:C129"/>
    <mergeCell ref="B152:B172"/>
    <mergeCell ref="B175:B189"/>
    <mergeCell ref="B192:B211"/>
    <mergeCell ref="A213:I213"/>
    <mergeCell ref="B214:B226"/>
    <mergeCell ref="B228:B234"/>
    <mergeCell ref="B236:B245"/>
    <mergeCell ref="I510:I516"/>
    <mergeCell ref="A518:I518"/>
    <mergeCell ref="A551:I551"/>
    <mergeCell ref="I569:I576"/>
    <mergeCell ref="I577:I596"/>
    <mergeCell ref="I597:I607"/>
    <mergeCell ref="I608:I615"/>
    <mergeCell ref="A617:I617"/>
    <mergeCell ref="B552:B567"/>
    <mergeCell ref="B569:B615"/>
    <mergeCell ref="C569:C576"/>
    <mergeCell ref="C577:C596"/>
    <mergeCell ref="C597:C607"/>
    <mergeCell ref="C608:C615"/>
    <mergeCell ref="B618:B622"/>
    <mergeCell ref="B624:B631"/>
    <mergeCell ref="B633:B643"/>
    <mergeCell ref="I633:I643"/>
    <mergeCell ref="B645:B647"/>
    <mergeCell ref="A649:I649"/>
    <mergeCell ref="B650:B654"/>
    <mergeCell ref="B656:B661"/>
    <mergeCell ref="B663:B667"/>
    <mergeCell ref="B669:B679"/>
    <mergeCell ref="B754:B757"/>
    <mergeCell ref="A759:I759"/>
    <mergeCell ref="B760:B777"/>
    <mergeCell ref="B779:B783"/>
    <mergeCell ref="A796:I796"/>
    <mergeCell ref="B897:B918"/>
    <mergeCell ref="B920:B965"/>
    <mergeCell ref="B967:B998"/>
    <mergeCell ref="B1000:B1017"/>
    <mergeCell ref="B1019:B1050"/>
    <mergeCell ref="B1052:B1073"/>
    <mergeCell ref="B1075:B1089"/>
    <mergeCell ref="B1207:B1221"/>
    <mergeCell ref="B1223:B1232"/>
    <mergeCell ref="B1234:B1242"/>
    <mergeCell ref="B1244:B1272"/>
    <mergeCell ref="B1277:B1282"/>
    <mergeCell ref="B1093:B1113"/>
    <mergeCell ref="B1115:B1128"/>
    <mergeCell ref="B1130:B1135"/>
    <mergeCell ref="B1137:B1157"/>
    <mergeCell ref="B1159:B1182"/>
    <mergeCell ref="B1184:B1194"/>
    <mergeCell ref="B1196:B1205"/>
    <mergeCell ref="B247:B258"/>
    <mergeCell ref="B260:B266"/>
    <mergeCell ref="B268:B274"/>
    <mergeCell ref="B276:B290"/>
    <mergeCell ref="B293:B302"/>
    <mergeCell ref="B304:B307"/>
    <mergeCell ref="B309:B318"/>
    <mergeCell ref="B320:B325"/>
    <mergeCell ref="B327:B330"/>
    <mergeCell ref="B332:B336"/>
    <mergeCell ref="B338:B343"/>
    <mergeCell ref="B345:B349"/>
    <mergeCell ref="B351:B359"/>
    <mergeCell ref="B361:B368"/>
    <mergeCell ref="B370:B375"/>
    <mergeCell ref="B377:B387"/>
    <mergeCell ref="B389:B394"/>
    <mergeCell ref="B396:B401"/>
    <mergeCell ref="B403:B407"/>
    <mergeCell ref="B409:B412"/>
    <mergeCell ref="A414:I414"/>
    <mergeCell ref="B415:B424"/>
    <mergeCell ref="B427:B429"/>
    <mergeCell ref="B432:B446"/>
    <mergeCell ref="B449:B454"/>
    <mergeCell ref="B457:B473"/>
    <mergeCell ref="B474:B486"/>
    <mergeCell ref="B487:B503"/>
    <mergeCell ref="A426:I426"/>
    <mergeCell ref="A431:I431"/>
    <mergeCell ref="A448:I448"/>
    <mergeCell ref="I449:I455"/>
    <mergeCell ref="A456:I456"/>
    <mergeCell ref="I504:I507"/>
    <mergeCell ref="A509:I509"/>
    <mergeCell ref="B504:B507"/>
    <mergeCell ref="B510:B516"/>
    <mergeCell ref="B519:B522"/>
    <mergeCell ref="B523:B534"/>
    <mergeCell ref="B535:B539"/>
    <mergeCell ref="B540:B542"/>
    <mergeCell ref="B543:B549"/>
    <mergeCell ref="B785:B791"/>
    <mergeCell ref="A797:A815"/>
    <mergeCell ref="B797:B815"/>
    <mergeCell ref="A817:A836"/>
    <mergeCell ref="B817:B836"/>
    <mergeCell ref="B838:B856"/>
    <mergeCell ref="B858:B895"/>
  </mergeCells>
  <conditionalFormatting sqref="D460:D462">
    <cfRule type="notContainsBlanks" dxfId="0" priority="1">
      <formula>LEN(TRIM(D460))&gt;0</formula>
    </cfRule>
  </conditionalFormatting>
  <drawing r:id="rId1"/>
</worksheet>
</file>